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GPSAU\Downloads\"/>
    </mc:Choice>
  </mc:AlternateContent>
  <xr:revisionPtr revIDLastSave="0" documentId="13_ncr:1_{2BFD2DCD-1ECB-4361-8B92-E14E034511BE}" xr6:coauthVersionLast="47" xr6:coauthVersionMax="47" xr10:uidLastSave="{00000000-0000-0000-0000-000000000000}"/>
  <bookViews>
    <workbookView xWindow="-110" yWindow="-110" windowWidth="19420" windowHeight="11500" xr2:uid="{D75CC1DE-91CD-4DDC-8CDE-B7283BD374B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3" i="1" l="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BA33" i="1"/>
  <c r="BA34" i="1"/>
  <c r="BA35" i="1"/>
  <c r="BA36" i="1"/>
  <c r="BA37" i="1"/>
  <c r="BA38" i="1"/>
  <c r="BA39" i="1"/>
  <c r="BA40" i="1"/>
  <c r="BA41" i="1"/>
  <c r="BA42" i="1"/>
  <c r="BA43" i="1"/>
  <c r="BA44" i="1"/>
  <c r="BA45" i="1"/>
  <c r="BA46" i="1"/>
  <c r="BA47" i="1"/>
  <c r="BA48" i="1"/>
  <c r="BA49" i="1"/>
  <c r="BA50" i="1"/>
  <c r="BA51" i="1"/>
  <c r="BA52" i="1"/>
  <c r="BA53" i="1"/>
  <c r="BA54" i="1"/>
  <c r="BA55" i="1"/>
  <c r="BA56" i="1"/>
  <c r="BA57" i="1"/>
  <c r="BA58" i="1"/>
  <c r="BA59" i="1"/>
  <c r="BA60" i="1"/>
  <c r="BA61" i="1"/>
  <c r="BA62" i="1"/>
  <c r="BA63" i="1"/>
  <c r="BA64" i="1"/>
  <c r="BA65" i="1"/>
  <c r="BA66" i="1"/>
  <c r="BA67" i="1"/>
  <c r="BA68" i="1"/>
  <c r="BA69" i="1"/>
  <c r="BA70" i="1"/>
  <c r="BA71" i="1"/>
  <c r="BA72" i="1"/>
  <c r="BA73" i="1"/>
  <c r="BA74" i="1"/>
  <c r="BA75" i="1"/>
  <c r="BA76" i="1"/>
  <c r="BA77" i="1"/>
  <c r="BA78" i="1"/>
  <c r="BA79" i="1"/>
  <c r="BA80" i="1"/>
  <c r="BA81" i="1"/>
  <c r="BA82" i="1"/>
  <c r="BA83" i="1"/>
  <c r="BA84" i="1"/>
  <c r="BA85" i="1"/>
  <c r="BA86" i="1"/>
  <c r="BA87" i="1"/>
  <c r="BA88" i="1"/>
  <c r="BA89" i="1"/>
  <c r="BA90" i="1"/>
  <c r="BA91" i="1"/>
  <c r="BA92" i="1"/>
  <c r="BA93" i="1"/>
  <c r="BA94" i="1"/>
  <c r="BA95" i="1"/>
  <c r="BA96" i="1"/>
  <c r="BA97" i="1"/>
  <c r="BA98" i="1"/>
  <c r="BA99" i="1"/>
  <c r="BA100" i="1"/>
  <c r="BA101" i="1"/>
  <c r="BA102" i="1"/>
  <c r="BA103" i="1"/>
  <c r="BA104" i="1"/>
  <c r="BA105" i="1"/>
  <c r="BA106" i="1"/>
  <c r="BA107" i="1"/>
  <c r="BA108" i="1"/>
  <c r="BA109" i="1"/>
  <c r="BA110" i="1"/>
  <c r="BA111" i="1"/>
  <c r="BA112" i="1"/>
  <c r="BA113" i="1"/>
  <c r="BA114" i="1"/>
  <c r="BA115" i="1"/>
  <c r="BA116" i="1"/>
  <c r="BA117" i="1"/>
  <c r="BA118" i="1"/>
  <c r="BA119" i="1"/>
  <c r="BA120" i="1"/>
  <c r="BA121" i="1"/>
  <c r="BA122" i="1"/>
  <c r="BA123" i="1"/>
  <c r="BA124" i="1"/>
  <c r="BA125" i="1"/>
  <c r="BA126" i="1"/>
  <c r="BA127" i="1"/>
  <c r="BA128" i="1"/>
  <c r="BA129" i="1"/>
  <c r="BA130" i="1"/>
  <c r="BA131" i="1"/>
  <c r="BA132" i="1"/>
  <c r="BA133" i="1"/>
  <c r="BA134" i="1"/>
  <c r="BA135" i="1"/>
  <c r="BA136" i="1"/>
  <c r="BA137" i="1"/>
  <c r="BA138" i="1"/>
  <c r="BA139" i="1"/>
  <c r="BA140" i="1"/>
  <c r="BA141" i="1"/>
  <c r="BA142" i="1"/>
  <c r="BA143" i="1"/>
  <c r="BA144" i="1"/>
  <c r="BA145" i="1"/>
  <c r="BA146" i="1"/>
  <c r="BA147" i="1"/>
  <c r="BA148" i="1"/>
  <c r="BA149" i="1"/>
  <c r="BA150" i="1"/>
  <c r="BA151" i="1"/>
  <c r="BA152" i="1"/>
  <c r="BA153" i="1"/>
  <c r="BA154" i="1"/>
  <c r="BA155" i="1"/>
  <c r="BA156" i="1"/>
  <c r="BA157" i="1"/>
  <c r="BA158" i="1"/>
  <c r="BA159" i="1"/>
  <c r="BA160" i="1"/>
  <c r="BA161" i="1"/>
  <c r="BA162" i="1"/>
  <c r="BA163" i="1"/>
  <c r="BA164" i="1"/>
  <c r="BA165" i="1"/>
  <c r="BA166" i="1"/>
  <c r="BA167" i="1"/>
  <c r="BA168" i="1"/>
  <c r="BA169" i="1"/>
  <c r="BA170" i="1"/>
  <c r="BA171" i="1"/>
  <c r="BA172" i="1"/>
  <c r="BA173" i="1"/>
  <c r="BA174" i="1"/>
  <c r="BA175" i="1"/>
  <c r="BA176" i="1"/>
  <c r="BA177" i="1"/>
  <c r="BA178" i="1"/>
  <c r="BA179" i="1"/>
  <c r="BA180" i="1"/>
  <c r="BA181" i="1"/>
  <c r="BA182" i="1"/>
  <c r="BA183" i="1"/>
  <c r="BA184" i="1"/>
  <c r="BA185" i="1"/>
  <c r="BA186" i="1"/>
  <c r="BA187" i="1"/>
  <c r="BA188" i="1"/>
  <c r="BA189" i="1"/>
  <c r="BA190" i="1"/>
  <c r="BA191" i="1"/>
  <c r="BA192" i="1"/>
  <c r="BA193" i="1"/>
  <c r="BA194" i="1"/>
  <c r="BA195" i="1"/>
  <c r="BA196" i="1"/>
  <c r="BA197" i="1"/>
  <c r="BA198" i="1"/>
  <c r="BA199" i="1"/>
  <c r="BA200" i="1"/>
  <c r="BA201" i="1"/>
  <c r="BA202" i="1"/>
  <c r="BA203" i="1"/>
  <c r="BA204" i="1"/>
  <c r="BA205" i="1"/>
  <c r="BA206" i="1"/>
  <c r="BA207" i="1"/>
  <c r="BA208" i="1"/>
  <c r="BA209" i="1"/>
  <c r="BA210" i="1"/>
  <c r="BA211" i="1"/>
  <c r="BA212" i="1"/>
  <c r="BA213" i="1"/>
  <c r="BA214" i="1"/>
  <c r="BA215" i="1"/>
  <c r="BA216" i="1"/>
  <c r="BA217" i="1"/>
  <c r="BA218" i="1"/>
  <c r="BA219" i="1"/>
  <c r="BA220" i="1"/>
  <c r="BA221" i="1"/>
  <c r="BA222" i="1"/>
  <c r="BA223" i="1"/>
  <c r="BA224" i="1"/>
  <c r="BA225" i="1"/>
  <c r="BA226" i="1"/>
  <c r="BA227" i="1"/>
  <c r="BA228" i="1"/>
  <c r="BA229" i="1"/>
  <c r="BA230" i="1"/>
  <c r="BA231" i="1"/>
  <c r="BA232" i="1"/>
  <c r="BA233" i="1"/>
  <c r="BA234" i="1"/>
  <c r="BA235" i="1"/>
  <c r="BA236" i="1"/>
  <c r="BA237" i="1"/>
  <c r="BA238" i="1"/>
  <c r="BA239" i="1"/>
  <c r="BA240" i="1"/>
  <c r="BA241" i="1"/>
  <c r="BA242" i="1"/>
  <c r="BA243" i="1"/>
  <c r="BA244" i="1"/>
  <c r="BA245" i="1"/>
  <c r="BA246" i="1"/>
  <c r="BA247" i="1"/>
  <c r="BA248" i="1"/>
  <c r="BA249" i="1"/>
  <c r="BA250" i="1"/>
  <c r="BA251" i="1"/>
  <c r="BA252" i="1"/>
  <c r="BA253" i="1"/>
  <c r="BA254" i="1"/>
  <c r="BA255" i="1"/>
  <c r="BA256" i="1"/>
  <c r="BA257" i="1"/>
  <c r="BA258" i="1"/>
  <c r="BA259" i="1"/>
  <c r="BA260" i="1"/>
  <c r="BA261" i="1"/>
  <c r="BA262" i="1"/>
  <c r="BA263" i="1"/>
  <c r="BA264" i="1"/>
  <c r="BA265" i="1"/>
  <c r="BA266" i="1"/>
  <c r="BA267" i="1"/>
  <c r="BA268" i="1"/>
  <c r="BA269" i="1"/>
  <c r="BA270" i="1"/>
  <c r="BA271" i="1"/>
  <c r="BA272" i="1"/>
  <c r="BA273" i="1"/>
  <c r="BA274" i="1"/>
  <c r="BA275" i="1"/>
  <c r="BA276" i="1"/>
  <c r="BA277" i="1"/>
  <c r="BA278" i="1"/>
  <c r="BA279" i="1"/>
  <c r="BA280" i="1"/>
  <c r="BA281" i="1"/>
  <c r="BA282" i="1"/>
  <c r="BA283" i="1"/>
  <c r="BA284" i="1"/>
  <c r="BA285" i="1"/>
  <c r="BA286" i="1"/>
  <c r="BA287" i="1"/>
  <c r="BA288" i="1"/>
  <c r="BA289" i="1"/>
  <c r="BA290" i="1"/>
  <c r="BA291" i="1"/>
  <c r="BA292" i="1"/>
  <c r="BA293" i="1"/>
  <c r="BA294" i="1"/>
  <c r="BA295" i="1"/>
  <c r="BA296" i="1"/>
  <c r="BA297" i="1"/>
  <c r="BA298" i="1"/>
  <c r="BA299" i="1"/>
  <c r="BA300" i="1"/>
  <c r="BA301" i="1"/>
  <c r="BA302" i="1"/>
  <c r="BA303" i="1"/>
  <c r="BA304" i="1"/>
  <c r="BA305" i="1"/>
  <c r="BA306" i="1"/>
  <c r="BA307" i="1"/>
  <c r="BA308" i="1"/>
  <c r="BA309" i="1"/>
  <c r="BA310" i="1"/>
  <c r="BA311" i="1"/>
  <c r="BA312" i="1"/>
  <c r="BA313" i="1"/>
  <c r="BA314" i="1"/>
  <c r="BA315" i="1"/>
  <c r="BA316" i="1"/>
  <c r="BA317" i="1"/>
  <c r="BA318" i="1"/>
  <c r="BA319" i="1"/>
  <c r="BA320" i="1"/>
  <c r="BA321" i="1"/>
  <c r="BA322" i="1"/>
  <c r="BA323" i="1"/>
  <c r="BA324" i="1"/>
  <c r="BA325" i="1"/>
  <c r="BA326" i="1"/>
  <c r="BA327" i="1"/>
  <c r="BA328" i="1"/>
  <c r="BA329" i="1"/>
  <c r="BA330" i="1"/>
  <c r="BA331" i="1"/>
  <c r="BA332" i="1"/>
  <c r="BA333" i="1"/>
  <c r="BA334" i="1"/>
  <c r="BA335" i="1"/>
  <c r="BA336" i="1"/>
  <c r="BA337" i="1"/>
  <c r="BA338" i="1"/>
  <c r="BA339" i="1"/>
  <c r="BA340" i="1"/>
  <c r="BA341" i="1"/>
  <c r="BA342" i="1"/>
  <c r="BA343" i="1"/>
  <c r="BA344" i="1"/>
  <c r="BA345" i="1"/>
  <c r="BA346" i="1"/>
  <c r="BA347" i="1"/>
  <c r="BA348" i="1"/>
  <c r="BA349" i="1"/>
  <c r="BA350" i="1"/>
  <c r="BA351" i="1"/>
  <c r="BA352" i="1"/>
  <c r="BA353" i="1"/>
  <c r="BA354" i="1"/>
  <c r="BA355" i="1"/>
  <c r="BA356" i="1"/>
  <c r="BA357" i="1"/>
  <c r="BA358" i="1"/>
  <c r="BA359" i="1"/>
  <c r="BA360" i="1"/>
  <c r="BA361" i="1"/>
  <c r="BA362" i="1"/>
  <c r="BA363" i="1"/>
  <c r="BA364" i="1"/>
  <c r="BA365" i="1"/>
  <c r="BA366" i="1"/>
  <c r="BA367" i="1"/>
  <c r="BA368" i="1"/>
  <c r="BA369" i="1"/>
  <c r="BA370" i="1"/>
  <c r="BA371" i="1"/>
  <c r="BA372" i="1"/>
  <c r="BA373" i="1"/>
  <c r="BA374" i="1"/>
  <c r="BA375" i="1"/>
  <c r="BA376" i="1"/>
  <c r="BA377" i="1"/>
  <c r="BA378" i="1"/>
  <c r="BA379" i="1"/>
  <c r="BA380" i="1"/>
  <c r="BA381" i="1"/>
  <c r="BA382" i="1"/>
  <c r="BA383" i="1"/>
  <c r="BA384" i="1"/>
  <c r="BA385" i="1"/>
  <c r="BA386" i="1"/>
  <c r="BA387" i="1"/>
  <c r="BA388" i="1"/>
  <c r="BA389" i="1"/>
  <c r="BA390" i="1"/>
  <c r="BA391" i="1"/>
  <c r="BA392" i="1"/>
  <c r="BA393" i="1"/>
  <c r="BA394" i="1"/>
  <c r="BA395" i="1"/>
  <c r="BA396" i="1"/>
  <c r="BA397" i="1"/>
  <c r="BA398" i="1"/>
  <c r="BA399" i="1"/>
  <c r="BA400" i="1"/>
  <c r="BA401" i="1"/>
  <c r="BA402" i="1"/>
  <c r="BA403" i="1"/>
  <c r="BA404" i="1"/>
  <c r="BA405" i="1"/>
  <c r="BA406" i="1"/>
  <c r="BA407" i="1"/>
  <c r="BA408" i="1"/>
  <c r="BA409" i="1"/>
  <c r="BA410" i="1"/>
  <c r="BA411" i="1"/>
  <c r="BA412" i="1"/>
  <c r="BA413" i="1"/>
  <c r="BA414" i="1"/>
  <c r="BA415" i="1"/>
  <c r="BA416" i="1"/>
  <c r="BA417" i="1"/>
  <c r="BA418" i="1"/>
  <c r="BA419" i="1"/>
  <c r="BA420" i="1"/>
  <c r="BA421" i="1"/>
  <c r="BA422" i="1"/>
  <c r="BA423" i="1"/>
  <c r="BA424" i="1"/>
  <c r="BA425" i="1"/>
  <c r="BA426" i="1"/>
  <c r="BA427" i="1"/>
  <c r="BA428" i="1"/>
  <c r="BA429" i="1"/>
  <c r="BA430" i="1"/>
  <c r="BA431" i="1"/>
  <c r="BA432" i="1"/>
  <c r="BA433" i="1"/>
  <c r="BA434" i="1"/>
  <c r="BA435" i="1"/>
  <c r="BA436" i="1"/>
  <c r="BA437" i="1"/>
  <c r="BA438" i="1"/>
  <c r="BA439" i="1"/>
  <c r="BA440" i="1"/>
  <c r="BA441" i="1"/>
  <c r="BA442" i="1"/>
  <c r="BA443" i="1"/>
  <c r="BA444" i="1"/>
  <c r="BA445" i="1"/>
  <c r="BA446" i="1"/>
  <c r="BA447" i="1"/>
  <c r="BA448" i="1"/>
  <c r="BA449" i="1"/>
  <c r="BA450" i="1"/>
  <c r="BA451" i="1"/>
  <c r="BA452" i="1"/>
  <c r="BA453" i="1"/>
  <c r="BA454" i="1"/>
  <c r="BA455" i="1"/>
  <c r="BA456" i="1"/>
  <c r="BA457" i="1"/>
  <c r="BA458" i="1"/>
  <c r="BA459" i="1"/>
  <c r="BA460" i="1"/>
  <c r="BA461" i="1"/>
  <c r="BA462" i="1"/>
  <c r="BA463" i="1"/>
  <c r="BA464" i="1"/>
  <c r="BA465" i="1"/>
  <c r="BA466" i="1"/>
  <c r="BA467" i="1"/>
  <c r="BA468" i="1"/>
  <c r="BA469" i="1"/>
  <c r="BA470" i="1"/>
  <c r="BA471" i="1"/>
  <c r="BA472" i="1"/>
  <c r="BA473" i="1"/>
  <c r="BA474" i="1"/>
  <c r="BA475" i="1"/>
  <c r="BA476" i="1"/>
  <c r="BA477" i="1"/>
  <c r="BA478" i="1"/>
  <c r="BA479" i="1"/>
  <c r="BA480" i="1"/>
  <c r="BA481" i="1"/>
  <c r="BA482" i="1"/>
  <c r="BA483" i="1"/>
  <c r="BA484" i="1"/>
  <c r="BA485" i="1"/>
  <c r="BA486" i="1"/>
  <c r="BA487" i="1"/>
  <c r="BA488" i="1"/>
  <c r="BA489" i="1"/>
  <c r="BA490" i="1"/>
  <c r="BA491" i="1"/>
  <c r="BA492" i="1"/>
  <c r="BA493" i="1"/>
  <c r="BA494" i="1"/>
  <c r="BA495" i="1"/>
  <c r="BA496" i="1"/>
  <c r="BA497" i="1"/>
  <c r="BA498" i="1"/>
  <c r="BA499" i="1"/>
  <c r="BA500" i="1"/>
  <c r="BA501" i="1"/>
  <c r="BA502" i="1"/>
  <c r="BA503" i="1"/>
  <c r="BA504" i="1"/>
  <c r="BA505" i="1"/>
  <c r="BA506" i="1"/>
  <c r="BA507" i="1"/>
  <c r="BA508" i="1"/>
  <c r="BA509" i="1"/>
  <c r="BA510" i="1"/>
  <c r="BA511" i="1"/>
  <c r="BA512" i="1"/>
  <c r="BA513" i="1"/>
  <c r="BA514" i="1"/>
  <c r="BA515" i="1"/>
  <c r="BA516" i="1"/>
  <c r="BA517" i="1"/>
  <c r="BA518" i="1"/>
  <c r="BA519" i="1"/>
  <c r="BA520" i="1"/>
  <c r="BA521" i="1"/>
  <c r="BA522" i="1"/>
  <c r="BA523" i="1"/>
  <c r="BA524" i="1"/>
  <c r="BA525" i="1"/>
  <c r="BA526" i="1"/>
  <c r="BA527" i="1"/>
  <c r="BA528" i="1"/>
  <c r="BA529" i="1"/>
  <c r="BA530" i="1"/>
  <c r="BA531" i="1"/>
  <c r="BA532" i="1"/>
  <c r="BA533" i="1"/>
  <c r="BA534" i="1"/>
  <c r="BA535" i="1"/>
  <c r="BA536" i="1"/>
  <c r="BA537" i="1"/>
  <c r="BA538" i="1"/>
  <c r="BA539" i="1"/>
  <c r="BA540" i="1"/>
  <c r="BA541" i="1"/>
  <c r="BA542" i="1"/>
  <c r="BA543" i="1"/>
  <c r="BA544" i="1"/>
  <c r="BA545" i="1"/>
  <c r="BA546" i="1"/>
  <c r="BA547" i="1"/>
  <c r="BA548" i="1"/>
  <c r="BA549" i="1"/>
  <c r="BA550" i="1"/>
  <c r="BA551" i="1"/>
  <c r="BA552" i="1"/>
  <c r="BA553" i="1"/>
  <c r="BA554" i="1"/>
  <c r="BA555" i="1"/>
  <c r="BA556" i="1"/>
  <c r="BA557" i="1"/>
  <c r="BA558" i="1"/>
  <c r="BA559" i="1"/>
  <c r="BA560" i="1"/>
  <c r="BA561" i="1"/>
  <c r="BA562" i="1"/>
  <c r="BA563" i="1"/>
  <c r="BA564" i="1"/>
  <c r="BA565" i="1"/>
  <c r="BA566" i="1"/>
  <c r="BA567" i="1"/>
  <c r="BA568" i="1"/>
  <c r="BA569" i="1"/>
  <c r="BA570" i="1"/>
  <c r="BA571" i="1"/>
  <c r="BA572" i="1"/>
  <c r="BA573" i="1"/>
  <c r="BA574" i="1"/>
  <c r="BA575" i="1"/>
  <c r="BA576" i="1"/>
  <c r="BA577" i="1"/>
  <c r="BA578" i="1"/>
  <c r="BA579" i="1"/>
  <c r="BA580" i="1"/>
  <c r="BA581" i="1"/>
  <c r="BA582" i="1"/>
  <c r="BA583" i="1"/>
  <c r="BA584" i="1"/>
  <c r="BA585" i="1"/>
  <c r="BA586" i="1"/>
  <c r="BA587" i="1"/>
  <c r="BA588" i="1"/>
  <c r="BA589" i="1"/>
  <c r="BA590" i="1"/>
  <c r="BA591" i="1"/>
  <c r="BA592" i="1"/>
  <c r="BA593" i="1"/>
  <c r="BA594" i="1"/>
  <c r="BA595" i="1"/>
  <c r="BA596" i="1"/>
  <c r="BA597" i="1"/>
  <c r="BA598" i="1"/>
  <c r="BA599" i="1"/>
  <c r="BA600" i="1"/>
  <c r="BA601" i="1"/>
  <c r="BA602" i="1"/>
  <c r="BA603" i="1"/>
  <c r="BA604" i="1"/>
  <c r="BA605" i="1"/>
  <c r="BA606" i="1"/>
  <c r="BA607" i="1"/>
  <c r="BA608" i="1"/>
  <c r="BA609" i="1"/>
  <c r="BA610" i="1"/>
  <c r="BA611" i="1"/>
  <c r="BA612" i="1"/>
  <c r="BA613" i="1"/>
  <c r="BA614" i="1"/>
  <c r="BA615" i="1"/>
  <c r="BA616" i="1"/>
  <c r="BA617" i="1"/>
  <c r="BA618" i="1"/>
  <c r="BA619" i="1"/>
  <c r="BA620" i="1"/>
  <c r="BA621" i="1"/>
  <c r="BA622" i="1"/>
  <c r="BA623" i="1"/>
  <c r="BA624" i="1"/>
  <c r="BA625" i="1"/>
  <c r="BA626" i="1"/>
  <c r="BA627" i="1"/>
  <c r="BA628" i="1"/>
  <c r="BA629" i="1"/>
  <c r="BA630" i="1"/>
  <c r="BA631" i="1"/>
  <c r="BA632" i="1"/>
  <c r="BA633" i="1"/>
  <c r="BA634" i="1"/>
  <c r="BA635" i="1"/>
  <c r="BA636" i="1"/>
  <c r="BA637" i="1"/>
  <c r="BA638" i="1"/>
  <c r="BA639" i="1"/>
  <c r="BA640" i="1"/>
  <c r="BA641" i="1"/>
  <c r="BA642" i="1"/>
  <c r="BA643" i="1"/>
  <c r="BA644" i="1"/>
  <c r="BA645" i="1"/>
  <c r="BA646" i="1"/>
  <c r="BA647" i="1"/>
  <c r="BA648" i="1"/>
  <c r="BA649" i="1"/>
  <c r="BA650" i="1"/>
  <c r="BA651" i="1"/>
  <c r="BA652" i="1"/>
  <c r="BA653" i="1"/>
  <c r="BA654" i="1"/>
  <c r="BA655" i="1"/>
  <c r="BA656" i="1"/>
  <c r="BA657" i="1"/>
  <c r="BA658" i="1"/>
  <c r="BA659" i="1"/>
  <c r="BA660" i="1"/>
  <c r="BA661" i="1"/>
  <c r="BA662" i="1"/>
  <c r="BA663" i="1"/>
  <c r="BA664" i="1"/>
  <c r="BA665" i="1"/>
  <c r="BA666" i="1"/>
  <c r="BA667" i="1"/>
  <c r="BA668" i="1"/>
  <c r="BA669" i="1"/>
  <c r="BA670" i="1"/>
  <c r="BA671" i="1"/>
  <c r="BA672" i="1"/>
  <c r="BA673" i="1"/>
  <c r="BA674" i="1"/>
  <c r="BA675" i="1"/>
  <c r="BA676" i="1"/>
  <c r="BA677" i="1"/>
  <c r="BA678" i="1"/>
  <c r="BA679" i="1"/>
  <c r="BA680" i="1"/>
  <c r="BA681" i="1"/>
  <c r="BA682" i="1"/>
  <c r="BA683" i="1"/>
  <c r="BA684" i="1"/>
  <c r="BA685" i="1"/>
  <c r="BA686" i="1"/>
  <c r="BA687" i="1"/>
  <c r="BA688" i="1"/>
  <c r="BA689" i="1"/>
  <c r="BA690" i="1"/>
  <c r="BA691" i="1"/>
  <c r="BA692" i="1"/>
  <c r="BA693" i="1"/>
  <c r="BA694" i="1"/>
  <c r="BA695" i="1"/>
  <c r="BA696" i="1"/>
  <c r="BA697" i="1"/>
  <c r="BA698" i="1"/>
  <c r="BA699" i="1"/>
  <c r="BA700" i="1"/>
  <c r="BA701" i="1"/>
  <c r="BA702" i="1"/>
  <c r="BA703" i="1"/>
  <c r="BA704" i="1"/>
  <c r="BA705" i="1"/>
  <c r="BA706" i="1"/>
  <c r="BA707" i="1"/>
  <c r="BA708" i="1"/>
  <c r="BA709" i="1"/>
  <c r="BA710" i="1"/>
  <c r="BA711" i="1"/>
  <c r="BA712" i="1"/>
  <c r="BA713" i="1"/>
  <c r="BA714" i="1"/>
  <c r="BA715" i="1"/>
  <c r="BA716" i="1"/>
  <c r="BA717" i="1"/>
  <c r="BA718" i="1"/>
  <c r="BA719" i="1"/>
  <c r="BA720" i="1"/>
  <c r="BA721" i="1"/>
  <c r="BA722" i="1"/>
  <c r="BA723" i="1"/>
  <c r="BA724" i="1"/>
  <c r="BA725" i="1"/>
  <c r="BA726" i="1"/>
  <c r="BA727" i="1"/>
  <c r="BA728" i="1"/>
  <c r="BA729" i="1"/>
  <c r="BA730" i="1"/>
  <c r="BA731" i="1"/>
  <c r="BA732" i="1"/>
  <c r="BA733" i="1"/>
  <c r="BA734" i="1"/>
  <c r="BA735" i="1"/>
  <c r="BA736" i="1"/>
  <c r="BA737" i="1"/>
  <c r="BA738" i="1"/>
  <c r="BA739" i="1"/>
  <c r="BA740" i="1"/>
  <c r="BA741" i="1"/>
  <c r="BA742" i="1"/>
  <c r="BA743" i="1"/>
  <c r="BA744" i="1"/>
  <c r="BA745" i="1"/>
  <c r="BA746" i="1"/>
  <c r="BA747" i="1"/>
  <c r="BA748" i="1"/>
  <c r="BA749" i="1"/>
  <c r="BA750" i="1"/>
  <c r="BA751" i="1"/>
  <c r="BA752" i="1"/>
  <c r="BA753" i="1"/>
  <c r="BA754" i="1"/>
  <c r="BA755" i="1"/>
  <c r="BA756" i="1"/>
  <c r="BA757" i="1"/>
  <c r="BA758" i="1"/>
  <c r="BA759" i="1"/>
  <c r="BA760" i="1"/>
  <c r="BA761" i="1"/>
  <c r="BA762" i="1"/>
  <c r="BA763" i="1"/>
  <c r="BA764" i="1"/>
  <c r="BA765" i="1"/>
  <c r="BA766" i="1"/>
  <c r="BA767" i="1"/>
  <c r="BA768" i="1"/>
  <c r="BA769" i="1"/>
  <c r="BA770" i="1"/>
  <c r="BA771" i="1"/>
  <c r="BA772" i="1"/>
  <c r="BA773" i="1"/>
  <c r="BA774" i="1"/>
  <c r="BA775" i="1"/>
  <c r="BA776" i="1"/>
  <c r="BA777" i="1"/>
  <c r="BA778" i="1"/>
  <c r="BA779" i="1"/>
  <c r="BA780" i="1"/>
  <c r="BA781" i="1"/>
  <c r="BA782" i="1"/>
  <c r="BA783" i="1"/>
  <c r="BA784" i="1"/>
  <c r="BA785" i="1"/>
  <c r="BA786" i="1"/>
  <c r="BA787" i="1"/>
  <c r="BA788" i="1"/>
  <c r="BA789" i="1"/>
  <c r="BA790" i="1"/>
  <c r="BA791" i="1"/>
  <c r="BA792" i="1"/>
  <c r="BA793" i="1"/>
  <c r="BA794" i="1"/>
  <c r="BA795" i="1"/>
  <c r="BA796" i="1"/>
  <c r="BA797" i="1"/>
  <c r="BA798" i="1"/>
  <c r="BA799" i="1"/>
  <c r="BA800" i="1"/>
  <c r="BA801" i="1"/>
  <c r="BA802" i="1"/>
  <c r="BA803" i="1"/>
  <c r="BA804" i="1"/>
  <c r="BA805" i="1"/>
  <c r="BA806" i="1"/>
  <c r="BA807" i="1"/>
  <c r="BA808" i="1"/>
  <c r="BA809" i="1"/>
  <c r="BA810" i="1"/>
  <c r="BA811" i="1"/>
  <c r="BA812" i="1"/>
  <c r="BA813" i="1"/>
  <c r="BA814" i="1"/>
  <c r="BA815" i="1"/>
  <c r="BA816" i="1"/>
  <c r="BA817" i="1"/>
  <c r="BA818" i="1"/>
  <c r="BA819" i="1"/>
  <c r="BA820" i="1"/>
  <c r="BA821" i="1"/>
  <c r="BA822" i="1"/>
  <c r="BA823" i="1"/>
  <c r="BA824" i="1"/>
  <c r="BA825" i="1"/>
  <c r="BA826" i="1"/>
  <c r="BA827" i="1"/>
  <c r="BA828" i="1"/>
  <c r="BA829" i="1"/>
  <c r="BA830" i="1"/>
  <c r="BA831" i="1"/>
  <c r="BA832" i="1"/>
  <c r="BA833" i="1"/>
  <c r="BA834" i="1"/>
  <c r="BA835" i="1"/>
  <c r="BA836" i="1"/>
  <c r="BA837" i="1"/>
  <c r="BA838" i="1"/>
  <c r="BA839" i="1"/>
  <c r="BA840" i="1"/>
  <c r="BA841" i="1"/>
  <c r="BA842" i="1"/>
  <c r="BA843" i="1"/>
  <c r="BA844" i="1"/>
  <c r="BA845" i="1"/>
  <c r="BA846" i="1"/>
  <c r="BA847" i="1"/>
  <c r="BA848" i="1"/>
  <c r="BA849" i="1"/>
  <c r="BA850" i="1"/>
  <c r="BA851" i="1"/>
  <c r="BA852" i="1"/>
  <c r="BA853" i="1"/>
  <c r="BA854" i="1"/>
  <c r="BA855" i="1"/>
  <c r="BA856" i="1"/>
  <c r="BA857" i="1"/>
  <c r="BA858" i="1"/>
  <c r="BA859" i="1"/>
  <c r="BA860" i="1"/>
  <c r="BA861" i="1"/>
  <c r="BA862" i="1"/>
  <c r="BA863" i="1"/>
  <c r="BA864" i="1"/>
  <c r="BA865" i="1"/>
  <c r="BA866" i="1"/>
  <c r="BA867" i="1"/>
  <c r="BA868" i="1"/>
  <c r="BA869" i="1"/>
  <c r="BA870" i="1"/>
  <c r="BA871" i="1"/>
  <c r="BA872" i="1"/>
  <c r="BA873" i="1"/>
  <c r="BA874" i="1"/>
  <c r="BA875" i="1"/>
  <c r="BA876" i="1"/>
  <c r="BA877" i="1"/>
  <c r="BA878" i="1"/>
  <c r="BA879" i="1"/>
  <c r="BA880" i="1"/>
  <c r="BA881" i="1"/>
  <c r="BA882" i="1"/>
  <c r="BA883" i="1"/>
  <c r="BA884" i="1"/>
  <c r="BA885" i="1"/>
  <c r="BA886" i="1"/>
  <c r="BA887" i="1"/>
  <c r="BA888" i="1"/>
  <c r="BA889" i="1"/>
  <c r="BA890" i="1"/>
  <c r="BA891" i="1"/>
  <c r="BA892" i="1"/>
  <c r="BA893" i="1"/>
  <c r="BA894" i="1"/>
  <c r="BA895" i="1"/>
  <c r="BA896" i="1"/>
  <c r="BA897" i="1"/>
  <c r="BA898" i="1"/>
  <c r="BA899" i="1"/>
  <c r="BA900" i="1"/>
  <c r="BA901" i="1"/>
  <c r="BA902" i="1"/>
  <c r="BA903" i="1"/>
  <c r="BA904" i="1"/>
  <c r="BA905" i="1"/>
  <c r="BA906" i="1"/>
  <c r="BA907" i="1"/>
  <c r="BA908" i="1"/>
  <c r="BA909" i="1"/>
  <c r="BA910" i="1"/>
  <c r="BA911" i="1"/>
  <c r="BA912" i="1"/>
  <c r="BA913" i="1"/>
  <c r="BA914" i="1"/>
  <c r="BA915" i="1"/>
  <c r="BA916" i="1"/>
  <c r="BA917" i="1"/>
  <c r="BA918" i="1"/>
  <c r="BA919" i="1"/>
  <c r="BA920" i="1"/>
  <c r="BA921" i="1"/>
  <c r="BA922" i="1"/>
  <c r="BA923" i="1"/>
  <c r="BA924" i="1"/>
  <c r="BA925" i="1"/>
  <c r="BA926" i="1"/>
  <c r="BA927" i="1"/>
  <c r="BA928" i="1"/>
  <c r="BA929" i="1"/>
  <c r="BA930" i="1"/>
  <c r="BA931" i="1"/>
  <c r="BA932" i="1"/>
  <c r="BA933" i="1"/>
  <c r="BA934" i="1"/>
  <c r="BA935" i="1"/>
  <c r="BA936" i="1"/>
  <c r="BA937" i="1"/>
  <c r="BA938" i="1"/>
  <c r="BA939" i="1"/>
  <c r="BA940" i="1"/>
  <c r="BA941" i="1"/>
  <c r="BA942" i="1"/>
  <c r="BA943" i="1"/>
  <c r="BA944" i="1"/>
  <c r="BA945" i="1"/>
  <c r="BA946" i="1"/>
  <c r="BA947" i="1"/>
  <c r="BA948" i="1"/>
  <c r="BA949" i="1"/>
  <c r="BA950" i="1"/>
  <c r="BA951" i="1"/>
  <c r="BA952" i="1"/>
  <c r="BA953" i="1"/>
  <c r="BA954" i="1"/>
  <c r="BA955" i="1"/>
  <c r="BA956" i="1"/>
  <c r="BA957" i="1"/>
  <c r="BA958" i="1"/>
  <c r="BA959" i="1"/>
  <c r="BA960" i="1"/>
  <c r="BA961" i="1"/>
  <c r="BA962" i="1"/>
  <c r="BA963" i="1"/>
  <c r="BA964" i="1"/>
  <c r="BA965" i="1"/>
  <c r="BA966" i="1"/>
  <c r="BA967" i="1"/>
  <c r="BA968" i="1"/>
  <c r="BA969" i="1"/>
  <c r="BA970" i="1"/>
  <c r="BA971" i="1"/>
  <c r="BA972" i="1"/>
  <c r="BA973" i="1"/>
  <c r="BA974" i="1"/>
  <c r="BA975" i="1"/>
  <c r="BA976" i="1"/>
  <c r="BA977" i="1"/>
  <c r="BA978" i="1"/>
  <c r="BA979" i="1"/>
  <c r="BA980" i="1"/>
  <c r="BA981" i="1"/>
  <c r="BA982" i="1"/>
  <c r="BA983" i="1"/>
  <c r="BA984" i="1"/>
  <c r="BA985" i="1"/>
  <c r="BA986" i="1"/>
  <c r="BA987" i="1"/>
  <c r="BA988" i="1"/>
  <c r="BA989" i="1"/>
  <c r="BA990" i="1"/>
  <c r="BA991" i="1"/>
  <c r="BA992" i="1"/>
  <c r="BA993" i="1"/>
  <c r="BA994" i="1"/>
  <c r="BA995" i="1"/>
  <c r="BA996" i="1"/>
  <c r="BA997" i="1"/>
  <c r="BA998" i="1"/>
  <c r="BA999" i="1"/>
  <c r="BA1000" i="1"/>
  <c r="BA1001" i="1"/>
  <c r="BA1002" i="1"/>
  <c r="BA1003" i="1"/>
  <c r="BA1004" i="1"/>
  <c r="BA1005" i="1"/>
  <c r="BA1006" i="1"/>
  <c r="BA1007" i="1"/>
  <c r="BA1008" i="1"/>
  <c r="BA1009" i="1"/>
  <c r="BA1010" i="1"/>
  <c r="BA1011" i="1"/>
  <c r="BA1012" i="1"/>
  <c r="BA1013" i="1"/>
  <c r="BA1014" i="1"/>
  <c r="BA1015" i="1"/>
  <c r="BA1016" i="1"/>
  <c r="BA1017" i="1"/>
  <c r="BA1018" i="1"/>
  <c r="BA1019" i="1"/>
  <c r="BA1020" i="1"/>
  <c r="BA1021" i="1"/>
  <c r="BA1022" i="1"/>
  <c r="BA1023" i="1"/>
  <c r="BA1024" i="1"/>
  <c r="BA1025" i="1"/>
  <c r="BA1026" i="1"/>
  <c r="BA1027" i="1"/>
  <c r="BA1028" i="1"/>
  <c r="BA1029" i="1"/>
  <c r="BA1030" i="1"/>
  <c r="BA1031" i="1"/>
  <c r="BA1032" i="1"/>
  <c r="BA1033" i="1"/>
  <c r="BA1034" i="1"/>
  <c r="BA1035" i="1"/>
  <c r="BA1036" i="1"/>
  <c r="BA1037" i="1"/>
  <c r="BA1038" i="1"/>
  <c r="BA1039" i="1"/>
  <c r="BA1040" i="1"/>
  <c r="BA1041" i="1"/>
  <c r="BA1042" i="1"/>
  <c r="BA1043" i="1"/>
  <c r="BA1044" i="1"/>
  <c r="BA1045" i="1"/>
  <c r="BA1046" i="1"/>
  <c r="BA1047" i="1"/>
  <c r="BA1048" i="1"/>
  <c r="BA1049" i="1"/>
  <c r="BA1050" i="1"/>
  <c r="BA1051" i="1"/>
  <c r="BA1052" i="1"/>
  <c r="BA1053" i="1"/>
  <c r="BA1054" i="1"/>
  <c r="BA1055" i="1"/>
  <c r="BA1056" i="1"/>
  <c r="BA1057" i="1"/>
  <c r="BA1058" i="1"/>
  <c r="BA1059" i="1"/>
  <c r="BA1060" i="1"/>
  <c r="BA1061" i="1"/>
  <c r="BA1062" i="1"/>
  <c r="BA1063" i="1"/>
  <c r="BA1064" i="1"/>
  <c r="BA1065" i="1"/>
  <c r="BA1066" i="1"/>
  <c r="BA1067" i="1"/>
  <c r="BA1068" i="1"/>
  <c r="BA1069" i="1"/>
  <c r="BA1070" i="1"/>
  <c r="BA1071" i="1"/>
  <c r="BA1072" i="1"/>
  <c r="BA1073" i="1"/>
  <c r="BA1074" i="1"/>
  <c r="BA1075" i="1"/>
  <c r="BA1076" i="1"/>
  <c r="BA1077" i="1"/>
  <c r="BA1078" i="1"/>
  <c r="BA1079" i="1"/>
  <c r="BA1080" i="1"/>
  <c r="BA1081" i="1"/>
  <c r="BA1082" i="1"/>
  <c r="BA1083" i="1"/>
  <c r="BA1084" i="1"/>
  <c r="BA1085" i="1"/>
  <c r="BA1086" i="1"/>
  <c r="BA1087" i="1"/>
  <c r="BA1088" i="1"/>
  <c r="BA1089" i="1"/>
  <c r="BA1090" i="1"/>
  <c r="BA1091" i="1"/>
  <c r="BA1092" i="1"/>
  <c r="BA1093" i="1"/>
  <c r="BA1094" i="1"/>
  <c r="BA1095" i="1"/>
  <c r="BA1096" i="1"/>
  <c r="BA1097" i="1"/>
  <c r="BA1098" i="1"/>
  <c r="BA1099" i="1"/>
  <c r="BA1100" i="1"/>
  <c r="BA1101" i="1"/>
  <c r="BA2" i="1"/>
  <c r="AZ3" i="1"/>
  <c r="AZ4" i="1"/>
  <c r="AZ5" i="1"/>
  <c r="AZ6" i="1"/>
  <c r="AZ7" i="1"/>
  <c r="AZ8" i="1"/>
  <c r="AZ9"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45" i="1"/>
  <c r="AZ46" i="1"/>
  <c r="AZ47" i="1"/>
  <c r="AZ48" i="1"/>
  <c r="AZ49" i="1"/>
  <c r="AZ50" i="1"/>
  <c r="AZ51" i="1"/>
  <c r="AZ52" i="1"/>
  <c r="AZ53" i="1"/>
  <c r="AZ54" i="1"/>
  <c r="AZ55" i="1"/>
  <c r="AZ56" i="1"/>
  <c r="AZ57" i="1"/>
  <c r="AZ58" i="1"/>
  <c r="AZ59" i="1"/>
  <c r="AZ60" i="1"/>
  <c r="AZ61" i="1"/>
  <c r="AZ62" i="1"/>
  <c r="AZ63" i="1"/>
  <c r="AZ64" i="1"/>
  <c r="AZ65" i="1"/>
  <c r="AZ66" i="1"/>
  <c r="AZ67" i="1"/>
  <c r="AZ68" i="1"/>
  <c r="AZ69" i="1"/>
  <c r="AZ70" i="1"/>
  <c r="AZ71" i="1"/>
  <c r="AZ72" i="1"/>
  <c r="AZ73" i="1"/>
  <c r="AZ74" i="1"/>
  <c r="AZ75" i="1"/>
  <c r="AZ76" i="1"/>
  <c r="AZ77" i="1"/>
  <c r="AZ78" i="1"/>
  <c r="AZ79" i="1"/>
  <c r="AZ80" i="1"/>
  <c r="AZ81" i="1"/>
  <c r="AZ82" i="1"/>
  <c r="AZ83" i="1"/>
  <c r="AZ84" i="1"/>
  <c r="AZ85" i="1"/>
  <c r="AZ86" i="1"/>
  <c r="AZ87" i="1"/>
  <c r="AZ88" i="1"/>
  <c r="AZ89" i="1"/>
  <c r="AZ90" i="1"/>
  <c r="AZ91" i="1"/>
  <c r="AZ92" i="1"/>
  <c r="AZ93" i="1"/>
  <c r="AZ94" i="1"/>
  <c r="AZ95" i="1"/>
  <c r="AZ96" i="1"/>
  <c r="AZ97" i="1"/>
  <c r="AZ98" i="1"/>
  <c r="AZ99" i="1"/>
  <c r="AZ100" i="1"/>
  <c r="AZ101" i="1"/>
  <c r="AZ102" i="1"/>
  <c r="AZ103" i="1"/>
  <c r="AZ104" i="1"/>
  <c r="AZ105" i="1"/>
  <c r="AZ106" i="1"/>
  <c r="AZ107" i="1"/>
  <c r="AZ108" i="1"/>
  <c r="AZ109" i="1"/>
  <c r="AZ110" i="1"/>
  <c r="AZ111" i="1"/>
  <c r="AZ112" i="1"/>
  <c r="AZ113" i="1"/>
  <c r="AZ114" i="1"/>
  <c r="AZ115" i="1"/>
  <c r="AZ116" i="1"/>
  <c r="AZ117" i="1"/>
  <c r="AZ118" i="1"/>
  <c r="AZ119" i="1"/>
  <c r="AZ120" i="1"/>
  <c r="AZ121" i="1"/>
  <c r="AZ122" i="1"/>
  <c r="AZ123" i="1"/>
  <c r="AZ124" i="1"/>
  <c r="AZ125" i="1"/>
  <c r="AZ126" i="1"/>
  <c r="AZ127" i="1"/>
  <c r="AZ128" i="1"/>
  <c r="AZ129" i="1"/>
  <c r="AZ130" i="1"/>
  <c r="AZ131" i="1"/>
  <c r="AZ132" i="1"/>
  <c r="AZ133" i="1"/>
  <c r="AZ134" i="1"/>
  <c r="AZ135" i="1"/>
  <c r="AZ136" i="1"/>
  <c r="AZ137" i="1"/>
  <c r="AZ138" i="1"/>
  <c r="AZ139" i="1"/>
  <c r="AZ140" i="1"/>
  <c r="AZ141" i="1"/>
  <c r="AZ142" i="1"/>
  <c r="AZ143" i="1"/>
  <c r="AZ144" i="1"/>
  <c r="AZ145" i="1"/>
  <c r="AZ146" i="1"/>
  <c r="AZ147" i="1"/>
  <c r="AZ148" i="1"/>
  <c r="AZ149" i="1"/>
  <c r="AZ150" i="1"/>
  <c r="AZ151" i="1"/>
  <c r="AZ152" i="1"/>
  <c r="AZ153" i="1"/>
  <c r="AZ154" i="1"/>
  <c r="AZ155" i="1"/>
  <c r="AZ156" i="1"/>
  <c r="AZ157" i="1"/>
  <c r="AZ158" i="1"/>
  <c r="AZ159" i="1"/>
  <c r="AZ160" i="1"/>
  <c r="AZ161" i="1"/>
  <c r="AZ162" i="1"/>
  <c r="AZ163" i="1"/>
  <c r="AZ164" i="1"/>
  <c r="AZ165" i="1"/>
  <c r="AZ166" i="1"/>
  <c r="AZ167" i="1"/>
  <c r="AZ168" i="1"/>
  <c r="AZ169" i="1"/>
  <c r="AZ170" i="1"/>
  <c r="AZ171" i="1"/>
  <c r="AZ172" i="1"/>
  <c r="AZ173" i="1"/>
  <c r="AZ174" i="1"/>
  <c r="AZ175" i="1"/>
  <c r="AZ176" i="1"/>
  <c r="AZ177" i="1"/>
  <c r="AZ178" i="1"/>
  <c r="AZ179" i="1"/>
  <c r="AZ180" i="1"/>
  <c r="AZ181" i="1"/>
  <c r="AZ182" i="1"/>
  <c r="AZ183" i="1"/>
  <c r="AZ184" i="1"/>
  <c r="AZ185" i="1"/>
  <c r="AZ186" i="1"/>
  <c r="AZ187" i="1"/>
  <c r="AZ188" i="1"/>
  <c r="AZ189" i="1"/>
  <c r="AZ190" i="1"/>
  <c r="AZ191" i="1"/>
  <c r="AZ192" i="1"/>
  <c r="AZ193" i="1"/>
  <c r="AZ194" i="1"/>
  <c r="AZ195" i="1"/>
  <c r="AZ196" i="1"/>
  <c r="AZ197" i="1"/>
  <c r="AZ198" i="1"/>
  <c r="AZ199" i="1"/>
  <c r="AZ200" i="1"/>
  <c r="AZ201" i="1"/>
  <c r="AZ202" i="1"/>
  <c r="AZ203" i="1"/>
  <c r="AZ204" i="1"/>
  <c r="AZ205" i="1"/>
  <c r="AZ206" i="1"/>
  <c r="AZ207" i="1"/>
  <c r="AZ208" i="1"/>
  <c r="AZ209" i="1"/>
  <c r="AZ210" i="1"/>
  <c r="AZ211" i="1"/>
  <c r="AZ212" i="1"/>
  <c r="AZ213" i="1"/>
  <c r="AZ214" i="1"/>
  <c r="AZ215" i="1"/>
  <c r="AZ216" i="1"/>
  <c r="AZ217" i="1"/>
  <c r="AZ218" i="1"/>
  <c r="AZ219" i="1"/>
  <c r="AZ220" i="1"/>
  <c r="AZ221" i="1"/>
  <c r="AZ222" i="1"/>
  <c r="AZ223" i="1"/>
  <c r="AZ224" i="1"/>
  <c r="AZ225" i="1"/>
  <c r="AZ226" i="1"/>
  <c r="AZ227" i="1"/>
  <c r="AZ228" i="1"/>
  <c r="AZ229" i="1"/>
  <c r="AZ230" i="1"/>
  <c r="AZ231" i="1"/>
  <c r="AZ232" i="1"/>
  <c r="AZ233" i="1"/>
  <c r="AZ234" i="1"/>
  <c r="AZ235" i="1"/>
  <c r="AZ236" i="1"/>
  <c r="AZ237" i="1"/>
  <c r="AZ238" i="1"/>
  <c r="AZ239" i="1"/>
  <c r="AZ240" i="1"/>
  <c r="AZ241" i="1"/>
  <c r="AZ242" i="1"/>
  <c r="AZ243" i="1"/>
  <c r="AZ244" i="1"/>
  <c r="AZ245" i="1"/>
  <c r="AZ246" i="1"/>
  <c r="AZ247" i="1"/>
  <c r="AZ248" i="1"/>
  <c r="AZ249" i="1"/>
  <c r="AZ250" i="1"/>
  <c r="AZ251" i="1"/>
  <c r="AZ252" i="1"/>
  <c r="AZ253" i="1"/>
  <c r="AZ254" i="1"/>
  <c r="AZ255" i="1"/>
  <c r="AZ256" i="1"/>
  <c r="AZ257" i="1"/>
  <c r="AZ258" i="1"/>
  <c r="AZ259" i="1"/>
  <c r="AZ260" i="1"/>
  <c r="AZ261" i="1"/>
  <c r="AZ262" i="1"/>
  <c r="AZ263" i="1"/>
  <c r="AZ264" i="1"/>
  <c r="AZ265" i="1"/>
  <c r="AZ266" i="1"/>
  <c r="AZ267" i="1"/>
  <c r="AZ268" i="1"/>
  <c r="AZ269" i="1"/>
  <c r="AZ270" i="1"/>
  <c r="AZ271" i="1"/>
  <c r="AZ272" i="1"/>
  <c r="AZ273" i="1"/>
  <c r="AZ274" i="1"/>
  <c r="AZ275" i="1"/>
  <c r="AZ276" i="1"/>
  <c r="AZ277" i="1"/>
  <c r="AZ278" i="1"/>
  <c r="AZ279" i="1"/>
  <c r="AZ280" i="1"/>
  <c r="AZ281" i="1"/>
  <c r="AZ282" i="1"/>
  <c r="AZ283" i="1"/>
  <c r="AZ284" i="1"/>
  <c r="AZ285" i="1"/>
  <c r="AZ286" i="1"/>
  <c r="AZ287" i="1"/>
  <c r="AZ288" i="1"/>
  <c r="AZ289" i="1"/>
  <c r="AZ290" i="1"/>
  <c r="AZ291" i="1"/>
  <c r="AZ292" i="1"/>
  <c r="AZ293" i="1"/>
  <c r="AZ294" i="1"/>
  <c r="AZ295" i="1"/>
  <c r="AZ296" i="1"/>
  <c r="AZ297" i="1"/>
  <c r="AZ298" i="1"/>
  <c r="AZ299" i="1"/>
  <c r="AZ300" i="1"/>
  <c r="AZ301" i="1"/>
  <c r="AZ302" i="1"/>
  <c r="AZ303" i="1"/>
  <c r="AZ304" i="1"/>
  <c r="AZ305" i="1"/>
  <c r="AZ306" i="1"/>
  <c r="AZ307" i="1"/>
  <c r="AZ308" i="1"/>
  <c r="AZ309" i="1"/>
  <c r="AZ310" i="1"/>
  <c r="AZ311" i="1"/>
  <c r="AZ312" i="1"/>
  <c r="AZ313" i="1"/>
  <c r="AZ314" i="1"/>
  <c r="AZ315" i="1"/>
  <c r="AZ316" i="1"/>
  <c r="AZ317" i="1"/>
  <c r="AZ318" i="1"/>
  <c r="AZ319" i="1"/>
  <c r="AZ320" i="1"/>
  <c r="AZ321" i="1"/>
  <c r="AZ322" i="1"/>
  <c r="AZ323" i="1"/>
  <c r="AZ324" i="1"/>
  <c r="AZ325" i="1"/>
  <c r="AZ326" i="1"/>
  <c r="AZ327" i="1"/>
  <c r="AZ328" i="1"/>
  <c r="AZ329" i="1"/>
  <c r="AZ330" i="1"/>
  <c r="AZ331" i="1"/>
  <c r="AZ332" i="1"/>
  <c r="AZ333" i="1"/>
  <c r="AZ334" i="1"/>
  <c r="AZ335" i="1"/>
  <c r="AZ336" i="1"/>
  <c r="AZ337" i="1"/>
  <c r="AZ338" i="1"/>
  <c r="AZ339" i="1"/>
  <c r="AZ340" i="1"/>
  <c r="AZ341" i="1"/>
  <c r="AZ342" i="1"/>
  <c r="AZ343" i="1"/>
  <c r="AZ344" i="1"/>
  <c r="AZ345" i="1"/>
  <c r="AZ346" i="1"/>
  <c r="AZ347" i="1"/>
  <c r="AZ348" i="1"/>
  <c r="AZ349" i="1"/>
  <c r="AZ350" i="1"/>
  <c r="AZ351" i="1"/>
  <c r="AZ352" i="1"/>
  <c r="AZ353" i="1"/>
  <c r="AZ354" i="1"/>
  <c r="AZ355" i="1"/>
  <c r="AZ356" i="1"/>
  <c r="AZ357" i="1"/>
  <c r="AZ358" i="1"/>
  <c r="AZ359" i="1"/>
  <c r="AZ360" i="1"/>
  <c r="AZ361" i="1"/>
  <c r="AZ362" i="1"/>
  <c r="AZ363" i="1"/>
  <c r="AZ364" i="1"/>
  <c r="AZ365" i="1"/>
  <c r="AZ366" i="1"/>
  <c r="AZ367" i="1"/>
  <c r="AZ368" i="1"/>
  <c r="AZ369" i="1"/>
  <c r="AZ370" i="1"/>
  <c r="AZ371" i="1"/>
  <c r="AZ372" i="1"/>
  <c r="AZ373" i="1"/>
  <c r="AZ374" i="1"/>
  <c r="AZ375" i="1"/>
  <c r="AZ376" i="1"/>
  <c r="AZ377" i="1"/>
  <c r="AZ378" i="1"/>
  <c r="AZ379" i="1"/>
  <c r="AZ380" i="1"/>
  <c r="AZ381" i="1"/>
  <c r="AZ382" i="1"/>
  <c r="AZ383" i="1"/>
  <c r="AZ384" i="1"/>
  <c r="AZ385" i="1"/>
  <c r="AZ386" i="1"/>
  <c r="AZ387" i="1"/>
  <c r="AZ388" i="1"/>
  <c r="AZ389" i="1"/>
  <c r="AZ390" i="1"/>
  <c r="AZ391" i="1"/>
  <c r="AZ392" i="1"/>
  <c r="AZ393" i="1"/>
  <c r="AZ394" i="1"/>
  <c r="AZ395" i="1"/>
  <c r="AZ396" i="1"/>
  <c r="AZ397" i="1"/>
  <c r="AZ398" i="1"/>
  <c r="AZ399" i="1"/>
  <c r="AZ400" i="1"/>
  <c r="AZ401" i="1"/>
  <c r="AZ402" i="1"/>
  <c r="AZ403" i="1"/>
  <c r="AZ404" i="1"/>
  <c r="AZ405" i="1"/>
  <c r="AZ406" i="1"/>
  <c r="AZ407" i="1"/>
  <c r="AZ408" i="1"/>
  <c r="AZ409" i="1"/>
  <c r="AZ410" i="1"/>
  <c r="AZ411" i="1"/>
  <c r="AZ412" i="1"/>
  <c r="AZ413" i="1"/>
  <c r="AZ414" i="1"/>
  <c r="AZ415" i="1"/>
  <c r="AZ416" i="1"/>
  <c r="AZ417" i="1"/>
  <c r="AZ418" i="1"/>
  <c r="AZ419" i="1"/>
  <c r="AZ420" i="1"/>
  <c r="AZ421" i="1"/>
  <c r="AZ422" i="1"/>
  <c r="AZ423" i="1"/>
  <c r="AZ424" i="1"/>
  <c r="AZ425" i="1"/>
  <c r="AZ426" i="1"/>
  <c r="AZ427" i="1"/>
  <c r="AZ428" i="1"/>
  <c r="AZ429" i="1"/>
  <c r="AZ430" i="1"/>
  <c r="AZ431" i="1"/>
  <c r="AZ432" i="1"/>
  <c r="AZ433" i="1"/>
  <c r="AZ434" i="1"/>
  <c r="AZ435" i="1"/>
  <c r="AZ436" i="1"/>
  <c r="AZ437" i="1"/>
  <c r="AZ438" i="1"/>
  <c r="AZ439" i="1"/>
  <c r="AZ440" i="1"/>
  <c r="AZ441" i="1"/>
  <c r="AZ442" i="1"/>
  <c r="AZ443" i="1"/>
  <c r="AZ444" i="1"/>
  <c r="AZ445" i="1"/>
  <c r="AZ446" i="1"/>
  <c r="AZ447" i="1"/>
  <c r="AZ448" i="1"/>
  <c r="AZ449" i="1"/>
  <c r="AZ450" i="1"/>
  <c r="AZ451" i="1"/>
  <c r="AZ452" i="1"/>
  <c r="AZ453" i="1"/>
  <c r="AZ454" i="1"/>
  <c r="AZ455" i="1"/>
  <c r="AZ456" i="1"/>
  <c r="AZ457" i="1"/>
  <c r="AZ458" i="1"/>
  <c r="AZ459" i="1"/>
  <c r="AZ460" i="1"/>
  <c r="AZ461" i="1"/>
  <c r="AZ462" i="1"/>
  <c r="AZ463" i="1"/>
  <c r="AZ464" i="1"/>
  <c r="AZ465" i="1"/>
  <c r="AZ466" i="1"/>
  <c r="AZ467" i="1"/>
  <c r="AZ468" i="1"/>
  <c r="AZ469" i="1"/>
  <c r="AZ470" i="1"/>
  <c r="AZ471" i="1"/>
  <c r="AZ472" i="1"/>
  <c r="AZ473" i="1"/>
  <c r="AZ474" i="1"/>
  <c r="AZ475" i="1"/>
  <c r="AZ476" i="1"/>
  <c r="AZ477" i="1"/>
  <c r="AZ478" i="1"/>
  <c r="AZ479" i="1"/>
  <c r="AZ480" i="1"/>
  <c r="AZ481" i="1"/>
  <c r="AZ482" i="1"/>
  <c r="AZ483" i="1"/>
  <c r="AZ484" i="1"/>
  <c r="AZ485" i="1"/>
  <c r="AZ486" i="1"/>
  <c r="AZ487" i="1"/>
  <c r="AZ488" i="1"/>
  <c r="AZ489" i="1"/>
  <c r="AZ490" i="1"/>
  <c r="AZ491" i="1"/>
  <c r="AZ492" i="1"/>
  <c r="AZ493" i="1"/>
  <c r="AZ494" i="1"/>
  <c r="AZ495" i="1"/>
  <c r="AZ496" i="1"/>
  <c r="AZ497" i="1"/>
  <c r="AZ498" i="1"/>
  <c r="AZ499" i="1"/>
  <c r="AZ500" i="1"/>
  <c r="AZ501" i="1"/>
  <c r="AZ502" i="1"/>
  <c r="AZ503" i="1"/>
  <c r="AZ504" i="1"/>
  <c r="AZ505" i="1"/>
  <c r="AZ506" i="1"/>
  <c r="AZ507" i="1"/>
  <c r="AZ508" i="1"/>
  <c r="AZ509" i="1"/>
  <c r="AZ510" i="1"/>
  <c r="AZ511" i="1"/>
  <c r="AZ512" i="1"/>
  <c r="AZ513" i="1"/>
  <c r="AZ514" i="1"/>
  <c r="AZ515" i="1"/>
  <c r="AZ516" i="1"/>
  <c r="AZ517" i="1"/>
  <c r="AZ518" i="1"/>
  <c r="AZ519" i="1"/>
  <c r="AZ520" i="1"/>
  <c r="AZ521" i="1"/>
  <c r="AZ522" i="1"/>
  <c r="AZ523" i="1"/>
  <c r="AZ524" i="1"/>
  <c r="AZ525" i="1"/>
  <c r="AZ526" i="1"/>
  <c r="AZ527" i="1"/>
  <c r="AZ528" i="1"/>
  <c r="AZ529" i="1"/>
  <c r="AZ530" i="1"/>
  <c r="AZ531" i="1"/>
  <c r="AZ532" i="1"/>
  <c r="AZ533" i="1"/>
  <c r="AZ534" i="1"/>
  <c r="AZ535" i="1"/>
  <c r="AZ536" i="1"/>
  <c r="AZ537" i="1"/>
  <c r="AZ538" i="1"/>
  <c r="AZ539" i="1"/>
  <c r="AZ540" i="1"/>
  <c r="AZ541" i="1"/>
  <c r="AZ542" i="1"/>
  <c r="AZ543" i="1"/>
  <c r="AZ544" i="1"/>
  <c r="AZ545" i="1"/>
  <c r="AZ546" i="1"/>
  <c r="AZ547" i="1"/>
  <c r="AZ548" i="1"/>
  <c r="AZ549" i="1"/>
  <c r="AZ550" i="1"/>
  <c r="AZ551" i="1"/>
  <c r="AZ552" i="1"/>
  <c r="AZ553" i="1"/>
  <c r="AZ554" i="1"/>
  <c r="AZ555" i="1"/>
  <c r="AZ556" i="1"/>
  <c r="AZ557" i="1"/>
  <c r="AZ558" i="1"/>
  <c r="AZ559" i="1"/>
  <c r="AZ560" i="1"/>
  <c r="AZ561" i="1"/>
  <c r="AZ562" i="1"/>
  <c r="AZ563" i="1"/>
  <c r="AZ564" i="1"/>
  <c r="AZ565" i="1"/>
  <c r="AZ566" i="1"/>
  <c r="AZ567" i="1"/>
  <c r="AZ568" i="1"/>
  <c r="AZ569" i="1"/>
  <c r="AZ570" i="1"/>
  <c r="AZ571" i="1"/>
  <c r="AZ572" i="1"/>
  <c r="AZ573" i="1"/>
  <c r="AZ574" i="1"/>
  <c r="AZ575" i="1"/>
  <c r="AZ576" i="1"/>
  <c r="AZ577" i="1"/>
  <c r="AZ578" i="1"/>
  <c r="AZ579" i="1"/>
  <c r="AZ580" i="1"/>
  <c r="AZ581" i="1"/>
  <c r="AZ582" i="1"/>
  <c r="AZ583" i="1"/>
  <c r="AZ584" i="1"/>
  <c r="AZ585" i="1"/>
  <c r="AZ586" i="1"/>
  <c r="AZ587" i="1"/>
  <c r="AZ588" i="1"/>
  <c r="AZ589" i="1"/>
  <c r="AZ590" i="1"/>
  <c r="AZ591" i="1"/>
  <c r="AZ592" i="1"/>
  <c r="AZ593" i="1"/>
  <c r="AZ594" i="1"/>
  <c r="AZ595" i="1"/>
  <c r="AZ596" i="1"/>
  <c r="AZ597" i="1"/>
  <c r="AZ598" i="1"/>
  <c r="AZ599" i="1"/>
  <c r="AZ600" i="1"/>
  <c r="AZ601" i="1"/>
  <c r="AZ602" i="1"/>
  <c r="AZ603" i="1"/>
  <c r="AZ604" i="1"/>
  <c r="AZ605" i="1"/>
  <c r="AZ606" i="1"/>
  <c r="AZ607" i="1"/>
  <c r="AZ608" i="1"/>
  <c r="AZ609" i="1"/>
  <c r="AZ610" i="1"/>
  <c r="AZ611" i="1"/>
  <c r="AZ612" i="1"/>
  <c r="AZ613" i="1"/>
  <c r="AZ614" i="1"/>
  <c r="AZ615" i="1"/>
  <c r="AZ616" i="1"/>
  <c r="AZ617" i="1"/>
  <c r="AZ618" i="1"/>
  <c r="AZ619" i="1"/>
  <c r="AZ620" i="1"/>
  <c r="AZ621" i="1"/>
  <c r="AZ622" i="1"/>
  <c r="AZ623" i="1"/>
  <c r="AZ624" i="1"/>
  <c r="AZ625" i="1"/>
  <c r="AZ626" i="1"/>
  <c r="AZ627" i="1"/>
  <c r="AZ628" i="1"/>
  <c r="AZ629" i="1"/>
  <c r="AZ630" i="1"/>
  <c r="AZ631" i="1"/>
  <c r="AZ632" i="1"/>
  <c r="AZ633" i="1"/>
  <c r="AZ634" i="1"/>
  <c r="AZ635" i="1"/>
  <c r="AZ636" i="1"/>
  <c r="AZ637" i="1"/>
  <c r="AZ638" i="1"/>
  <c r="AZ639" i="1"/>
  <c r="AZ640" i="1"/>
  <c r="AZ641" i="1"/>
  <c r="AZ642" i="1"/>
  <c r="AZ643" i="1"/>
  <c r="AZ644" i="1"/>
  <c r="AZ645" i="1"/>
  <c r="AZ646" i="1"/>
  <c r="AZ647" i="1"/>
  <c r="AZ648" i="1"/>
  <c r="AZ649" i="1"/>
  <c r="AZ650" i="1"/>
  <c r="AZ651" i="1"/>
  <c r="AZ652" i="1"/>
  <c r="AZ653" i="1"/>
  <c r="AZ654" i="1"/>
  <c r="AZ655" i="1"/>
  <c r="AZ656" i="1"/>
  <c r="AZ657" i="1"/>
  <c r="AZ658" i="1"/>
  <c r="AZ659" i="1"/>
  <c r="AZ660" i="1"/>
  <c r="AZ661" i="1"/>
  <c r="AZ662" i="1"/>
  <c r="AZ663" i="1"/>
  <c r="AZ664" i="1"/>
  <c r="AZ665" i="1"/>
  <c r="AZ666" i="1"/>
  <c r="AZ667" i="1"/>
  <c r="AZ668" i="1"/>
  <c r="AZ669" i="1"/>
  <c r="AZ670" i="1"/>
  <c r="AZ671" i="1"/>
  <c r="AZ672" i="1"/>
  <c r="AZ673" i="1"/>
  <c r="AZ674" i="1"/>
  <c r="AZ675" i="1"/>
  <c r="AZ676" i="1"/>
  <c r="AZ677" i="1"/>
  <c r="AZ678" i="1"/>
  <c r="AZ679" i="1"/>
  <c r="AZ680" i="1"/>
  <c r="AZ681" i="1"/>
  <c r="AZ682" i="1"/>
  <c r="AZ683" i="1"/>
  <c r="AZ684" i="1"/>
  <c r="AZ685" i="1"/>
  <c r="AZ686" i="1"/>
  <c r="AZ687" i="1"/>
  <c r="AZ688" i="1"/>
  <c r="AZ689" i="1"/>
  <c r="AZ690" i="1"/>
  <c r="AZ691" i="1"/>
  <c r="AZ692" i="1"/>
  <c r="AZ693" i="1"/>
  <c r="AZ694" i="1"/>
  <c r="AZ695" i="1"/>
  <c r="AZ696" i="1"/>
  <c r="AZ697" i="1"/>
  <c r="AZ698" i="1"/>
  <c r="AZ699" i="1"/>
  <c r="AZ700" i="1"/>
  <c r="AZ701" i="1"/>
  <c r="AZ702" i="1"/>
  <c r="AZ703" i="1"/>
  <c r="AZ704" i="1"/>
  <c r="AZ705" i="1"/>
  <c r="AZ706" i="1"/>
  <c r="AZ707" i="1"/>
  <c r="AZ708" i="1"/>
  <c r="AZ709" i="1"/>
  <c r="AZ710" i="1"/>
  <c r="AZ711" i="1"/>
  <c r="AZ712" i="1"/>
  <c r="AZ713" i="1"/>
  <c r="AZ714" i="1"/>
  <c r="AZ715" i="1"/>
  <c r="AZ716" i="1"/>
  <c r="AZ717" i="1"/>
  <c r="AZ718" i="1"/>
  <c r="AZ719" i="1"/>
  <c r="AZ720" i="1"/>
  <c r="AZ721" i="1"/>
  <c r="AZ722" i="1"/>
  <c r="AZ723" i="1"/>
  <c r="AZ724" i="1"/>
  <c r="AZ725" i="1"/>
  <c r="AZ726" i="1"/>
  <c r="AZ727" i="1"/>
  <c r="AZ728" i="1"/>
  <c r="AZ729" i="1"/>
  <c r="AZ730" i="1"/>
  <c r="AZ731" i="1"/>
  <c r="AZ732" i="1"/>
  <c r="AZ733" i="1"/>
  <c r="AZ734" i="1"/>
  <c r="AZ735" i="1"/>
  <c r="AZ736" i="1"/>
  <c r="AZ737" i="1"/>
  <c r="AZ738" i="1"/>
  <c r="AZ739" i="1"/>
  <c r="AZ740" i="1"/>
  <c r="AZ741" i="1"/>
  <c r="AZ742" i="1"/>
  <c r="AZ743" i="1"/>
  <c r="AZ744" i="1"/>
  <c r="AZ745" i="1"/>
  <c r="AZ746" i="1"/>
  <c r="AZ747" i="1"/>
  <c r="AZ748" i="1"/>
  <c r="AZ749" i="1"/>
  <c r="AZ750" i="1"/>
  <c r="AZ751" i="1"/>
  <c r="AZ752" i="1"/>
  <c r="AZ753" i="1"/>
  <c r="AZ754" i="1"/>
  <c r="AZ755" i="1"/>
  <c r="AZ756" i="1"/>
  <c r="AZ757" i="1"/>
  <c r="AZ758" i="1"/>
  <c r="AZ759" i="1"/>
  <c r="AZ760" i="1"/>
  <c r="AZ761" i="1"/>
  <c r="AZ762" i="1"/>
  <c r="AZ763" i="1"/>
  <c r="AZ764" i="1"/>
  <c r="AZ765" i="1"/>
  <c r="AZ766" i="1"/>
  <c r="AZ767" i="1"/>
  <c r="AZ768" i="1"/>
  <c r="AZ769" i="1"/>
  <c r="AZ770" i="1"/>
  <c r="AZ771" i="1"/>
  <c r="AZ772" i="1"/>
  <c r="AZ773" i="1"/>
  <c r="AZ774" i="1"/>
  <c r="AZ775" i="1"/>
  <c r="AZ776" i="1"/>
  <c r="AZ777" i="1"/>
  <c r="AZ778" i="1"/>
  <c r="AZ779" i="1"/>
  <c r="AZ780" i="1"/>
  <c r="AZ781" i="1"/>
  <c r="AZ782" i="1"/>
  <c r="AZ783" i="1"/>
  <c r="AZ784" i="1"/>
  <c r="AZ785" i="1"/>
  <c r="AZ786" i="1"/>
  <c r="AZ787" i="1"/>
  <c r="AZ788" i="1"/>
  <c r="AZ789" i="1"/>
  <c r="AZ790" i="1"/>
  <c r="AZ791" i="1"/>
  <c r="AZ792" i="1"/>
  <c r="AZ793" i="1"/>
  <c r="AZ794" i="1"/>
  <c r="AZ795" i="1"/>
  <c r="AZ796" i="1"/>
  <c r="AZ797" i="1"/>
  <c r="AZ798" i="1"/>
  <c r="AZ799" i="1"/>
  <c r="AZ800" i="1"/>
  <c r="AZ801" i="1"/>
  <c r="AZ802" i="1"/>
  <c r="AZ803" i="1"/>
  <c r="AZ804" i="1"/>
  <c r="AZ805" i="1"/>
  <c r="AZ806" i="1"/>
  <c r="AZ807" i="1"/>
  <c r="AZ808" i="1"/>
  <c r="AZ809" i="1"/>
  <c r="AZ810" i="1"/>
  <c r="AZ811" i="1"/>
  <c r="AZ812" i="1"/>
  <c r="AZ813" i="1"/>
  <c r="AZ814" i="1"/>
  <c r="AZ815" i="1"/>
  <c r="AZ816" i="1"/>
  <c r="AZ817" i="1"/>
  <c r="AZ818" i="1"/>
  <c r="AZ819" i="1"/>
  <c r="AZ820" i="1"/>
  <c r="AZ821" i="1"/>
  <c r="AZ822" i="1"/>
  <c r="AZ823" i="1"/>
  <c r="AZ824" i="1"/>
  <c r="AZ825" i="1"/>
  <c r="AZ826" i="1"/>
  <c r="AZ827" i="1"/>
  <c r="AZ828" i="1"/>
  <c r="AZ829" i="1"/>
  <c r="AZ830" i="1"/>
  <c r="AZ831" i="1"/>
  <c r="AZ832" i="1"/>
  <c r="AZ833" i="1"/>
  <c r="AZ834" i="1"/>
  <c r="AZ835" i="1"/>
  <c r="AZ836" i="1"/>
  <c r="AZ837" i="1"/>
  <c r="AZ838" i="1"/>
  <c r="AZ839" i="1"/>
  <c r="AZ840" i="1"/>
  <c r="AZ841" i="1"/>
  <c r="AZ842" i="1"/>
  <c r="AZ843" i="1"/>
  <c r="AZ844" i="1"/>
  <c r="AZ845" i="1"/>
  <c r="AZ846" i="1"/>
  <c r="AZ847" i="1"/>
  <c r="AZ848" i="1"/>
  <c r="AZ849" i="1"/>
  <c r="AZ850" i="1"/>
  <c r="AZ851" i="1"/>
  <c r="AZ852" i="1"/>
  <c r="AZ853" i="1"/>
  <c r="AZ854" i="1"/>
  <c r="AZ855" i="1"/>
  <c r="AZ856" i="1"/>
  <c r="AZ857" i="1"/>
  <c r="AZ858" i="1"/>
  <c r="AZ859" i="1"/>
  <c r="AZ860" i="1"/>
  <c r="AZ861" i="1"/>
  <c r="AZ862" i="1"/>
  <c r="AZ863" i="1"/>
  <c r="AZ864" i="1"/>
  <c r="AZ865" i="1"/>
  <c r="AZ866" i="1"/>
  <c r="AZ867" i="1"/>
  <c r="AZ868" i="1"/>
  <c r="AZ869" i="1"/>
  <c r="AZ870" i="1"/>
  <c r="AZ871" i="1"/>
  <c r="AZ872" i="1"/>
  <c r="AZ873" i="1"/>
  <c r="AZ874" i="1"/>
  <c r="AZ875" i="1"/>
  <c r="AZ876" i="1"/>
  <c r="AZ877" i="1"/>
  <c r="AZ878" i="1"/>
  <c r="AZ879" i="1"/>
  <c r="AZ880" i="1"/>
  <c r="AZ881" i="1"/>
  <c r="AZ882" i="1"/>
  <c r="AZ883" i="1"/>
  <c r="AZ884" i="1"/>
  <c r="AZ885" i="1"/>
  <c r="AZ886" i="1"/>
  <c r="AZ887" i="1"/>
  <c r="AZ888" i="1"/>
  <c r="AZ889" i="1"/>
  <c r="AZ890" i="1"/>
  <c r="AZ891" i="1"/>
  <c r="AZ892" i="1"/>
  <c r="AZ893" i="1"/>
  <c r="AZ894" i="1"/>
  <c r="AZ895" i="1"/>
  <c r="AZ896" i="1"/>
  <c r="AZ897" i="1"/>
  <c r="AZ898" i="1"/>
  <c r="AZ899" i="1"/>
  <c r="AZ900" i="1"/>
  <c r="AZ901" i="1"/>
  <c r="AZ902" i="1"/>
  <c r="AZ903" i="1"/>
  <c r="AZ904" i="1"/>
  <c r="AZ905" i="1"/>
  <c r="AZ906" i="1"/>
  <c r="AZ907" i="1"/>
  <c r="AZ908" i="1"/>
  <c r="AZ909" i="1"/>
  <c r="AZ910" i="1"/>
  <c r="AZ911" i="1"/>
  <c r="AZ912" i="1"/>
  <c r="AZ913" i="1"/>
  <c r="AZ914" i="1"/>
  <c r="AZ915" i="1"/>
  <c r="AZ916" i="1"/>
  <c r="AZ917" i="1"/>
  <c r="AZ918" i="1"/>
  <c r="AZ919" i="1"/>
  <c r="AZ920" i="1"/>
  <c r="AZ921" i="1"/>
  <c r="AZ922" i="1"/>
  <c r="AZ923" i="1"/>
  <c r="AZ924" i="1"/>
  <c r="AZ925" i="1"/>
  <c r="AZ926" i="1"/>
  <c r="AZ927" i="1"/>
  <c r="AZ928" i="1"/>
  <c r="AZ929" i="1"/>
  <c r="AZ930" i="1"/>
  <c r="AZ931" i="1"/>
  <c r="AZ932" i="1"/>
  <c r="AZ933" i="1"/>
  <c r="AZ934" i="1"/>
  <c r="AZ935" i="1"/>
  <c r="AZ936" i="1"/>
  <c r="AZ937" i="1"/>
  <c r="AZ938" i="1"/>
  <c r="AZ939" i="1"/>
  <c r="AZ940" i="1"/>
  <c r="AZ941" i="1"/>
  <c r="AZ942" i="1"/>
  <c r="AZ943" i="1"/>
  <c r="AZ944" i="1"/>
  <c r="AZ945" i="1"/>
  <c r="AZ946" i="1"/>
  <c r="AZ947" i="1"/>
  <c r="AZ948" i="1"/>
  <c r="AZ949" i="1"/>
  <c r="AZ950" i="1"/>
  <c r="AZ951" i="1"/>
  <c r="AZ952" i="1"/>
  <c r="AZ953" i="1"/>
  <c r="AZ954" i="1"/>
  <c r="AZ955" i="1"/>
  <c r="AZ956" i="1"/>
  <c r="AZ957" i="1"/>
  <c r="AZ958" i="1"/>
  <c r="AZ959" i="1"/>
  <c r="AZ960" i="1"/>
  <c r="AZ961" i="1"/>
  <c r="AZ962" i="1"/>
  <c r="AZ963" i="1"/>
  <c r="AZ964" i="1"/>
  <c r="AZ965" i="1"/>
  <c r="AZ966" i="1"/>
  <c r="AZ967" i="1"/>
  <c r="AZ968" i="1"/>
  <c r="AZ969" i="1"/>
  <c r="AZ970" i="1"/>
  <c r="AZ971" i="1"/>
  <c r="AZ972" i="1"/>
  <c r="AZ973" i="1"/>
  <c r="AZ974" i="1"/>
  <c r="AZ975" i="1"/>
  <c r="AZ976" i="1"/>
  <c r="AZ977" i="1"/>
  <c r="AZ978" i="1"/>
  <c r="AZ979" i="1"/>
  <c r="AZ980" i="1"/>
  <c r="AZ981" i="1"/>
  <c r="AZ982" i="1"/>
  <c r="AZ983" i="1"/>
  <c r="AZ984" i="1"/>
  <c r="AZ985" i="1"/>
  <c r="AZ986" i="1"/>
  <c r="AZ987" i="1"/>
  <c r="AZ988" i="1"/>
  <c r="AZ989" i="1"/>
  <c r="AZ990" i="1"/>
  <c r="AZ991" i="1"/>
  <c r="AZ992" i="1"/>
  <c r="AZ993" i="1"/>
  <c r="AZ994" i="1"/>
  <c r="AZ995" i="1"/>
  <c r="AZ996" i="1"/>
  <c r="AZ997" i="1"/>
  <c r="AZ998" i="1"/>
  <c r="AZ999" i="1"/>
  <c r="AZ1000" i="1"/>
  <c r="AZ1001" i="1"/>
  <c r="AZ1002" i="1"/>
  <c r="AZ1003" i="1"/>
  <c r="AZ1004" i="1"/>
  <c r="AZ1005" i="1"/>
  <c r="AZ1006" i="1"/>
  <c r="AZ1007" i="1"/>
  <c r="AZ1008" i="1"/>
  <c r="AZ1009" i="1"/>
  <c r="AZ1010" i="1"/>
  <c r="AZ1011" i="1"/>
  <c r="AZ1012" i="1"/>
  <c r="AZ1013" i="1"/>
  <c r="AZ1014" i="1"/>
  <c r="AZ1015" i="1"/>
  <c r="AZ1016" i="1"/>
  <c r="AZ1017" i="1"/>
  <c r="AZ1018" i="1"/>
  <c r="AZ1019" i="1"/>
  <c r="AZ1020" i="1"/>
  <c r="AZ1021" i="1"/>
  <c r="AZ1022" i="1"/>
  <c r="AZ1023" i="1"/>
  <c r="AZ1024" i="1"/>
  <c r="AZ1025" i="1"/>
  <c r="AZ1026" i="1"/>
  <c r="AZ1027" i="1"/>
  <c r="AZ1028" i="1"/>
  <c r="AZ1029" i="1"/>
  <c r="AZ1030" i="1"/>
  <c r="AZ1031" i="1"/>
  <c r="AZ1032" i="1"/>
  <c r="AZ1033" i="1"/>
  <c r="AZ1034" i="1"/>
  <c r="AZ1035" i="1"/>
  <c r="AZ1036" i="1"/>
  <c r="AZ1037" i="1"/>
  <c r="AZ1038" i="1"/>
  <c r="AZ1039" i="1"/>
  <c r="AZ1040" i="1"/>
  <c r="AZ1041" i="1"/>
  <c r="AZ1042" i="1"/>
  <c r="AZ1043" i="1"/>
  <c r="AZ1044" i="1"/>
  <c r="AZ1045" i="1"/>
  <c r="AZ1046" i="1"/>
  <c r="AZ1047" i="1"/>
  <c r="AZ1048" i="1"/>
  <c r="AZ1049" i="1"/>
  <c r="AZ1050" i="1"/>
  <c r="AZ1051" i="1"/>
  <c r="AZ1052" i="1"/>
  <c r="AZ1053" i="1"/>
  <c r="AZ1054" i="1"/>
  <c r="AZ1055" i="1"/>
  <c r="AZ1056" i="1"/>
  <c r="AZ1057" i="1"/>
  <c r="AZ1058" i="1"/>
  <c r="AZ1059" i="1"/>
  <c r="AZ1060" i="1"/>
  <c r="AZ1061" i="1"/>
  <c r="AZ1062" i="1"/>
  <c r="AZ1063" i="1"/>
  <c r="AZ1064" i="1"/>
  <c r="AZ1065" i="1"/>
  <c r="AZ1066" i="1"/>
  <c r="AZ1067" i="1"/>
  <c r="AZ1068" i="1"/>
  <c r="AZ1069" i="1"/>
  <c r="AZ1070" i="1"/>
  <c r="AZ1071" i="1"/>
  <c r="AZ1072" i="1"/>
  <c r="AZ1073" i="1"/>
  <c r="AZ1074" i="1"/>
  <c r="AZ1075" i="1"/>
  <c r="AZ1076" i="1"/>
  <c r="AZ1077" i="1"/>
  <c r="AZ1078" i="1"/>
  <c r="AZ1079" i="1"/>
  <c r="AZ1080" i="1"/>
  <c r="AZ1081" i="1"/>
  <c r="AZ1082" i="1"/>
  <c r="AZ1083" i="1"/>
  <c r="AZ1084" i="1"/>
  <c r="AZ1085" i="1"/>
  <c r="AZ1086" i="1"/>
  <c r="AZ1087" i="1"/>
  <c r="AZ1088" i="1"/>
  <c r="AZ1089" i="1"/>
  <c r="AZ1090" i="1"/>
  <c r="AZ1091" i="1"/>
  <c r="AZ1092" i="1"/>
  <c r="AZ1093" i="1"/>
  <c r="AZ1094" i="1"/>
  <c r="AZ1095" i="1"/>
  <c r="AZ1096" i="1"/>
  <c r="AZ1097" i="1"/>
  <c r="AZ1098" i="1"/>
  <c r="AZ1099" i="1"/>
  <c r="AZ1100" i="1"/>
  <c r="AZ1101" i="1"/>
  <c r="AZ2" i="1"/>
  <c r="AX2" i="1"/>
  <c r="AX3" i="1"/>
  <c r="AX4" i="1"/>
  <c r="AX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45" i="1"/>
  <c r="AX46" i="1"/>
  <c r="AX47" i="1"/>
  <c r="AX48" i="1"/>
  <c r="AX49" i="1"/>
  <c r="AX50" i="1"/>
  <c r="AX51" i="1"/>
  <c r="AX52" i="1"/>
  <c r="AX53" i="1"/>
  <c r="AX54" i="1"/>
  <c r="AX55" i="1"/>
  <c r="AX56" i="1"/>
  <c r="AX57" i="1"/>
  <c r="AX58" i="1"/>
  <c r="AX59" i="1"/>
  <c r="AX60" i="1"/>
  <c r="AX61" i="1"/>
  <c r="AX62" i="1"/>
  <c r="AX63" i="1"/>
  <c r="AX64" i="1"/>
  <c r="AX65" i="1"/>
  <c r="AX66" i="1"/>
  <c r="AX67" i="1"/>
  <c r="AX68" i="1"/>
  <c r="AX69" i="1"/>
  <c r="AX70" i="1"/>
  <c r="AX71" i="1"/>
  <c r="AX72" i="1"/>
  <c r="AX73" i="1"/>
  <c r="AX74" i="1"/>
  <c r="AX75" i="1"/>
  <c r="AX76" i="1"/>
  <c r="AX77" i="1"/>
  <c r="AX78" i="1"/>
  <c r="AX79" i="1"/>
  <c r="AX80" i="1"/>
  <c r="AX81" i="1"/>
  <c r="AX82" i="1"/>
  <c r="AX83" i="1"/>
  <c r="AX84" i="1"/>
  <c r="AX85" i="1"/>
  <c r="AX86" i="1"/>
  <c r="AX87" i="1"/>
  <c r="AX88" i="1"/>
  <c r="AX89" i="1"/>
  <c r="AX90" i="1"/>
  <c r="AX91" i="1"/>
  <c r="AX92" i="1"/>
  <c r="AX93" i="1"/>
  <c r="AX94" i="1"/>
  <c r="AX95" i="1"/>
  <c r="AX96" i="1"/>
  <c r="AX97" i="1"/>
  <c r="AX98" i="1"/>
  <c r="AX99" i="1"/>
  <c r="AX100" i="1"/>
  <c r="AX101" i="1"/>
  <c r="AX102" i="1"/>
  <c r="AX103" i="1"/>
  <c r="AX104" i="1"/>
  <c r="AX105" i="1"/>
  <c r="AX106" i="1"/>
  <c r="AX107" i="1"/>
  <c r="AX108" i="1"/>
  <c r="AX109" i="1"/>
  <c r="AX110" i="1"/>
  <c r="AX111" i="1"/>
  <c r="AX112" i="1"/>
  <c r="AX113" i="1"/>
  <c r="AX114" i="1"/>
  <c r="AX115" i="1"/>
  <c r="AX116" i="1"/>
  <c r="AX117" i="1"/>
  <c r="AX118" i="1"/>
  <c r="AX119" i="1"/>
  <c r="AX120" i="1"/>
  <c r="AX121" i="1"/>
  <c r="AX122" i="1"/>
  <c r="AX123" i="1"/>
  <c r="AX124" i="1"/>
  <c r="AX125" i="1"/>
  <c r="AX126" i="1"/>
  <c r="AX127" i="1"/>
  <c r="AX128" i="1"/>
  <c r="AX129" i="1"/>
  <c r="AX130" i="1"/>
  <c r="AX131" i="1"/>
  <c r="AX132" i="1"/>
  <c r="AX133" i="1"/>
  <c r="AX134" i="1"/>
  <c r="AX135" i="1"/>
  <c r="AX136" i="1"/>
  <c r="AX137" i="1"/>
  <c r="AX138" i="1"/>
  <c r="AX139" i="1"/>
  <c r="AX140" i="1"/>
  <c r="AX141" i="1"/>
  <c r="AX142" i="1"/>
  <c r="AX143" i="1"/>
  <c r="AX144" i="1"/>
  <c r="AX145" i="1"/>
  <c r="AX146" i="1"/>
  <c r="AX147" i="1"/>
  <c r="AX148" i="1"/>
  <c r="AX149" i="1"/>
  <c r="AX150" i="1"/>
  <c r="AX151" i="1"/>
  <c r="AX152" i="1"/>
  <c r="AX153" i="1"/>
  <c r="AX154" i="1"/>
  <c r="AX155" i="1"/>
  <c r="AX156" i="1"/>
  <c r="AX157" i="1"/>
  <c r="AX158" i="1"/>
  <c r="AX159" i="1"/>
  <c r="AX160" i="1"/>
  <c r="AX161" i="1"/>
  <c r="AX162" i="1"/>
  <c r="AX163" i="1"/>
  <c r="AX164" i="1"/>
  <c r="AX165" i="1"/>
  <c r="AX166" i="1"/>
  <c r="AX167" i="1"/>
  <c r="AX168" i="1"/>
  <c r="AX169" i="1"/>
  <c r="AX170" i="1"/>
  <c r="AX171" i="1"/>
  <c r="AX172" i="1"/>
  <c r="AX173" i="1"/>
  <c r="AX174" i="1"/>
  <c r="AX175" i="1"/>
  <c r="AX176" i="1"/>
  <c r="AX177" i="1"/>
  <c r="AX178" i="1"/>
  <c r="AX179" i="1"/>
  <c r="AX180" i="1"/>
  <c r="AX181" i="1"/>
  <c r="AX182" i="1"/>
  <c r="AX183" i="1"/>
  <c r="AX184" i="1"/>
  <c r="AX185" i="1"/>
  <c r="AX186" i="1"/>
  <c r="AX187" i="1"/>
  <c r="AX188" i="1"/>
  <c r="AX189" i="1"/>
  <c r="AX190" i="1"/>
  <c r="AX191" i="1"/>
  <c r="AX192" i="1"/>
  <c r="AX193" i="1"/>
  <c r="AX194" i="1"/>
  <c r="AX195" i="1"/>
  <c r="AX196" i="1"/>
  <c r="AX197" i="1"/>
  <c r="AX198" i="1"/>
  <c r="AX199" i="1"/>
  <c r="AX200" i="1"/>
  <c r="AX201" i="1"/>
  <c r="AX202" i="1"/>
  <c r="AX203" i="1"/>
  <c r="AX204" i="1"/>
  <c r="AX205" i="1"/>
  <c r="AX206" i="1"/>
  <c r="AX207" i="1"/>
  <c r="AX208" i="1"/>
  <c r="AX209" i="1"/>
  <c r="AX210" i="1"/>
  <c r="AX211" i="1"/>
  <c r="AX212" i="1"/>
  <c r="AX213" i="1"/>
  <c r="AX214" i="1"/>
  <c r="AX215" i="1"/>
  <c r="AX216" i="1"/>
  <c r="AX217" i="1"/>
  <c r="AX218" i="1"/>
  <c r="AX219" i="1"/>
  <c r="AX220" i="1"/>
  <c r="AX221" i="1"/>
  <c r="AX222" i="1"/>
  <c r="AX223" i="1"/>
  <c r="AX224" i="1"/>
  <c r="AX225" i="1"/>
  <c r="AX226" i="1"/>
  <c r="AX227" i="1"/>
  <c r="AX228" i="1"/>
  <c r="AX229" i="1"/>
  <c r="AX230" i="1"/>
  <c r="AX231" i="1"/>
  <c r="AX232" i="1"/>
  <c r="AX233" i="1"/>
  <c r="AX234" i="1"/>
  <c r="AX235" i="1"/>
  <c r="AX236" i="1"/>
  <c r="AX237" i="1"/>
  <c r="AX238" i="1"/>
  <c r="AX239" i="1"/>
  <c r="AX240" i="1"/>
  <c r="AX241" i="1"/>
  <c r="AX242" i="1"/>
  <c r="AX243" i="1"/>
  <c r="AX244" i="1"/>
  <c r="AX245" i="1"/>
  <c r="AX246" i="1"/>
  <c r="AX247" i="1"/>
  <c r="AX248" i="1"/>
  <c r="AX249" i="1"/>
  <c r="AX250" i="1"/>
  <c r="AX251" i="1"/>
  <c r="AX252" i="1"/>
  <c r="AX253" i="1"/>
  <c r="AX254" i="1"/>
  <c r="AX255" i="1"/>
  <c r="AX256" i="1"/>
  <c r="AX257" i="1"/>
  <c r="AX258" i="1"/>
  <c r="AX259" i="1"/>
  <c r="AX260" i="1"/>
  <c r="AX261" i="1"/>
  <c r="AX262" i="1"/>
  <c r="AX263" i="1"/>
  <c r="AX264" i="1"/>
  <c r="AX265" i="1"/>
  <c r="AX266" i="1"/>
  <c r="AX267" i="1"/>
  <c r="AX268" i="1"/>
  <c r="AX269" i="1"/>
  <c r="AX270" i="1"/>
  <c r="AX271" i="1"/>
  <c r="AX272" i="1"/>
  <c r="AX273" i="1"/>
  <c r="AX274" i="1"/>
  <c r="AX275" i="1"/>
  <c r="AX276" i="1"/>
  <c r="AX277" i="1"/>
  <c r="AX278" i="1"/>
  <c r="AX279" i="1"/>
  <c r="AX280" i="1"/>
  <c r="AX281" i="1"/>
  <c r="AX282" i="1"/>
  <c r="AX283" i="1"/>
  <c r="AX284" i="1"/>
  <c r="AX285" i="1"/>
  <c r="AX286" i="1"/>
  <c r="AX287" i="1"/>
  <c r="AX288" i="1"/>
  <c r="AX289" i="1"/>
  <c r="AX290" i="1"/>
  <c r="AX291" i="1"/>
  <c r="AX292" i="1"/>
  <c r="AX293" i="1"/>
  <c r="AX294" i="1"/>
  <c r="AX295" i="1"/>
  <c r="AX296" i="1"/>
  <c r="AX297" i="1"/>
  <c r="AX298" i="1"/>
  <c r="AX299" i="1"/>
  <c r="AX300" i="1"/>
  <c r="AX301" i="1"/>
  <c r="AX302" i="1"/>
  <c r="AX303" i="1"/>
  <c r="AX304" i="1"/>
  <c r="AX305" i="1"/>
  <c r="AX306" i="1"/>
  <c r="AX307" i="1"/>
  <c r="AX308" i="1"/>
  <c r="AX309" i="1"/>
  <c r="AX310" i="1"/>
  <c r="AX311" i="1"/>
  <c r="AX312" i="1"/>
  <c r="AX313" i="1"/>
  <c r="AX314" i="1"/>
  <c r="AX315" i="1"/>
  <c r="AX316" i="1"/>
  <c r="AX317" i="1"/>
  <c r="AX318" i="1"/>
  <c r="AX319" i="1"/>
  <c r="AX320" i="1"/>
  <c r="AX321" i="1"/>
  <c r="AX322" i="1"/>
  <c r="AX323" i="1"/>
  <c r="AX324" i="1"/>
  <c r="AX325" i="1"/>
  <c r="AX326" i="1"/>
  <c r="AX327" i="1"/>
  <c r="AX328" i="1"/>
  <c r="AX329" i="1"/>
  <c r="AX330" i="1"/>
  <c r="AX331" i="1"/>
  <c r="AX332" i="1"/>
  <c r="AX333" i="1"/>
  <c r="AX334" i="1"/>
  <c r="AX335" i="1"/>
  <c r="AX336" i="1"/>
  <c r="AX337" i="1"/>
  <c r="AX338" i="1"/>
  <c r="AX339" i="1"/>
  <c r="AX340" i="1"/>
  <c r="AX341" i="1"/>
  <c r="AX342" i="1"/>
  <c r="AX343" i="1"/>
  <c r="AX344" i="1"/>
  <c r="AX345" i="1"/>
  <c r="AX346" i="1"/>
  <c r="AX347" i="1"/>
  <c r="AX348" i="1"/>
  <c r="AX349" i="1"/>
  <c r="AX350" i="1"/>
  <c r="AX351" i="1"/>
  <c r="AX352" i="1"/>
  <c r="AX353" i="1"/>
  <c r="AX354" i="1"/>
  <c r="AX355" i="1"/>
  <c r="AX356" i="1"/>
  <c r="AX357" i="1"/>
  <c r="AX358" i="1"/>
  <c r="AX359" i="1"/>
  <c r="AX360" i="1"/>
  <c r="AX361" i="1"/>
  <c r="AX362" i="1"/>
  <c r="AX363" i="1"/>
  <c r="AX364" i="1"/>
  <c r="AX365" i="1"/>
  <c r="AX366" i="1"/>
  <c r="AX367" i="1"/>
  <c r="AX368" i="1"/>
  <c r="AX369" i="1"/>
  <c r="AX370" i="1"/>
  <c r="AX371" i="1"/>
  <c r="AX372" i="1"/>
  <c r="AX373" i="1"/>
  <c r="AX374" i="1"/>
  <c r="AX375" i="1"/>
  <c r="AX376" i="1"/>
  <c r="AX377" i="1"/>
  <c r="AX378" i="1"/>
  <c r="AX379" i="1"/>
  <c r="AX380" i="1"/>
  <c r="AX381" i="1"/>
  <c r="AX382" i="1"/>
  <c r="AX383" i="1"/>
  <c r="AX384" i="1"/>
  <c r="AX385" i="1"/>
  <c r="AX386" i="1"/>
  <c r="AX387" i="1"/>
  <c r="AX388" i="1"/>
  <c r="AX389" i="1"/>
  <c r="AX390" i="1"/>
  <c r="AX391" i="1"/>
  <c r="AX392" i="1"/>
  <c r="AX393" i="1"/>
  <c r="AX394" i="1"/>
  <c r="AX395" i="1"/>
  <c r="AX396" i="1"/>
  <c r="AX397" i="1"/>
  <c r="AX398" i="1"/>
  <c r="AX399" i="1"/>
  <c r="AX400" i="1"/>
  <c r="AX401" i="1"/>
  <c r="AX402" i="1"/>
  <c r="AX403" i="1"/>
  <c r="AX404" i="1"/>
  <c r="AX405" i="1"/>
  <c r="AX406" i="1"/>
  <c r="AX407" i="1"/>
  <c r="AX408" i="1"/>
  <c r="AX409" i="1"/>
  <c r="AX410" i="1"/>
  <c r="AX411" i="1"/>
  <c r="AX412" i="1"/>
  <c r="AX413" i="1"/>
  <c r="AX414" i="1"/>
  <c r="AX415" i="1"/>
  <c r="AX416" i="1"/>
  <c r="AX417" i="1"/>
  <c r="AX418" i="1"/>
  <c r="AX419" i="1"/>
  <c r="AX420" i="1"/>
  <c r="AX421" i="1"/>
  <c r="AX422" i="1"/>
  <c r="AX423" i="1"/>
  <c r="AX424" i="1"/>
  <c r="AX425" i="1"/>
  <c r="AX426" i="1"/>
  <c r="AX427" i="1"/>
  <c r="AX428" i="1"/>
  <c r="AX429" i="1"/>
  <c r="AX430" i="1"/>
  <c r="AX431" i="1"/>
  <c r="AX432" i="1"/>
  <c r="AX433" i="1"/>
  <c r="AX434" i="1"/>
  <c r="AX435" i="1"/>
  <c r="AX436" i="1"/>
  <c r="AX437" i="1"/>
  <c r="AX438" i="1"/>
  <c r="AX439" i="1"/>
  <c r="AX440" i="1"/>
  <c r="AX441" i="1"/>
  <c r="AX442" i="1"/>
  <c r="AX443" i="1"/>
  <c r="AX444" i="1"/>
  <c r="AX445" i="1"/>
  <c r="AX446" i="1"/>
  <c r="AX447" i="1"/>
  <c r="AX448" i="1"/>
  <c r="AX449" i="1"/>
  <c r="AX450" i="1"/>
  <c r="AX451" i="1"/>
  <c r="AX452" i="1"/>
  <c r="AX453" i="1"/>
  <c r="AX454" i="1"/>
  <c r="AX455" i="1"/>
  <c r="AX456" i="1"/>
  <c r="AX457" i="1"/>
  <c r="AX458" i="1"/>
  <c r="AX459" i="1"/>
  <c r="AX460" i="1"/>
  <c r="AX461" i="1"/>
  <c r="AX462" i="1"/>
  <c r="AX463" i="1"/>
  <c r="AX464" i="1"/>
  <c r="AX465" i="1"/>
  <c r="AX466" i="1"/>
  <c r="AX467" i="1"/>
  <c r="AX468" i="1"/>
  <c r="AX469" i="1"/>
  <c r="AX470" i="1"/>
  <c r="AX471" i="1"/>
  <c r="AX472" i="1"/>
  <c r="AX473" i="1"/>
  <c r="AX474" i="1"/>
  <c r="AX475" i="1"/>
  <c r="AX476" i="1"/>
  <c r="AX477" i="1"/>
  <c r="AX478" i="1"/>
  <c r="AX479" i="1"/>
  <c r="AX480" i="1"/>
  <c r="AX481" i="1"/>
  <c r="AX482" i="1"/>
  <c r="AX483" i="1"/>
  <c r="AX484" i="1"/>
  <c r="AX485" i="1"/>
  <c r="AX486" i="1"/>
  <c r="AX487" i="1"/>
  <c r="AX488" i="1"/>
  <c r="AX489" i="1"/>
  <c r="AX490" i="1"/>
  <c r="AX491" i="1"/>
  <c r="AX492" i="1"/>
  <c r="AX493" i="1"/>
  <c r="AX494" i="1"/>
  <c r="AX495" i="1"/>
  <c r="AX496" i="1"/>
  <c r="AX497" i="1"/>
  <c r="AX498" i="1"/>
  <c r="AX499" i="1"/>
  <c r="AX500" i="1"/>
  <c r="AX501" i="1"/>
  <c r="AX502" i="1"/>
  <c r="AX503" i="1"/>
  <c r="AX504" i="1"/>
  <c r="AX505" i="1"/>
  <c r="AX506" i="1"/>
  <c r="AX507" i="1"/>
  <c r="AX508" i="1"/>
  <c r="AX509" i="1"/>
  <c r="AX510" i="1"/>
  <c r="AX511" i="1"/>
  <c r="AX512" i="1"/>
  <c r="AX513" i="1"/>
  <c r="AX514" i="1"/>
  <c r="AX515" i="1"/>
  <c r="AX516" i="1"/>
  <c r="AX517" i="1"/>
  <c r="AX518" i="1"/>
  <c r="AX519" i="1"/>
  <c r="AX520" i="1"/>
  <c r="AX521" i="1"/>
  <c r="AX522" i="1"/>
  <c r="AX523" i="1"/>
  <c r="AX524" i="1"/>
  <c r="AX525" i="1"/>
  <c r="AX526" i="1"/>
  <c r="AX527" i="1"/>
  <c r="AX528" i="1"/>
  <c r="AX529" i="1"/>
  <c r="AX530" i="1"/>
  <c r="AX531" i="1"/>
  <c r="AX532" i="1"/>
  <c r="AX533" i="1"/>
  <c r="AX534" i="1"/>
  <c r="AX535" i="1"/>
  <c r="AX536" i="1"/>
  <c r="AX537" i="1"/>
  <c r="AX538" i="1"/>
  <c r="AX539" i="1"/>
  <c r="AX540" i="1"/>
  <c r="AX541" i="1"/>
  <c r="AX542" i="1"/>
  <c r="AX543" i="1"/>
  <c r="AX544" i="1"/>
  <c r="AX545" i="1"/>
  <c r="AX546" i="1"/>
  <c r="AX547" i="1"/>
  <c r="AX548" i="1"/>
  <c r="AX549" i="1"/>
  <c r="AX550" i="1"/>
  <c r="AX551" i="1"/>
  <c r="AX552" i="1"/>
  <c r="AX553" i="1"/>
  <c r="AX554" i="1"/>
  <c r="AX555" i="1"/>
  <c r="AX556" i="1"/>
  <c r="AX557" i="1"/>
  <c r="AX558" i="1"/>
  <c r="AX559" i="1"/>
  <c r="AX560" i="1"/>
  <c r="AX561" i="1"/>
  <c r="AX562" i="1"/>
  <c r="AX563" i="1"/>
  <c r="AX564" i="1"/>
  <c r="AX565" i="1"/>
  <c r="AX566" i="1"/>
  <c r="AX567" i="1"/>
  <c r="AX568" i="1"/>
  <c r="AX569" i="1"/>
  <c r="AX570" i="1"/>
  <c r="AX571" i="1"/>
  <c r="AX572" i="1"/>
  <c r="AX573" i="1"/>
  <c r="AX574" i="1"/>
  <c r="AX575" i="1"/>
  <c r="AX576" i="1"/>
  <c r="AX577" i="1"/>
  <c r="AX578" i="1"/>
  <c r="AX579" i="1"/>
  <c r="AX580" i="1"/>
  <c r="AX581" i="1"/>
  <c r="AX582" i="1"/>
  <c r="AX583" i="1"/>
  <c r="AX584" i="1"/>
  <c r="AX585" i="1"/>
  <c r="AX586" i="1"/>
  <c r="AX587" i="1"/>
  <c r="AX588" i="1"/>
  <c r="AX589" i="1"/>
  <c r="AX590" i="1"/>
  <c r="AX591" i="1"/>
  <c r="AX592" i="1"/>
  <c r="AX593" i="1"/>
  <c r="AX594" i="1"/>
  <c r="AX595" i="1"/>
  <c r="AX596" i="1"/>
  <c r="AX597" i="1"/>
  <c r="AX598" i="1"/>
  <c r="AX599" i="1"/>
  <c r="AX600" i="1"/>
  <c r="AX601" i="1"/>
  <c r="AX602" i="1"/>
  <c r="AX603" i="1"/>
  <c r="AX604" i="1"/>
  <c r="AX605" i="1"/>
  <c r="AX606" i="1"/>
  <c r="AX607" i="1"/>
  <c r="AX608" i="1"/>
  <c r="AX609" i="1"/>
  <c r="AX610" i="1"/>
  <c r="AX611" i="1"/>
  <c r="AX612" i="1"/>
  <c r="AX613" i="1"/>
  <c r="AX614" i="1"/>
  <c r="AX615" i="1"/>
  <c r="AX616" i="1"/>
  <c r="AX617" i="1"/>
  <c r="AX618" i="1"/>
  <c r="AX619" i="1"/>
  <c r="AX620" i="1"/>
  <c r="AX621" i="1"/>
  <c r="AX622" i="1"/>
  <c r="AX623" i="1"/>
  <c r="AX624" i="1"/>
  <c r="AX625" i="1"/>
  <c r="AX626" i="1"/>
  <c r="AX627" i="1"/>
  <c r="AX628" i="1"/>
  <c r="AX629" i="1"/>
  <c r="AX630" i="1"/>
  <c r="AX631" i="1"/>
  <c r="AX632" i="1"/>
  <c r="AX633" i="1"/>
  <c r="AX634" i="1"/>
  <c r="AX635" i="1"/>
  <c r="AX636" i="1"/>
  <c r="AX637" i="1"/>
  <c r="AX638" i="1"/>
  <c r="AX639" i="1"/>
  <c r="AX640" i="1"/>
  <c r="AX641" i="1"/>
  <c r="AX642" i="1"/>
  <c r="AX643" i="1"/>
  <c r="AX644" i="1"/>
  <c r="AX645" i="1"/>
  <c r="AX646" i="1"/>
  <c r="AX647" i="1"/>
  <c r="AX648" i="1"/>
  <c r="AX649" i="1"/>
  <c r="AX650" i="1"/>
  <c r="AX651" i="1"/>
  <c r="AX652" i="1"/>
  <c r="AX653" i="1"/>
  <c r="AX654" i="1"/>
  <c r="AX655" i="1"/>
  <c r="AX656" i="1"/>
  <c r="AX657" i="1"/>
  <c r="AX658" i="1"/>
  <c r="AX659" i="1"/>
  <c r="AX660" i="1"/>
  <c r="AX661" i="1"/>
  <c r="AX662" i="1"/>
  <c r="AX663" i="1"/>
  <c r="AX664" i="1"/>
  <c r="AX665" i="1"/>
  <c r="AX666" i="1"/>
  <c r="AX667" i="1"/>
  <c r="AX668" i="1"/>
  <c r="AX669" i="1"/>
  <c r="AX670" i="1"/>
  <c r="AX671" i="1"/>
  <c r="AX672" i="1"/>
  <c r="AX673" i="1"/>
  <c r="AX674" i="1"/>
  <c r="AX675" i="1"/>
  <c r="AX676" i="1"/>
  <c r="AX677" i="1"/>
  <c r="AX678" i="1"/>
  <c r="AX679" i="1"/>
  <c r="AX680" i="1"/>
  <c r="AX681" i="1"/>
  <c r="AX682" i="1"/>
  <c r="AX683" i="1"/>
  <c r="AX684" i="1"/>
  <c r="AX685" i="1"/>
  <c r="AX686" i="1"/>
  <c r="AX687" i="1"/>
  <c r="AX688" i="1"/>
  <c r="AX689" i="1"/>
  <c r="AX690" i="1"/>
  <c r="AX691" i="1"/>
  <c r="AX692" i="1"/>
  <c r="AX693" i="1"/>
  <c r="AX694" i="1"/>
  <c r="AX695" i="1"/>
  <c r="AX696" i="1"/>
  <c r="AX697" i="1"/>
  <c r="AX698" i="1"/>
  <c r="AX699" i="1"/>
  <c r="AX700" i="1"/>
  <c r="AX701" i="1"/>
  <c r="AX702" i="1"/>
  <c r="AX703" i="1"/>
  <c r="AX704" i="1"/>
  <c r="AX705" i="1"/>
  <c r="AX706" i="1"/>
  <c r="AX707" i="1"/>
  <c r="AX708" i="1"/>
  <c r="AX709" i="1"/>
  <c r="AX710" i="1"/>
  <c r="AX711" i="1"/>
  <c r="AX712" i="1"/>
  <c r="AX713" i="1"/>
  <c r="AX714" i="1"/>
  <c r="AX715" i="1"/>
  <c r="AX716" i="1"/>
  <c r="AX717" i="1"/>
  <c r="AX718" i="1"/>
  <c r="AX719" i="1"/>
  <c r="AX720" i="1"/>
  <c r="AX721" i="1"/>
  <c r="AX722" i="1"/>
  <c r="AX723" i="1"/>
  <c r="AX724" i="1"/>
  <c r="AX725" i="1"/>
  <c r="AX726" i="1"/>
  <c r="AX727" i="1"/>
  <c r="AX728" i="1"/>
  <c r="AX729" i="1"/>
  <c r="AX730" i="1"/>
  <c r="AX731" i="1"/>
  <c r="AX732" i="1"/>
  <c r="AX733" i="1"/>
  <c r="AX734" i="1"/>
  <c r="AX735" i="1"/>
  <c r="AX736" i="1"/>
  <c r="AX737" i="1"/>
  <c r="AX738" i="1"/>
  <c r="AX739" i="1"/>
  <c r="AX740" i="1"/>
  <c r="AX741" i="1"/>
  <c r="AX742" i="1"/>
  <c r="AX743" i="1"/>
  <c r="AX744" i="1"/>
  <c r="AX745" i="1"/>
  <c r="AX746" i="1"/>
  <c r="AX747" i="1"/>
  <c r="AX748" i="1"/>
  <c r="AX749" i="1"/>
  <c r="AX750" i="1"/>
  <c r="AX751" i="1"/>
  <c r="AX752" i="1"/>
  <c r="AX753" i="1"/>
  <c r="AX754" i="1"/>
  <c r="AX755" i="1"/>
  <c r="AX756" i="1"/>
  <c r="AX757" i="1"/>
  <c r="AX758" i="1"/>
  <c r="AX759" i="1"/>
  <c r="AX760" i="1"/>
  <c r="AX761" i="1"/>
  <c r="AX762" i="1"/>
  <c r="AX763" i="1"/>
  <c r="AX764" i="1"/>
  <c r="AX765" i="1"/>
  <c r="AX766" i="1"/>
  <c r="AX767" i="1"/>
  <c r="AX768" i="1"/>
  <c r="AX769" i="1"/>
  <c r="AX770" i="1"/>
  <c r="AX771" i="1"/>
  <c r="AX772" i="1"/>
  <c r="AX773" i="1"/>
  <c r="AX774" i="1"/>
  <c r="AX775" i="1"/>
  <c r="AX776" i="1"/>
  <c r="AX777" i="1"/>
  <c r="AX778" i="1"/>
  <c r="AX779" i="1"/>
  <c r="AX780" i="1"/>
  <c r="AX781" i="1"/>
  <c r="AX782" i="1"/>
  <c r="AX783" i="1"/>
  <c r="AX784" i="1"/>
  <c r="AX785" i="1"/>
  <c r="AX786" i="1"/>
  <c r="AX787" i="1"/>
  <c r="AX788" i="1"/>
  <c r="AX789" i="1"/>
  <c r="AX790" i="1"/>
  <c r="AX791" i="1"/>
  <c r="AX792" i="1"/>
  <c r="AX793" i="1"/>
  <c r="AX794" i="1"/>
  <c r="AX795" i="1"/>
  <c r="AX796" i="1"/>
  <c r="AX797" i="1"/>
  <c r="AX798" i="1"/>
  <c r="AX799" i="1"/>
  <c r="AX800" i="1"/>
  <c r="AX801" i="1"/>
  <c r="AX802" i="1"/>
  <c r="AX803" i="1"/>
  <c r="AX804" i="1"/>
  <c r="AX805" i="1"/>
  <c r="AX806" i="1"/>
  <c r="AX807" i="1"/>
  <c r="AX808" i="1"/>
  <c r="AX809" i="1"/>
  <c r="AX810" i="1"/>
  <c r="AX811" i="1"/>
  <c r="AX812" i="1"/>
  <c r="AX813" i="1"/>
  <c r="AX814" i="1"/>
  <c r="AX815" i="1"/>
  <c r="AX816" i="1"/>
  <c r="AX817" i="1"/>
  <c r="AX818" i="1"/>
  <c r="AX819" i="1"/>
  <c r="AX820" i="1"/>
  <c r="AX821" i="1"/>
  <c r="AX822" i="1"/>
  <c r="AX823" i="1"/>
  <c r="AX824" i="1"/>
  <c r="AX825" i="1"/>
  <c r="AX826" i="1"/>
  <c r="AX827" i="1"/>
  <c r="AX828" i="1"/>
  <c r="AX829" i="1"/>
  <c r="AX830" i="1"/>
  <c r="AX831" i="1"/>
  <c r="AX832" i="1"/>
  <c r="AX833" i="1"/>
  <c r="AX834" i="1"/>
  <c r="AX835" i="1"/>
  <c r="AX836" i="1"/>
  <c r="AX837" i="1"/>
  <c r="AX838" i="1"/>
  <c r="AX839" i="1"/>
  <c r="AX840" i="1"/>
  <c r="AX841" i="1"/>
  <c r="AX842" i="1"/>
  <c r="AX843" i="1"/>
  <c r="AX844" i="1"/>
  <c r="AX845" i="1"/>
  <c r="AX846" i="1"/>
  <c r="AX847" i="1"/>
  <c r="AX848" i="1"/>
  <c r="AX849" i="1"/>
  <c r="AX850" i="1"/>
  <c r="AX851" i="1"/>
  <c r="AX852" i="1"/>
  <c r="AX853" i="1"/>
  <c r="AX854" i="1"/>
  <c r="AX855" i="1"/>
  <c r="AX856" i="1"/>
  <c r="AX857" i="1"/>
  <c r="AX858" i="1"/>
  <c r="AX859" i="1"/>
  <c r="AX860" i="1"/>
  <c r="AX861" i="1"/>
  <c r="AX862" i="1"/>
  <c r="AX863" i="1"/>
  <c r="AX864" i="1"/>
  <c r="AX865" i="1"/>
  <c r="AX866" i="1"/>
  <c r="AX867" i="1"/>
  <c r="AX868" i="1"/>
  <c r="AX869" i="1"/>
  <c r="AX870" i="1"/>
  <c r="AX871" i="1"/>
  <c r="AX872" i="1"/>
  <c r="AX873" i="1"/>
  <c r="AX874" i="1"/>
  <c r="AX875" i="1"/>
  <c r="AX876" i="1"/>
  <c r="AX877" i="1"/>
  <c r="AX878" i="1"/>
  <c r="AX879" i="1"/>
  <c r="AX880" i="1"/>
  <c r="AX881" i="1"/>
  <c r="AX882" i="1"/>
  <c r="AX883" i="1"/>
  <c r="AX884" i="1"/>
  <c r="AX885" i="1"/>
  <c r="AX886" i="1"/>
  <c r="AX887" i="1"/>
  <c r="AX888" i="1"/>
  <c r="AX889" i="1"/>
  <c r="AX890" i="1"/>
  <c r="AX891" i="1"/>
  <c r="AX892" i="1"/>
  <c r="AX893" i="1"/>
  <c r="AX894" i="1"/>
  <c r="AX895" i="1"/>
  <c r="AX896" i="1"/>
  <c r="AX897" i="1"/>
  <c r="AX898" i="1"/>
  <c r="AX899" i="1"/>
  <c r="AX900" i="1"/>
  <c r="AX901" i="1"/>
  <c r="AX902" i="1"/>
  <c r="AX903" i="1"/>
  <c r="AX904" i="1"/>
  <c r="AX905" i="1"/>
  <c r="AX906" i="1"/>
  <c r="AX907" i="1"/>
  <c r="AX908" i="1"/>
  <c r="AX909" i="1"/>
  <c r="AX910" i="1"/>
  <c r="AX911" i="1"/>
  <c r="AX912" i="1"/>
  <c r="AX913" i="1"/>
  <c r="AX914" i="1"/>
  <c r="AX915" i="1"/>
  <c r="AX916" i="1"/>
  <c r="AX917" i="1"/>
  <c r="AX918" i="1"/>
  <c r="AX919" i="1"/>
  <c r="AX920" i="1"/>
  <c r="AX921" i="1"/>
  <c r="AX922" i="1"/>
  <c r="AX923" i="1"/>
  <c r="AX924" i="1"/>
  <c r="AX925" i="1"/>
  <c r="AX926" i="1"/>
  <c r="AX927" i="1"/>
  <c r="AX928" i="1"/>
  <c r="AX929" i="1"/>
  <c r="AX930" i="1"/>
  <c r="AX931" i="1"/>
  <c r="AX932" i="1"/>
  <c r="AX933" i="1"/>
  <c r="AX934" i="1"/>
  <c r="AX935" i="1"/>
  <c r="AX936" i="1"/>
  <c r="AX937" i="1"/>
  <c r="AX938" i="1"/>
  <c r="AX939" i="1"/>
  <c r="AX940" i="1"/>
  <c r="AX941" i="1"/>
  <c r="AX942" i="1"/>
  <c r="AX943" i="1"/>
  <c r="AX944" i="1"/>
  <c r="AX945" i="1"/>
  <c r="AX946" i="1"/>
  <c r="AX947" i="1"/>
  <c r="AX948" i="1"/>
  <c r="AX949" i="1"/>
  <c r="AX950" i="1"/>
  <c r="AX951" i="1"/>
  <c r="AX952" i="1"/>
  <c r="AX953" i="1"/>
  <c r="AX954" i="1"/>
  <c r="AX955" i="1"/>
  <c r="AX956" i="1"/>
  <c r="AX957" i="1"/>
  <c r="AX958" i="1"/>
  <c r="AX959" i="1"/>
  <c r="AX960" i="1"/>
  <c r="AX961" i="1"/>
  <c r="AX962" i="1"/>
  <c r="AX963" i="1"/>
  <c r="AX964" i="1"/>
  <c r="AX965" i="1"/>
  <c r="AX966" i="1"/>
  <c r="AX967" i="1"/>
  <c r="AX968" i="1"/>
  <c r="AX969" i="1"/>
  <c r="AX970" i="1"/>
  <c r="AX971" i="1"/>
  <c r="AX972" i="1"/>
  <c r="AX973" i="1"/>
  <c r="AX974" i="1"/>
  <c r="AX975" i="1"/>
  <c r="AX976" i="1"/>
  <c r="AX977" i="1"/>
  <c r="AX978" i="1"/>
  <c r="AX979" i="1"/>
  <c r="AX980" i="1"/>
  <c r="AX981" i="1"/>
  <c r="AX982" i="1"/>
  <c r="AX983" i="1"/>
  <c r="AX984" i="1"/>
  <c r="AX985" i="1"/>
  <c r="AX986" i="1"/>
  <c r="AX987" i="1"/>
  <c r="AX988" i="1"/>
  <c r="AX989" i="1"/>
  <c r="AX990" i="1"/>
  <c r="AX991" i="1"/>
  <c r="AX992" i="1"/>
  <c r="AX993" i="1"/>
  <c r="AX994" i="1"/>
  <c r="AX995" i="1"/>
  <c r="AX996" i="1"/>
  <c r="AX997" i="1"/>
  <c r="AX998" i="1"/>
  <c r="AX999" i="1"/>
  <c r="AX1000" i="1"/>
  <c r="AX1001" i="1"/>
  <c r="AX1002" i="1"/>
  <c r="AX1003" i="1"/>
  <c r="AX1004" i="1"/>
  <c r="AX1005" i="1"/>
  <c r="AX1006" i="1"/>
  <c r="AX1007" i="1"/>
  <c r="AX1008" i="1"/>
  <c r="AX1009" i="1"/>
  <c r="AX1010" i="1"/>
  <c r="AX1011" i="1"/>
  <c r="AX1012" i="1"/>
  <c r="AX1013" i="1"/>
  <c r="AX1014" i="1"/>
  <c r="AX1015" i="1"/>
  <c r="AX1016" i="1"/>
  <c r="AX1017" i="1"/>
  <c r="AX1018" i="1"/>
  <c r="AX1019" i="1"/>
  <c r="AX1020" i="1"/>
  <c r="AX1021" i="1"/>
  <c r="AX1022" i="1"/>
  <c r="AX1023" i="1"/>
  <c r="AX1024" i="1"/>
  <c r="AX1025" i="1"/>
  <c r="AX1026" i="1"/>
  <c r="AX1027" i="1"/>
  <c r="AX1028" i="1"/>
  <c r="AX1029" i="1"/>
  <c r="AX1030" i="1"/>
  <c r="AX1031" i="1"/>
  <c r="AX1032" i="1"/>
  <c r="AX1033" i="1"/>
  <c r="AX1034" i="1"/>
  <c r="AX1035" i="1"/>
  <c r="AX1036" i="1"/>
  <c r="AX1037" i="1"/>
  <c r="AX1038" i="1"/>
  <c r="AX1039" i="1"/>
  <c r="AX1040" i="1"/>
  <c r="AX1041" i="1"/>
  <c r="AX1042" i="1"/>
  <c r="AX1043" i="1"/>
  <c r="AX1044" i="1"/>
  <c r="AX1045" i="1"/>
  <c r="AX1046" i="1"/>
  <c r="AX1047" i="1"/>
  <c r="AX1048" i="1"/>
  <c r="AX1049" i="1"/>
  <c r="AX1050" i="1"/>
  <c r="AX1051" i="1"/>
  <c r="AX1052" i="1"/>
  <c r="AX1053" i="1"/>
  <c r="AX1054" i="1"/>
  <c r="AX1055" i="1"/>
  <c r="AX1056" i="1"/>
  <c r="AX1057" i="1"/>
  <c r="AX1058" i="1"/>
  <c r="AX1059" i="1"/>
  <c r="AX1060" i="1"/>
  <c r="AX1061" i="1"/>
  <c r="AX1062" i="1"/>
  <c r="AX1063" i="1"/>
  <c r="AX1064" i="1"/>
  <c r="AX1065" i="1"/>
  <c r="AX1066" i="1"/>
  <c r="AX1067" i="1"/>
  <c r="AX1068" i="1"/>
  <c r="AX1069" i="1"/>
  <c r="AX1070" i="1"/>
  <c r="AX1071" i="1"/>
  <c r="AX1072" i="1"/>
  <c r="AX1073" i="1"/>
  <c r="AX1074" i="1"/>
  <c r="AX1075" i="1"/>
  <c r="AX1076" i="1"/>
  <c r="AX1077" i="1"/>
  <c r="AX1078" i="1"/>
  <c r="AX1079" i="1"/>
  <c r="AX1080" i="1"/>
  <c r="AX1081" i="1"/>
  <c r="AX1082" i="1"/>
  <c r="AX1083" i="1"/>
  <c r="AX1084" i="1"/>
  <c r="AX1085" i="1"/>
  <c r="AX1086" i="1"/>
  <c r="AX1087" i="1"/>
  <c r="AX1088" i="1"/>
  <c r="AX1089" i="1"/>
  <c r="AX1090" i="1"/>
  <c r="AX1091" i="1"/>
  <c r="AX1092" i="1"/>
  <c r="AX1093" i="1"/>
  <c r="AX1094" i="1"/>
  <c r="AX1095" i="1"/>
  <c r="AX1096" i="1"/>
  <c r="AX1097" i="1"/>
  <c r="AX1098" i="1"/>
  <c r="AX1099" i="1"/>
  <c r="AX1100" i="1"/>
  <c r="AX1101" i="1"/>
  <c r="AV2" i="1"/>
  <c r="AV3" i="1"/>
  <c r="AV4" i="1"/>
  <c r="AV5" i="1"/>
  <c r="AV6" i="1"/>
  <c r="AV7" i="1"/>
  <c r="AV8" i="1"/>
  <c r="AW8" i="1" s="1"/>
  <c r="AV9" i="1"/>
  <c r="AW9" i="1" s="1"/>
  <c r="AV10" i="1"/>
  <c r="AV11" i="1"/>
  <c r="AV12" i="1"/>
  <c r="AV13" i="1"/>
  <c r="AW13" i="1" s="1"/>
  <c r="AV14" i="1"/>
  <c r="AV15" i="1"/>
  <c r="AV16" i="1"/>
  <c r="AV17" i="1"/>
  <c r="AV18" i="1"/>
  <c r="AV19" i="1"/>
  <c r="AV20" i="1"/>
  <c r="AW20" i="1" s="1"/>
  <c r="AV21" i="1"/>
  <c r="AW21" i="1" s="1"/>
  <c r="AV22" i="1"/>
  <c r="AV23" i="1"/>
  <c r="AV24" i="1"/>
  <c r="AV25" i="1"/>
  <c r="AW25" i="1" s="1"/>
  <c r="AV26" i="1"/>
  <c r="AV27" i="1"/>
  <c r="AV28" i="1"/>
  <c r="AV29" i="1"/>
  <c r="AV30" i="1"/>
  <c r="AV31" i="1"/>
  <c r="AV32" i="1"/>
  <c r="AW32" i="1" s="1"/>
  <c r="AV33" i="1"/>
  <c r="AW33" i="1" s="1"/>
  <c r="AV34" i="1"/>
  <c r="AV35" i="1"/>
  <c r="AV36" i="1"/>
  <c r="AV37" i="1"/>
  <c r="AW37" i="1" s="1"/>
  <c r="AV38" i="1"/>
  <c r="AV39" i="1"/>
  <c r="AV40" i="1"/>
  <c r="AV41" i="1"/>
  <c r="AV42" i="1"/>
  <c r="AV43" i="1"/>
  <c r="AV44" i="1"/>
  <c r="AW44" i="1" s="1"/>
  <c r="AV45" i="1"/>
  <c r="AW45" i="1" s="1"/>
  <c r="AV46" i="1"/>
  <c r="AV47" i="1"/>
  <c r="AV48" i="1"/>
  <c r="AV49" i="1"/>
  <c r="AW49" i="1" s="1"/>
  <c r="AV50" i="1"/>
  <c r="AV51" i="1"/>
  <c r="AV52" i="1"/>
  <c r="AV53" i="1"/>
  <c r="AV54" i="1"/>
  <c r="AV55" i="1"/>
  <c r="AV56" i="1"/>
  <c r="AW56" i="1" s="1"/>
  <c r="AV57" i="1"/>
  <c r="AW57" i="1" s="1"/>
  <c r="AV58" i="1"/>
  <c r="AV59" i="1"/>
  <c r="AV60" i="1"/>
  <c r="AV61" i="1"/>
  <c r="AW61" i="1" s="1"/>
  <c r="AV62" i="1"/>
  <c r="AV63" i="1"/>
  <c r="AV64" i="1"/>
  <c r="AV65" i="1"/>
  <c r="AV66" i="1"/>
  <c r="AV67" i="1"/>
  <c r="AV68" i="1"/>
  <c r="AW68" i="1" s="1"/>
  <c r="AV69" i="1"/>
  <c r="AW69" i="1" s="1"/>
  <c r="AV70" i="1"/>
  <c r="AV71" i="1"/>
  <c r="AV72" i="1"/>
  <c r="AV73" i="1"/>
  <c r="AW73" i="1" s="1"/>
  <c r="AV74" i="1"/>
  <c r="AV75" i="1"/>
  <c r="AV76" i="1"/>
  <c r="AV77" i="1"/>
  <c r="AV78" i="1"/>
  <c r="AV79" i="1"/>
  <c r="AV80" i="1"/>
  <c r="AW80" i="1" s="1"/>
  <c r="AV81" i="1"/>
  <c r="AW81" i="1" s="1"/>
  <c r="AV82" i="1"/>
  <c r="AV83" i="1"/>
  <c r="AV84" i="1"/>
  <c r="AV85" i="1"/>
  <c r="AW85" i="1" s="1"/>
  <c r="AV86" i="1"/>
  <c r="AV87" i="1"/>
  <c r="AV88" i="1"/>
  <c r="AV89" i="1"/>
  <c r="AV90" i="1"/>
  <c r="AV91" i="1"/>
  <c r="AV92" i="1"/>
  <c r="AW92" i="1" s="1"/>
  <c r="AV93" i="1"/>
  <c r="AW93" i="1" s="1"/>
  <c r="AV94" i="1"/>
  <c r="AV95" i="1"/>
  <c r="AV96" i="1"/>
  <c r="AV97" i="1"/>
  <c r="AW97" i="1" s="1"/>
  <c r="AV98" i="1"/>
  <c r="AV99" i="1"/>
  <c r="AV100" i="1"/>
  <c r="AV101" i="1"/>
  <c r="AV102" i="1"/>
  <c r="AV103" i="1"/>
  <c r="AV104" i="1"/>
  <c r="AW104" i="1" s="1"/>
  <c r="AV105" i="1"/>
  <c r="AY105" i="1" s="1"/>
  <c r="AV106" i="1"/>
  <c r="AV107" i="1"/>
  <c r="AV108" i="1"/>
  <c r="AV109" i="1"/>
  <c r="AW109" i="1" s="1"/>
  <c r="AV110" i="1"/>
  <c r="AV111" i="1"/>
  <c r="AV112" i="1"/>
  <c r="AV113" i="1"/>
  <c r="AV114" i="1"/>
  <c r="AV115" i="1"/>
  <c r="AV116" i="1"/>
  <c r="AW116" i="1" s="1"/>
  <c r="AV117" i="1"/>
  <c r="AW117" i="1" s="1"/>
  <c r="AV118" i="1"/>
  <c r="AV119" i="1"/>
  <c r="AV120" i="1"/>
  <c r="AV121" i="1"/>
  <c r="AW121" i="1" s="1"/>
  <c r="AV122" i="1"/>
  <c r="AV123" i="1"/>
  <c r="AV124" i="1"/>
  <c r="AV125" i="1"/>
  <c r="AV126" i="1"/>
  <c r="AV127" i="1"/>
  <c r="AV128" i="1"/>
  <c r="AW128" i="1" s="1"/>
  <c r="AV129" i="1"/>
  <c r="AW129" i="1" s="1"/>
  <c r="AV130" i="1"/>
  <c r="AV131" i="1"/>
  <c r="AV132" i="1"/>
  <c r="AV133" i="1"/>
  <c r="AW133" i="1" s="1"/>
  <c r="AV134" i="1"/>
  <c r="AV135" i="1"/>
  <c r="AV136" i="1"/>
  <c r="AV137" i="1"/>
  <c r="AV138" i="1"/>
  <c r="AV139" i="1"/>
  <c r="AV140" i="1"/>
  <c r="AW140" i="1" s="1"/>
  <c r="AV141" i="1"/>
  <c r="AW141" i="1" s="1"/>
  <c r="AV142" i="1"/>
  <c r="AV143" i="1"/>
  <c r="AV144" i="1"/>
  <c r="AV145" i="1"/>
  <c r="AW145" i="1" s="1"/>
  <c r="AV146" i="1"/>
  <c r="AV147" i="1"/>
  <c r="AV148" i="1"/>
  <c r="AV149" i="1"/>
  <c r="AV150" i="1"/>
  <c r="AV151" i="1"/>
  <c r="AV152" i="1"/>
  <c r="AW152" i="1" s="1"/>
  <c r="AV153" i="1"/>
  <c r="AW153" i="1" s="1"/>
  <c r="AV154" i="1"/>
  <c r="AV155" i="1"/>
  <c r="AV156" i="1"/>
  <c r="AV157" i="1"/>
  <c r="AW157" i="1" s="1"/>
  <c r="AV158" i="1"/>
  <c r="AV159" i="1"/>
  <c r="AV160" i="1"/>
  <c r="AV161" i="1"/>
  <c r="AV162" i="1"/>
  <c r="AV163" i="1"/>
  <c r="AV164" i="1"/>
  <c r="AW164" i="1" s="1"/>
  <c r="AV165" i="1"/>
  <c r="AW165" i="1" s="1"/>
  <c r="AV166" i="1"/>
  <c r="AV167" i="1"/>
  <c r="AV168" i="1"/>
  <c r="AV169" i="1"/>
  <c r="AW169" i="1" s="1"/>
  <c r="AV170" i="1"/>
  <c r="AV171" i="1"/>
  <c r="AV172" i="1"/>
  <c r="AV173" i="1"/>
  <c r="AV174" i="1"/>
  <c r="AV175" i="1"/>
  <c r="AV176" i="1"/>
  <c r="AW176" i="1" s="1"/>
  <c r="AV177" i="1"/>
  <c r="AW177" i="1" s="1"/>
  <c r="AV178" i="1"/>
  <c r="AV179" i="1"/>
  <c r="AV180" i="1"/>
  <c r="AV181" i="1"/>
  <c r="AW181" i="1" s="1"/>
  <c r="AV182" i="1"/>
  <c r="AV183" i="1"/>
  <c r="AV184" i="1"/>
  <c r="AV185" i="1"/>
  <c r="AV186" i="1"/>
  <c r="AV187" i="1"/>
  <c r="AV188" i="1"/>
  <c r="AW188" i="1" s="1"/>
  <c r="AV189" i="1"/>
  <c r="AW189" i="1" s="1"/>
  <c r="AV190" i="1"/>
  <c r="AV191" i="1"/>
  <c r="AV192" i="1"/>
  <c r="AV193" i="1"/>
  <c r="AW193" i="1" s="1"/>
  <c r="AV194" i="1"/>
  <c r="AV195" i="1"/>
  <c r="AV196" i="1"/>
  <c r="AV197" i="1"/>
  <c r="AV198" i="1"/>
  <c r="AV199" i="1"/>
  <c r="AV200" i="1"/>
  <c r="AW200" i="1" s="1"/>
  <c r="AV201" i="1"/>
  <c r="AW201" i="1" s="1"/>
  <c r="AV202" i="1"/>
  <c r="AV203" i="1"/>
  <c r="AV204" i="1"/>
  <c r="AV205" i="1"/>
  <c r="AW205" i="1" s="1"/>
  <c r="AV206" i="1"/>
  <c r="AV207" i="1"/>
  <c r="AV208" i="1"/>
  <c r="AV209" i="1"/>
  <c r="AV210" i="1"/>
  <c r="AV211" i="1"/>
  <c r="AV212" i="1"/>
  <c r="AW212" i="1" s="1"/>
  <c r="AV213" i="1"/>
  <c r="AW213" i="1" s="1"/>
  <c r="AV214" i="1"/>
  <c r="AV215" i="1"/>
  <c r="AV216" i="1"/>
  <c r="AV217" i="1"/>
  <c r="AW217" i="1" s="1"/>
  <c r="AV218" i="1"/>
  <c r="AV219" i="1"/>
  <c r="AV220" i="1"/>
  <c r="AV221" i="1"/>
  <c r="AV222" i="1"/>
  <c r="AV223" i="1"/>
  <c r="AV224" i="1"/>
  <c r="AW224" i="1" s="1"/>
  <c r="AV225" i="1"/>
  <c r="AW225" i="1" s="1"/>
  <c r="AV226" i="1"/>
  <c r="AV227" i="1"/>
  <c r="AV228" i="1"/>
  <c r="AV229" i="1"/>
  <c r="AW229" i="1" s="1"/>
  <c r="AV230" i="1"/>
  <c r="AV231" i="1"/>
  <c r="AV232" i="1"/>
  <c r="AV233" i="1"/>
  <c r="AV234" i="1"/>
  <c r="AV235" i="1"/>
  <c r="AV236" i="1"/>
  <c r="AW236" i="1" s="1"/>
  <c r="AV237" i="1"/>
  <c r="AW237" i="1" s="1"/>
  <c r="AV238" i="1"/>
  <c r="AV239" i="1"/>
  <c r="AV240" i="1"/>
  <c r="AV241" i="1"/>
  <c r="AW241" i="1" s="1"/>
  <c r="AV242" i="1"/>
  <c r="AV243" i="1"/>
  <c r="AV244" i="1"/>
  <c r="AV245" i="1"/>
  <c r="AV246" i="1"/>
  <c r="AV247" i="1"/>
  <c r="AV248" i="1"/>
  <c r="AW248" i="1" s="1"/>
  <c r="AV249" i="1"/>
  <c r="AW249" i="1" s="1"/>
  <c r="AV250" i="1"/>
  <c r="AV251" i="1"/>
  <c r="AV252" i="1"/>
  <c r="AV253" i="1"/>
  <c r="AW253" i="1" s="1"/>
  <c r="AV254" i="1"/>
  <c r="AV255" i="1"/>
  <c r="AV256" i="1"/>
  <c r="AV257" i="1"/>
  <c r="AV258" i="1"/>
  <c r="AV259" i="1"/>
  <c r="AV260" i="1"/>
  <c r="AW260" i="1" s="1"/>
  <c r="AV261" i="1"/>
  <c r="AW261" i="1" s="1"/>
  <c r="AV262" i="1"/>
  <c r="AV263" i="1"/>
  <c r="AV264" i="1"/>
  <c r="AV265" i="1"/>
  <c r="AW265" i="1" s="1"/>
  <c r="AV266" i="1"/>
  <c r="AV267" i="1"/>
  <c r="AV268" i="1"/>
  <c r="AV269" i="1"/>
  <c r="AV270" i="1"/>
  <c r="AV271" i="1"/>
  <c r="AV272" i="1"/>
  <c r="AW272" i="1" s="1"/>
  <c r="AV273" i="1"/>
  <c r="AW273" i="1" s="1"/>
  <c r="AV274" i="1"/>
  <c r="AV275" i="1"/>
  <c r="AV276" i="1"/>
  <c r="AV277" i="1"/>
  <c r="AW277" i="1" s="1"/>
  <c r="AV278" i="1"/>
  <c r="AV279" i="1"/>
  <c r="AV280" i="1"/>
  <c r="AV281" i="1"/>
  <c r="AV282" i="1"/>
  <c r="AV283" i="1"/>
  <c r="AV284" i="1"/>
  <c r="AW284" i="1" s="1"/>
  <c r="AV285" i="1"/>
  <c r="AW285" i="1" s="1"/>
  <c r="AV286" i="1"/>
  <c r="AV287" i="1"/>
  <c r="AV288" i="1"/>
  <c r="AV289" i="1"/>
  <c r="AW289" i="1" s="1"/>
  <c r="AV290" i="1"/>
  <c r="AV291" i="1"/>
  <c r="AV292" i="1"/>
  <c r="AV293" i="1"/>
  <c r="AV294" i="1"/>
  <c r="AV295" i="1"/>
  <c r="AV296" i="1"/>
  <c r="AW296" i="1" s="1"/>
  <c r="AV297" i="1"/>
  <c r="AW297" i="1" s="1"/>
  <c r="AV298" i="1"/>
  <c r="AV299" i="1"/>
  <c r="AV300" i="1"/>
  <c r="AV301" i="1"/>
  <c r="AW301" i="1" s="1"/>
  <c r="AV302" i="1"/>
  <c r="AV303" i="1"/>
  <c r="AV304" i="1"/>
  <c r="AV305" i="1"/>
  <c r="AV306" i="1"/>
  <c r="AV307" i="1"/>
  <c r="AV308" i="1"/>
  <c r="AW308" i="1" s="1"/>
  <c r="AV309" i="1"/>
  <c r="AW309" i="1" s="1"/>
  <c r="AV310" i="1"/>
  <c r="AV311" i="1"/>
  <c r="AV312" i="1"/>
  <c r="AV313" i="1"/>
  <c r="AW313" i="1" s="1"/>
  <c r="AV314" i="1"/>
  <c r="AV315" i="1"/>
  <c r="AV316" i="1"/>
  <c r="AV317" i="1"/>
  <c r="AV318" i="1"/>
  <c r="AV319" i="1"/>
  <c r="AV320" i="1"/>
  <c r="AW320" i="1" s="1"/>
  <c r="AV321" i="1"/>
  <c r="AW321" i="1" s="1"/>
  <c r="AV322" i="1"/>
  <c r="AV323" i="1"/>
  <c r="AV324" i="1"/>
  <c r="AV325" i="1"/>
  <c r="AW325" i="1" s="1"/>
  <c r="AV326" i="1"/>
  <c r="AV327" i="1"/>
  <c r="AW327" i="1" s="1"/>
  <c r="AV328" i="1"/>
  <c r="AV329" i="1"/>
  <c r="AV330" i="1"/>
  <c r="AV331" i="1"/>
  <c r="AV332" i="1"/>
  <c r="AW332" i="1" s="1"/>
  <c r="AV333" i="1"/>
  <c r="AW333" i="1" s="1"/>
  <c r="AV334" i="1"/>
  <c r="AV335" i="1"/>
  <c r="AV336" i="1"/>
  <c r="AV337" i="1"/>
  <c r="AW337" i="1" s="1"/>
  <c r="AV338" i="1"/>
  <c r="AV339" i="1"/>
  <c r="AW339" i="1" s="1"/>
  <c r="AV340" i="1"/>
  <c r="AV341" i="1"/>
  <c r="AV342" i="1"/>
  <c r="AV343" i="1"/>
  <c r="AV344" i="1"/>
  <c r="AW344" i="1" s="1"/>
  <c r="AV345" i="1"/>
  <c r="AW345" i="1" s="1"/>
  <c r="AV346" i="1"/>
  <c r="AV347" i="1"/>
  <c r="AV348" i="1"/>
  <c r="AV349" i="1"/>
  <c r="AW349" i="1" s="1"/>
  <c r="AV350" i="1"/>
  <c r="AV351" i="1"/>
  <c r="AW351" i="1" s="1"/>
  <c r="AV352" i="1"/>
  <c r="AV353" i="1"/>
  <c r="AV354" i="1"/>
  <c r="AV355" i="1"/>
  <c r="AV356" i="1"/>
  <c r="AW356" i="1" s="1"/>
  <c r="AV357" i="1"/>
  <c r="AW357" i="1" s="1"/>
  <c r="AV358" i="1"/>
  <c r="AV359" i="1"/>
  <c r="AV360" i="1"/>
  <c r="AV361" i="1"/>
  <c r="AW361" i="1" s="1"/>
  <c r="AV362" i="1"/>
  <c r="AV363" i="1"/>
  <c r="AW363" i="1" s="1"/>
  <c r="AV364" i="1"/>
  <c r="AV365" i="1"/>
  <c r="AV366" i="1"/>
  <c r="AV367" i="1"/>
  <c r="AV368" i="1"/>
  <c r="AW368" i="1" s="1"/>
  <c r="AV369" i="1"/>
  <c r="AW369" i="1" s="1"/>
  <c r="AV370" i="1"/>
  <c r="AV371" i="1"/>
  <c r="AV372" i="1"/>
  <c r="AV373" i="1"/>
  <c r="AW373" i="1" s="1"/>
  <c r="AV374" i="1"/>
  <c r="AV375" i="1"/>
  <c r="AW375" i="1" s="1"/>
  <c r="AV376" i="1"/>
  <c r="AV377" i="1"/>
  <c r="AV378" i="1"/>
  <c r="AV379" i="1"/>
  <c r="AV380" i="1"/>
  <c r="AW380" i="1" s="1"/>
  <c r="AV381" i="1"/>
  <c r="AW381" i="1" s="1"/>
  <c r="AV382" i="1"/>
  <c r="AV383" i="1"/>
  <c r="AV384" i="1"/>
  <c r="AV385" i="1"/>
  <c r="AW385" i="1" s="1"/>
  <c r="AV386" i="1"/>
  <c r="AV387" i="1"/>
  <c r="AW387" i="1" s="1"/>
  <c r="AV388" i="1"/>
  <c r="AV389" i="1"/>
  <c r="AV390" i="1"/>
  <c r="AV391" i="1"/>
  <c r="AV392" i="1"/>
  <c r="AW392" i="1" s="1"/>
  <c r="AV393" i="1"/>
  <c r="AW393" i="1" s="1"/>
  <c r="AV394" i="1"/>
  <c r="AV395" i="1"/>
  <c r="AV396" i="1"/>
  <c r="AV397" i="1"/>
  <c r="AW397" i="1" s="1"/>
  <c r="AV398" i="1"/>
  <c r="AV399" i="1"/>
  <c r="AW399" i="1" s="1"/>
  <c r="AV400" i="1"/>
  <c r="AV401" i="1"/>
  <c r="AV402" i="1"/>
  <c r="AV403" i="1"/>
  <c r="AV404" i="1"/>
  <c r="AW404" i="1" s="1"/>
  <c r="AV405" i="1"/>
  <c r="AW405" i="1" s="1"/>
  <c r="AV406" i="1"/>
  <c r="AV407" i="1"/>
  <c r="AV408" i="1"/>
  <c r="AV409" i="1"/>
  <c r="AW409" i="1" s="1"/>
  <c r="AV410" i="1"/>
  <c r="AV411" i="1"/>
  <c r="AW411" i="1" s="1"/>
  <c r="AV412" i="1"/>
  <c r="AV413" i="1"/>
  <c r="AV414" i="1"/>
  <c r="AV415" i="1"/>
  <c r="AV416" i="1"/>
  <c r="AW416" i="1" s="1"/>
  <c r="AV417" i="1"/>
  <c r="AW417" i="1" s="1"/>
  <c r="AV418" i="1"/>
  <c r="AV419" i="1"/>
  <c r="AV420" i="1"/>
  <c r="AV421" i="1"/>
  <c r="AW421" i="1" s="1"/>
  <c r="AV422" i="1"/>
  <c r="AV423" i="1"/>
  <c r="AW423" i="1" s="1"/>
  <c r="AV424" i="1"/>
  <c r="AV425" i="1"/>
  <c r="AV426" i="1"/>
  <c r="AV427" i="1"/>
  <c r="AV428" i="1"/>
  <c r="AW428" i="1" s="1"/>
  <c r="AV429" i="1"/>
  <c r="AW429" i="1" s="1"/>
  <c r="AV430" i="1"/>
  <c r="AV431" i="1"/>
  <c r="AV432" i="1"/>
  <c r="AV433" i="1"/>
  <c r="AW433" i="1" s="1"/>
  <c r="AV434" i="1"/>
  <c r="AV435" i="1"/>
  <c r="AW435" i="1" s="1"/>
  <c r="AV436" i="1"/>
  <c r="AV437" i="1"/>
  <c r="AV438" i="1"/>
  <c r="AV439" i="1"/>
  <c r="AV440" i="1"/>
  <c r="AW440" i="1" s="1"/>
  <c r="AV441" i="1"/>
  <c r="AW441" i="1" s="1"/>
  <c r="AV442" i="1"/>
  <c r="AV443" i="1"/>
  <c r="AV444" i="1"/>
  <c r="AV445" i="1"/>
  <c r="AW445" i="1" s="1"/>
  <c r="AV446" i="1"/>
  <c r="AV447" i="1"/>
  <c r="AW447" i="1" s="1"/>
  <c r="AV448" i="1"/>
  <c r="AV449" i="1"/>
  <c r="AV450" i="1"/>
  <c r="AV451" i="1"/>
  <c r="AV452" i="1"/>
  <c r="AW452" i="1" s="1"/>
  <c r="AV453" i="1"/>
  <c r="AW453" i="1" s="1"/>
  <c r="AV454" i="1"/>
  <c r="AV455" i="1"/>
  <c r="AV456" i="1"/>
  <c r="AV457" i="1"/>
  <c r="AW457" i="1" s="1"/>
  <c r="AV458" i="1"/>
  <c r="AV459" i="1"/>
  <c r="AW459" i="1" s="1"/>
  <c r="AV460" i="1"/>
  <c r="AV461" i="1"/>
  <c r="AV462" i="1"/>
  <c r="AV463" i="1"/>
  <c r="AV464" i="1"/>
  <c r="AW464" i="1" s="1"/>
  <c r="AV465" i="1"/>
  <c r="AW465" i="1" s="1"/>
  <c r="AV466" i="1"/>
  <c r="AV467" i="1"/>
  <c r="AV468" i="1"/>
  <c r="AV469" i="1"/>
  <c r="AW469" i="1" s="1"/>
  <c r="AV470" i="1"/>
  <c r="AV471" i="1"/>
  <c r="AW471" i="1" s="1"/>
  <c r="AV472" i="1"/>
  <c r="AV473" i="1"/>
  <c r="AV474" i="1"/>
  <c r="AV475" i="1"/>
  <c r="AV476" i="1"/>
  <c r="AW476" i="1" s="1"/>
  <c r="AV477" i="1"/>
  <c r="AW477" i="1" s="1"/>
  <c r="AV478" i="1"/>
  <c r="AV479" i="1"/>
  <c r="AV480" i="1"/>
  <c r="AV481" i="1"/>
  <c r="AW481" i="1" s="1"/>
  <c r="AV482" i="1"/>
  <c r="AV483" i="1"/>
  <c r="AW483" i="1" s="1"/>
  <c r="AV484" i="1"/>
  <c r="AV485" i="1"/>
  <c r="AV486" i="1"/>
  <c r="AV487" i="1"/>
  <c r="AV488" i="1"/>
  <c r="AW488" i="1" s="1"/>
  <c r="AV489" i="1"/>
  <c r="AW489" i="1" s="1"/>
  <c r="AV490" i="1"/>
  <c r="AV491" i="1"/>
  <c r="AV492" i="1"/>
  <c r="AV493" i="1"/>
  <c r="AW493" i="1" s="1"/>
  <c r="AV494" i="1"/>
  <c r="AV495" i="1"/>
  <c r="AW495" i="1" s="1"/>
  <c r="AV496" i="1"/>
  <c r="AV497" i="1"/>
  <c r="AV498" i="1"/>
  <c r="AV499" i="1"/>
  <c r="AV500" i="1"/>
  <c r="AW500" i="1" s="1"/>
  <c r="AV501" i="1"/>
  <c r="AW501" i="1" s="1"/>
  <c r="AV502" i="1"/>
  <c r="AV503" i="1"/>
  <c r="AV504" i="1"/>
  <c r="AV505" i="1"/>
  <c r="AW505" i="1" s="1"/>
  <c r="AV506" i="1"/>
  <c r="AV507" i="1"/>
  <c r="AW507" i="1" s="1"/>
  <c r="AV508" i="1"/>
  <c r="AV509" i="1"/>
  <c r="AV510" i="1"/>
  <c r="AV511" i="1"/>
  <c r="AV512" i="1"/>
  <c r="AW512" i="1" s="1"/>
  <c r="AV513" i="1"/>
  <c r="AW513" i="1" s="1"/>
  <c r="AV514" i="1"/>
  <c r="AV515" i="1"/>
  <c r="AV516" i="1"/>
  <c r="AV517" i="1"/>
  <c r="AW517" i="1" s="1"/>
  <c r="AV518" i="1"/>
  <c r="AV519" i="1"/>
  <c r="AW519" i="1" s="1"/>
  <c r="AV520" i="1"/>
  <c r="AV521" i="1"/>
  <c r="AV522" i="1"/>
  <c r="AV523" i="1"/>
  <c r="AV524" i="1"/>
  <c r="AW524" i="1" s="1"/>
  <c r="AV525" i="1"/>
  <c r="AW525" i="1" s="1"/>
  <c r="AV526" i="1"/>
  <c r="AV527" i="1"/>
  <c r="AV528" i="1"/>
  <c r="AV529" i="1"/>
  <c r="AW529" i="1" s="1"/>
  <c r="AV530" i="1"/>
  <c r="AV531" i="1"/>
  <c r="AW531" i="1" s="1"/>
  <c r="AV532" i="1"/>
  <c r="AV533" i="1"/>
  <c r="AV534" i="1"/>
  <c r="AV535" i="1"/>
  <c r="AV536" i="1"/>
  <c r="AW536" i="1" s="1"/>
  <c r="AV537" i="1"/>
  <c r="AW537" i="1" s="1"/>
  <c r="AV538" i="1"/>
  <c r="AV539" i="1"/>
  <c r="AV540" i="1"/>
  <c r="AV541" i="1"/>
  <c r="AW541" i="1" s="1"/>
  <c r="AV542" i="1"/>
  <c r="AV543" i="1"/>
  <c r="AW543" i="1" s="1"/>
  <c r="AV544" i="1"/>
  <c r="AV545" i="1"/>
  <c r="AV546" i="1"/>
  <c r="AV547" i="1"/>
  <c r="AV548" i="1"/>
  <c r="AW548" i="1" s="1"/>
  <c r="AV549" i="1"/>
  <c r="AW549" i="1" s="1"/>
  <c r="AV550" i="1"/>
  <c r="AV551" i="1"/>
  <c r="AV552" i="1"/>
  <c r="AV553" i="1"/>
  <c r="AW553" i="1" s="1"/>
  <c r="AV554" i="1"/>
  <c r="AV555" i="1"/>
  <c r="AW555" i="1" s="1"/>
  <c r="AV556" i="1"/>
  <c r="AV557" i="1"/>
  <c r="AV558" i="1"/>
  <c r="AV559" i="1"/>
  <c r="AV560" i="1"/>
  <c r="AW560" i="1" s="1"/>
  <c r="AV561" i="1"/>
  <c r="AW561" i="1" s="1"/>
  <c r="AV562" i="1"/>
  <c r="AV563" i="1"/>
  <c r="AV564" i="1"/>
  <c r="AV565" i="1"/>
  <c r="AW565" i="1" s="1"/>
  <c r="AV566" i="1"/>
  <c r="AV567" i="1"/>
  <c r="AW567" i="1" s="1"/>
  <c r="AV568" i="1"/>
  <c r="AV569" i="1"/>
  <c r="AV570" i="1"/>
  <c r="AV571" i="1"/>
  <c r="AV572" i="1"/>
  <c r="AW572" i="1" s="1"/>
  <c r="AV573" i="1"/>
  <c r="AW573" i="1" s="1"/>
  <c r="AV574" i="1"/>
  <c r="AV575" i="1"/>
  <c r="AV576" i="1"/>
  <c r="AV577" i="1"/>
  <c r="AW577" i="1" s="1"/>
  <c r="AV578" i="1"/>
  <c r="AV579" i="1"/>
  <c r="AW579" i="1" s="1"/>
  <c r="AV580" i="1"/>
  <c r="AV581" i="1"/>
  <c r="AV582" i="1"/>
  <c r="AV583" i="1"/>
  <c r="AV584" i="1"/>
  <c r="AW584" i="1" s="1"/>
  <c r="AV585" i="1"/>
  <c r="AW585" i="1" s="1"/>
  <c r="AV586" i="1"/>
  <c r="AV587" i="1"/>
  <c r="AV588" i="1"/>
  <c r="AV589" i="1"/>
  <c r="AW589" i="1" s="1"/>
  <c r="AV590" i="1"/>
  <c r="AV591" i="1"/>
  <c r="AW591" i="1" s="1"/>
  <c r="AV592" i="1"/>
  <c r="AV593" i="1"/>
  <c r="AV594" i="1"/>
  <c r="AV595" i="1"/>
  <c r="AV596" i="1"/>
  <c r="AW596" i="1" s="1"/>
  <c r="AV597" i="1"/>
  <c r="AW597" i="1" s="1"/>
  <c r="AV598" i="1"/>
  <c r="AV599" i="1"/>
  <c r="AV600" i="1"/>
  <c r="AV601" i="1"/>
  <c r="AW601" i="1" s="1"/>
  <c r="AV602" i="1"/>
  <c r="AV603" i="1"/>
  <c r="AW603" i="1" s="1"/>
  <c r="AV604" i="1"/>
  <c r="AV605" i="1"/>
  <c r="AV606" i="1"/>
  <c r="AV607" i="1"/>
  <c r="AV608" i="1"/>
  <c r="AW608" i="1" s="1"/>
  <c r="AV609" i="1"/>
  <c r="AW609" i="1" s="1"/>
  <c r="AV610" i="1"/>
  <c r="AV611" i="1"/>
  <c r="AV612" i="1"/>
  <c r="AV613" i="1"/>
  <c r="AW613" i="1" s="1"/>
  <c r="AV614" i="1"/>
  <c r="AV615" i="1"/>
  <c r="AW615" i="1" s="1"/>
  <c r="AV616" i="1"/>
  <c r="AV617" i="1"/>
  <c r="AV618" i="1"/>
  <c r="AV619" i="1"/>
  <c r="AV620" i="1"/>
  <c r="AW620" i="1" s="1"/>
  <c r="AV621" i="1"/>
  <c r="AW621" i="1" s="1"/>
  <c r="AV622" i="1"/>
  <c r="AV623" i="1"/>
  <c r="AV624" i="1"/>
  <c r="AV625" i="1"/>
  <c r="AW625" i="1" s="1"/>
  <c r="AV626" i="1"/>
  <c r="AV627" i="1"/>
  <c r="AW627" i="1" s="1"/>
  <c r="AV628" i="1"/>
  <c r="AV629" i="1"/>
  <c r="AV630" i="1"/>
  <c r="AV631" i="1"/>
  <c r="AV632" i="1"/>
  <c r="AW632" i="1" s="1"/>
  <c r="AV633" i="1"/>
  <c r="AW633" i="1" s="1"/>
  <c r="AV634" i="1"/>
  <c r="AV635" i="1"/>
  <c r="AV636" i="1"/>
  <c r="AV637" i="1"/>
  <c r="AW637" i="1" s="1"/>
  <c r="AV638" i="1"/>
  <c r="AV639" i="1"/>
  <c r="AW639" i="1" s="1"/>
  <c r="AV640" i="1"/>
  <c r="AV641" i="1"/>
  <c r="AV642" i="1"/>
  <c r="AV643" i="1"/>
  <c r="AV644" i="1"/>
  <c r="AW644" i="1" s="1"/>
  <c r="AV645" i="1"/>
  <c r="AW645" i="1" s="1"/>
  <c r="AV646" i="1"/>
  <c r="AV647" i="1"/>
  <c r="AV648" i="1"/>
  <c r="AV649" i="1"/>
  <c r="AW649" i="1" s="1"/>
  <c r="AV650" i="1"/>
  <c r="AV651" i="1"/>
  <c r="AW651" i="1" s="1"/>
  <c r="AV652" i="1"/>
  <c r="AV653" i="1"/>
  <c r="AV654" i="1"/>
  <c r="AV655" i="1"/>
  <c r="AV656" i="1"/>
  <c r="AW656" i="1" s="1"/>
  <c r="AV657" i="1"/>
  <c r="AW657" i="1" s="1"/>
  <c r="AV658" i="1"/>
  <c r="AV659" i="1"/>
  <c r="AV660" i="1"/>
  <c r="AV661" i="1"/>
  <c r="AW661" i="1" s="1"/>
  <c r="AV662" i="1"/>
  <c r="AV663" i="1"/>
  <c r="AW663" i="1" s="1"/>
  <c r="AV664" i="1"/>
  <c r="AV665" i="1"/>
  <c r="AV666" i="1"/>
  <c r="AV667" i="1"/>
  <c r="AV668" i="1"/>
  <c r="AW668" i="1" s="1"/>
  <c r="AV669" i="1"/>
  <c r="AW669" i="1" s="1"/>
  <c r="AV670" i="1"/>
  <c r="AV671" i="1"/>
  <c r="AV672" i="1"/>
  <c r="AV673" i="1"/>
  <c r="AW673" i="1" s="1"/>
  <c r="AV674" i="1"/>
  <c r="AV675" i="1"/>
  <c r="AW675" i="1" s="1"/>
  <c r="AV676" i="1"/>
  <c r="AV677" i="1"/>
  <c r="AV678" i="1"/>
  <c r="AV679" i="1"/>
  <c r="AV680" i="1"/>
  <c r="AW680" i="1" s="1"/>
  <c r="AV681" i="1"/>
  <c r="AW681" i="1" s="1"/>
  <c r="AV682" i="1"/>
  <c r="AV683" i="1"/>
  <c r="AV684" i="1"/>
  <c r="AV685" i="1"/>
  <c r="AW685" i="1" s="1"/>
  <c r="AV686" i="1"/>
  <c r="AV687" i="1"/>
  <c r="AW687" i="1" s="1"/>
  <c r="AV688" i="1"/>
  <c r="AV689" i="1"/>
  <c r="AV690" i="1"/>
  <c r="AV691" i="1"/>
  <c r="AV692" i="1"/>
  <c r="AW692" i="1" s="1"/>
  <c r="AV693" i="1"/>
  <c r="AW693" i="1" s="1"/>
  <c r="AV694" i="1"/>
  <c r="AV695" i="1"/>
  <c r="AV696" i="1"/>
  <c r="AV697" i="1"/>
  <c r="AW697" i="1" s="1"/>
  <c r="AV698" i="1"/>
  <c r="AV699" i="1"/>
  <c r="AW699" i="1" s="1"/>
  <c r="AV700" i="1"/>
  <c r="AV701" i="1"/>
  <c r="AV702" i="1"/>
  <c r="AV703" i="1"/>
  <c r="AV704" i="1"/>
  <c r="AW704" i="1" s="1"/>
  <c r="AV705" i="1"/>
  <c r="AW705" i="1" s="1"/>
  <c r="AV706" i="1"/>
  <c r="AV707" i="1"/>
  <c r="AV708" i="1"/>
  <c r="AV709" i="1"/>
  <c r="AW709" i="1" s="1"/>
  <c r="AV710" i="1"/>
  <c r="AV711" i="1"/>
  <c r="AW711" i="1" s="1"/>
  <c r="AV712" i="1"/>
  <c r="AV713" i="1"/>
  <c r="AV714" i="1"/>
  <c r="AV715" i="1"/>
  <c r="AV716" i="1"/>
  <c r="AW716" i="1" s="1"/>
  <c r="AV717" i="1"/>
  <c r="AW717" i="1" s="1"/>
  <c r="AV718" i="1"/>
  <c r="AV719" i="1"/>
  <c r="AV720" i="1"/>
  <c r="AV721" i="1"/>
  <c r="AW721" i="1" s="1"/>
  <c r="AV722" i="1"/>
  <c r="AV723" i="1"/>
  <c r="AW723" i="1" s="1"/>
  <c r="AV724" i="1"/>
  <c r="AV725" i="1"/>
  <c r="AV726" i="1"/>
  <c r="AV727" i="1"/>
  <c r="AV728" i="1"/>
  <c r="AW728" i="1" s="1"/>
  <c r="AV729" i="1"/>
  <c r="AW729" i="1" s="1"/>
  <c r="AV730" i="1"/>
  <c r="AV731" i="1"/>
  <c r="AV732" i="1"/>
  <c r="AV733" i="1"/>
  <c r="AW733" i="1" s="1"/>
  <c r="AV734" i="1"/>
  <c r="AV735" i="1"/>
  <c r="AW735" i="1" s="1"/>
  <c r="AV736" i="1"/>
  <c r="AV737" i="1"/>
  <c r="AV738" i="1"/>
  <c r="AV739" i="1"/>
  <c r="AV740" i="1"/>
  <c r="AW740" i="1" s="1"/>
  <c r="AV741" i="1"/>
  <c r="AW741" i="1" s="1"/>
  <c r="AV742" i="1"/>
  <c r="AV743" i="1"/>
  <c r="AV744" i="1"/>
  <c r="AV745" i="1"/>
  <c r="AW745" i="1" s="1"/>
  <c r="AV746" i="1"/>
  <c r="AV747" i="1"/>
  <c r="AW747" i="1" s="1"/>
  <c r="AV748" i="1"/>
  <c r="AV749" i="1"/>
  <c r="AV750" i="1"/>
  <c r="AV751" i="1"/>
  <c r="AV752" i="1"/>
  <c r="AW752" i="1" s="1"/>
  <c r="AV753" i="1"/>
  <c r="AW753" i="1" s="1"/>
  <c r="AV754" i="1"/>
  <c r="AV755" i="1"/>
  <c r="AV756" i="1"/>
  <c r="AV757" i="1"/>
  <c r="AW757" i="1" s="1"/>
  <c r="AV758" i="1"/>
  <c r="AV759" i="1"/>
  <c r="AW759" i="1" s="1"/>
  <c r="AV760" i="1"/>
  <c r="AV761" i="1"/>
  <c r="AV762" i="1"/>
  <c r="AV763" i="1"/>
  <c r="AV764" i="1"/>
  <c r="AW764" i="1" s="1"/>
  <c r="AV765" i="1"/>
  <c r="AW765" i="1" s="1"/>
  <c r="AV766" i="1"/>
  <c r="AV767" i="1"/>
  <c r="AV768" i="1"/>
  <c r="AV769" i="1"/>
  <c r="AW769" i="1" s="1"/>
  <c r="AV770" i="1"/>
  <c r="AV771" i="1"/>
  <c r="AW771" i="1" s="1"/>
  <c r="AV772" i="1"/>
  <c r="AW772" i="1" s="1"/>
  <c r="AV773" i="1"/>
  <c r="AW773" i="1" s="1"/>
  <c r="AV774" i="1"/>
  <c r="AV775" i="1"/>
  <c r="AV776" i="1"/>
  <c r="AW776" i="1" s="1"/>
  <c r="AV777" i="1"/>
  <c r="AW777" i="1" s="1"/>
  <c r="AV778" i="1"/>
  <c r="AV779" i="1"/>
  <c r="AV780" i="1"/>
  <c r="AV781" i="1"/>
  <c r="AW781" i="1" s="1"/>
  <c r="AV782" i="1"/>
  <c r="AV783" i="1"/>
  <c r="AW783" i="1" s="1"/>
  <c r="AV784" i="1"/>
  <c r="AW784" i="1" s="1"/>
  <c r="AV785" i="1"/>
  <c r="AW785" i="1" s="1"/>
  <c r="AV786" i="1"/>
  <c r="AW786" i="1" s="1"/>
  <c r="AV787" i="1"/>
  <c r="AW787" i="1" s="1"/>
  <c r="AV788" i="1"/>
  <c r="AW788" i="1" s="1"/>
  <c r="AV789" i="1"/>
  <c r="AW789" i="1" s="1"/>
  <c r="AV790" i="1"/>
  <c r="AW790" i="1" s="1"/>
  <c r="AV791" i="1"/>
  <c r="AW791" i="1" s="1"/>
  <c r="AV792" i="1"/>
  <c r="AV793" i="1"/>
  <c r="AW793" i="1" s="1"/>
  <c r="AV794" i="1"/>
  <c r="AV795" i="1"/>
  <c r="AW795" i="1" s="1"/>
  <c r="AV796" i="1"/>
  <c r="AW796" i="1" s="1"/>
  <c r="AV797" i="1"/>
  <c r="AW797" i="1" s="1"/>
  <c r="AV798" i="1"/>
  <c r="AW798" i="1" s="1"/>
  <c r="AV799" i="1"/>
  <c r="AW799" i="1" s="1"/>
  <c r="AV800" i="1"/>
  <c r="AW800" i="1" s="1"/>
  <c r="AV801" i="1"/>
  <c r="AW801" i="1" s="1"/>
  <c r="AV802" i="1"/>
  <c r="AW802" i="1" s="1"/>
  <c r="AV803" i="1"/>
  <c r="AW803" i="1" s="1"/>
  <c r="AV804" i="1"/>
  <c r="AV805" i="1"/>
  <c r="AW805" i="1" s="1"/>
  <c r="AV806" i="1"/>
  <c r="AV807" i="1"/>
  <c r="AW807" i="1" s="1"/>
  <c r="AV808" i="1"/>
  <c r="AW808" i="1" s="1"/>
  <c r="AV809" i="1"/>
  <c r="AW809" i="1" s="1"/>
  <c r="AV810" i="1"/>
  <c r="AW810" i="1" s="1"/>
  <c r="AV811" i="1"/>
  <c r="AW811" i="1" s="1"/>
  <c r="AV812" i="1"/>
  <c r="AW812" i="1" s="1"/>
  <c r="AV813" i="1"/>
  <c r="AW813" i="1" s="1"/>
  <c r="AV814" i="1"/>
  <c r="AW814" i="1" s="1"/>
  <c r="AV815" i="1"/>
  <c r="AW815" i="1" s="1"/>
  <c r="AV816" i="1"/>
  <c r="AV817" i="1"/>
  <c r="AW817" i="1" s="1"/>
  <c r="AV818" i="1"/>
  <c r="AV819" i="1"/>
  <c r="AW819" i="1" s="1"/>
  <c r="AV820" i="1"/>
  <c r="AW820" i="1" s="1"/>
  <c r="AV821" i="1"/>
  <c r="AW821" i="1" s="1"/>
  <c r="AV822" i="1"/>
  <c r="AW822" i="1" s="1"/>
  <c r="AV823" i="1"/>
  <c r="AW823" i="1" s="1"/>
  <c r="AV824" i="1"/>
  <c r="AW824" i="1" s="1"/>
  <c r="AV825" i="1"/>
  <c r="AW825" i="1" s="1"/>
  <c r="AV826" i="1"/>
  <c r="AW826" i="1" s="1"/>
  <c r="AV827" i="1"/>
  <c r="AW827" i="1" s="1"/>
  <c r="AV828" i="1"/>
  <c r="AV829" i="1"/>
  <c r="AW829" i="1" s="1"/>
  <c r="AV830" i="1"/>
  <c r="AV831" i="1"/>
  <c r="AW831" i="1" s="1"/>
  <c r="AV832" i="1"/>
  <c r="AW832" i="1" s="1"/>
  <c r="AV833" i="1"/>
  <c r="AW833" i="1" s="1"/>
  <c r="AV834" i="1"/>
  <c r="AW834" i="1" s="1"/>
  <c r="AV835" i="1"/>
  <c r="AW835" i="1" s="1"/>
  <c r="AV836" i="1"/>
  <c r="AW836" i="1" s="1"/>
  <c r="AV837" i="1"/>
  <c r="AW837" i="1" s="1"/>
  <c r="AV838" i="1"/>
  <c r="AW838" i="1" s="1"/>
  <c r="AV839" i="1"/>
  <c r="AW839" i="1" s="1"/>
  <c r="AV840" i="1"/>
  <c r="AV841" i="1"/>
  <c r="AW841" i="1" s="1"/>
  <c r="AV842" i="1"/>
  <c r="AV843" i="1"/>
  <c r="AW843" i="1" s="1"/>
  <c r="AV844" i="1"/>
  <c r="AW844" i="1" s="1"/>
  <c r="AV845" i="1"/>
  <c r="AW845" i="1" s="1"/>
  <c r="AV846" i="1"/>
  <c r="AW846" i="1" s="1"/>
  <c r="AV847" i="1"/>
  <c r="AW847" i="1" s="1"/>
  <c r="AV848" i="1"/>
  <c r="AW848" i="1" s="1"/>
  <c r="AV849" i="1"/>
  <c r="AW849" i="1" s="1"/>
  <c r="AV850" i="1"/>
  <c r="AW850" i="1" s="1"/>
  <c r="AV851" i="1"/>
  <c r="AW851" i="1" s="1"/>
  <c r="AV852" i="1"/>
  <c r="AV853" i="1"/>
  <c r="AW853" i="1" s="1"/>
  <c r="AV854" i="1"/>
  <c r="AV855" i="1"/>
  <c r="AW855" i="1" s="1"/>
  <c r="AV856" i="1"/>
  <c r="AW856" i="1" s="1"/>
  <c r="AV857" i="1"/>
  <c r="AW857" i="1" s="1"/>
  <c r="AV858" i="1"/>
  <c r="AW858" i="1" s="1"/>
  <c r="AV859" i="1"/>
  <c r="AW859" i="1" s="1"/>
  <c r="AV860" i="1"/>
  <c r="AW860" i="1" s="1"/>
  <c r="AV861" i="1"/>
  <c r="AW861" i="1" s="1"/>
  <c r="AV862" i="1"/>
  <c r="AW862" i="1" s="1"/>
  <c r="AV863" i="1"/>
  <c r="AW863" i="1" s="1"/>
  <c r="AV864" i="1"/>
  <c r="AV865" i="1"/>
  <c r="AW865" i="1" s="1"/>
  <c r="AV866" i="1"/>
  <c r="AV867" i="1"/>
  <c r="AW867" i="1" s="1"/>
  <c r="AV868" i="1"/>
  <c r="AW868" i="1" s="1"/>
  <c r="AV869" i="1"/>
  <c r="AW869" i="1" s="1"/>
  <c r="AV870" i="1"/>
  <c r="AW870" i="1" s="1"/>
  <c r="AV871" i="1"/>
  <c r="AW871" i="1" s="1"/>
  <c r="AV872" i="1"/>
  <c r="AW872" i="1" s="1"/>
  <c r="AV873" i="1"/>
  <c r="AW873" i="1" s="1"/>
  <c r="AV874" i="1"/>
  <c r="AW874" i="1" s="1"/>
  <c r="AV875" i="1"/>
  <c r="AW875" i="1" s="1"/>
  <c r="AV876" i="1"/>
  <c r="AV877" i="1"/>
  <c r="AW877" i="1" s="1"/>
  <c r="AV878" i="1"/>
  <c r="AV879" i="1"/>
  <c r="AW879" i="1" s="1"/>
  <c r="AV880" i="1"/>
  <c r="AW880" i="1" s="1"/>
  <c r="AV881" i="1"/>
  <c r="AW881" i="1" s="1"/>
  <c r="AV882" i="1"/>
  <c r="AW882" i="1" s="1"/>
  <c r="AV883" i="1"/>
  <c r="AW883" i="1" s="1"/>
  <c r="AV884" i="1"/>
  <c r="AW884" i="1" s="1"/>
  <c r="AV885" i="1"/>
  <c r="AW885" i="1" s="1"/>
  <c r="AV886" i="1"/>
  <c r="AW886" i="1" s="1"/>
  <c r="AV887" i="1"/>
  <c r="AW887" i="1" s="1"/>
  <c r="AV888" i="1"/>
  <c r="AV889" i="1"/>
  <c r="AW889" i="1" s="1"/>
  <c r="AV890" i="1"/>
  <c r="AV891" i="1"/>
  <c r="AW891" i="1" s="1"/>
  <c r="AV892" i="1"/>
  <c r="AW892" i="1" s="1"/>
  <c r="AV893" i="1"/>
  <c r="AW893" i="1" s="1"/>
  <c r="AV894" i="1"/>
  <c r="AW894" i="1" s="1"/>
  <c r="AV895" i="1"/>
  <c r="AW895" i="1" s="1"/>
  <c r="AV896" i="1"/>
  <c r="AW896" i="1" s="1"/>
  <c r="AV897" i="1"/>
  <c r="AW897" i="1" s="1"/>
  <c r="AV898" i="1"/>
  <c r="AW898" i="1" s="1"/>
  <c r="AV899" i="1"/>
  <c r="AW899" i="1" s="1"/>
  <c r="AV900" i="1"/>
  <c r="AV901" i="1"/>
  <c r="AW901" i="1" s="1"/>
  <c r="AV902" i="1"/>
  <c r="AV903" i="1"/>
  <c r="AW903" i="1" s="1"/>
  <c r="AV904" i="1"/>
  <c r="AW904" i="1" s="1"/>
  <c r="AV905" i="1"/>
  <c r="AW905" i="1" s="1"/>
  <c r="AV906" i="1"/>
  <c r="AW906" i="1" s="1"/>
  <c r="AV907" i="1"/>
  <c r="AW907" i="1" s="1"/>
  <c r="AV908" i="1"/>
  <c r="AW908" i="1" s="1"/>
  <c r="AV909" i="1"/>
  <c r="AW909" i="1" s="1"/>
  <c r="AV910" i="1"/>
  <c r="AW910" i="1" s="1"/>
  <c r="AV911" i="1"/>
  <c r="AW911" i="1" s="1"/>
  <c r="AV912" i="1"/>
  <c r="AV913" i="1"/>
  <c r="AW913" i="1" s="1"/>
  <c r="AV914" i="1"/>
  <c r="AV915" i="1"/>
  <c r="AW915" i="1" s="1"/>
  <c r="AV916" i="1"/>
  <c r="AW916" i="1" s="1"/>
  <c r="AV917" i="1"/>
  <c r="AW917" i="1" s="1"/>
  <c r="AV918" i="1"/>
  <c r="AW918" i="1" s="1"/>
  <c r="AV919" i="1"/>
  <c r="AW919" i="1" s="1"/>
  <c r="AV920" i="1"/>
  <c r="AW920" i="1" s="1"/>
  <c r="AV921" i="1"/>
  <c r="AW921" i="1" s="1"/>
  <c r="AV922" i="1"/>
  <c r="AW922" i="1" s="1"/>
  <c r="AV923" i="1"/>
  <c r="AW923" i="1" s="1"/>
  <c r="AV924" i="1"/>
  <c r="AV925" i="1"/>
  <c r="AW925" i="1" s="1"/>
  <c r="AV926" i="1"/>
  <c r="AV927" i="1"/>
  <c r="AW927" i="1" s="1"/>
  <c r="AV928" i="1"/>
  <c r="AW928" i="1" s="1"/>
  <c r="AV929" i="1"/>
  <c r="AW929" i="1" s="1"/>
  <c r="AV930" i="1"/>
  <c r="AW930" i="1" s="1"/>
  <c r="AV931" i="1"/>
  <c r="AW931" i="1" s="1"/>
  <c r="AV932" i="1"/>
  <c r="AW932" i="1" s="1"/>
  <c r="AV933" i="1"/>
  <c r="AW933" i="1" s="1"/>
  <c r="AV934" i="1"/>
  <c r="AW934" i="1" s="1"/>
  <c r="AV935" i="1"/>
  <c r="AW935" i="1" s="1"/>
  <c r="AV936" i="1"/>
  <c r="AV937" i="1"/>
  <c r="AW937" i="1" s="1"/>
  <c r="AV938" i="1"/>
  <c r="AV939" i="1"/>
  <c r="AW939" i="1" s="1"/>
  <c r="AV940" i="1"/>
  <c r="AW940" i="1" s="1"/>
  <c r="AV941" i="1"/>
  <c r="AW941" i="1" s="1"/>
  <c r="AV942" i="1"/>
  <c r="AW942" i="1" s="1"/>
  <c r="AV943" i="1"/>
  <c r="AW943" i="1" s="1"/>
  <c r="AV944" i="1"/>
  <c r="AW944" i="1" s="1"/>
  <c r="AV945" i="1"/>
  <c r="AW945" i="1" s="1"/>
  <c r="AV946" i="1"/>
  <c r="AW946" i="1" s="1"/>
  <c r="AV947" i="1"/>
  <c r="AW947" i="1" s="1"/>
  <c r="AV948" i="1"/>
  <c r="AV949" i="1"/>
  <c r="AW949" i="1" s="1"/>
  <c r="AV950" i="1"/>
  <c r="AV951" i="1"/>
  <c r="AW951" i="1" s="1"/>
  <c r="AV952" i="1"/>
  <c r="AW952" i="1" s="1"/>
  <c r="AV953" i="1"/>
  <c r="AW953" i="1" s="1"/>
  <c r="AV954" i="1"/>
  <c r="AW954" i="1" s="1"/>
  <c r="AV955" i="1"/>
  <c r="AW955" i="1" s="1"/>
  <c r="AV956" i="1"/>
  <c r="AW956" i="1" s="1"/>
  <c r="AV957" i="1"/>
  <c r="AW957" i="1" s="1"/>
  <c r="AV958" i="1"/>
  <c r="AW958" i="1" s="1"/>
  <c r="AV959" i="1"/>
  <c r="AW959" i="1" s="1"/>
  <c r="AV960" i="1"/>
  <c r="AV961" i="1"/>
  <c r="AW961" i="1" s="1"/>
  <c r="AV962" i="1"/>
  <c r="AV963" i="1"/>
  <c r="AW963" i="1" s="1"/>
  <c r="AV964" i="1"/>
  <c r="AW964" i="1" s="1"/>
  <c r="AV965" i="1"/>
  <c r="AW965" i="1" s="1"/>
  <c r="AV966" i="1"/>
  <c r="AW966" i="1" s="1"/>
  <c r="AV967" i="1"/>
  <c r="AW967" i="1" s="1"/>
  <c r="AV968" i="1"/>
  <c r="AW968" i="1" s="1"/>
  <c r="AV969" i="1"/>
  <c r="AW969" i="1" s="1"/>
  <c r="AV970" i="1"/>
  <c r="AW970" i="1" s="1"/>
  <c r="AV971" i="1"/>
  <c r="AW971" i="1" s="1"/>
  <c r="AV972" i="1"/>
  <c r="AV973" i="1"/>
  <c r="AW973" i="1" s="1"/>
  <c r="AV974" i="1"/>
  <c r="AV975" i="1"/>
  <c r="AW975" i="1" s="1"/>
  <c r="AV976" i="1"/>
  <c r="AW976" i="1" s="1"/>
  <c r="AV977" i="1"/>
  <c r="AW977" i="1" s="1"/>
  <c r="AV978" i="1"/>
  <c r="AW978" i="1" s="1"/>
  <c r="AV979" i="1"/>
  <c r="AW979" i="1" s="1"/>
  <c r="AV980" i="1"/>
  <c r="AW980" i="1" s="1"/>
  <c r="AV981" i="1"/>
  <c r="AW981" i="1" s="1"/>
  <c r="AV982" i="1"/>
  <c r="AW982" i="1" s="1"/>
  <c r="AV983" i="1"/>
  <c r="AW983" i="1" s="1"/>
  <c r="AV984" i="1"/>
  <c r="AV985" i="1"/>
  <c r="AW985" i="1" s="1"/>
  <c r="AV986" i="1"/>
  <c r="AV987" i="1"/>
  <c r="AW987" i="1" s="1"/>
  <c r="AV988" i="1"/>
  <c r="AW988" i="1" s="1"/>
  <c r="AV989" i="1"/>
  <c r="AW989" i="1" s="1"/>
  <c r="AV990" i="1"/>
  <c r="AW990" i="1" s="1"/>
  <c r="AV991" i="1"/>
  <c r="AW991" i="1" s="1"/>
  <c r="AV992" i="1"/>
  <c r="AW992" i="1" s="1"/>
  <c r="AV993" i="1"/>
  <c r="AW993" i="1" s="1"/>
  <c r="AV994" i="1"/>
  <c r="AW994" i="1" s="1"/>
  <c r="AV995" i="1"/>
  <c r="AW995" i="1" s="1"/>
  <c r="AV996" i="1"/>
  <c r="AV997" i="1"/>
  <c r="AW997" i="1" s="1"/>
  <c r="AV998" i="1"/>
  <c r="AV999" i="1"/>
  <c r="AW999" i="1" s="1"/>
  <c r="AV1000" i="1"/>
  <c r="AW1000" i="1" s="1"/>
  <c r="AV1001" i="1"/>
  <c r="AW1001" i="1" s="1"/>
  <c r="AV1002" i="1"/>
  <c r="AW1002" i="1" s="1"/>
  <c r="AV1003" i="1"/>
  <c r="AW1003" i="1" s="1"/>
  <c r="AV1004" i="1"/>
  <c r="AW1004" i="1" s="1"/>
  <c r="AV1005" i="1"/>
  <c r="AW1005" i="1" s="1"/>
  <c r="AV1006" i="1"/>
  <c r="AW1006" i="1" s="1"/>
  <c r="AV1007" i="1"/>
  <c r="AW1007" i="1" s="1"/>
  <c r="AV1008" i="1"/>
  <c r="AV1009" i="1"/>
  <c r="AW1009" i="1" s="1"/>
  <c r="AV1010" i="1"/>
  <c r="AV1011" i="1"/>
  <c r="AW1011" i="1" s="1"/>
  <c r="AV1012" i="1"/>
  <c r="AW1012" i="1" s="1"/>
  <c r="AV1013" i="1"/>
  <c r="AW1013" i="1" s="1"/>
  <c r="AV1014" i="1"/>
  <c r="AW1014" i="1" s="1"/>
  <c r="AV1015" i="1"/>
  <c r="AW1015" i="1" s="1"/>
  <c r="AV1016" i="1"/>
  <c r="AW1016" i="1" s="1"/>
  <c r="AV1017" i="1"/>
  <c r="AW1017" i="1" s="1"/>
  <c r="AV1018" i="1"/>
  <c r="AW1018" i="1" s="1"/>
  <c r="AV1019" i="1"/>
  <c r="AW1019" i="1" s="1"/>
  <c r="AV1020" i="1"/>
  <c r="AV1021" i="1"/>
  <c r="AW1021" i="1" s="1"/>
  <c r="AV1022" i="1"/>
  <c r="AV1023" i="1"/>
  <c r="AW1023" i="1" s="1"/>
  <c r="AV1024" i="1"/>
  <c r="AW1024" i="1" s="1"/>
  <c r="AV1025" i="1"/>
  <c r="AW1025" i="1" s="1"/>
  <c r="AV1026" i="1"/>
  <c r="AW1026" i="1" s="1"/>
  <c r="AV1027" i="1"/>
  <c r="AW1027" i="1" s="1"/>
  <c r="AV1028" i="1"/>
  <c r="AW1028" i="1" s="1"/>
  <c r="AV1029" i="1"/>
  <c r="AW1029" i="1" s="1"/>
  <c r="AV1030" i="1"/>
  <c r="AW1030" i="1" s="1"/>
  <c r="AV1031" i="1"/>
  <c r="AW1031" i="1" s="1"/>
  <c r="AV1032" i="1"/>
  <c r="AW1032" i="1" s="1"/>
  <c r="AV1033" i="1"/>
  <c r="AW1033" i="1" s="1"/>
  <c r="AV1034" i="1"/>
  <c r="AV1035" i="1"/>
  <c r="AW1035" i="1" s="1"/>
  <c r="AV1036" i="1"/>
  <c r="AW1036" i="1" s="1"/>
  <c r="AV1037" i="1"/>
  <c r="AW1037" i="1" s="1"/>
  <c r="AV1038" i="1"/>
  <c r="AW1038" i="1" s="1"/>
  <c r="AV1039" i="1"/>
  <c r="AW1039" i="1" s="1"/>
  <c r="AV1040" i="1"/>
  <c r="AW1040" i="1" s="1"/>
  <c r="AV1041" i="1"/>
  <c r="AW1041" i="1" s="1"/>
  <c r="AV1042" i="1"/>
  <c r="AV1043" i="1"/>
  <c r="AW1043" i="1" s="1"/>
  <c r="AV1044" i="1"/>
  <c r="AW1044" i="1" s="1"/>
  <c r="AV1045" i="1"/>
  <c r="AW1045" i="1" s="1"/>
  <c r="AV1046" i="1"/>
  <c r="AV1047" i="1"/>
  <c r="AW1047" i="1" s="1"/>
  <c r="AV1048" i="1"/>
  <c r="AW1048" i="1" s="1"/>
  <c r="AV1049" i="1"/>
  <c r="AW1049" i="1" s="1"/>
  <c r="AV1050" i="1"/>
  <c r="AW1050" i="1" s="1"/>
  <c r="AV1051" i="1"/>
  <c r="AW1051" i="1" s="1"/>
  <c r="AV1052" i="1"/>
  <c r="AW1052" i="1" s="1"/>
  <c r="AV1053" i="1"/>
  <c r="AW1053" i="1" s="1"/>
  <c r="AV1054" i="1"/>
  <c r="AV1055" i="1"/>
  <c r="AW1055" i="1" s="1"/>
  <c r="AV1056" i="1"/>
  <c r="AW1056" i="1" s="1"/>
  <c r="AV1057" i="1"/>
  <c r="AW1057" i="1" s="1"/>
  <c r="AV1058" i="1"/>
  <c r="AV1059" i="1"/>
  <c r="AW1059" i="1" s="1"/>
  <c r="AV1060" i="1"/>
  <c r="AW1060" i="1" s="1"/>
  <c r="AV1061" i="1"/>
  <c r="AW1061" i="1" s="1"/>
  <c r="AV1062" i="1"/>
  <c r="AW1062" i="1" s="1"/>
  <c r="AV1063" i="1"/>
  <c r="AW1063" i="1" s="1"/>
  <c r="AV1064" i="1"/>
  <c r="AW1064" i="1" s="1"/>
  <c r="AV1065" i="1"/>
  <c r="AW1065" i="1" s="1"/>
  <c r="AV1066" i="1"/>
  <c r="AV1067" i="1"/>
  <c r="AW1067" i="1" s="1"/>
  <c r="AV1068" i="1"/>
  <c r="AW1068" i="1" s="1"/>
  <c r="AV1069" i="1"/>
  <c r="AW1069" i="1" s="1"/>
  <c r="AV1070" i="1"/>
  <c r="AV1071" i="1"/>
  <c r="AW1071" i="1" s="1"/>
  <c r="AV1072" i="1"/>
  <c r="AW1072" i="1" s="1"/>
  <c r="AV1073" i="1"/>
  <c r="AW1073" i="1" s="1"/>
  <c r="AV1074" i="1"/>
  <c r="AW1074" i="1" s="1"/>
  <c r="AV1075" i="1"/>
  <c r="AW1075" i="1" s="1"/>
  <c r="AV1076" i="1"/>
  <c r="AW1076" i="1" s="1"/>
  <c r="AV1077" i="1"/>
  <c r="AW1077" i="1" s="1"/>
  <c r="AV1078" i="1"/>
  <c r="AV1079" i="1"/>
  <c r="AW1079" i="1" s="1"/>
  <c r="AV1080" i="1"/>
  <c r="AW1080" i="1" s="1"/>
  <c r="AV1081" i="1"/>
  <c r="AW1081" i="1" s="1"/>
  <c r="AV1082" i="1"/>
  <c r="AV1083" i="1"/>
  <c r="AW1083" i="1" s="1"/>
  <c r="AV1084" i="1"/>
  <c r="AW1084" i="1" s="1"/>
  <c r="AV1085" i="1"/>
  <c r="AW1085" i="1" s="1"/>
  <c r="AV1086" i="1"/>
  <c r="AW1086" i="1" s="1"/>
  <c r="AV1087" i="1"/>
  <c r="AW1087" i="1" s="1"/>
  <c r="AV1088" i="1"/>
  <c r="AW1088" i="1" s="1"/>
  <c r="AV1089" i="1"/>
  <c r="AW1089" i="1" s="1"/>
  <c r="AV1090" i="1"/>
  <c r="AV1091" i="1"/>
  <c r="AW1091" i="1" s="1"/>
  <c r="AV1092" i="1"/>
  <c r="AW1092" i="1" s="1"/>
  <c r="AV1093" i="1"/>
  <c r="AW1093" i="1" s="1"/>
  <c r="AV1094" i="1"/>
  <c r="AV1095" i="1"/>
  <c r="AW1095" i="1" s="1"/>
  <c r="AV1096" i="1"/>
  <c r="AW1096" i="1" s="1"/>
  <c r="AV1097" i="1"/>
  <c r="AW1097" i="1" s="1"/>
  <c r="AV1098" i="1"/>
  <c r="AW1098" i="1" s="1"/>
  <c r="AV1099" i="1"/>
  <c r="AW1099" i="1" s="1"/>
  <c r="AV1100" i="1"/>
  <c r="AW1100" i="1" s="1"/>
  <c r="AV1101" i="1"/>
  <c r="AW1101" i="1" s="1"/>
  <c r="AS2" i="1"/>
  <c r="AS3" i="1"/>
  <c r="AS4" i="1"/>
  <c r="AS5" i="1"/>
  <c r="AT5" i="1" s="1"/>
  <c r="AS6" i="1"/>
  <c r="AT6" i="1" s="1"/>
  <c r="AS7" i="1"/>
  <c r="AS8" i="1"/>
  <c r="AS9" i="1"/>
  <c r="AS10" i="1"/>
  <c r="AS11" i="1"/>
  <c r="AT11" i="1" s="1"/>
  <c r="AS12" i="1"/>
  <c r="AT12" i="1" s="1"/>
  <c r="AS13" i="1"/>
  <c r="AT13" i="1" s="1"/>
  <c r="AS14" i="1"/>
  <c r="AS15" i="1"/>
  <c r="AS16" i="1"/>
  <c r="AS17" i="1"/>
  <c r="AT17" i="1" s="1"/>
  <c r="AS18" i="1"/>
  <c r="AT18" i="1" s="1"/>
  <c r="AS19" i="1"/>
  <c r="AS20" i="1"/>
  <c r="AS21" i="1"/>
  <c r="AT21" i="1" s="1"/>
  <c r="AS22" i="1"/>
  <c r="AS23" i="1"/>
  <c r="AT23" i="1" s="1"/>
  <c r="AS24" i="1"/>
  <c r="AT24" i="1" s="1"/>
  <c r="AS25" i="1"/>
  <c r="AT25" i="1" s="1"/>
  <c r="AS26" i="1"/>
  <c r="AS27" i="1"/>
  <c r="AS28" i="1"/>
  <c r="AS29" i="1"/>
  <c r="AT29" i="1" s="1"/>
  <c r="AS30" i="1"/>
  <c r="AT30" i="1" s="1"/>
  <c r="AS31" i="1"/>
  <c r="AS32" i="1"/>
  <c r="AS33" i="1"/>
  <c r="AS34" i="1"/>
  <c r="AS35" i="1"/>
  <c r="AT35" i="1" s="1"/>
  <c r="AS36" i="1"/>
  <c r="AT36" i="1" s="1"/>
  <c r="AS37" i="1"/>
  <c r="AT37" i="1" s="1"/>
  <c r="AS38" i="1"/>
  <c r="AS39" i="1"/>
  <c r="AT39" i="1" s="1"/>
  <c r="AS40" i="1"/>
  <c r="AS41" i="1"/>
  <c r="AT41" i="1" s="1"/>
  <c r="AS42" i="1"/>
  <c r="AT42" i="1" s="1"/>
  <c r="AS43" i="1"/>
  <c r="AS44" i="1"/>
  <c r="AS45" i="1"/>
  <c r="AS46" i="1"/>
  <c r="AS47" i="1"/>
  <c r="AT47" i="1" s="1"/>
  <c r="AS48" i="1"/>
  <c r="AU48" i="1" s="1"/>
  <c r="AS49" i="1"/>
  <c r="AT49" i="1" s="1"/>
  <c r="AS50" i="1"/>
  <c r="AS51" i="1"/>
  <c r="AS52" i="1"/>
  <c r="AS53" i="1"/>
  <c r="AT53" i="1" s="1"/>
  <c r="AS54" i="1"/>
  <c r="AT54" i="1" s="1"/>
  <c r="AS55" i="1"/>
  <c r="AS56" i="1"/>
  <c r="AS57" i="1"/>
  <c r="AU57" i="1" s="1"/>
  <c r="AS58" i="1"/>
  <c r="AU58" i="1" s="1"/>
  <c r="AS59" i="1"/>
  <c r="AT59" i="1" s="1"/>
  <c r="AS60" i="1"/>
  <c r="AT60" i="1" s="1"/>
  <c r="AS61" i="1"/>
  <c r="AT61" i="1" s="1"/>
  <c r="AS62" i="1"/>
  <c r="AS63" i="1"/>
  <c r="AT63" i="1" s="1"/>
  <c r="AS64" i="1"/>
  <c r="AS65" i="1"/>
  <c r="AT65" i="1" s="1"/>
  <c r="AS66" i="1"/>
  <c r="AT66" i="1" s="1"/>
  <c r="AS67" i="1"/>
  <c r="AS68" i="1"/>
  <c r="AS69" i="1"/>
  <c r="AS70" i="1"/>
  <c r="AS71" i="1"/>
  <c r="AT71" i="1" s="1"/>
  <c r="AS72" i="1"/>
  <c r="AT72" i="1" s="1"/>
  <c r="AS73" i="1"/>
  <c r="AT73" i="1" s="1"/>
  <c r="AS74" i="1"/>
  <c r="AU74" i="1" s="1"/>
  <c r="AS75" i="1"/>
  <c r="AS76" i="1"/>
  <c r="AS77" i="1"/>
  <c r="AT77" i="1" s="1"/>
  <c r="AS78" i="1"/>
  <c r="AT78" i="1" s="1"/>
  <c r="AS79" i="1"/>
  <c r="AS80" i="1"/>
  <c r="AS81" i="1"/>
  <c r="AT81" i="1" s="1"/>
  <c r="AS82" i="1"/>
  <c r="AS83" i="1"/>
  <c r="AT83" i="1" s="1"/>
  <c r="AS84" i="1"/>
  <c r="AT84" i="1" s="1"/>
  <c r="AS85" i="1"/>
  <c r="AU85" i="1" s="1"/>
  <c r="AS86" i="1"/>
  <c r="AS87" i="1"/>
  <c r="AS88" i="1"/>
  <c r="AS89" i="1"/>
  <c r="AT89" i="1" s="1"/>
  <c r="AS90" i="1"/>
  <c r="AT90" i="1" s="1"/>
  <c r="AS91" i="1"/>
  <c r="AS92" i="1"/>
  <c r="AS93" i="1"/>
  <c r="AS94" i="1"/>
  <c r="AS95" i="1"/>
  <c r="AT95" i="1" s="1"/>
  <c r="AS96" i="1"/>
  <c r="AT96" i="1" s="1"/>
  <c r="AS97" i="1"/>
  <c r="AT97" i="1" s="1"/>
  <c r="AS98" i="1"/>
  <c r="AS99" i="1"/>
  <c r="AS100" i="1"/>
  <c r="AS101" i="1"/>
  <c r="AT101" i="1" s="1"/>
  <c r="AS102" i="1"/>
  <c r="AT102" i="1" s="1"/>
  <c r="AS103" i="1"/>
  <c r="AU103" i="1" s="1"/>
  <c r="AS104" i="1"/>
  <c r="AS105" i="1"/>
  <c r="AT105" i="1" s="1"/>
  <c r="AS106" i="1"/>
  <c r="AS107" i="1"/>
  <c r="AT107" i="1" s="1"/>
  <c r="AS108" i="1"/>
  <c r="AT108" i="1" s="1"/>
  <c r="AS109" i="1"/>
  <c r="AT109" i="1" s="1"/>
  <c r="AS110" i="1"/>
  <c r="AS111" i="1"/>
  <c r="AS112" i="1"/>
  <c r="AS113" i="1"/>
  <c r="AT113" i="1" s="1"/>
  <c r="AS114" i="1"/>
  <c r="AT114" i="1" s="1"/>
  <c r="AS115" i="1"/>
  <c r="AS116" i="1"/>
  <c r="AS117" i="1"/>
  <c r="AS118" i="1"/>
  <c r="AS119" i="1"/>
  <c r="AT119" i="1" s="1"/>
  <c r="AS120" i="1"/>
  <c r="AU120" i="1" s="1"/>
  <c r="AS121" i="1"/>
  <c r="AT121" i="1" s="1"/>
  <c r="AS122" i="1"/>
  <c r="AS123" i="1"/>
  <c r="AT123" i="1" s="1"/>
  <c r="AS124" i="1"/>
  <c r="AS125" i="1"/>
  <c r="AT125" i="1" s="1"/>
  <c r="AS126" i="1"/>
  <c r="AT126" i="1" s="1"/>
  <c r="AS127" i="1"/>
  <c r="AS128" i="1"/>
  <c r="AS129" i="1"/>
  <c r="AS130" i="1"/>
  <c r="AS131" i="1"/>
  <c r="AT131" i="1" s="1"/>
  <c r="AS132" i="1"/>
  <c r="AU132" i="1" s="1"/>
  <c r="AS133" i="1"/>
  <c r="AT133" i="1" s="1"/>
  <c r="AS134" i="1"/>
  <c r="AS135" i="1"/>
  <c r="AS136" i="1"/>
  <c r="AS137" i="1"/>
  <c r="AT137" i="1" s="1"/>
  <c r="AS138" i="1"/>
  <c r="AT138" i="1" s="1"/>
  <c r="AS139" i="1"/>
  <c r="AS140" i="1"/>
  <c r="AS141" i="1"/>
  <c r="AS142" i="1"/>
  <c r="AS143" i="1"/>
  <c r="AT143" i="1" s="1"/>
  <c r="AS144" i="1"/>
  <c r="AT144" i="1" s="1"/>
  <c r="AS145" i="1"/>
  <c r="AT145" i="1" s="1"/>
  <c r="AS146" i="1"/>
  <c r="AU146" i="1" s="1"/>
  <c r="AS147" i="1"/>
  <c r="AS148" i="1"/>
  <c r="AS149" i="1"/>
  <c r="AT149" i="1" s="1"/>
  <c r="AS150" i="1"/>
  <c r="AT150" i="1" s="1"/>
  <c r="AS151" i="1"/>
  <c r="AS152" i="1"/>
  <c r="AS153" i="1"/>
  <c r="AS154" i="1"/>
  <c r="AS155" i="1"/>
  <c r="AT155" i="1" s="1"/>
  <c r="AS156" i="1"/>
  <c r="AT156" i="1" s="1"/>
  <c r="AS157" i="1"/>
  <c r="AT157" i="1" s="1"/>
  <c r="AS158" i="1"/>
  <c r="AS159" i="1"/>
  <c r="AS160" i="1"/>
  <c r="AS161" i="1"/>
  <c r="AT161" i="1" s="1"/>
  <c r="AS162" i="1"/>
  <c r="AT162" i="1" s="1"/>
  <c r="AS163" i="1"/>
  <c r="AS164" i="1"/>
  <c r="AS165" i="1"/>
  <c r="AT165" i="1" s="1"/>
  <c r="AS166" i="1"/>
  <c r="AS167" i="1"/>
  <c r="AT167" i="1" s="1"/>
  <c r="AS168" i="1"/>
  <c r="AT168" i="1" s="1"/>
  <c r="AS169" i="1"/>
  <c r="AT169" i="1" s="1"/>
  <c r="AS170" i="1"/>
  <c r="AS171" i="1"/>
  <c r="AS172" i="1"/>
  <c r="AS173" i="1"/>
  <c r="AT173" i="1" s="1"/>
  <c r="AS174" i="1"/>
  <c r="AT174" i="1" s="1"/>
  <c r="AS175" i="1"/>
  <c r="AS176" i="1"/>
  <c r="AS177" i="1"/>
  <c r="AS178" i="1"/>
  <c r="AS179" i="1"/>
  <c r="AT179" i="1" s="1"/>
  <c r="AS180" i="1"/>
  <c r="AT180" i="1" s="1"/>
  <c r="AS181" i="1"/>
  <c r="AT181" i="1" s="1"/>
  <c r="AS182" i="1"/>
  <c r="AS183" i="1"/>
  <c r="AT183" i="1" s="1"/>
  <c r="AS184" i="1"/>
  <c r="AS185" i="1"/>
  <c r="AT185" i="1" s="1"/>
  <c r="AS186" i="1"/>
  <c r="AT186" i="1" s="1"/>
  <c r="AS187" i="1"/>
  <c r="AS188" i="1"/>
  <c r="AS189" i="1"/>
  <c r="AS190" i="1"/>
  <c r="AS191" i="1"/>
  <c r="AT191" i="1" s="1"/>
  <c r="AS192" i="1"/>
  <c r="AU192" i="1" s="1"/>
  <c r="AS193" i="1"/>
  <c r="AT193" i="1" s="1"/>
  <c r="AS194" i="1"/>
  <c r="AS195" i="1"/>
  <c r="AS196" i="1"/>
  <c r="AS197" i="1"/>
  <c r="AT197" i="1" s="1"/>
  <c r="AS198" i="1"/>
  <c r="AT198" i="1" s="1"/>
  <c r="AS199" i="1"/>
  <c r="AS200" i="1"/>
  <c r="AS201" i="1"/>
  <c r="AS202" i="1"/>
  <c r="AS203" i="1"/>
  <c r="AT203" i="1" s="1"/>
  <c r="AS204" i="1"/>
  <c r="AT204" i="1" s="1"/>
  <c r="AS205" i="1"/>
  <c r="AT205" i="1" s="1"/>
  <c r="AS206" i="1"/>
  <c r="AS207" i="1"/>
  <c r="AT207" i="1" s="1"/>
  <c r="AS208" i="1"/>
  <c r="AS209" i="1"/>
  <c r="AT209" i="1" s="1"/>
  <c r="AS210" i="1"/>
  <c r="AT210" i="1" s="1"/>
  <c r="AS211" i="1"/>
  <c r="AS212" i="1"/>
  <c r="AS213" i="1"/>
  <c r="AS214" i="1"/>
  <c r="AS215" i="1"/>
  <c r="AT215" i="1" s="1"/>
  <c r="AS216" i="1"/>
  <c r="AT216" i="1" s="1"/>
  <c r="AS217" i="1"/>
  <c r="AT217" i="1" s="1"/>
  <c r="AS218" i="1"/>
  <c r="AS219" i="1"/>
  <c r="AS220" i="1"/>
  <c r="AU220" i="1" s="1"/>
  <c r="AS221" i="1"/>
  <c r="AT221" i="1" s="1"/>
  <c r="AS222" i="1"/>
  <c r="AT222" i="1" s="1"/>
  <c r="AS223" i="1"/>
  <c r="AS224" i="1"/>
  <c r="AS225" i="1"/>
  <c r="AT225" i="1" s="1"/>
  <c r="AS226" i="1"/>
  <c r="AS227" i="1"/>
  <c r="AT227" i="1" s="1"/>
  <c r="AS228" i="1"/>
  <c r="AT228" i="1" s="1"/>
  <c r="AS229" i="1"/>
  <c r="AU229" i="1" s="1"/>
  <c r="AS230" i="1"/>
  <c r="AS231" i="1"/>
  <c r="AS232" i="1"/>
  <c r="AS233" i="1"/>
  <c r="AT233" i="1" s="1"/>
  <c r="AS234" i="1"/>
  <c r="AT234" i="1" s="1"/>
  <c r="AS235" i="1"/>
  <c r="AU235" i="1" s="1"/>
  <c r="AS236" i="1"/>
  <c r="AS237" i="1"/>
  <c r="AS238" i="1"/>
  <c r="AS239" i="1"/>
  <c r="AT239" i="1" s="1"/>
  <c r="AS240" i="1"/>
  <c r="AT240" i="1" s="1"/>
  <c r="AS241" i="1"/>
  <c r="AT241" i="1" s="1"/>
  <c r="AS242" i="1"/>
  <c r="AS243" i="1"/>
  <c r="AS244" i="1"/>
  <c r="AS245" i="1"/>
  <c r="AT245" i="1" s="1"/>
  <c r="AS246" i="1"/>
  <c r="AT246" i="1" s="1"/>
  <c r="AS247" i="1"/>
  <c r="AS248" i="1"/>
  <c r="AS249" i="1"/>
  <c r="AT249" i="1" s="1"/>
  <c r="AS250" i="1"/>
  <c r="AS251" i="1"/>
  <c r="AT251" i="1" s="1"/>
  <c r="AS252" i="1"/>
  <c r="AT252" i="1" s="1"/>
  <c r="AS253" i="1"/>
  <c r="AT253" i="1" s="1"/>
  <c r="AS254" i="1"/>
  <c r="AS255" i="1"/>
  <c r="AS256" i="1"/>
  <c r="AS257" i="1"/>
  <c r="AT257" i="1" s="1"/>
  <c r="AS258" i="1"/>
  <c r="AT258" i="1" s="1"/>
  <c r="AS259" i="1"/>
  <c r="AS260" i="1"/>
  <c r="AS261" i="1"/>
  <c r="AS262" i="1"/>
  <c r="AS263" i="1"/>
  <c r="AT263" i="1" s="1"/>
  <c r="AS264" i="1"/>
  <c r="AT264" i="1" s="1"/>
  <c r="AS265" i="1"/>
  <c r="AT265" i="1" s="1"/>
  <c r="AS266" i="1"/>
  <c r="AS267" i="1"/>
  <c r="AT267" i="1" s="1"/>
  <c r="AS268" i="1"/>
  <c r="AS269" i="1"/>
  <c r="AT269" i="1" s="1"/>
  <c r="AS270" i="1"/>
  <c r="AT270" i="1" s="1"/>
  <c r="AS271" i="1"/>
  <c r="AS272" i="1"/>
  <c r="AS273" i="1"/>
  <c r="AS274" i="1"/>
  <c r="AS275" i="1"/>
  <c r="AT275" i="1" s="1"/>
  <c r="AS276" i="1"/>
  <c r="AU276" i="1" s="1"/>
  <c r="AS277" i="1"/>
  <c r="AU277" i="1" s="1"/>
  <c r="AS278" i="1"/>
  <c r="AS279" i="1"/>
  <c r="AS280" i="1"/>
  <c r="AS281" i="1"/>
  <c r="AT281" i="1" s="1"/>
  <c r="AS282" i="1"/>
  <c r="AT282" i="1" s="1"/>
  <c r="AS283" i="1"/>
  <c r="AS284" i="1"/>
  <c r="AS285" i="1"/>
  <c r="AS286" i="1"/>
  <c r="AS287" i="1"/>
  <c r="AT287" i="1" s="1"/>
  <c r="AS288" i="1"/>
  <c r="AT288" i="1" s="1"/>
  <c r="AS289" i="1"/>
  <c r="AT289" i="1" s="1"/>
  <c r="AS290" i="1"/>
  <c r="AS291" i="1"/>
  <c r="AS292" i="1"/>
  <c r="AS293" i="1"/>
  <c r="AU293" i="1" s="1"/>
  <c r="AS294" i="1"/>
  <c r="AT294" i="1" s="1"/>
  <c r="AS295" i="1"/>
  <c r="AS296" i="1"/>
  <c r="AS297" i="1"/>
  <c r="AS298" i="1"/>
  <c r="AS299" i="1"/>
  <c r="AT299" i="1" s="1"/>
  <c r="AS300" i="1"/>
  <c r="AT300" i="1" s="1"/>
  <c r="AS301" i="1"/>
  <c r="AU301" i="1" s="1"/>
  <c r="AS302" i="1"/>
  <c r="AS303" i="1"/>
  <c r="AS304" i="1"/>
  <c r="AS305" i="1"/>
  <c r="AT305" i="1" s="1"/>
  <c r="AS306" i="1"/>
  <c r="AT306" i="1" s="1"/>
  <c r="AS307" i="1"/>
  <c r="AS308" i="1"/>
  <c r="AS309" i="1"/>
  <c r="AT309" i="1" s="1"/>
  <c r="AS310" i="1"/>
  <c r="AS311" i="1"/>
  <c r="AT311" i="1" s="1"/>
  <c r="AS312" i="1"/>
  <c r="AT312" i="1" s="1"/>
  <c r="AS313" i="1"/>
  <c r="AT313" i="1" s="1"/>
  <c r="AS314" i="1"/>
  <c r="AS315" i="1"/>
  <c r="AS316" i="1"/>
  <c r="AS317" i="1"/>
  <c r="AT317" i="1" s="1"/>
  <c r="AS318" i="1"/>
  <c r="AT318" i="1" s="1"/>
  <c r="AS319" i="1"/>
  <c r="AS320" i="1"/>
  <c r="AS321" i="1"/>
  <c r="AS322" i="1"/>
  <c r="AS323" i="1"/>
  <c r="AT323" i="1" s="1"/>
  <c r="AS324" i="1"/>
  <c r="AT324" i="1" s="1"/>
  <c r="AS325" i="1"/>
  <c r="AT325" i="1" s="1"/>
  <c r="AS326" i="1"/>
  <c r="AS327" i="1"/>
  <c r="AT327" i="1" s="1"/>
  <c r="AS328" i="1"/>
  <c r="AS329" i="1"/>
  <c r="AT329" i="1" s="1"/>
  <c r="AS330" i="1"/>
  <c r="AT330" i="1" s="1"/>
  <c r="AS331" i="1"/>
  <c r="AU331" i="1" s="1"/>
  <c r="AS332" i="1"/>
  <c r="AS333" i="1"/>
  <c r="AS334" i="1"/>
  <c r="AU334" i="1" s="1"/>
  <c r="AS335" i="1"/>
  <c r="AT335" i="1" s="1"/>
  <c r="AS336" i="1"/>
  <c r="AT336" i="1" s="1"/>
  <c r="AS337" i="1"/>
  <c r="AT337" i="1" s="1"/>
  <c r="AS338" i="1"/>
  <c r="AS339" i="1"/>
  <c r="AS340" i="1"/>
  <c r="AS341" i="1"/>
  <c r="AT341" i="1" s="1"/>
  <c r="AS342" i="1"/>
  <c r="AT342" i="1" s="1"/>
  <c r="AS343" i="1"/>
  <c r="AS344" i="1"/>
  <c r="AS345" i="1"/>
  <c r="AS346" i="1"/>
  <c r="AS347" i="1"/>
  <c r="AT347" i="1" s="1"/>
  <c r="AS348" i="1"/>
  <c r="AU348" i="1" s="1"/>
  <c r="AS349" i="1"/>
  <c r="AT349" i="1" s="1"/>
  <c r="AS350" i="1"/>
  <c r="AS351" i="1"/>
  <c r="AT351" i="1" s="1"/>
  <c r="AS352" i="1"/>
  <c r="AS353" i="1"/>
  <c r="AT353" i="1" s="1"/>
  <c r="AS354" i="1"/>
  <c r="AT354" i="1" s="1"/>
  <c r="AS355" i="1"/>
  <c r="AS356" i="1"/>
  <c r="AS357" i="1"/>
  <c r="AS358" i="1"/>
  <c r="AS359" i="1"/>
  <c r="AT359" i="1" s="1"/>
  <c r="AS360" i="1"/>
  <c r="AS361" i="1"/>
  <c r="AT361" i="1" s="1"/>
  <c r="AS362" i="1"/>
  <c r="AS363" i="1"/>
  <c r="AS364" i="1"/>
  <c r="AS365" i="1"/>
  <c r="AT365" i="1" s="1"/>
  <c r="AS366" i="1"/>
  <c r="AT366" i="1" s="1"/>
  <c r="AS367" i="1"/>
  <c r="AS368" i="1"/>
  <c r="AS369" i="1"/>
  <c r="AT369" i="1" s="1"/>
  <c r="AS370" i="1"/>
  <c r="AS371" i="1"/>
  <c r="AT371" i="1" s="1"/>
  <c r="AS372" i="1"/>
  <c r="AT372" i="1" s="1"/>
  <c r="AS373" i="1"/>
  <c r="AU373" i="1" s="1"/>
  <c r="AS374" i="1"/>
  <c r="AS375" i="1"/>
  <c r="AS376" i="1"/>
  <c r="AS377" i="1"/>
  <c r="AT377" i="1" s="1"/>
  <c r="AS378" i="1"/>
  <c r="AT378" i="1" s="1"/>
  <c r="AS379" i="1"/>
  <c r="AS380" i="1"/>
  <c r="AS381" i="1"/>
  <c r="AS382" i="1"/>
  <c r="AS383" i="1"/>
  <c r="AT383" i="1" s="1"/>
  <c r="AS384" i="1"/>
  <c r="AS385" i="1"/>
  <c r="AT385" i="1" s="1"/>
  <c r="AS386" i="1"/>
  <c r="AS387" i="1"/>
  <c r="AS388" i="1"/>
  <c r="AS389" i="1"/>
  <c r="AT389" i="1" s="1"/>
  <c r="AS390" i="1"/>
  <c r="AT390" i="1" s="1"/>
  <c r="AS391" i="1"/>
  <c r="AS392" i="1"/>
  <c r="AS393" i="1"/>
  <c r="AT393" i="1" s="1"/>
  <c r="AS394" i="1"/>
  <c r="AS395" i="1"/>
  <c r="AT395" i="1" s="1"/>
  <c r="AS396" i="1"/>
  <c r="AS397" i="1"/>
  <c r="AT397" i="1" s="1"/>
  <c r="AS398" i="1"/>
  <c r="AS399" i="1"/>
  <c r="AS400" i="1"/>
  <c r="AS401" i="1"/>
  <c r="AT401" i="1" s="1"/>
  <c r="AS402" i="1"/>
  <c r="AT402" i="1" s="1"/>
  <c r="AS403" i="1"/>
  <c r="AS404" i="1"/>
  <c r="AS405" i="1"/>
  <c r="AS406" i="1"/>
  <c r="AS407" i="1"/>
  <c r="AS408" i="1"/>
  <c r="AS409" i="1"/>
  <c r="AT409" i="1" s="1"/>
  <c r="AS410" i="1"/>
  <c r="AS411" i="1"/>
  <c r="AT411" i="1" s="1"/>
  <c r="AS412" i="1"/>
  <c r="AS413" i="1"/>
  <c r="AT413" i="1" s="1"/>
  <c r="AS414" i="1"/>
  <c r="AT414" i="1" s="1"/>
  <c r="AS415" i="1"/>
  <c r="AS416" i="1"/>
  <c r="AS417" i="1"/>
  <c r="AS418" i="1"/>
  <c r="AS419" i="1"/>
  <c r="AS420" i="1"/>
  <c r="AU420" i="1" s="1"/>
  <c r="AS421" i="1"/>
  <c r="AT421" i="1" s="1"/>
  <c r="AS422" i="1"/>
  <c r="AS423" i="1"/>
  <c r="AS424" i="1"/>
  <c r="AS425" i="1"/>
  <c r="AT425" i="1" s="1"/>
  <c r="AS426" i="1"/>
  <c r="AT426" i="1" s="1"/>
  <c r="AS427" i="1"/>
  <c r="AS428" i="1"/>
  <c r="AS429" i="1"/>
  <c r="AS430" i="1"/>
  <c r="AS431" i="1"/>
  <c r="AT431" i="1" s="1"/>
  <c r="AS432" i="1"/>
  <c r="AT432" i="1" s="1"/>
  <c r="AS433" i="1"/>
  <c r="AT433" i="1" s="1"/>
  <c r="AS434" i="1"/>
  <c r="AU434" i="1" s="1"/>
  <c r="AS435" i="1"/>
  <c r="AS436" i="1"/>
  <c r="AS437" i="1"/>
  <c r="AT437" i="1" s="1"/>
  <c r="AS438" i="1"/>
  <c r="AT438" i="1" s="1"/>
  <c r="AS439" i="1"/>
  <c r="AS440" i="1"/>
  <c r="AS441" i="1"/>
  <c r="AS442" i="1"/>
  <c r="AS443" i="1"/>
  <c r="AS444" i="1"/>
  <c r="AS445" i="1"/>
  <c r="AT445" i="1" s="1"/>
  <c r="AS446" i="1"/>
  <c r="AS447" i="1"/>
  <c r="AS448" i="1"/>
  <c r="AS449" i="1"/>
  <c r="AT449" i="1" s="1"/>
  <c r="AS450" i="1"/>
  <c r="AT450" i="1" s="1"/>
  <c r="AS451" i="1"/>
  <c r="AS452" i="1"/>
  <c r="AS453" i="1"/>
  <c r="AT453" i="1" s="1"/>
  <c r="AS454" i="1"/>
  <c r="AS455" i="1"/>
  <c r="AS456" i="1"/>
  <c r="AS457" i="1"/>
  <c r="AT457" i="1" s="1"/>
  <c r="AS458" i="1"/>
  <c r="AS459" i="1"/>
  <c r="AS460" i="1"/>
  <c r="AS461" i="1"/>
  <c r="AS462" i="1"/>
  <c r="AT462" i="1" s="1"/>
  <c r="AS463" i="1"/>
  <c r="AS464" i="1"/>
  <c r="AS465" i="1"/>
  <c r="AS466" i="1"/>
  <c r="AT466" i="1" s="1"/>
  <c r="AS467" i="1"/>
  <c r="AT467" i="1" s="1"/>
  <c r="AS468" i="1"/>
  <c r="AT468" i="1" s="1"/>
  <c r="AS469" i="1"/>
  <c r="AT469" i="1" s="1"/>
  <c r="AS470" i="1"/>
  <c r="AS471" i="1"/>
  <c r="AS472" i="1"/>
  <c r="AS473" i="1"/>
  <c r="AS474" i="1"/>
  <c r="AT474" i="1" s="1"/>
  <c r="AS475" i="1"/>
  <c r="AS476" i="1"/>
  <c r="AS477" i="1"/>
  <c r="AS478" i="1"/>
  <c r="AS479" i="1"/>
  <c r="AS480" i="1"/>
  <c r="AS481" i="1"/>
  <c r="AT481" i="1" s="1"/>
  <c r="AS482" i="1"/>
  <c r="AS483" i="1"/>
  <c r="AT483" i="1" s="1"/>
  <c r="AS484" i="1"/>
  <c r="AS485" i="1"/>
  <c r="AT485" i="1" s="1"/>
  <c r="AS486" i="1"/>
  <c r="AT486" i="1" s="1"/>
  <c r="AS487" i="1"/>
  <c r="AS488" i="1"/>
  <c r="AS489" i="1"/>
  <c r="AS490" i="1"/>
  <c r="AS491" i="1"/>
  <c r="AS492" i="1"/>
  <c r="AS493" i="1"/>
  <c r="AU493" i="1" s="1"/>
  <c r="AS494" i="1"/>
  <c r="AS495" i="1"/>
  <c r="AS496" i="1"/>
  <c r="AS497" i="1"/>
  <c r="AS498" i="1"/>
  <c r="AT498" i="1" s="1"/>
  <c r="AS499" i="1"/>
  <c r="AS500" i="1"/>
  <c r="AT500" i="1" s="1"/>
  <c r="AS501" i="1"/>
  <c r="AT501" i="1" s="1"/>
  <c r="AS502" i="1"/>
  <c r="AS503" i="1"/>
  <c r="AS504" i="1"/>
  <c r="AU504" i="1" s="1"/>
  <c r="AS505" i="1"/>
  <c r="AT505" i="1" s="1"/>
  <c r="AS506" i="1"/>
  <c r="AU506" i="1" s="1"/>
  <c r="AS507" i="1"/>
  <c r="AS508" i="1"/>
  <c r="AS509" i="1"/>
  <c r="AS510" i="1"/>
  <c r="AT510" i="1" s="1"/>
  <c r="AS511" i="1"/>
  <c r="AS512" i="1"/>
  <c r="AS513" i="1"/>
  <c r="AS514" i="1"/>
  <c r="AT514" i="1" s="1"/>
  <c r="AS515" i="1"/>
  <c r="AT515" i="1" s="1"/>
  <c r="AS516" i="1"/>
  <c r="AT516" i="1" s="1"/>
  <c r="AS517" i="1"/>
  <c r="AT517" i="1" s="1"/>
  <c r="AS518" i="1"/>
  <c r="AS519" i="1"/>
  <c r="AS520" i="1"/>
  <c r="AS521" i="1"/>
  <c r="AS522" i="1"/>
  <c r="AT522" i="1" s="1"/>
  <c r="AS523" i="1"/>
  <c r="AS524" i="1"/>
  <c r="AS525" i="1"/>
  <c r="AS526" i="1"/>
  <c r="AS527" i="1"/>
  <c r="AS528" i="1"/>
  <c r="AS529" i="1"/>
  <c r="AT529" i="1" s="1"/>
  <c r="AS530" i="1"/>
  <c r="AS531" i="1"/>
  <c r="AT531" i="1" s="1"/>
  <c r="AS532" i="1"/>
  <c r="AS533" i="1"/>
  <c r="AT533" i="1" s="1"/>
  <c r="AS534" i="1"/>
  <c r="AS535" i="1"/>
  <c r="AS536" i="1"/>
  <c r="AS537" i="1"/>
  <c r="AS538" i="1"/>
  <c r="AS539" i="1"/>
  <c r="AS540" i="1"/>
  <c r="AS541" i="1"/>
  <c r="AT541" i="1" s="1"/>
  <c r="AS542" i="1"/>
  <c r="AS543" i="1"/>
  <c r="AS544" i="1"/>
  <c r="AS545" i="1"/>
  <c r="AS546" i="1"/>
  <c r="AT546" i="1" s="1"/>
  <c r="AS547" i="1"/>
  <c r="AS548" i="1"/>
  <c r="AT548" i="1" s="1"/>
  <c r="AS549" i="1"/>
  <c r="AT549" i="1" s="1"/>
  <c r="AS550" i="1"/>
  <c r="AS551" i="1"/>
  <c r="AS552" i="1"/>
  <c r="AS553" i="1"/>
  <c r="AT553" i="1" s="1"/>
  <c r="AS554" i="1"/>
  <c r="AS555" i="1"/>
  <c r="AS556" i="1"/>
  <c r="AS557" i="1"/>
  <c r="AS558" i="1"/>
  <c r="AS559" i="1"/>
  <c r="AS560" i="1"/>
  <c r="AS561" i="1"/>
  <c r="AS562" i="1"/>
  <c r="AT562" i="1" s="1"/>
  <c r="AS563" i="1"/>
  <c r="AT563" i="1" s="1"/>
  <c r="AS564" i="1"/>
  <c r="AT564" i="1" s="1"/>
  <c r="AS565" i="1"/>
  <c r="AT565" i="1" s="1"/>
  <c r="AS566" i="1"/>
  <c r="AS567" i="1"/>
  <c r="AS568" i="1"/>
  <c r="AS569" i="1"/>
  <c r="AS570" i="1"/>
  <c r="AS571" i="1"/>
  <c r="AS572" i="1"/>
  <c r="AS573" i="1"/>
  <c r="AS574" i="1"/>
  <c r="AS575" i="1"/>
  <c r="AS576" i="1"/>
  <c r="AS577" i="1"/>
  <c r="AT577" i="1" s="1"/>
  <c r="AS578" i="1"/>
  <c r="AS579" i="1"/>
  <c r="AT579" i="1" s="1"/>
  <c r="AS580" i="1"/>
  <c r="AS581" i="1"/>
  <c r="AU581" i="1" s="1"/>
  <c r="AS582" i="1"/>
  <c r="AS583" i="1"/>
  <c r="AS584" i="1"/>
  <c r="AS585" i="1"/>
  <c r="AS586" i="1"/>
  <c r="AS587" i="1"/>
  <c r="AS588" i="1"/>
  <c r="AS589" i="1"/>
  <c r="AT589" i="1" s="1"/>
  <c r="AS590" i="1"/>
  <c r="AS591" i="1"/>
  <c r="AS592" i="1"/>
  <c r="AS593" i="1"/>
  <c r="AS594" i="1"/>
  <c r="AT594" i="1" s="1"/>
  <c r="AS595" i="1"/>
  <c r="AS596" i="1"/>
  <c r="AT596" i="1" s="1"/>
  <c r="AS597" i="1"/>
  <c r="AT597" i="1" s="1"/>
  <c r="AS598" i="1"/>
  <c r="AS599" i="1"/>
  <c r="AS600" i="1"/>
  <c r="AS601" i="1"/>
  <c r="AT601" i="1" s="1"/>
  <c r="AS602" i="1"/>
  <c r="AS603" i="1"/>
  <c r="AS604" i="1"/>
  <c r="AU604" i="1" s="1"/>
  <c r="AS605" i="1"/>
  <c r="AS606" i="1"/>
  <c r="AS607" i="1"/>
  <c r="AS608" i="1"/>
  <c r="AS609" i="1"/>
  <c r="AS610" i="1"/>
  <c r="AT610" i="1" s="1"/>
  <c r="AS611" i="1"/>
  <c r="AT611" i="1" s="1"/>
  <c r="AS612" i="1"/>
  <c r="AT612" i="1" s="1"/>
  <c r="AS613" i="1"/>
  <c r="AS614" i="1"/>
  <c r="AS615" i="1"/>
  <c r="AS616" i="1"/>
  <c r="AS617" i="1"/>
  <c r="AS618" i="1"/>
  <c r="AS619" i="1"/>
  <c r="AS620" i="1"/>
  <c r="AS621" i="1"/>
  <c r="AS622" i="1"/>
  <c r="AS623" i="1"/>
  <c r="AS624" i="1"/>
  <c r="AS625" i="1"/>
  <c r="AT625" i="1" s="1"/>
  <c r="AS626" i="1"/>
  <c r="AS627" i="1"/>
  <c r="AT627" i="1" s="1"/>
  <c r="AS628" i="1"/>
  <c r="AS629" i="1"/>
  <c r="AT629" i="1" s="1"/>
  <c r="AS630" i="1"/>
  <c r="AS631" i="1"/>
  <c r="AS632" i="1"/>
  <c r="AS633" i="1"/>
  <c r="AS634" i="1"/>
  <c r="AS635" i="1"/>
  <c r="AS636" i="1"/>
  <c r="AS637" i="1"/>
  <c r="AS638" i="1"/>
  <c r="AS639" i="1"/>
  <c r="AS640" i="1"/>
  <c r="AS641" i="1"/>
  <c r="AS642" i="1"/>
  <c r="AT642" i="1" s="1"/>
  <c r="AS643" i="1"/>
  <c r="AS644" i="1"/>
  <c r="AT644" i="1" s="1"/>
  <c r="AS645" i="1"/>
  <c r="AT645" i="1" s="1"/>
  <c r="AS646" i="1"/>
  <c r="AS647" i="1"/>
  <c r="AS648" i="1"/>
  <c r="AS649" i="1"/>
  <c r="AS650" i="1"/>
  <c r="AS651" i="1"/>
  <c r="AS652" i="1"/>
  <c r="AS653" i="1"/>
  <c r="AS654" i="1"/>
  <c r="AS655" i="1"/>
  <c r="AS656" i="1"/>
  <c r="AS657" i="1"/>
  <c r="AS658" i="1"/>
  <c r="AT658" i="1" s="1"/>
  <c r="AS659" i="1"/>
  <c r="AT659" i="1" s="1"/>
  <c r="AS660" i="1"/>
  <c r="AT660" i="1" s="1"/>
  <c r="AS661" i="1"/>
  <c r="AS662" i="1"/>
  <c r="AS663" i="1"/>
  <c r="AS664" i="1"/>
  <c r="AS665" i="1"/>
  <c r="AS666" i="1"/>
  <c r="AS667" i="1"/>
  <c r="AS668" i="1"/>
  <c r="AS669" i="1"/>
  <c r="AS670" i="1"/>
  <c r="AS671" i="1"/>
  <c r="AS672" i="1"/>
  <c r="AT672" i="1" s="1"/>
  <c r="AS673" i="1"/>
  <c r="AT673" i="1" s="1"/>
  <c r="AS674" i="1"/>
  <c r="AS675" i="1"/>
  <c r="AT675" i="1" s="1"/>
  <c r="AS676" i="1"/>
  <c r="AS677" i="1"/>
  <c r="AS678" i="1"/>
  <c r="AS679" i="1"/>
  <c r="AS680" i="1"/>
  <c r="AS681" i="1"/>
  <c r="AU681" i="1" s="1"/>
  <c r="AS682" i="1"/>
  <c r="AS683" i="1"/>
  <c r="AS684" i="1"/>
  <c r="AS685" i="1"/>
  <c r="AS686" i="1"/>
  <c r="AS687" i="1"/>
  <c r="AT687" i="1" s="1"/>
  <c r="AS688" i="1"/>
  <c r="AT688" i="1" s="1"/>
  <c r="AS689" i="1"/>
  <c r="AT689" i="1" s="1"/>
  <c r="AS690" i="1"/>
  <c r="AS691" i="1"/>
  <c r="AS692" i="1"/>
  <c r="AS693" i="1"/>
  <c r="AS694" i="1"/>
  <c r="AS695" i="1"/>
  <c r="AT695" i="1" s="1"/>
  <c r="AS696" i="1"/>
  <c r="AS697" i="1"/>
  <c r="AS698" i="1"/>
  <c r="AS699" i="1"/>
  <c r="AS700" i="1"/>
  <c r="AS701" i="1"/>
  <c r="AT701" i="1" s="1"/>
  <c r="AS702" i="1"/>
  <c r="AT702" i="1" s="1"/>
  <c r="AS703" i="1"/>
  <c r="AS704" i="1"/>
  <c r="AT704" i="1" s="1"/>
  <c r="AS705" i="1"/>
  <c r="AS706" i="1"/>
  <c r="AS707" i="1"/>
  <c r="AS708" i="1"/>
  <c r="AS709" i="1"/>
  <c r="AU709" i="1" s="1"/>
  <c r="AS710" i="1"/>
  <c r="AS711" i="1"/>
  <c r="AS712" i="1"/>
  <c r="AS713" i="1"/>
  <c r="AS714" i="1"/>
  <c r="AS715" i="1"/>
  <c r="AS716" i="1"/>
  <c r="AT716" i="1" s="1"/>
  <c r="AS717" i="1"/>
  <c r="AT717" i="1" s="1"/>
  <c r="AS718" i="1"/>
  <c r="AT718" i="1" s="1"/>
  <c r="AS719" i="1"/>
  <c r="AS720" i="1"/>
  <c r="AS721" i="1"/>
  <c r="AS722" i="1"/>
  <c r="AU722" i="1" s="1"/>
  <c r="AS723" i="1"/>
  <c r="AS724" i="1"/>
  <c r="AT724" i="1" s="1"/>
  <c r="AS725" i="1"/>
  <c r="AS726" i="1"/>
  <c r="AS727" i="1"/>
  <c r="AS728" i="1"/>
  <c r="AS729" i="1"/>
  <c r="AS730" i="1"/>
  <c r="AT730" i="1" s="1"/>
  <c r="AS731" i="1"/>
  <c r="AT731" i="1" s="1"/>
  <c r="AS732" i="1"/>
  <c r="AT732" i="1" s="1"/>
  <c r="AS733" i="1"/>
  <c r="AS734" i="1"/>
  <c r="AS735" i="1"/>
  <c r="AS736" i="1"/>
  <c r="AS737" i="1"/>
  <c r="AS738" i="1"/>
  <c r="AT738" i="1" s="1"/>
  <c r="AS739" i="1"/>
  <c r="AS740" i="1"/>
  <c r="AS741" i="1"/>
  <c r="AS742" i="1"/>
  <c r="AS743" i="1"/>
  <c r="AS744" i="1"/>
  <c r="AT744" i="1" s="1"/>
  <c r="AS745" i="1"/>
  <c r="AT745" i="1" s="1"/>
  <c r="AS746" i="1"/>
  <c r="AS747" i="1"/>
  <c r="AT747" i="1" s="1"/>
  <c r="AS748" i="1"/>
  <c r="AS749" i="1"/>
  <c r="AS750" i="1"/>
  <c r="AS751" i="1"/>
  <c r="AS752" i="1"/>
  <c r="AS753" i="1"/>
  <c r="AT753" i="1" s="1"/>
  <c r="AS754" i="1"/>
  <c r="AS755" i="1"/>
  <c r="AS756" i="1"/>
  <c r="AS757" i="1"/>
  <c r="AS758" i="1"/>
  <c r="AS759" i="1"/>
  <c r="AT759" i="1" s="1"/>
  <c r="AS760" i="1"/>
  <c r="AT760" i="1" s="1"/>
  <c r="AS761" i="1"/>
  <c r="AT761" i="1" s="1"/>
  <c r="AS762" i="1"/>
  <c r="AS763" i="1"/>
  <c r="AS764" i="1"/>
  <c r="AS765" i="1"/>
  <c r="AS766" i="1"/>
  <c r="AS767" i="1"/>
  <c r="AT767" i="1" s="1"/>
  <c r="AS768" i="1"/>
  <c r="AS769" i="1"/>
  <c r="AS770" i="1"/>
  <c r="AS771" i="1"/>
  <c r="AS772" i="1"/>
  <c r="AS773" i="1"/>
  <c r="AT773" i="1" s="1"/>
  <c r="AS774" i="1"/>
  <c r="AT774" i="1" s="1"/>
  <c r="AS775" i="1"/>
  <c r="AS776" i="1"/>
  <c r="AT776" i="1" s="1"/>
  <c r="AS777" i="1"/>
  <c r="AS778" i="1"/>
  <c r="AS779" i="1"/>
  <c r="AS780" i="1"/>
  <c r="AU780" i="1" s="1"/>
  <c r="AS781" i="1"/>
  <c r="AT781" i="1" s="1"/>
  <c r="AS782" i="1"/>
  <c r="AS783" i="1"/>
  <c r="AS784" i="1"/>
  <c r="AS785" i="1"/>
  <c r="AS786" i="1"/>
  <c r="AS787" i="1"/>
  <c r="AS788" i="1"/>
  <c r="AT788" i="1" s="1"/>
  <c r="AS789" i="1"/>
  <c r="AT789" i="1" s="1"/>
  <c r="AS790" i="1"/>
  <c r="AT790" i="1" s="1"/>
  <c r="AS791" i="1"/>
  <c r="AS792" i="1"/>
  <c r="AS793" i="1"/>
  <c r="AS794" i="1"/>
  <c r="AS795" i="1"/>
  <c r="AS796" i="1"/>
  <c r="AT796" i="1" s="1"/>
  <c r="AS797" i="1"/>
  <c r="AT797" i="1" s="1"/>
  <c r="AS798" i="1"/>
  <c r="AS799" i="1"/>
  <c r="AS800" i="1"/>
  <c r="AS801" i="1"/>
  <c r="AS802" i="1"/>
  <c r="AT802" i="1" s="1"/>
  <c r="AS803" i="1"/>
  <c r="AT803" i="1" s="1"/>
  <c r="AS804" i="1"/>
  <c r="AT804" i="1" s="1"/>
  <c r="AS805" i="1"/>
  <c r="AS806" i="1"/>
  <c r="AS807" i="1"/>
  <c r="AS808" i="1"/>
  <c r="AS809" i="1"/>
  <c r="AS810" i="1"/>
  <c r="AT810" i="1" s="1"/>
  <c r="AS811" i="1"/>
  <c r="AS812" i="1"/>
  <c r="AT812" i="1" s="1"/>
  <c r="AS813" i="1"/>
  <c r="AS814" i="1"/>
  <c r="AS815" i="1"/>
  <c r="AS816" i="1"/>
  <c r="AT816" i="1" s="1"/>
  <c r="AS817" i="1"/>
  <c r="AT817" i="1" s="1"/>
  <c r="AS818" i="1"/>
  <c r="AS819" i="1"/>
  <c r="AT819" i="1" s="1"/>
  <c r="AS820" i="1"/>
  <c r="AS821" i="1"/>
  <c r="AS822" i="1"/>
  <c r="AS823" i="1"/>
  <c r="AS824" i="1"/>
  <c r="AS825" i="1"/>
  <c r="AT825" i="1" s="1"/>
  <c r="AS826" i="1"/>
  <c r="AT826" i="1" s="1"/>
  <c r="AS827" i="1"/>
  <c r="AS828" i="1"/>
  <c r="AS829" i="1"/>
  <c r="AS830" i="1"/>
  <c r="AS831" i="1"/>
  <c r="AT831" i="1" s="1"/>
  <c r="AS832" i="1"/>
  <c r="AT832" i="1" s="1"/>
  <c r="AS833" i="1"/>
  <c r="AT833" i="1" s="1"/>
  <c r="AS834" i="1"/>
  <c r="AS835" i="1"/>
  <c r="AS836" i="1"/>
  <c r="AS837" i="1"/>
  <c r="AS838" i="1"/>
  <c r="AS839" i="1"/>
  <c r="AT839" i="1" s="1"/>
  <c r="AS840" i="1"/>
  <c r="AT840" i="1" s="1"/>
  <c r="AS841" i="1"/>
  <c r="AS842" i="1"/>
  <c r="AS843" i="1"/>
  <c r="AS844" i="1"/>
  <c r="AS845" i="1"/>
  <c r="AT845" i="1" s="1"/>
  <c r="AS846" i="1"/>
  <c r="AT846" i="1" s="1"/>
  <c r="AS847" i="1"/>
  <c r="AS848" i="1"/>
  <c r="AT848" i="1" s="1"/>
  <c r="AS849" i="1"/>
  <c r="AS850" i="1"/>
  <c r="AS851" i="1"/>
  <c r="AS852" i="1"/>
  <c r="AS853" i="1"/>
  <c r="AT853" i="1" s="1"/>
  <c r="AS854" i="1"/>
  <c r="AS855" i="1"/>
  <c r="AT855" i="1" s="1"/>
  <c r="AS856" i="1"/>
  <c r="AS857" i="1"/>
  <c r="AS858" i="1"/>
  <c r="AS859" i="1"/>
  <c r="AS860" i="1"/>
  <c r="AT860" i="1" s="1"/>
  <c r="AS861" i="1"/>
  <c r="AT861" i="1" s="1"/>
  <c r="AS862" i="1"/>
  <c r="AT862" i="1" s="1"/>
  <c r="AS863" i="1"/>
  <c r="AS864" i="1"/>
  <c r="AU864" i="1" s="1"/>
  <c r="AS865" i="1"/>
  <c r="AU865" i="1" s="1"/>
  <c r="AS866" i="1"/>
  <c r="AS867" i="1"/>
  <c r="AS868" i="1"/>
  <c r="AT868" i="1" s="1"/>
  <c r="AS869" i="1"/>
  <c r="AT869" i="1" s="1"/>
  <c r="AS870" i="1"/>
  <c r="AS871" i="1"/>
  <c r="AS872" i="1"/>
  <c r="AS873" i="1"/>
  <c r="AS874" i="1"/>
  <c r="AT874" i="1" s="1"/>
  <c r="AS875" i="1"/>
  <c r="AT875" i="1" s="1"/>
  <c r="AS876" i="1"/>
  <c r="AT876" i="1" s="1"/>
  <c r="AS877" i="1"/>
  <c r="AS878" i="1"/>
  <c r="AS879" i="1"/>
  <c r="AS880" i="1"/>
  <c r="AS881" i="1"/>
  <c r="AS882" i="1"/>
  <c r="AT882" i="1" s="1"/>
  <c r="AS883" i="1"/>
  <c r="AS884" i="1"/>
  <c r="AT884" i="1" s="1"/>
  <c r="AS885" i="1"/>
  <c r="AS886" i="1"/>
  <c r="AS887" i="1"/>
  <c r="AS888" i="1"/>
  <c r="AT888" i="1" s="1"/>
  <c r="AS889" i="1"/>
  <c r="AT889" i="1" s="1"/>
  <c r="AS890" i="1"/>
  <c r="AS891" i="1"/>
  <c r="AT891" i="1" s="1"/>
  <c r="AS892" i="1"/>
  <c r="AS893" i="1"/>
  <c r="AS894" i="1"/>
  <c r="AS895" i="1"/>
  <c r="AS896" i="1"/>
  <c r="AS897" i="1"/>
  <c r="AT897" i="1" s="1"/>
  <c r="AS898" i="1"/>
  <c r="AT898" i="1" s="1"/>
  <c r="AS899" i="1"/>
  <c r="AS900" i="1"/>
  <c r="AS901" i="1"/>
  <c r="AS902" i="1"/>
  <c r="AS903" i="1"/>
  <c r="AT903" i="1" s="1"/>
  <c r="AS904" i="1"/>
  <c r="AT904" i="1" s="1"/>
  <c r="AS905" i="1"/>
  <c r="AT905" i="1" s="1"/>
  <c r="AS906" i="1"/>
  <c r="AS907" i="1"/>
  <c r="AS908" i="1"/>
  <c r="AS909" i="1"/>
  <c r="AS910" i="1"/>
  <c r="AS911" i="1"/>
  <c r="AT911" i="1" s="1"/>
  <c r="AS912" i="1"/>
  <c r="AT912" i="1" s="1"/>
  <c r="AS913" i="1"/>
  <c r="AS914" i="1"/>
  <c r="AS915" i="1"/>
  <c r="AS916" i="1"/>
  <c r="AS917" i="1"/>
  <c r="AT917" i="1" s="1"/>
  <c r="AS918" i="1"/>
  <c r="AT918" i="1" s="1"/>
  <c r="AS919" i="1"/>
  <c r="AS920" i="1"/>
  <c r="AT920" i="1" s="1"/>
  <c r="AS921" i="1"/>
  <c r="AS922" i="1"/>
  <c r="AS923" i="1"/>
  <c r="AS924" i="1"/>
  <c r="AS925" i="1"/>
  <c r="AT925" i="1" s="1"/>
  <c r="AS926" i="1"/>
  <c r="AS927" i="1"/>
  <c r="AT927" i="1" s="1"/>
  <c r="AS928" i="1"/>
  <c r="AS929" i="1"/>
  <c r="AS930" i="1"/>
  <c r="AS931" i="1"/>
  <c r="AS932" i="1"/>
  <c r="AT932" i="1" s="1"/>
  <c r="AS933" i="1"/>
  <c r="AT933" i="1" s="1"/>
  <c r="AS934" i="1"/>
  <c r="AT934" i="1" s="1"/>
  <c r="AS935" i="1"/>
  <c r="AS936" i="1"/>
  <c r="AS937" i="1"/>
  <c r="AS938" i="1"/>
  <c r="AS939" i="1"/>
  <c r="AS940" i="1"/>
  <c r="AT940" i="1" s="1"/>
  <c r="AS941" i="1"/>
  <c r="AT941" i="1" s="1"/>
  <c r="AS942" i="1"/>
  <c r="AS943" i="1"/>
  <c r="AS944" i="1"/>
  <c r="AS945" i="1"/>
  <c r="AS946" i="1"/>
  <c r="AT946" i="1" s="1"/>
  <c r="AS947" i="1"/>
  <c r="AT947" i="1" s="1"/>
  <c r="AS948" i="1"/>
  <c r="AT948" i="1" s="1"/>
  <c r="AS949" i="1"/>
  <c r="AS950" i="1"/>
  <c r="AS951" i="1"/>
  <c r="AS952" i="1"/>
  <c r="AS953" i="1"/>
  <c r="AS954" i="1"/>
  <c r="AT954" i="1" s="1"/>
  <c r="AS955" i="1"/>
  <c r="AS956" i="1"/>
  <c r="AT956" i="1" s="1"/>
  <c r="AS957" i="1"/>
  <c r="AU957" i="1" s="1"/>
  <c r="AS958" i="1"/>
  <c r="AS959" i="1"/>
  <c r="AS960" i="1"/>
  <c r="AT960" i="1" s="1"/>
  <c r="AS961" i="1"/>
  <c r="AT961" i="1" s="1"/>
  <c r="AS962" i="1"/>
  <c r="AS963" i="1"/>
  <c r="AT963" i="1" s="1"/>
  <c r="AS964" i="1"/>
  <c r="AS965" i="1"/>
  <c r="AS966" i="1"/>
  <c r="AS967" i="1"/>
  <c r="AS968" i="1"/>
  <c r="AS969" i="1"/>
  <c r="AT969" i="1" s="1"/>
  <c r="AS970" i="1"/>
  <c r="AT970" i="1" s="1"/>
  <c r="AS971" i="1"/>
  <c r="AS972" i="1"/>
  <c r="AS973" i="1"/>
  <c r="AS974" i="1"/>
  <c r="AS975" i="1"/>
  <c r="AT975" i="1" s="1"/>
  <c r="AS976" i="1"/>
  <c r="AT976" i="1" s="1"/>
  <c r="AS977" i="1"/>
  <c r="AT977" i="1" s="1"/>
  <c r="AS978" i="1"/>
  <c r="AS979" i="1"/>
  <c r="AS980" i="1"/>
  <c r="AS981" i="1"/>
  <c r="AS982" i="1"/>
  <c r="AS983" i="1"/>
  <c r="AT983" i="1" s="1"/>
  <c r="AS984" i="1"/>
  <c r="AT984" i="1" s="1"/>
  <c r="AS985" i="1"/>
  <c r="AS986" i="1"/>
  <c r="AS987" i="1"/>
  <c r="AS988" i="1"/>
  <c r="AS989" i="1"/>
  <c r="AT989" i="1" s="1"/>
  <c r="AS990" i="1"/>
  <c r="AT990" i="1" s="1"/>
  <c r="AS991" i="1"/>
  <c r="AS992" i="1"/>
  <c r="AT992" i="1" s="1"/>
  <c r="AS993" i="1"/>
  <c r="AS994" i="1"/>
  <c r="AS995" i="1"/>
  <c r="AS996" i="1"/>
  <c r="AS997" i="1"/>
  <c r="AT997" i="1" s="1"/>
  <c r="AS998" i="1"/>
  <c r="AS999" i="1"/>
  <c r="AT999" i="1" s="1"/>
  <c r="AS1000" i="1"/>
  <c r="AS1001" i="1"/>
  <c r="AS1002" i="1"/>
  <c r="AS1003" i="1"/>
  <c r="AS1004" i="1"/>
  <c r="AT1004" i="1" s="1"/>
  <c r="AS1005" i="1"/>
  <c r="AT1005" i="1" s="1"/>
  <c r="AS1006" i="1"/>
  <c r="AT1006" i="1" s="1"/>
  <c r="AS1007" i="1"/>
  <c r="AS1008" i="1"/>
  <c r="AS1009" i="1"/>
  <c r="AS1010" i="1"/>
  <c r="AS1011" i="1"/>
  <c r="AS1012" i="1"/>
  <c r="AT1012" i="1" s="1"/>
  <c r="AS1013" i="1"/>
  <c r="AT1013" i="1" s="1"/>
  <c r="AS1014" i="1"/>
  <c r="AS1015" i="1"/>
  <c r="AS1016" i="1"/>
  <c r="AS1017" i="1"/>
  <c r="AS1018" i="1"/>
  <c r="AT1018" i="1" s="1"/>
  <c r="AS1019" i="1"/>
  <c r="AT1019" i="1" s="1"/>
  <c r="AS1020" i="1"/>
  <c r="AT1020" i="1" s="1"/>
  <c r="AS1021" i="1"/>
  <c r="AU1021" i="1" s="1"/>
  <c r="AS1022" i="1"/>
  <c r="AS1023" i="1"/>
  <c r="AS1024" i="1"/>
  <c r="AS1025" i="1"/>
  <c r="AT1025" i="1" s="1"/>
  <c r="AS1026" i="1"/>
  <c r="AT1026" i="1" s="1"/>
  <c r="AS1027" i="1"/>
  <c r="AS1028" i="1"/>
  <c r="AS1029" i="1"/>
  <c r="AS1030" i="1"/>
  <c r="AT1030" i="1" s="1"/>
  <c r="AS1031" i="1"/>
  <c r="AT1031" i="1" s="1"/>
  <c r="AS1032" i="1"/>
  <c r="AT1032" i="1" s="1"/>
  <c r="AS1033" i="1"/>
  <c r="AS1034" i="1"/>
  <c r="AS1035" i="1"/>
  <c r="AS1036" i="1"/>
  <c r="AS1037" i="1"/>
  <c r="AT1037" i="1" s="1"/>
  <c r="AS1038" i="1"/>
  <c r="AT1038" i="1" s="1"/>
  <c r="AS1039" i="1"/>
  <c r="AS1040" i="1"/>
  <c r="AS1041" i="1"/>
  <c r="AS1042" i="1"/>
  <c r="AT1042" i="1" s="1"/>
  <c r="AS1043" i="1"/>
  <c r="AT1043" i="1" s="1"/>
  <c r="AS1044" i="1"/>
  <c r="AT1044" i="1" s="1"/>
  <c r="AS1045" i="1"/>
  <c r="AU1045" i="1" s="1"/>
  <c r="AS1046" i="1"/>
  <c r="AS1047" i="1"/>
  <c r="AS1048" i="1"/>
  <c r="AS1049" i="1"/>
  <c r="AT1049" i="1" s="1"/>
  <c r="AS1050" i="1"/>
  <c r="AT1050" i="1" s="1"/>
  <c r="AS1051" i="1"/>
  <c r="AS1052" i="1"/>
  <c r="AS1053" i="1"/>
  <c r="AS1054" i="1"/>
  <c r="AT1054" i="1" s="1"/>
  <c r="AS1055" i="1"/>
  <c r="AT1055" i="1" s="1"/>
  <c r="AS1056" i="1"/>
  <c r="AT1056" i="1" s="1"/>
  <c r="AS1057" i="1"/>
  <c r="AU1057" i="1" s="1"/>
  <c r="AS1058" i="1"/>
  <c r="AS1059" i="1"/>
  <c r="AS1060" i="1"/>
  <c r="AS1061" i="1"/>
  <c r="AT1061" i="1" s="1"/>
  <c r="AS1062" i="1"/>
  <c r="AT1062" i="1" s="1"/>
  <c r="AS1063" i="1"/>
  <c r="AS1064" i="1"/>
  <c r="AS1065" i="1"/>
  <c r="AS1066" i="1"/>
  <c r="AT1066" i="1" s="1"/>
  <c r="AS1067" i="1"/>
  <c r="AT1067" i="1" s="1"/>
  <c r="AS1068" i="1"/>
  <c r="AT1068" i="1" s="1"/>
  <c r="AS1069" i="1"/>
  <c r="AS1070" i="1"/>
  <c r="AS1071" i="1"/>
  <c r="AS1072" i="1"/>
  <c r="AS1073" i="1"/>
  <c r="AT1073" i="1" s="1"/>
  <c r="AS1074" i="1"/>
  <c r="AT1074" i="1" s="1"/>
  <c r="AS1075" i="1"/>
  <c r="AS1076" i="1"/>
  <c r="AS1077" i="1"/>
  <c r="AS1078" i="1"/>
  <c r="AT1078" i="1" s="1"/>
  <c r="AS1079" i="1"/>
  <c r="AT1079" i="1" s="1"/>
  <c r="AS1080" i="1"/>
  <c r="AT1080" i="1" s="1"/>
  <c r="AS1081" i="1"/>
  <c r="AS1082" i="1"/>
  <c r="AS1083" i="1"/>
  <c r="AS1084" i="1"/>
  <c r="AS1085" i="1"/>
  <c r="AT1085" i="1" s="1"/>
  <c r="AS1086" i="1"/>
  <c r="AT1086" i="1" s="1"/>
  <c r="AS1087" i="1"/>
  <c r="AS1088" i="1"/>
  <c r="AS1089" i="1"/>
  <c r="AS1090" i="1"/>
  <c r="AT1090" i="1" s="1"/>
  <c r="AS1091" i="1"/>
  <c r="AT1091" i="1" s="1"/>
  <c r="AS1092" i="1"/>
  <c r="AT1092" i="1" s="1"/>
  <c r="AS1093" i="1"/>
  <c r="AS1094" i="1"/>
  <c r="AS1095" i="1"/>
  <c r="AS1096" i="1"/>
  <c r="AS1097" i="1"/>
  <c r="AT1097" i="1" s="1"/>
  <c r="AS1098" i="1"/>
  <c r="AT1098" i="1" s="1"/>
  <c r="AS1099" i="1"/>
  <c r="AS1100" i="1"/>
  <c r="AS1101" i="1"/>
  <c r="AR2" i="1"/>
  <c r="AR3" i="1"/>
  <c r="AR4" i="1"/>
  <c r="AR5" i="1"/>
  <c r="AR6" i="1"/>
  <c r="AR7" i="1"/>
  <c r="AR8" i="1"/>
  <c r="AR9" i="1"/>
  <c r="AR10" i="1"/>
  <c r="AR11" i="1"/>
  <c r="AR12" i="1"/>
  <c r="AR13" i="1"/>
  <c r="AR14" i="1"/>
  <c r="AR15" i="1"/>
  <c r="AR16" i="1"/>
  <c r="AR17" i="1"/>
  <c r="AR18" i="1"/>
  <c r="AR19" i="1"/>
  <c r="AR20" i="1"/>
  <c r="AR21" i="1"/>
  <c r="AR22" i="1"/>
  <c r="AR23" i="1"/>
  <c r="AR24" i="1"/>
  <c r="AR25" i="1"/>
  <c r="AR26" i="1"/>
  <c r="AR27" i="1"/>
  <c r="AR28" i="1"/>
  <c r="AR29" i="1"/>
  <c r="AR30" i="1"/>
  <c r="AR31" i="1"/>
  <c r="AR32" i="1"/>
  <c r="AR33" i="1"/>
  <c r="AR34" i="1"/>
  <c r="AR35" i="1"/>
  <c r="AR36" i="1"/>
  <c r="AR37" i="1"/>
  <c r="AR38" i="1"/>
  <c r="AR39" i="1"/>
  <c r="AR40" i="1"/>
  <c r="AR41" i="1"/>
  <c r="AR42" i="1"/>
  <c r="AR43" i="1"/>
  <c r="AR44" i="1"/>
  <c r="AR45" i="1"/>
  <c r="AR46" i="1"/>
  <c r="AR47" i="1"/>
  <c r="AR48" i="1"/>
  <c r="AR49" i="1"/>
  <c r="AR50" i="1"/>
  <c r="AR51" i="1"/>
  <c r="AR52" i="1"/>
  <c r="AR53" i="1"/>
  <c r="AR54" i="1"/>
  <c r="AR55" i="1"/>
  <c r="AR56" i="1"/>
  <c r="AR57" i="1"/>
  <c r="AR58" i="1"/>
  <c r="AR59" i="1"/>
  <c r="AR60" i="1"/>
  <c r="AR61" i="1"/>
  <c r="AR62" i="1"/>
  <c r="AR63" i="1"/>
  <c r="AR64" i="1"/>
  <c r="AR65" i="1"/>
  <c r="AR66" i="1"/>
  <c r="AR67" i="1"/>
  <c r="AR68" i="1"/>
  <c r="AR69" i="1"/>
  <c r="AR70" i="1"/>
  <c r="AR71" i="1"/>
  <c r="AR72" i="1"/>
  <c r="AR73" i="1"/>
  <c r="AR74" i="1"/>
  <c r="AR75" i="1"/>
  <c r="AR76" i="1"/>
  <c r="AR77" i="1"/>
  <c r="AR78" i="1"/>
  <c r="AR79" i="1"/>
  <c r="AR80" i="1"/>
  <c r="AR81" i="1"/>
  <c r="AR82" i="1"/>
  <c r="AR83" i="1"/>
  <c r="AR84" i="1"/>
  <c r="AR85" i="1"/>
  <c r="AR86" i="1"/>
  <c r="AR87" i="1"/>
  <c r="AR88" i="1"/>
  <c r="AR89" i="1"/>
  <c r="AR90" i="1"/>
  <c r="AR91" i="1"/>
  <c r="AR92" i="1"/>
  <c r="AR93" i="1"/>
  <c r="AR94" i="1"/>
  <c r="AR95" i="1"/>
  <c r="AR96" i="1"/>
  <c r="AR97" i="1"/>
  <c r="AR98" i="1"/>
  <c r="AR99" i="1"/>
  <c r="AR100" i="1"/>
  <c r="AR101" i="1"/>
  <c r="AR102" i="1"/>
  <c r="AR103" i="1"/>
  <c r="AR104" i="1"/>
  <c r="AR105" i="1"/>
  <c r="AR106" i="1"/>
  <c r="AR107" i="1"/>
  <c r="AR108" i="1"/>
  <c r="AR109" i="1"/>
  <c r="AR110" i="1"/>
  <c r="AR111" i="1"/>
  <c r="AR112" i="1"/>
  <c r="AR113" i="1"/>
  <c r="AR114" i="1"/>
  <c r="AR115" i="1"/>
  <c r="AR116" i="1"/>
  <c r="AR117" i="1"/>
  <c r="AR118" i="1"/>
  <c r="AR119" i="1"/>
  <c r="AR120" i="1"/>
  <c r="AR121" i="1"/>
  <c r="AR122" i="1"/>
  <c r="AR123" i="1"/>
  <c r="AR124" i="1"/>
  <c r="AR125" i="1"/>
  <c r="AR126" i="1"/>
  <c r="AR127" i="1"/>
  <c r="AR128" i="1"/>
  <c r="AR129" i="1"/>
  <c r="AR130" i="1"/>
  <c r="AR131" i="1"/>
  <c r="AR132" i="1"/>
  <c r="AR133" i="1"/>
  <c r="AR134" i="1"/>
  <c r="AR135" i="1"/>
  <c r="AR136" i="1"/>
  <c r="AR137" i="1"/>
  <c r="AR138" i="1"/>
  <c r="AR139" i="1"/>
  <c r="AR140" i="1"/>
  <c r="AR141" i="1"/>
  <c r="AR142" i="1"/>
  <c r="AR143" i="1"/>
  <c r="AR144" i="1"/>
  <c r="AR145" i="1"/>
  <c r="AR146" i="1"/>
  <c r="AR147" i="1"/>
  <c r="AR148" i="1"/>
  <c r="AR149" i="1"/>
  <c r="AR150" i="1"/>
  <c r="AR151" i="1"/>
  <c r="AR152" i="1"/>
  <c r="AR153" i="1"/>
  <c r="AR154" i="1"/>
  <c r="AR155" i="1"/>
  <c r="AR156" i="1"/>
  <c r="AR157" i="1"/>
  <c r="AR158" i="1"/>
  <c r="AR159" i="1"/>
  <c r="AR160" i="1"/>
  <c r="AR161" i="1"/>
  <c r="AR162" i="1"/>
  <c r="AR163" i="1"/>
  <c r="AR164" i="1"/>
  <c r="AR165" i="1"/>
  <c r="AR166" i="1"/>
  <c r="AR167" i="1"/>
  <c r="AR168" i="1"/>
  <c r="AR169" i="1"/>
  <c r="AR170" i="1"/>
  <c r="AR171" i="1"/>
  <c r="AR172" i="1"/>
  <c r="AR173" i="1"/>
  <c r="AR174" i="1"/>
  <c r="AR175" i="1"/>
  <c r="AR176" i="1"/>
  <c r="AR177" i="1"/>
  <c r="AR178" i="1"/>
  <c r="AR179" i="1"/>
  <c r="AR180" i="1"/>
  <c r="AR181" i="1"/>
  <c r="AR182" i="1"/>
  <c r="AR183" i="1"/>
  <c r="AR184" i="1"/>
  <c r="AR185" i="1"/>
  <c r="AR186" i="1"/>
  <c r="AR187" i="1"/>
  <c r="AR188" i="1"/>
  <c r="AR189" i="1"/>
  <c r="AR190" i="1"/>
  <c r="AR191" i="1"/>
  <c r="AR192" i="1"/>
  <c r="AR193" i="1"/>
  <c r="AR194" i="1"/>
  <c r="AR195" i="1"/>
  <c r="AR196" i="1"/>
  <c r="AR197" i="1"/>
  <c r="AR198" i="1"/>
  <c r="AR199" i="1"/>
  <c r="AR200" i="1"/>
  <c r="AR201" i="1"/>
  <c r="AR202" i="1"/>
  <c r="AR203" i="1"/>
  <c r="AR204" i="1"/>
  <c r="AR205" i="1"/>
  <c r="AR206" i="1"/>
  <c r="AR207" i="1"/>
  <c r="AR208" i="1"/>
  <c r="AR209" i="1"/>
  <c r="AR210" i="1"/>
  <c r="AR211" i="1"/>
  <c r="AR212" i="1"/>
  <c r="AR213" i="1"/>
  <c r="AR214" i="1"/>
  <c r="AR215" i="1"/>
  <c r="AR216" i="1"/>
  <c r="AR217" i="1"/>
  <c r="AR218" i="1"/>
  <c r="AR219" i="1"/>
  <c r="AR220" i="1"/>
  <c r="AR221" i="1"/>
  <c r="AR222" i="1"/>
  <c r="AR223" i="1"/>
  <c r="AR224" i="1"/>
  <c r="AR225" i="1"/>
  <c r="AR226" i="1"/>
  <c r="AR227" i="1"/>
  <c r="AR228" i="1"/>
  <c r="AR229" i="1"/>
  <c r="AR230" i="1"/>
  <c r="AR231" i="1"/>
  <c r="AR232" i="1"/>
  <c r="AR233" i="1"/>
  <c r="AR234" i="1"/>
  <c r="AR235" i="1"/>
  <c r="AR236" i="1"/>
  <c r="AR237" i="1"/>
  <c r="AR238" i="1"/>
  <c r="AR239" i="1"/>
  <c r="AR240" i="1"/>
  <c r="AR241" i="1"/>
  <c r="AR242" i="1"/>
  <c r="AR243" i="1"/>
  <c r="AR244" i="1"/>
  <c r="AR245" i="1"/>
  <c r="AR246" i="1"/>
  <c r="AR247" i="1"/>
  <c r="AR248" i="1"/>
  <c r="AR249" i="1"/>
  <c r="AR250" i="1"/>
  <c r="AR251" i="1"/>
  <c r="AR252" i="1"/>
  <c r="AR253" i="1"/>
  <c r="AR254" i="1"/>
  <c r="AR255" i="1"/>
  <c r="AR256" i="1"/>
  <c r="AR257" i="1"/>
  <c r="AR258" i="1"/>
  <c r="AR259" i="1"/>
  <c r="AR260" i="1"/>
  <c r="AR261" i="1"/>
  <c r="AR262" i="1"/>
  <c r="AR263" i="1"/>
  <c r="AR264" i="1"/>
  <c r="AR265" i="1"/>
  <c r="AR266" i="1"/>
  <c r="AR267" i="1"/>
  <c r="AR268" i="1"/>
  <c r="AR269" i="1"/>
  <c r="AR270" i="1"/>
  <c r="AR271" i="1"/>
  <c r="AR272" i="1"/>
  <c r="AR273" i="1"/>
  <c r="AR274" i="1"/>
  <c r="AR275" i="1"/>
  <c r="AR276" i="1"/>
  <c r="AR277" i="1"/>
  <c r="AR278" i="1"/>
  <c r="AR279" i="1"/>
  <c r="AR280" i="1"/>
  <c r="AR281" i="1"/>
  <c r="AR282" i="1"/>
  <c r="AR283" i="1"/>
  <c r="AR284" i="1"/>
  <c r="AR285" i="1"/>
  <c r="AR286" i="1"/>
  <c r="AR287" i="1"/>
  <c r="AR288" i="1"/>
  <c r="AR289" i="1"/>
  <c r="AR290" i="1"/>
  <c r="AR291" i="1"/>
  <c r="AR292" i="1"/>
  <c r="AR293" i="1"/>
  <c r="AR294" i="1"/>
  <c r="AR295" i="1"/>
  <c r="AR296" i="1"/>
  <c r="AR297" i="1"/>
  <c r="AR298" i="1"/>
  <c r="AR299" i="1"/>
  <c r="AR300" i="1"/>
  <c r="AR301" i="1"/>
  <c r="AR302" i="1"/>
  <c r="AR303" i="1"/>
  <c r="AR304" i="1"/>
  <c r="AR305" i="1"/>
  <c r="AR306" i="1"/>
  <c r="AR307" i="1"/>
  <c r="AR308" i="1"/>
  <c r="AR309" i="1"/>
  <c r="AR310" i="1"/>
  <c r="AR311" i="1"/>
  <c r="AR312" i="1"/>
  <c r="AR313" i="1"/>
  <c r="AR314" i="1"/>
  <c r="AR315" i="1"/>
  <c r="AR316" i="1"/>
  <c r="AR317" i="1"/>
  <c r="AR318" i="1"/>
  <c r="AR319" i="1"/>
  <c r="AR320" i="1"/>
  <c r="AR321" i="1"/>
  <c r="AR322" i="1"/>
  <c r="AR323" i="1"/>
  <c r="AR324" i="1"/>
  <c r="AR325" i="1"/>
  <c r="AR326" i="1"/>
  <c r="AR327" i="1"/>
  <c r="AR328" i="1"/>
  <c r="AR329" i="1"/>
  <c r="AR330" i="1"/>
  <c r="AR331" i="1"/>
  <c r="AR332" i="1"/>
  <c r="AR333" i="1"/>
  <c r="AR334" i="1"/>
  <c r="AR335" i="1"/>
  <c r="AR336" i="1"/>
  <c r="AR337" i="1"/>
  <c r="AR338" i="1"/>
  <c r="AR339" i="1"/>
  <c r="AR340" i="1"/>
  <c r="AR341" i="1"/>
  <c r="AR342" i="1"/>
  <c r="AR343" i="1"/>
  <c r="AR344" i="1"/>
  <c r="AR345" i="1"/>
  <c r="AR346" i="1"/>
  <c r="AR347" i="1"/>
  <c r="AR348" i="1"/>
  <c r="AR349" i="1"/>
  <c r="AR350" i="1"/>
  <c r="AR351" i="1"/>
  <c r="AR352" i="1"/>
  <c r="AR353" i="1"/>
  <c r="AR354" i="1"/>
  <c r="AR355" i="1"/>
  <c r="AR356" i="1"/>
  <c r="AR357" i="1"/>
  <c r="AR358" i="1"/>
  <c r="AR359" i="1"/>
  <c r="AR360" i="1"/>
  <c r="AR361" i="1"/>
  <c r="AR362" i="1"/>
  <c r="AR363" i="1"/>
  <c r="AR364" i="1"/>
  <c r="AR365" i="1"/>
  <c r="AR366" i="1"/>
  <c r="AR367" i="1"/>
  <c r="AR368" i="1"/>
  <c r="AR369" i="1"/>
  <c r="AR370" i="1"/>
  <c r="AR371" i="1"/>
  <c r="AR372" i="1"/>
  <c r="AR373" i="1"/>
  <c r="AR374" i="1"/>
  <c r="AR375" i="1"/>
  <c r="AR376" i="1"/>
  <c r="AR377" i="1"/>
  <c r="AR378" i="1"/>
  <c r="AR379" i="1"/>
  <c r="AR380" i="1"/>
  <c r="AR381" i="1"/>
  <c r="AR382" i="1"/>
  <c r="AR383" i="1"/>
  <c r="AR384" i="1"/>
  <c r="AR385" i="1"/>
  <c r="AR386" i="1"/>
  <c r="AR387" i="1"/>
  <c r="AR388" i="1"/>
  <c r="AR389" i="1"/>
  <c r="AR390" i="1"/>
  <c r="AR391" i="1"/>
  <c r="AR392" i="1"/>
  <c r="AR393" i="1"/>
  <c r="AR394" i="1"/>
  <c r="AR395" i="1"/>
  <c r="AR396" i="1"/>
  <c r="AR397" i="1"/>
  <c r="AR398" i="1"/>
  <c r="AR399" i="1"/>
  <c r="AR400" i="1"/>
  <c r="AR401" i="1"/>
  <c r="AR402" i="1"/>
  <c r="AR403" i="1"/>
  <c r="AR404" i="1"/>
  <c r="AR405" i="1"/>
  <c r="AR406" i="1"/>
  <c r="AR407" i="1"/>
  <c r="AR408" i="1"/>
  <c r="AR409" i="1"/>
  <c r="AR410" i="1"/>
  <c r="AR411" i="1"/>
  <c r="AR412" i="1"/>
  <c r="AR413" i="1"/>
  <c r="AR414" i="1"/>
  <c r="AR415" i="1"/>
  <c r="AR416" i="1"/>
  <c r="AR417" i="1"/>
  <c r="AR418" i="1"/>
  <c r="AR419" i="1"/>
  <c r="AR420" i="1"/>
  <c r="AR421" i="1"/>
  <c r="AR422" i="1"/>
  <c r="AR423" i="1"/>
  <c r="AR424" i="1"/>
  <c r="AR425" i="1"/>
  <c r="AR426" i="1"/>
  <c r="AR427" i="1"/>
  <c r="AR428" i="1"/>
  <c r="AR429" i="1"/>
  <c r="AR430" i="1"/>
  <c r="AR431" i="1"/>
  <c r="AR432" i="1"/>
  <c r="AR433" i="1"/>
  <c r="AR434" i="1"/>
  <c r="AR435" i="1"/>
  <c r="AR436" i="1"/>
  <c r="AR437" i="1"/>
  <c r="AR438" i="1"/>
  <c r="AR439" i="1"/>
  <c r="AR440" i="1"/>
  <c r="AR441" i="1"/>
  <c r="AR442" i="1"/>
  <c r="AR443" i="1"/>
  <c r="AR444" i="1"/>
  <c r="AR445" i="1"/>
  <c r="AR446" i="1"/>
  <c r="AR447" i="1"/>
  <c r="AR448" i="1"/>
  <c r="AR449" i="1"/>
  <c r="AR450" i="1"/>
  <c r="AR451" i="1"/>
  <c r="AR452" i="1"/>
  <c r="AR453" i="1"/>
  <c r="AR454" i="1"/>
  <c r="AR455" i="1"/>
  <c r="AR456" i="1"/>
  <c r="AR457" i="1"/>
  <c r="AR458" i="1"/>
  <c r="AR459" i="1"/>
  <c r="AR460" i="1"/>
  <c r="AR461" i="1"/>
  <c r="AR462" i="1"/>
  <c r="AR463" i="1"/>
  <c r="AR464" i="1"/>
  <c r="AR465" i="1"/>
  <c r="AR466" i="1"/>
  <c r="AR467" i="1"/>
  <c r="AR468" i="1"/>
  <c r="AR469" i="1"/>
  <c r="AR470" i="1"/>
  <c r="AR471" i="1"/>
  <c r="AR472" i="1"/>
  <c r="AR473" i="1"/>
  <c r="AR474" i="1"/>
  <c r="AR475" i="1"/>
  <c r="AR476" i="1"/>
  <c r="AR477" i="1"/>
  <c r="AR478" i="1"/>
  <c r="AR479" i="1"/>
  <c r="AR480" i="1"/>
  <c r="AR481" i="1"/>
  <c r="AR482" i="1"/>
  <c r="AR483" i="1"/>
  <c r="AR484" i="1"/>
  <c r="AR485" i="1"/>
  <c r="AR486" i="1"/>
  <c r="AR487" i="1"/>
  <c r="AR488" i="1"/>
  <c r="AR489" i="1"/>
  <c r="AR490" i="1"/>
  <c r="AR491" i="1"/>
  <c r="AR492" i="1"/>
  <c r="AR493" i="1"/>
  <c r="AR494" i="1"/>
  <c r="AR495" i="1"/>
  <c r="AR496" i="1"/>
  <c r="AR497" i="1"/>
  <c r="AR498" i="1"/>
  <c r="AR499" i="1"/>
  <c r="AR500" i="1"/>
  <c r="AR501" i="1"/>
  <c r="AR502" i="1"/>
  <c r="AR503" i="1"/>
  <c r="AR504" i="1"/>
  <c r="AR505" i="1"/>
  <c r="AR506" i="1"/>
  <c r="AR507" i="1"/>
  <c r="AR508" i="1"/>
  <c r="AR509" i="1"/>
  <c r="AR510" i="1"/>
  <c r="AR511" i="1"/>
  <c r="AR512" i="1"/>
  <c r="AR513" i="1"/>
  <c r="AR514" i="1"/>
  <c r="AR515" i="1"/>
  <c r="AR516" i="1"/>
  <c r="AR517" i="1"/>
  <c r="AR518" i="1"/>
  <c r="AR519" i="1"/>
  <c r="AR520" i="1"/>
  <c r="AR521" i="1"/>
  <c r="AR522" i="1"/>
  <c r="AR523" i="1"/>
  <c r="AR524" i="1"/>
  <c r="AR525" i="1"/>
  <c r="AR526" i="1"/>
  <c r="AR527" i="1"/>
  <c r="AR528" i="1"/>
  <c r="AR529" i="1"/>
  <c r="AR530" i="1"/>
  <c r="AR531" i="1"/>
  <c r="AR532" i="1"/>
  <c r="AR533" i="1"/>
  <c r="AR534" i="1"/>
  <c r="AR535" i="1"/>
  <c r="AR536" i="1"/>
  <c r="AR537" i="1"/>
  <c r="AR538" i="1"/>
  <c r="AR539" i="1"/>
  <c r="AR540" i="1"/>
  <c r="AR541" i="1"/>
  <c r="AR542" i="1"/>
  <c r="AR543" i="1"/>
  <c r="AR544" i="1"/>
  <c r="AR545" i="1"/>
  <c r="AR546" i="1"/>
  <c r="AR547" i="1"/>
  <c r="AR548" i="1"/>
  <c r="AR549" i="1"/>
  <c r="AR550" i="1"/>
  <c r="AR551" i="1"/>
  <c r="AR552" i="1"/>
  <c r="AR553" i="1"/>
  <c r="AR554" i="1"/>
  <c r="AR555" i="1"/>
  <c r="AR556" i="1"/>
  <c r="AR557" i="1"/>
  <c r="AR558" i="1"/>
  <c r="AR559" i="1"/>
  <c r="AR560" i="1"/>
  <c r="AR561" i="1"/>
  <c r="AR562" i="1"/>
  <c r="AR563" i="1"/>
  <c r="AR564" i="1"/>
  <c r="AR565" i="1"/>
  <c r="AR566" i="1"/>
  <c r="AR567" i="1"/>
  <c r="AR568" i="1"/>
  <c r="AR569" i="1"/>
  <c r="AR570" i="1"/>
  <c r="AR571" i="1"/>
  <c r="AR572" i="1"/>
  <c r="AR573" i="1"/>
  <c r="AR574" i="1"/>
  <c r="AR575" i="1"/>
  <c r="AR576" i="1"/>
  <c r="AR577" i="1"/>
  <c r="AR578" i="1"/>
  <c r="AR579" i="1"/>
  <c r="AR580" i="1"/>
  <c r="AR581" i="1"/>
  <c r="AR582" i="1"/>
  <c r="AR583" i="1"/>
  <c r="AR584" i="1"/>
  <c r="AR585" i="1"/>
  <c r="AR586" i="1"/>
  <c r="AR587" i="1"/>
  <c r="AR588" i="1"/>
  <c r="AR589" i="1"/>
  <c r="AR590" i="1"/>
  <c r="AR591" i="1"/>
  <c r="AR592" i="1"/>
  <c r="AR593" i="1"/>
  <c r="AR594" i="1"/>
  <c r="AR595" i="1"/>
  <c r="AR596" i="1"/>
  <c r="AR597" i="1"/>
  <c r="AR598" i="1"/>
  <c r="AR599" i="1"/>
  <c r="AR600" i="1"/>
  <c r="AR601" i="1"/>
  <c r="AR602" i="1"/>
  <c r="AR603" i="1"/>
  <c r="AR604" i="1"/>
  <c r="AR605" i="1"/>
  <c r="AR606" i="1"/>
  <c r="AR607" i="1"/>
  <c r="AR608" i="1"/>
  <c r="AR609" i="1"/>
  <c r="AR610" i="1"/>
  <c r="AR611" i="1"/>
  <c r="AR612" i="1"/>
  <c r="AR613" i="1"/>
  <c r="AR614" i="1"/>
  <c r="AR615" i="1"/>
  <c r="AR616" i="1"/>
  <c r="AR617" i="1"/>
  <c r="AR618" i="1"/>
  <c r="AR619" i="1"/>
  <c r="AR620" i="1"/>
  <c r="AR621" i="1"/>
  <c r="AR622" i="1"/>
  <c r="AR623" i="1"/>
  <c r="AR624" i="1"/>
  <c r="AR625" i="1"/>
  <c r="AR626" i="1"/>
  <c r="AR627" i="1"/>
  <c r="AR628" i="1"/>
  <c r="AR629" i="1"/>
  <c r="AR630" i="1"/>
  <c r="AR631" i="1"/>
  <c r="AR632" i="1"/>
  <c r="AR633" i="1"/>
  <c r="AR634" i="1"/>
  <c r="AR635" i="1"/>
  <c r="AR636" i="1"/>
  <c r="AR637" i="1"/>
  <c r="AR638" i="1"/>
  <c r="AR639" i="1"/>
  <c r="AR640" i="1"/>
  <c r="AR641" i="1"/>
  <c r="AR642" i="1"/>
  <c r="AR643" i="1"/>
  <c r="AR644" i="1"/>
  <c r="AR645" i="1"/>
  <c r="AR646" i="1"/>
  <c r="AR647" i="1"/>
  <c r="AR648" i="1"/>
  <c r="AR649" i="1"/>
  <c r="AR650" i="1"/>
  <c r="AR651" i="1"/>
  <c r="AR652" i="1"/>
  <c r="AR653" i="1"/>
  <c r="AR654" i="1"/>
  <c r="AR655" i="1"/>
  <c r="AR656" i="1"/>
  <c r="AR657" i="1"/>
  <c r="AR658" i="1"/>
  <c r="AR659" i="1"/>
  <c r="AR660" i="1"/>
  <c r="AR661" i="1"/>
  <c r="AR662" i="1"/>
  <c r="AR663" i="1"/>
  <c r="AR664" i="1"/>
  <c r="AR665" i="1"/>
  <c r="AR666" i="1"/>
  <c r="AR667" i="1"/>
  <c r="AR668" i="1"/>
  <c r="AR669" i="1"/>
  <c r="AR670" i="1"/>
  <c r="AR671" i="1"/>
  <c r="AR672" i="1"/>
  <c r="AR673" i="1"/>
  <c r="AR674" i="1"/>
  <c r="AR675" i="1"/>
  <c r="AR676" i="1"/>
  <c r="AR677" i="1"/>
  <c r="AR678" i="1"/>
  <c r="AR679" i="1"/>
  <c r="AR680" i="1"/>
  <c r="AR681" i="1"/>
  <c r="AR682" i="1"/>
  <c r="AR683" i="1"/>
  <c r="AR684" i="1"/>
  <c r="AR685" i="1"/>
  <c r="AR686" i="1"/>
  <c r="AR687" i="1"/>
  <c r="AR688" i="1"/>
  <c r="AR689" i="1"/>
  <c r="AR690" i="1"/>
  <c r="AR691" i="1"/>
  <c r="AR692" i="1"/>
  <c r="AR693" i="1"/>
  <c r="AR694" i="1"/>
  <c r="AR695" i="1"/>
  <c r="AR696" i="1"/>
  <c r="AR697" i="1"/>
  <c r="AR698" i="1"/>
  <c r="AR699" i="1"/>
  <c r="AR700" i="1"/>
  <c r="AR701" i="1"/>
  <c r="AR702" i="1"/>
  <c r="AR703" i="1"/>
  <c r="AR704" i="1"/>
  <c r="AR705" i="1"/>
  <c r="AR706" i="1"/>
  <c r="AR707" i="1"/>
  <c r="AR708" i="1"/>
  <c r="AR709" i="1"/>
  <c r="AR710" i="1"/>
  <c r="AR711" i="1"/>
  <c r="AR712" i="1"/>
  <c r="AR713" i="1"/>
  <c r="AR714" i="1"/>
  <c r="AR715" i="1"/>
  <c r="AR716" i="1"/>
  <c r="AR717" i="1"/>
  <c r="AR718" i="1"/>
  <c r="AR719" i="1"/>
  <c r="AR720" i="1"/>
  <c r="AR721" i="1"/>
  <c r="AR722" i="1"/>
  <c r="AR723" i="1"/>
  <c r="AR724" i="1"/>
  <c r="AR725" i="1"/>
  <c r="AR726" i="1"/>
  <c r="AR727" i="1"/>
  <c r="AR728" i="1"/>
  <c r="AR729" i="1"/>
  <c r="AR730" i="1"/>
  <c r="AR731" i="1"/>
  <c r="AR732" i="1"/>
  <c r="AR733" i="1"/>
  <c r="AR734" i="1"/>
  <c r="AR735" i="1"/>
  <c r="AR736" i="1"/>
  <c r="AR737" i="1"/>
  <c r="AR738" i="1"/>
  <c r="AR739" i="1"/>
  <c r="AR740" i="1"/>
  <c r="AR741" i="1"/>
  <c r="AR742" i="1"/>
  <c r="AR743" i="1"/>
  <c r="AR744" i="1"/>
  <c r="AR745" i="1"/>
  <c r="AR746" i="1"/>
  <c r="AR747" i="1"/>
  <c r="AR748" i="1"/>
  <c r="AR749" i="1"/>
  <c r="AR750" i="1"/>
  <c r="AR751" i="1"/>
  <c r="AR752" i="1"/>
  <c r="AR753" i="1"/>
  <c r="AR754" i="1"/>
  <c r="AR755" i="1"/>
  <c r="AR756" i="1"/>
  <c r="AR757" i="1"/>
  <c r="AR758" i="1"/>
  <c r="AR759" i="1"/>
  <c r="AR760" i="1"/>
  <c r="AR761" i="1"/>
  <c r="AR762" i="1"/>
  <c r="AR763" i="1"/>
  <c r="AR764" i="1"/>
  <c r="AR765" i="1"/>
  <c r="AR766" i="1"/>
  <c r="AR767" i="1"/>
  <c r="AR768" i="1"/>
  <c r="AR769" i="1"/>
  <c r="AR770" i="1"/>
  <c r="AR771" i="1"/>
  <c r="AR772" i="1"/>
  <c r="AR773" i="1"/>
  <c r="AR774" i="1"/>
  <c r="AR775" i="1"/>
  <c r="AR776" i="1"/>
  <c r="AR777" i="1"/>
  <c r="AR778" i="1"/>
  <c r="AR779" i="1"/>
  <c r="AR780" i="1"/>
  <c r="AR781" i="1"/>
  <c r="AR782" i="1"/>
  <c r="AR783" i="1"/>
  <c r="AR784" i="1"/>
  <c r="AR785" i="1"/>
  <c r="AR786" i="1"/>
  <c r="AR787" i="1"/>
  <c r="AR788" i="1"/>
  <c r="AR789" i="1"/>
  <c r="AR790" i="1"/>
  <c r="AR791" i="1"/>
  <c r="AR792" i="1"/>
  <c r="AR793" i="1"/>
  <c r="AR794" i="1"/>
  <c r="AR795" i="1"/>
  <c r="AR796" i="1"/>
  <c r="AR797" i="1"/>
  <c r="AR798" i="1"/>
  <c r="AR799" i="1"/>
  <c r="AR800" i="1"/>
  <c r="AR801" i="1"/>
  <c r="AR802" i="1"/>
  <c r="AR803" i="1"/>
  <c r="AR804" i="1"/>
  <c r="AR805" i="1"/>
  <c r="AR806" i="1"/>
  <c r="AR807" i="1"/>
  <c r="AR808" i="1"/>
  <c r="AR809" i="1"/>
  <c r="AR810" i="1"/>
  <c r="AR811" i="1"/>
  <c r="AR812" i="1"/>
  <c r="AR813" i="1"/>
  <c r="AR814" i="1"/>
  <c r="AR815" i="1"/>
  <c r="AR816" i="1"/>
  <c r="AR817" i="1"/>
  <c r="AR818" i="1"/>
  <c r="AR819" i="1"/>
  <c r="AR820" i="1"/>
  <c r="AR821" i="1"/>
  <c r="AR822" i="1"/>
  <c r="AR823" i="1"/>
  <c r="AR824" i="1"/>
  <c r="AR825" i="1"/>
  <c r="AR826" i="1"/>
  <c r="AR827" i="1"/>
  <c r="AR828" i="1"/>
  <c r="AR829" i="1"/>
  <c r="AR830" i="1"/>
  <c r="AR831" i="1"/>
  <c r="AR832" i="1"/>
  <c r="AR833" i="1"/>
  <c r="AR834" i="1"/>
  <c r="AR835" i="1"/>
  <c r="AR836" i="1"/>
  <c r="AR837" i="1"/>
  <c r="AR838" i="1"/>
  <c r="AR839" i="1"/>
  <c r="AR840" i="1"/>
  <c r="AR841" i="1"/>
  <c r="AR842" i="1"/>
  <c r="AR843" i="1"/>
  <c r="AR844" i="1"/>
  <c r="AR845" i="1"/>
  <c r="AR846" i="1"/>
  <c r="AR847" i="1"/>
  <c r="AR848" i="1"/>
  <c r="AR849" i="1"/>
  <c r="AR850" i="1"/>
  <c r="AR851" i="1"/>
  <c r="AR852" i="1"/>
  <c r="AR853" i="1"/>
  <c r="AR854" i="1"/>
  <c r="AR855" i="1"/>
  <c r="AR856" i="1"/>
  <c r="AR857" i="1"/>
  <c r="AR858" i="1"/>
  <c r="AR859" i="1"/>
  <c r="AR860" i="1"/>
  <c r="AR861" i="1"/>
  <c r="AR862" i="1"/>
  <c r="AR863" i="1"/>
  <c r="AR864" i="1"/>
  <c r="AR865" i="1"/>
  <c r="AR866" i="1"/>
  <c r="AR867" i="1"/>
  <c r="AR868" i="1"/>
  <c r="AR869" i="1"/>
  <c r="AR870" i="1"/>
  <c r="AR871" i="1"/>
  <c r="AR872" i="1"/>
  <c r="AR873" i="1"/>
  <c r="AR874" i="1"/>
  <c r="AR875" i="1"/>
  <c r="AR876" i="1"/>
  <c r="AR877" i="1"/>
  <c r="AR878" i="1"/>
  <c r="AR879" i="1"/>
  <c r="AR880" i="1"/>
  <c r="AR881" i="1"/>
  <c r="AR882" i="1"/>
  <c r="AR883" i="1"/>
  <c r="AR884" i="1"/>
  <c r="AR885" i="1"/>
  <c r="AR886" i="1"/>
  <c r="AR887" i="1"/>
  <c r="AR888" i="1"/>
  <c r="AR889" i="1"/>
  <c r="AR890" i="1"/>
  <c r="AR891" i="1"/>
  <c r="AR892" i="1"/>
  <c r="AR893" i="1"/>
  <c r="AR894" i="1"/>
  <c r="AR895" i="1"/>
  <c r="AR896" i="1"/>
  <c r="AR897" i="1"/>
  <c r="AR898" i="1"/>
  <c r="AR899" i="1"/>
  <c r="AR900" i="1"/>
  <c r="AR901" i="1"/>
  <c r="AR902" i="1"/>
  <c r="AR903" i="1"/>
  <c r="AR904" i="1"/>
  <c r="AR905" i="1"/>
  <c r="AR906" i="1"/>
  <c r="AR907" i="1"/>
  <c r="AR908" i="1"/>
  <c r="AR909" i="1"/>
  <c r="AR910" i="1"/>
  <c r="AR911" i="1"/>
  <c r="AR912" i="1"/>
  <c r="AR913" i="1"/>
  <c r="AR914" i="1"/>
  <c r="AR915" i="1"/>
  <c r="AR916" i="1"/>
  <c r="AR917" i="1"/>
  <c r="AR918" i="1"/>
  <c r="AR919" i="1"/>
  <c r="AR920" i="1"/>
  <c r="AR921" i="1"/>
  <c r="AR922" i="1"/>
  <c r="AR923" i="1"/>
  <c r="AR924" i="1"/>
  <c r="AR925" i="1"/>
  <c r="AR926" i="1"/>
  <c r="AR927" i="1"/>
  <c r="AR928" i="1"/>
  <c r="AR929" i="1"/>
  <c r="AR930" i="1"/>
  <c r="AR931" i="1"/>
  <c r="AR932" i="1"/>
  <c r="AR933" i="1"/>
  <c r="AR934" i="1"/>
  <c r="AR935" i="1"/>
  <c r="AR936" i="1"/>
  <c r="AR937" i="1"/>
  <c r="AR938" i="1"/>
  <c r="AR939" i="1"/>
  <c r="AR940" i="1"/>
  <c r="AR941" i="1"/>
  <c r="AR942" i="1"/>
  <c r="AR943" i="1"/>
  <c r="AR944" i="1"/>
  <c r="AR945" i="1"/>
  <c r="AR946" i="1"/>
  <c r="AR947" i="1"/>
  <c r="AR948" i="1"/>
  <c r="AR949" i="1"/>
  <c r="AR950" i="1"/>
  <c r="AR951" i="1"/>
  <c r="AR952" i="1"/>
  <c r="AR953" i="1"/>
  <c r="AR954" i="1"/>
  <c r="AR955" i="1"/>
  <c r="AR956" i="1"/>
  <c r="AR957" i="1"/>
  <c r="AR958" i="1"/>
  <c r="AR959" i="1"/>
  <c r="AR960" i="1"/>
  <c r="AR961" i="1"/>
  <c r="AR962" i="1"/>
  <c r="AR963" i="1"/>
  <c r="AR964" i="1"/>
  <c r="AR965" i="1"/>
  <c r="AR966" i="1"/>
  <c r="AR967" i="1"/>
  <c r="AR968" i="1"/>
  <c r="AR969" i="1"/>
  <c r="AR970" i="1"/>
  <c r="AR971" i="1"/>
  <c r="AR972" i="1"/>
  <c r="AR973" i="1"/>
  <c r="AR974" i="1"/>
  <c r="AR975" i="1"/>
  <c r="AR976" i="1"/>
  <c r="AR977" i="1"/>
  <c r="AR978" i="1"/>
  <c r="AR979" i="1"/>
  <c r="AR980" i="1"/>
  <c r="AR981" i="1"/>
  <c r="AR982" i="1"/>
  <c r="AR983" i="1"/>
  <c r="AR984" i="1"/>
  <c r="AR985" i="1"/>
  <c r="AR986" i="1"/>
  <c r="AR987" i="1"/>
  <c r="AR988" i="1"/>
  <c r="AR989" i="1"/>
  <c r="AR990" i="1"/>
  <c r="AR991" i="1"/>
  <c r="AR992" i="1"/>
  <c r="AR993" i="1"/>
  <c r="AR994" i="1"/>
  <c r="AR995" i="1"/>
  <c r="AR996" i="1"/>
  <c r="AR997" i="1"/>
  <c r="AR998" i="1"/>
  <c r="AR999" i="1"/>
  <c r="AR1000" i="1"/>
  <c r="AR1001" i="1"/>
  <c r="AR1002" i="1"/>
  <c r="AR1003" i="1"/>
  <c r="AR1004" i="1"/>
  <c r="AR1005" i="1"/>
  <c r="AR1006" i="1"/>
  <c r="AR1007" i="1"/>
  <c r="AR1008" i="1"/>
  <c r="AR1009" i="1"/>
  <c r="AR1010" i="1"/>
  <c r="AR1011" i="1"/>
  <c r="AR1012" i="1"/>
  <c r="AR1013" i="1"/>
  <c r="AR1014" i="1"/>
  <c r="AR1015" i="1"/>
  <c r="AR1016" i="1"/>
  <c r="AR1017" i="1"/>
  <c r="AR1018" i="1"/>
  <c r="AR1019" i="1"/>
  <c r="AR1020" i="1"/>
  <c r="AR1021" i="1"/>
  <c r="AR1022" i="1"/>
  <c r="AR1023" i="1"/>
  <c r="AR1024" i="1"/>
  <c r="AR1025" i="1"/>
  <c r="AR1026" i="1"/>
  <c r="AR1027" i="1"/>
  <c r="AR1028" i="1"/>
  <c r="AR1029" i="1"/>
  <c r="AR1030" i="1"/>
  <c r="AR1031" i="1"/>
  <c r="AR1032" i="1"/>
  <c r="AR1033" i="1"/>
  <c r="AR1034" i="1"/>
  <c r="AR1035" i="1"/>
  <c r="AR1036" i="1"/>
  <c r="AR1037" i="1"/>
  <c r="AR1038" i="1"/>
  <c r="AR1039" i="1"/>
  <c r="AR1040" i="1"/>
  <c r="AR1041" i="1"/>
  <c r="AR1042" i="1"/>
  <c r="AR1043" i="1"/>
  <c r="AR1044" i="1"/>
  <c r="AR1045" i="1"/>
  <c r="AR1046" i="1"/>
  <c r="AR1047" i="1"/>
  <c r="AR1048" i="1"/>
  <c r="AR1049" i="1"/>
  <c r="AR1050" i="1"/>
  <c r="AR1051" i="1"/>
  <c r="AR1052" i="1"/>
  <c r="AR1053" i="1"/>
  <c r="AR1054" i="1"/>
  <c r="AR1055" i="1"/>
  <c r="AR1056" i="1"/>
  <c r="AR1057" i="1"/>
  <c r="AR1058" i="1"/>
  <c r="AR1059" i="1"/>
  <c r="AR1060" i="1"/>
  <c r="AR1061" i="1"/>
  <c r="AR1062" i="1"/>
  <c r="AR1063" i="1"/>
  <c r="AR1064" i="1"/>
  <c r="AR1065" i="1"/>
  <c r="AR1066" i="1"/>
  <c r="AR1067" i="1"/>
  <c r="AR1068" i="1"/>
  <c r="AR1069" i="1"/>
  <c r="AR1070" i="1"/>
  <c r="AR1071" i="1"/>
  <c r="AR1072" i="1"/>
  <c r="AR1073" i="1"/>
  <c r="AR1074" i="1"/>
  <c r="AR1075" i="1"/>
  <c r="AR1076" i="1"/>
  <c r="AR1077" i="1"/>
  <c r="AR1078" i="1"/>
  <c r="AR1079" i="1"/>
  <c r="AR1080" i="1"/>
  <c r="AR1081" i="1"/>
  <c r="AR1082" i="1"/>
  <c r="AR1083" i="1"/>
  <c r="AR1084" i="1"/>
  <c r="AR1085" i="1"/>
  <c r="AR1086" i="1"/>
  <c r="AR1087" i="1"/>
  <c r="AR1088" i="1"/>
  <c r="AR1089" i="1"/>
  <c r="AR1090" i="1"/>
  <c r="AR1091" i="1"/>
  <c r="AR1092" i="1"/>
  <c r="AR1093" i="1"/>
  <c r="AR1094" i="1"/>
  <c r="AR1095" i="1"/>
  <c r="AR1096" i="1"/>
  <c r="AR1097" i="1"/>
  <c r="AR1098" i="1"/>
  <c r="AR1099" i="1"/>
  <c r="AR1100" i="1"/>
  <c r="AR1101" i="1"/>
  <c r="AQ2" i="1"/>
  <c r="AQ3" i="1"/>
  <c r="AQ4" i="1"/>
  <c r="AQ5" i="1"/>
  <c r="AQ6" i="1"/>
  <c r="AQ7" i="1"/>
  <c r="AQ8" i="1"/>
  <c r="AQ9" i="1"/>
  <c r="AQ10" i="1"/>
  <c r="AQ11" i="1"/>
  <c r="AQ12" i="1"/>
  <c r="AQ13" i="1"/>
  <c r="AQ14" i="1"/>
  <c r="AQ15" i="1"/>
  <c r="AQ16" i="1"/>
  <c r="AQ17" i="1"/>
  <c r="AQ18" i="1"/>
  <c r="AQ19" i="1"/>
  <c r="AQ20" i="1"/>
  <c r="AQ21" i="1"/>
  <c r="AQ22" i="1"/>
  <c r="AQ23" i="1"/>
  <c r="AQ24" i="1"/>
  <c r="AQ25" i="1"/>
  <c r="AQ26" i="1"/>
  <c r="AQ27" i="1"/>
  <c r="AQ28" i="1"/>
  <c r="AQ29" i="1"/>
  <c r="AQ30" i="1"/>
  <c r="AQ31" i="1"/>
  <c r="AQ32" i="1"/>
  <c r="AQ33" i="1"/>
  <c r="AQ34" i="1"/>
  <c r="AQ35" i="1"/>
  <c r="AQ36" i="1"/>
  <c r="AQ37" i="1"/>
  <c r="AQ38" i="1"/>
  <c r="AQ39" i="1"/>
  <c r="AQ40" i="1"/>
  <c r="AQ41" i="1"/>
  <c r="AQ42" i="1"/>
  <c r="AQ43" i="1"/>
  <c r="AQ44" i="1"/>
  <c r="AQ45" i="1"/>
  <c r="AQ46" i="1"/>
  <c r="AQ47" i="1"/>
  <c r="AQ48" i="1"/>
  <c r="AQ49" i="1"/>
  <c r="AQ50" i="1"/>
  <c r="AQ51" i="1"/>
  <c r="AQ52" i="1"/>
  <c r="AQ53" i="1"/>
  <c r="AQ54" i="1"/>
  <c r="AQ55" i="1"/>
  <c r="AQ56" i="1"/>
  <c r="AQ57" i="1"/>
  <c r="AQ58" i="1"/>
  <c r="AQ59" i="1"/>
  <c r="AQ60" i="1"/>
  <c r="AQ61" i="1"/>
  <c r="AQ62" i="1"/>
  <c r="AQ63" i="1"/>
  <c r="AQ64" i="1"/>
  <c r="AQ65" i="1"/>
  <c r="AQ66" i="1"/>
  <c r="AQ67" i="1"/>
  <c r="AQ68" i="1"/>
  <c r="AQ69" i="1"/>
  <c r="AQ70" i="1"/>
  <c r="AQ71" i="1"/>
  <c r="AQ72" i="1"/>
  <c r="AQ73" i="1"/>
  <c r="AQ74" i="1"/>
  <c r="AQ75" i="1"/>
  <c r="AQ76" i="1"/>
  <c r="AQ77" i="1"/>
  <c r="AQ78" i="1"/>
  <c r="AQ79" i="1"/>
  <c r="AQ80" i="1"/>
  <c r="AQ81" i="1"/>
  <c r="AQ82" i="1"/>
  <c r="AQ83" i="1"/>
  <c r="AQ84" i="1"/>
  <c r="AQ85" i="1"/>
  <c r="AQ86" i="1"/>
  <c r="AQ87" i="1"/>
  <c r="AQ88" i="1"/>
  <c r="AQ89" i="1"/>
  <c r="AQ90" i="1"/>
  <c r="AQ91" i="1"/>
  <c r="AQ92" i="1"/>
  <c r="AQ93" i="1"/>
  <c r="AQ94" i="1"/>
  <c r="AQ95" i="1"/>
  <c r="AQ96" i="1"/>
  <c r="AQ97" i="1"/>
  <c r="AQ98" i="1"/>
  <c r="AQ99" i="1"/>
  <c r="AQ100" i="1"/>
  <c r="AQ101" i="1"/>
  <c r="AQ102" i="1"/>
  <c r="AQ103" i="1"/>
  <c r="AQ104" i="1"/>
  <c r="AQ105" i="1"/>
  <c r="AQ106" i="1"/>
  <c r="AQ107" i="1"/>
  <c r="AQ108" i="1"/>
  <c r="AQ109" i="1"/>
  <c r="AQ110" i="1"/>
  <c r="AQ111" i="1"/>
  <c r="AQ112" i="1"/>
  <c r="AQ113" i="1"/>
  <c r="AQ114" i="1"/>
  <c r="AQ115" i="1"/>
  <c r="AQ116" i="1"/>
  <c r="AQ117" i="1"/>
  <c r="AQ118" i="1"/>
  <c r="AQ119" i="1"/>
  <c r="AQ120" i="1"/>
  <c r="AQ121" i="1"/>
  <c r="AQ122" i="1"/>
  <c r="AQ123" i="1"/>
  <c r="AQ124" i="1"/>
  <c r="AQ125" i="1"/>
  <c r="AQ126" i="1"/>
  <c r="AQ127" i="1"/>
  <c r="AQ128" i="1"/>
  <c r="AQ129" i="1"/>
  <c r="AQ130" i="1"/>
  <c r="AQ131" i="1"/>
  <c r="AQ132" i="1"/>
  <c r="AQ133" i="1"/>
  <c r="AQ134" i="1"/>
  <c r="AQ135" i="1"/>
  <c r="AQ136" i="1"/>
  <c r="AQ137" i="1"/>
  <c r="AQ138" i="1"/>
  <c r="AQ139" i="1"/>
  <c r="AQ140" i="1"/>
  <c r="AQ141" i="1"/>
  <c r="AQ142" i="1"/>
  <c r="AQ143" i="1"/>
  <c r="AQ144" i="1"/>
  <c r="AQ145" i="1"/>
  <c r="AQ146" i="1"/>
  <c r="AQ147" i="1"/>
  <c r="AQ148" i="1"/>
  <c r="AQ149" i="1"/>
  <c r="AQ150" i="1"/>
  <c r="AQ151" i="1"/>
  <c r="AQ152" i="1"/>
  <c r="AQ153" i="1"/>
  <c r="AQ154" i="1"/>
  <c r="AQ155" i="1"/>
  <c r="AQ156" i="1"/>
  <c r="AQ157" i="1"/>
  <c r="AQ158" i="1"/>
  <c r="AQ159" i="1"/>
  <c r="AQ160" i="1"/>
  <c r="AQ161" i="1"/>
  <c r="AQ162" i="1"/>
  <c r="AQ163" i="1"/>
  <c r="AQ164" i="1"/>
  <c r="AQ165" i="1"/>
  <c r="AQ166" i="1"/>
  <c r="AQ167" i="1"/>
  <c r="AQ168" i="1"/>
  <c r="AQ169" i="1"/>
  <c r="AQ170" i="1"/>
  <c r="AQ171" i="1"/>
  <c r="AQ172" i="1"/>
  <c r="AQ173" i="1"/>
  <c r="AQ174" i="1"/>
  <c r="AQ175" i="1"/>
  <c r="AQ176" i="1"/>
  <c r="AQ177" i="1"/>
  <c r="AQ178" i="1"/>
  <c r="AQ179" i="1"/>
  <c r="AQ180" i="1"/>
  <c r="AQ181" i="1"/>
  <c r="AQ182" i="1"/>
  <c r="AQ183" i="1"/>
  <c r="AQ184" i="1"/>
  <c r="AQ185" i="1"/>
  <c r="AQ186" i="1"/>
  <c r="AQ187" i="1"/>
  <c r="AQ188" i="1"/>
  <c r="AQ189" i="1"/>
  <c r="AQ190" i="1"/>
  <c r="AQ191" i="1"/>
  <c r="AQ192" i="1"/>
  <c r="AQ193" i="1"/>
  <c r="AQ194" i="1"/>
  <c r="AQ195" i="1"/>
  <c r="AQ196" i="1"/>
  <c r="AQ197" i="1"/>
  <c r="AQ198" i="1"/>
  <c r="AQ199" i="1"/>
  <c r="AQ200" i="1"/>
  <c r="AQ201" i="1"/>
  <c r="AQ202" i="1"/>
  <c r="AQ203" i="1"/>
  <c r="AQ204" i="1"/>
  <c r="AQ205" i="1"/>
  <c r="AQ206" i="1"/>
  <c r="AQ207" i="1"/>
  <c r="AQ208" i="1"/>
  <c r="AQ209" i="1"/>
  <c r="AQ210" i="1"/>
  <c r="AQ211" i="1"/>
  <c r="AQ212" i="1"/>
  <c r="AQ213" i="1"/>
  <c r="AQ214" i="1"/>
  <c r="AQ215" i="1"/>
  <c r="AQ216" i="1"/>
  <c r="AQ217" i="1"/>
  <c r="AQ218" i="1"/>
  <c r="AQ219" i="1"/>
  <c r="AQ220" i="1"/>
  <c r="AQ221" i="1"/>
  <c r="AQ222" i="1"/>
  <c r="AQ223" i="1"/>
  <c r="AQ224" i="1"/>
  <c r="AQ225" i="1"/>
  <c r="AQ226" i="1"/>
  <c r="AQ227" i="1"/>
  <c r="AQ228" i="1"/>
  <c r="AQ229" i="1"/>
  <c r="AQ230" i="1"/>
  <c r="AQ231" i="1"/>
  <c r="AQ232" i="1"/>
  <c r="AQ233" i="1"/>
  <c r="AQ234" i="1"/>
  <c r="AQ235" i="1"/>
  <c r="AQ236" i="1"/>
  <c r="AQ237" i="1"/>
  <c r="AQ238" i="1"/>
  <c r="AQ239" i="1"/>
  <c r="AQ240" i="1"/>
  <c r="AQ241" i="1"/>
  <c r="AQ242" i="1"/>
  <c r="AQ243" i="1"/>
  <c r="AQ244" i="1"/>
  <c r="AQ245" i="1"/>
  <c r="AQ246" i="1"/>
  <c r="AQ247" i="1"/>
  <c r="AQ248" i="1"/>
  <c r="AQ249" i="1"/>
  <c r="AQ250" i="1"/>
  <c r="AQ251" i="1"/>
  <c r="AQ252" i="1"/>
  <c r="AQ253" i="1"/>
  <c r="AQ254" i="1"/>
  <c r="AQ255" i="1"/>
  <c r="AQ256" i="1"/>
  <c r="AQ257" i="1"/>
  <c r="AQ258" i="1"/>
  <c r="AQ259" i="1"/>
  <c r="AQ260" i="1"/>
  <c r="AQ261" i="1"/>
  <c r="AQ262" i="1"/>
  <c r="AQ263" i="1"/>
  <c r="AQ264" i="1"/>
  <c r="AQ265" i="1"/>
  <c r="AQ266" i="1"/>
  <c r="AQ267" i="1"/>
  <c r="AQ268" i="1"/>
  <c r="AQ269" i="1"/>
  <c r="AQ270" i="1"/>
  <c r="AQ271" i="1"/>
  <c r="AQ272" i="1"/>
  <c r="AQ273" i="1"/>
  <c r="AQ274" i="1"/>
  <c r="AQ275" i="1"/>
  <c r="AQ276" i="1"/>
  <c r="AQ277" i="1"/>
  <c r="AQ278" i="1"/>
  <c r="AQ279" i="1"/>
  <c r="AQ280" i="1"/>
  <c r="AQ281" i="1"/>
  <c r="AQ282" i="1"/>
  <c r="AQ283" i="1"/>
  <c r="AQ284" i="1"/>
  <c r="AQ285" i="1"/>
  <c r="AQ286" i="1"/>
  <c r="AQ287" i="1"/>
  <c r="AQ288" i="1"/>
  <c r="AQ289" i="1"/>
  <c r="AQ290" i="1"/>
  <c r="AQ291" i="1"/>
  <c r="AQ292" i="1"/>
  <c r="AQ293" i="1"/>
  <c r="AQ294" i="1"/>
  <c r="AQ295" i="1"/>
  <c r="AQ296" i="1"/>
  <c r="AQ297" i="1"/>
  <c r="AQ298" i="1"/>
  <c r="AQ299" i="1"/>
  <c r="AQ300" i="1"/>
  <c r="AQ301" i="1"/>
  <c r="AQ302" i="1"/>
  <c r="AQ303" i="1"/>
  <c r="AQ304" i="1"/>
  <c r="AQ305" i="1"/>
  <c r="AQ306" i="1"/>
  <c r="AQ307" i="1"/>
  <c r="AQ308" i="1"/>
  <c r="AQ309" i="1"/>
  <c r="AQ310" i="1"/>
  <c r="AQ311" i="1"/>
  <c r="AQ312" i="1"/>
  <c r="AQ313" i="1"/>
  <c r="AQ314" i="1"/>
  <c r="AQ315" i="1"/>
  <c r="AQ316" i="1"/>
  <c r="AQ317" i="1"/>
  <c r="AQ318" i="1"/>
  <c r="AQ319" i="1"/>
  <c r="AQ320" i="1"/>
  <c r="AQ321" i="1"/>
  <c r="AQ322" i="1"/>
  <c r="AQ323" i="1"/>
  <c r="AQ324" i="1"/>
  <c r="AQ325" i="1"/>
  <c r="AQ326" i="1"/>
  <c r="AQ327" i="1"/>
  <c r="AQ328" i="1"/>
  <c r="AQ329" i="1"/>
  <c r="AQ330" i="1"/>
  <c r="AQ331" i="1"/>
  <c r="AQ332" i="1"/>
  <c r="AQ333" i="1"/>
  <c r="AQ334" i="1"/>
  <c r="AQ335" i="1"/>
  <c r="AQ336" i="1"/>
  <c r="AQ337" i="1"/>
  <c r="AQ338" i="1"/>
  <c r="AQ339" i="1"/>
  <c r="AQ340" i="1"/>
  <c r="AQ341" i="1"/>
  <c r="AQ342" i="1"/>
  <c r="AQ343" i="1"/>
  <c r="AQ344" i="1"/>
  <c r="AQ345" i="1"/>
  <c r="AQ346" i="1"/>
  <c r="AQ347" i="1"/>
  <c r="AQ348" i="1"/>
  <c r="AQ349" i="1"/>
  <c r="AQ350" i="1"/>
  <c r="AQ351" i="1"/>
  <c r="AQ352" i="1"/>
  <c r="AQ353" i="1"/>
  <c r="AQ354" i="1"/>
  <c r="AQ355" i="1"/>
  <c r="AQ356" i="1"/>
  <c r="AQ357" i="1"/>
  <c r="AQ358" i="1"/>
  <c r="AQ359" i="1"/>
  <c r="AQ360" i="1"/>
  <c r="AQ361" i="1"/>
  <c r="AQ362" i="1"/>
  <c r="AQ363" i="1"/>
  <c r="AQ364" i="1"/>
  <c r="AQ365" i="1"/>
  <c r="AQ366" i="1"/>
  <c r="AQ367" i="1"/>
  <c r="AQ368" i="1"/>
  <c r="AQ369" i="1"/>
  <c r="AQ370" i="1"/>
  <c r="AQ371" i="1"/>
  <c r="AQ372" i="1"/>
  <c r="AQ373" i="1"/>
  <c r="AQ374" i="1"/>
  <c r="AQ375" i="1"/>
  <c r="AQ376" i="1"/>
  <c r="AQ377" i="1"/>
  <c r="AQ378" i="1"/>
  <c r="AQ379" i="1"/>
  <c r="AQ380" i="1"/>
  <c r="AQ381" i="1"/>
  <c r="AQ382" i="1"/>
  <c r="AQ383" i="1"/>
  <c r="AQ384" i="1"/>
  <c r="AQ385" i="1"/>
  <c r="AQ386" i="1"/>
  <c r="AQ387" i="1"/>
  <c r="AQ388" i="1"/>
  <c r="AQ389" i="1"/>
  <c r="AQ390" i="1"/>
  <c r="AQ391" i="1"/>
  <c r="AQ392" i="1"/>
  <c r="AQ393" i="1"/>
  <c r="AQ394" i="1"/>
  <c r="AQ395" i="1"/>
  <c r="AQ396" i="1"/>
  <c r="AQ397" i="1"/>
  <c r="AQ398" i="1"/>
  <c r="AQ399" i="1"/>
  <c r="AQ400" i="1"/>
  <c r="AQ401" i="1"/>
  <c r="AQ402" i="1"/>
  <c r="AQ403" i="1"/>
  <c r="AQ404" i="1"/>
  <c r="AQ405" i="1"/>
  <c r="AQ406" i="1"/>
  <c r="AQ407" i="1"/>
  <c r="AQ408" i="1"/>
  <c r="AQ409" i="1"/>
  <c r="AQ410" i="1"/>
  <c r="AQ411" i="1"/>
  <c r="AQ412" i="1"/>
  <c r="AQ413" i="1"/>
  <c r="AQ414" i="1"/>
  <c r="AQ415" i="1"/>
  <c r="AQ416" i="1"/>
  <c r="AQ417" i="1"/>
  <c r="AQ418" i="1"/>
  <c r="AQ419" i="1"/>
  <c r="AQ420" i="1"/>
  <c r="AQ421" i="1"/>
  <c r="AQ422" i="1"/>
  <c r="AQ423" i="1"/>
  <c r="AQ424" i="1"/>
  <c r="AQ425" i="1"/>
  <c r="AQ426" i="1"/>
  <c r="AQ427" i="1"/>
  <c r="AQ428" i="1"/>
  <c r="AQ429" i="1"/>
  <c r="AQ430" i="1"/>
  <c r="AQ431" i="1"/>
  <c r="AQ432" i="1"/>
  <c r="AQ433" i="1"/>
  <c r="AQ434" i="1"/>
  <c r="AQ435" i="1"/>
  <c r="AQ436" i="1"/>
  <c r="AQ437" i="1"/>
  <c r="AQ438" i="1"/>
  <c r="AQ439" i="1"/>
  <c r="AQ440" i="1"/>
  <c r="AQ441" i="1"/>
  <c r="AQ442" i="1"/>
  <c r="AQ443" i="1"/>
  <c r="AQ444" i="1"/>
  <c r="AQ445" i="1"/>
  <c r="AQ446" i="1"/>
  <c r="AQ447" i="1"/>
  <c r="AQ448" i="1"/>
  <c r="AQ449" i="1"/>
  <c r="AQ450" i="1"/>
  <c r="AQ451" i="1"/>
  <c r="AQ452" i="1"/>
  <c r="AQ453" i="1"/>
  <c r="AQ454" i="1"/>
  <c r="AQ455" i="1"/>
  <c r="AQ456" i="1"/>
  <c r="AQ457" i="1"/>
  <c r="AQ458" i="1"/>
  <c r="AQ459" i="1"/>
  <c r="AQ460" i="1"/>
  <c r="AQ461" i="1"/>
  <c r="AQ462" i="1"/>
  <c r="AQ463" i="1"/>
  <c r="AQ464" i="1"/>
  <c r="AQ465" i="1"/>
  <c r="AQ466" i="1"/>
  <c r="AQ467" i="1"/>
  <c r="AQ468" i="1"/>
  <c r="AQ469" i="1"/>
  <c r="AQ470" i="1"/>
  <c r="AQ471" i="1"/>
  <c r="AQ472" i="1"/>
  <c r="AQ473" i="1"/>
  <c r="AQ474" i="1"/>
  <c r="AQ475" i="1"/>
  <c r="AQ476" i="1"/>
  <c r="AQ477" i="1"/>
  <c r="AQ478" i="1"/>
  <c r="AQ479" i="1"/>
  <c r="AQ480" i="1"/>
  <c r="AQ481" i="1"/>
  <c r="AQ482" i="1"/>
  <c r="AQ483" i="1"/>
  <c r="AQ484" i="1"/>
  <c r="AQ485" i="1"/>
  <c r="AQ486" i="1"/>
  <c r="AQ487" i="1"/>
  <c r="AQ488" i="1"/>
  <c r="AQ489" i="1"/>
  <c r="AQ490" i="1"/>
  <c r="AQ491" i="1"/>
  <c r="AQ492" i="1"/>
  <c r="AQ493" i="1"/>
  <c r="AQ494" i="1"/>
  <c r="AQ495" i="1"/>
  <c r="AQ496" i="1"/>
  <c r="AQ497" i="1"/>
  <c r="AQ498" i="1"/>
  <c r="AQ499" i="1"/>
  <c r="AQ500" i="1"/>
  <c r="AQ501" i="1"/>
  <c r="AQ502" i="1"/>
  <c r="AQ503" i="1"/>
  <c r="AQ504" i="1"/>
  <c r="AQ505" i="1"/>
  <c r="AQ506" i="1"/>
  <c r="AQ507" i="1"/>
  <c r="AQ508" i="1"/>
  <c r="AQ509" i="1"/>
  <c r="AQ510" i="1"/>
  <c r="AQ511" i="1"/>
  <c r="AQ512" i="1"/>
  <c r="AQ513" i="1"/>
  <c r="AQ514" i="1"/>
  <c r="AQ515" i="1"/>
  <c r="AQ516" i="1"/>
  <c r="AQ517" i="1"/>
  <c r="AQ518" i="1"/>
  <c r="AQ519" i="1"/>
  <c r="AQ520" i="1"/>
  <c r="AQ521" i="1"/>
  <c r="AQ522" i="1"/>
  <c r="AQ523" i="1"/>
  <c r="AQ524" i="1"/>
  <c r="AQ525" i="1"/>
  <c r="AQ526" i="1"/>
  <c r="AQ527" i="1"/>
  <c r="AQ528" i="1"/>
  <c r="AQ529" i="1"/>
  <c r="AQ530" i="1"/>
  <c r="AQ531" i="1"/>
  <c r="AQ532" i="1"/>
  <c r="AQ533" i="1"/>
  <c r="AQ534" i="1"/>
  <c r="AQ535" i="1"/>
  <c r="AQ536" i="1"/>
  <c r="AQ537" i="1"/>
  <c r="AQ538" i="1"/>
  <c r="AQ539" i="1"/>
  <c r="AQ540" i="1"/>
  <c r="AQ541" i="1"/>
  <c r="AQ542" i="1"/>
  <c r="AQ543" i="1"/>
  <c r="AQ544" i="1"/>
  <c r="AQ545" i="1"/>
  <c r="AQ546" i="1"/>
  <c r="AQ547" i="1"/>
  <c r="AQ548" i="1"/>
  <c r="AQ549" i="1"/>
  <c r="AQ550" i="1"/>
  <c r="AQ551" i="1"/>
  <c r="AQ552" i="1"/>
  <c r="AQ553" i="1"/>
  <c r="AQ554" i="1"/>
  <c r="AQ555" i="1"/>
  <c r="AQ556" i="1"/>
  <c r="AQ557" i="1"/>
  <c r="AQ558" i="1"/>
  <c r="AQ559" i="1"/>
  <c r="AQ560" i="1"/>
  <c r="AQ561" i="1"/>
  <c r="AQ562" i="1"/>
  <c r="AQ563" i="1"/>
  <c r="AQ564" i="1"/>
  <c r="AQ565" i="1"/>
  <c r="AQ566" i="1"/>
  <c r="AQ567" i="1"/>
  <c r="AQ568" i="1"/>
  <c r="AQ569" i="1"/>
  <c r="AQ570" i="1"/>
  <c r="AQ571" i="1"/>
  <c r="AQ572" i="1"/>
  <c r="AQ573" i="1"/>
  <c r="AQ574" i="1"/>
  <c r="AQ575" i="1"/>
  <c r="AQ576" i="1"/>
  <c r="AQ577" i="1"/>
  <c r="AQ578" i="1"/>
  <c r="AQ579" i="1"/>
  <c r="AQ580" i="1"/>
  <c r="AQ581" i="1"/>
  <c r="AQ582" i="1"/>
  <c r="AQ583" i="1"/>
  <c r="AQ584" i="1"/>
  <c r="AQ585" i="1"/>
  <c r="AQ586" i="1"/>
  <c r="AQ587" i="1"/>
  <c r="AQ588" i="1"/>
  <c r="AQ589" i="1"/>
  <c r="AQ590" i="1"/>
  <c r="AQ591" i="1"/>
  <c r="AQ592" i="1"/>
  <c r="AQ593" i="1"/>
  <c r="AQ594" i="1"/>
  <c r="AQ595" i="1"/>
  <c r="AQ596" i="1"/>
  <c r="AQ597" i="1"/>
  <c r="AQ598" i="1"/>
  <c r="AQ599" i="1"/>
  <c r="AQ600" i="1"/>
  <c r="AQ601" i="1"/>
  <c r="AQ602" i="1"/>
  <c r="AQ603" i="1"/>
  <c r="AQ604" i="1"/>
  <c r="AQ605" i="1"/>
  <c r="AQ606" i="1"/>
  <c r="AQ607" i="1"/>
  <c r="AQ608" i="1"/>
  <c r="AQ609" i="1"/>
  <c r="AQ610" i="1"/>
  <c r="AQ611" i="1"/>
  <c r="AQ612" i="1"/>
  <c r="AQ613" i="1"/>
  <c r="AQ614" i="1"/>
  <c r="AQ615" i="1"/>
  <c r="AQ616" i="1"/>
  <c r="AQ617" i="1"/>
  <c r="AQ618" i="1"/>
  <c r="AQ619" i="1"/>
  <c r="AQ620" i="1"/>
  <c r="AQ621" i="1"/>
  <c r="AQ622" i="1"/>
  <c r="AQ623" i="1"/>
  <c r="AQ624" i="1"/>
  <c r="AQ625" i="1"/>
  <c r="AQ626" i="1"/>
  <c r="AQ627" i="1"/>
  <c r="AQ628" i="1"/>
  <c r="AQ629" i="1"/>
  <c r="AQ630" i="1"/>
  <c r="AQ631" i="1"/>
  <c r="AQ632" i="1"/>
  <c r="AQ633" i="1"/>
  <c r="AQ634" i="1"/>
  <c r="AQ635" i="1"/>
  <c r="AQ636" i="1"/>
  <c r="AQ637" i="1"/>
  <c r="AQ638" i="1"/>
  <c r="AQ639" i="1"/>
  <c r="AQ640" i="1"/>
  <c r="AQ641" i="1"/>
  <c r="AQ642" i="1"/>
  <c r="AQ643" i="1"/>
  <c r="AQ644" i="1"/>
  <c r="AQ645" i="1"/>
  <c r="AQ646" i="1"/>
  <c r="AQ647" i="1"/>
  <c r="AQ648" i="1"/>
  <c r="AQ649" i="1"/>
  <c r="AQ650" i="1"/>
  <c r="AQ651" i="1"/>
  <c r="AQ652" i="1"/>
  <c r="AQ653" i="1"/>
  <c r="AQ654" i="1"/>
  <c r="AQ655" i="1"/>
  <c r="AQ656" i="1"/>
  <c r="AQ657" i="1"/>
  <c r="AQ658" i="1"/>
  <c r="AQ659" i="1"/>
  <c r="AQ660" i="1"/>
  <c r="AQ661" i="1"/>
  <c r="AQ662" i="1"/>
  <c r="AQ663" i="1"/>
  <c r="AQ664" i="1"/>
  <c r="AQ665" i="1"/>
  <c r="AQ666" i="1"/>
  <c r="AQ667" i="1"/>
  <c r="AQ668" i="1"/>
  <c r="AQ669" i="1"/>
  <c r="AQ670" i="1"/>
  <c r="AQ671" i="1"/>
  <c r="AQ672" i="1"/>
  <c r="AQ673" i="1"/>
  <c r="AQ674" i="1"/>
  <c r="AQ675" i="1"/>
  <c r="AQ676" i="1"/>
  <c r="AQ677" i="1"/>
  <c r="AQ678" i="1"/>
  <c r="AQ679" i="1"/>
  <c r="AQ680" i="1"/>
  <c r="AQ681" i="1"/>
  <c r="AQ682" i="1"/>
  <c r="AQ683" i="1"/>
  <c r="AQ684" i="1"/>
  <c r="AQ685" i="1"/>
  <c r="AQ686" i="1"/>
  <c r="AQ687" i="1"/>
  <c r="AQ688" i="1"/>
  <c r="AQ689" i="1"/>
  <c r="AQ690" i="1"/>
  <c r="AQ691" i="1"/>
  <c r="AQ692" i="1"/>
  <c r="AQ693" i="1"/>
  <c r="AQ694" i="1"/>
  <c r="AQ695" i="1"/>
  <c r="AQ696" i="1"/>
  <c r="AQ697" i="1"/>
  <c r="AQ698" i="1"/>
  <c r="AQ699" i="1"/>
  <c r="AQ700" i="1"/>
  <c r="AQ701" i="1"/>
  <c r="AQ702" i="1"/>
  <c r="AQ703" i="1"/>
  <c r="AQ704" i="1"/>
  <c r="AQ705" i="1"/>
  <c r="AQ706" i="1"/>
  <c r="AQ707" i="1"/>
  <c r="AQ708" i="1"/>
  <c r="AQ709" i="1"/>
  <c r="AQ710" i="1"/>
  <c r="AQ711" i="1"/>
  <c r="AQ712" i="1"/>
  <c r="AQ713" i="1"/>
  <c r="AQ714" i="1"/>
  <c r="AQ715" i="1"/>
  <c r="AQ716" i="1"/>
  <c r="AQ717" i="1"/>
  <c r="AQ718" i="1"/>
  <c r="AQ719" i="1"/>
  <c r="AQ720" i="1"/>
  <c r="AQ721" i="1"/>
  <c r="AQ722" i="1"/>
  <c r="AQ723" i="1"/>
  <c r="AQ724" i="1"/>
  <c r="AQ725" i="1"/>
  <c r="AQ726" i="1"/>
  <c r="AQ727" i="1"/>
  <c r="AQ728" i="1"/>
  <c r="AQ729" i="1"/>
  <c r="AQ730" i="1"/>
  <c r="AQ731" i="1"/>
  <c r="AQ732" i="1"/>
  <c r="AQ733" i="1"/>
  <c r="AQ734" i="1"/>
  <c r="AQ735" i="1"/>
  <c r="AQ736" i="1"/>
  <c r="AQ737" i="1"/>
  <c r="AQ738" i="1"/>
  <c r="AQ739" i="1"/>
  <c r="AQ740" i="1"/>
  <c r="AQ741" i="1"/>
  <c r="AQ742" i="1"/>
  <c r="AQ743" i="1"/>
  <c r="AQ744" i="1"/>
  <c r="AQ745" i="1"/>
  <c r="AQ746" i="1"/>
  <c r="AQ747" i="1"/>
  <c r="AQ748" i="1"/>
  <c r="AQ749" i="1"/>
  <c r="AQ750" i="1"/>
  <c r="AQ751" i="1"/>
  <c r="AQ752" i="1"/>
  <c r="AQ753" i="1"/>
  <c r="AQ754" i="1"/>
  <c r="AQ755" i="1"/>
  <c r="AQ756" i="1"/>
  <c r="AQ757" i="1"/>
  <c r="AQ758" i="1"/>
  <c r="AQ759" i="1"/>
  <c r="AQ760" i="1"/>
  <c r="AQ761" i="1"/>
  <c r="AQ762" i="1"/>
  <c r="AQ763" i="1"/>
  <c r="AQ764" i="1"/>
  <c r="AQ765" i="1"/>
  <c r="AQ766" i="1"/>
  <c r="AQ767" i="1"/>
  <c r="AQ768" i="1"/>
  <c r="AQ769" i="1"/>
  <c r="AQ770" i="1"/>
  <c r="AQ771" i="1"/>
  <c r="AQ772" i="1"/>
  <c r="AQ773" i="1"/>
  <c r="AQ774" i="1"/>
  <c r="AQ775" i="1"/>
  <c r="AQ776" i="1"/>
  <c r="AQ777" i="1"/>
  <c r="AQ778" i="1"/>
  <c r="AQ779" i="1"/>
  <c r="AQ780" i="1"/>
  <c r="AQ781" i="1"/>
  <c r="AQ782" i="1"/>
  <c r="AQ783" i="1"/>
  <c r="AQ784" i="1"/>
  <c r="AQ785" i="1"/>
  <c r="AQ786" i="1"/>
  <c r="AQ787" i="1"/>
  <c r="AQ788" i="1"/>
  <c r="AQ789" i="1"/>
  <c r="AQ790" i="1"/>
  <c r="AQ791" i="1"/>
  <c r="AQ792" i="1"/>
  <c r="AQ793" i="1"/>
  <c r="AQ794" i="1"/>
  <c r="AQ795" i="1"/>
  <c r="AQ796" i="1"/>
  <c r="AQ797" i="1"/>
  <c r="AQ798" i="1"/>
  <c r="AQ799" i="1"/>
  <c r="AQ800" i="1"/>
  <c r="AQ801" i="1"/>
  <c r="AQ802" i="1"/>
  <c r="AQ803" i="1"/>
  <c r="AQ804" i="1"/>
  <c r="AQ805" i="1"/>
  <c r="AQ806" i="1"/>
  <c r="AQ807" i="1"/>
  <c r="AQ808" i="1"/>
  <c r="AQ809" i="1"/>
  <c r="AQ810" i="1"/>
  <c r="AQ811" i="1"/>
  <c r="AQ812" i="1"/>
  <c r="AQ813" i="1"/>
  <c r="AQ814" i="1"/>
  <c r="AQ815" i="1"/>
  <c r="AQ816" i="1"/>
  <c r="AQ817" i="1"/>
  <c r="AQ818" i="1"/>
  <c r="AQ819" i="1"/>
  <c r="AQ820" i="1"/>
  <c r="AQ821" i="1"/>
  <c r="AQ822" i="1"/>
  <c r="AQ823" i="1"/>
  <c r="AQ824" i="1"/>
  <c r="AQ825" i="1"/>
  <c r="AQ826" i="1"/>
  <c r="AQ827" i="1"/>
  <c r="AQ828" i="1"/>
  <c r="AQ829" i="1"/>
  <c r="AQ830" i="1"/>
  <c r="AQ831" i="1"/>
  <c r="AQ832" i="1"/>
  <c r="AQ833" i="1"/>
  <c r="AQ834" i="1"/>
  <c r="AQ835" i="1"/>
  <c r="AQ836" i="1"/>
  <c r="AQ837" i="1"/>
  <c r="AQ838" i="1"/>
  <c r="AQ839" i="1"/>
  <c r="AQ840" i="1"/>
  <c r="AQ841" i="1"/>
  <c r="AQ842" i="1"/>
  <c r="AQ843" i="1"/>
  <c r="AQ844" i="1"/>
  <c r="AQ845" i="1"/>
  <c r="AQ846" i="1"/>
  <c r="AQ847" i="1"/>
  <c r="AQ848" i="1"/>
  <c r="AQ849" i="1"/>
  <c r="AQ850" i="1"/>
  <c r="AQ851" i="1"/>
  <c r="AQ852" i="1"/>
  <c r="AQ853" i="1"/>
  <c r="AQ854" i="1"/>
  <c r="AQ855" i="1"/>
  <c r="AQ856" i="1"/>
  <c r="AQ857" i="1"/>
  <c r="AQ858" i="1"/>
  <c r="AQ859" i="1"/>
  <c r="AQ860" i="1"/>
  <c r="AQ861" i="1"/>
  <c r="AQ862" i="1"/>
  <c r="AQ863" i="1"/>
  <c r="AQ864" i="1"/>
  <c r="AQ865" i="1"/>
  <c r="AQ866" i="1"/>
  <c r="AQ867" i="1"/>
  <c r="AQ868" i="1"/>
  <c r="AQ869" i="1"/>
  <c r="AQ870" i="1"/>
  <c r="AQ871" i="1"/>
  <c r="AQ872" i="1"/>
  <c r="AQ873" i="1"/>
  <c r="AQ874" i="1"/>
  <c r="AQ875" i="1"/>
  <c r="AQ876" i="1"/>
  <c r="AQ877" i="1"/>
  <c r="AQ878" i="1"/>
  <c r="AQ879" i="1"/>
  <c r="AQ880" i="1"/>
  <c r="AQ881" i="1"/>
  <c r="AQ882" i="1"/>
  <c r="AQ883" i="1"/>
  <c r="AQ884" i="1"/>
  <c r="AQ885" i="1"/>
  <c r="AQ886" i="1"/>
  <c r="AQ887" i="1"/>
  <c r="AQ888" i="1"/>
  <c r="AQ889" i="1"/>
  <c r="AQ890" i="1"/>
  <c r="AQ891" i="1"/>
  <c r="AQ892" i="1"/>
  <c r="AQ893" i="1"/>
  <c r="AQ894" i="1"/>
  <c r="AQ895" i="1"/>
  <c r="AQ896" i="1"/>
  <c r="AQ897" i="1"/>
  <c r="AQ898" i="1"/>
  <c r="AQ899" i="1"/>
  <c r="AQ900" i="1"/>
  <c r="AQ901" i="1"/>
  <c r="AQ902" i="1"/>
  <c r="AQ903" i="1"/>
  <c r="AQ904" i="1"/>
  <c r="AQ905" i="1"/>
  <c r="AQ906" i="1"/>
  <c r="AQ907" i="1"/>
  <c r="AQ908" i="1"/>
  <c r="AQ909" i="1"/>
  <c r="AQ910" i="1"/>
  <c r="AQ911" i="1"/>
  <c r="AQ912" i="1"/>
  <c r="AQ913" i="1"/>
  <c r="AQ914" i="1"/>
  <c r="AQ915" i="1"/>
  <c r="AQ916" i="1"/>
  <c r="AQ917" i="1"/>
  <c r="AQ918" i="1"/>
  <c r="AQ919" i="1"/>
  <c r="AQ920" i="1"/>
  <c r="AQ921" i="1"/>
  <c r="AQ922" i="1"/>
  <c r="AQ923" i="1"/>
  <c r="AQ924" i="1"/>
  <c r="AQ925" i="1"/>
  <c r="AQ926" i="1"/>
  <c r="AQ927" i="1"/>
  <c r="AQ928" i="1"/>
  <c r="AQ929" i="1"/>
  <c r="AQ930" i="1"/>
  <c r="AQ931" i="1"/>
  <c r="AQ932" i="1"/>
  <c r="AQ933" i="1"/>
  <c r="AQ934" i="1"/>
  <c r="AQ935" i="1"/>
  <c r="AQ936" i="1"/>
  <c r="AQ937" i="1"/>
  <c r="AQ938" i="1"/>
  <c r="AQ939" i="1"/>
  <c r="AQ940" i="1"/>
  <c r="AQ941" i="1"/>
  <c r="AQ942" i="1"/>
  <c r="AQ943" i="1"/>
  <c r="AQ944" i="1"/>
  <c r="AQ945" i="1"/>
  <c r="AQ946" i="1"/>
  <c r="AQ947" i="1"/>
  <c r="AQ948" i="1"/>
  <c r="AQ949" i="1"/>
  <c r="AQ950" i="1"/>
  <c r="AQ951" i="1"/>
  <c r="AQ952" i="1"/>
  <c r="AQ953" i="1"/>
  <c r="AQ954" i="1"/>
  <c r="AQ955" i="1"/>
  <c r="AQ956" i="1"/>
  <c r="AQ957" i="1"/>
  <c r="AQ958" i="1"/>
  <c r="AQ959" i="1"/>
  <c r="AQ960" i="1"/>
  <c r="AQ961" i="1"/>
  <c r="AQ962" i="1"/>
  <c r="AQ963" i="1"/>
  <c r="AQ964" i="1"/>
  <c r="AQ965" i="1"/>
  <c r="AQ966" i="1"/>
  <c r="AQ967" i="1"/>
  <c r="AQ968" i="1"/>
  <c r="AQ969" i="1"/>
  <c r="AQ970" i="1"/>
  <c r="AQ971" i="1"/>
  <c r="AQ972" i="1"/>
  <c r="AQ973" i="1"/>
  <c r="AQ974" i="1"/>
  <c r="AQ975" i="1"/>
  <c r="AQ976" i="1"/>
  <c r="AQ977" i="1"/>
  <c r="AQ978" i="1"/>
  <c r="AQ979" i="1"/>
  <c r="AQ980" i="1"/>
  <c r="AQ981" i="1"/>
  <c r="AQ982" i="1"/>
  <c r="AQ983" i="1"/>
  <c r="AQ984" i="1"/>
  <c r="AQ985" i="1"/>
  <c r="AQ986" i="1"/>
  <c r="AQ987" i="1"/>
  <c r="AQ988" i="1"/>
  <c r="AQ989" i="1"/>
  <c r="AQ990" i="1"/>
  <c r="AQ991" i="1"/>
  <c r="AQ992" i="1"/>
  <c r="AQ993" i="1"/>
  <c r="AQ994" i="1"/>
  <c r="AQ995" i="1"/>
  <c r="AQ996" i="1"/>
  <c r="AQ997" i="1"/>
  <c r="AQ998" i="1"/>
  <c r="AQ999" i="1"/>
  <c r="AQ1000" i="1"/>
  <c r="AQ1001" i="1"/>
  <c r="AQ1002" i="1"/>
  <c r="AQ1003" i="1"/>
  <c r="AQ1004" i="1"/>
  <c r="AQ1005" i="1"/>
  <c r="AQ1006" i="1"/>
  <c r="AQ1007" i="1"/>
  <c r="AQ1008" i="1"/>
  <c r="AQ1009" i="1"/>
  <c r="AQ1010" i="1"/>
  <c r="AQ1011" i="1"/>
  <c r="AQ1012" i="1"/>
  <c r="AQ1013" i="1"/>
  <c r="AQ1014" i="1"/>
  <c r="AQ1015" i="1"/>
  <c r="AQ1016" i="1"/>
  <c r="AQ1017" i="1"/>
  <c r="AQ1018" i="1"/>
  <c r="AQ1019" i="1"/>
  <c r="AQ1020" i="1"/>
  <c r="AQ1021" i="1"/>
  <c r="AQ1022" i="1"/>
  <c r="AQ1023" i="1"/>
  <c r="AQ1024" i="1"/>
  <c r="AQ1025" i="1"/>
  <c r="AQ1026" i="1"/>
  <c r="AQ1027" i="1"/>
  <c r="AQ1028" i="1"/>
  <c r="AQ1029" i="1"/>
  <c r="AQ1030" i="1"/>
  <c r="AQ1031" i="1"/>
  <c r="AQ1032" i="1"/>
  <c r="AQ1033" i="1"/>
  <c r="AQ1034" i="1"/>
  <c r="AQ1035" i="1"/>
  <c r="AQ1036" i="1"/>
  <c r="AQ1037" i="1"/>
  <c r="AQ1038" i="1"/>
  <c r="AQ1039" i="1"/>
  <c r="AQ1040" i="1"/>
  <c r="AQ1041" i="1"/>
  <c r="AQ1042" i="1"/>
  <c r="AQ1043" i="1"/>
  <c r="AQ1044" i="1"/>
  <c r="AQ1045" i="1"/>
  <c r="AQ1046" i="1"/>
  <c r="AQ1047" i="1"/>
  <c r="AQ1048" i="1"/>
  <c r="AQ1049" i="1"/>
  <c r="AQ1050" i="1"/>
  <c r="AQ1051" i="1"/>
  <c r="AQ1052" i="1"/>
  <c r="AQ1053" i="1"/>
  <c r="AQ1054" i="1"/>
  <c r="AQ1055" i="1"/>
  <c r="AQ1056" i="1"/>
  <c r="AQ1057" i="1"/>
  <c r="AQ1058" i="1"/>
  <c r="AQ1059" i="1"/>
  <c r="AQ1060" i="1"/>
  <c r="AQ1061" i="1"/>
  <c r="AQ1062" i="1"/>
  <c r="AQ1063" i="1"/>
  <c r="AQ1064" i="1"/>
  <c r="AQ1065" i="1"/>
  <c r="AQ1066" i="1"/>
  <c r="AQ1067" i="1"/>
  <c r="AQ1068" i="1"/>
  <c r="AQ1069" i="1"/>
  <c r="AQ1070" i="1"/>
  <c r="AQ1071" i="1"/>
  <c r="AQ1072" i="1"/>
  <c r="AQ1073" i="1"/>
  <c r="AQ1074" i="1"/>
  <c r="AQ1075" i="1"/>
  <c r="AQ1076" i="1"/>
  <c r="AQ1077" i="1"/>
  <c r="AQ1078" i="1"/>
  <c r="AQ1079" i="1"/>
  <c r="AQ1080" i="1"/>
  <c r="AQ1081" i="1"/>
  <c r="AQ1082" i="1"/>
  <c r="AQ1083" i="1"/>
  <c r="AQ1084" i="1"/>
  <c r="AQ1085" i="1"/>
  <c r="AQ1086" i="1"/>
  <c r="AQ1087" i="1"/>
  <c r="AQ1088" i="1"/>
  <c r="AQ1089" i="1"/>
  <c r="AQ1090" i="1"/>
  <c r="AQ1091" i="1"/>
  <c r="AQ1092" i="1"/>
  <c r="AQ1093" i="1"/>
  <c r="AQ1094" i="1"/>
  <c r="AQ1095" i="1"/>
  <c r="AQ1096" i="1"/>
  <c r="AQ1097" i="1"/>
  <c r="AQ1098" i="1"/>
  <c r="AQ1099" i="1"/>
  <c r="AQ1100" i="1"/>
  <c r="AQ1101" i="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AP33" i="1"/>
  <c r="AP34" i="1"/>
  <c r="AP35" i="1"/>
  <c r="AP36" i="1"/>
  <c r="AP37" i="1"/>
  <c r="AP38" i="1"/>
  <c r="AP39" i="1"/>
  <c r="AP40" i="1"/>
  <c r="AP41" i="1"/>
  <c r="AP42" i="1"/>
  <c r="AP43" i="1"/>
  <c r="AP44" i="1"/>
  <c r="AP45" i="1"/>
  <c r="AP46" i="1"/>
  <c r="AP47" i="1"/>
  <c r="AP48" i="1"/>
  <c r="AP49" i="1"/>
  <c r="AP50" i="1"/>
  <c r="AP51" i="1"/>
  <c r="AP52" i="1"/>
  <c r="AP53" i="1"/>
  <c r="AP54" i="1"/>
  <c r="AP55" i="1"/>
  <c r="AP56" i="1"/>
  <c r="AP57" i="1"/>
  <c r="AP58" i="1"/>
  <c r="AP59" i="1"/>
  <c r="AP60" i="1"/>
  <c r="AP61" i="1"/>
  <c r="AP62" i="1"/>
  <c r="AP63" i="1"/>
  <c r="AP64" i="1"/>
  <c r="AP65" i="1"/>
  <c r="AP66" i="1"/>
  <c r="AP67" i="1"/>
  <c r="AP68" i="1"/>
  <c r="AP69" i="1"/>
  <c r="AP70" i="1"/>
  <c r="AP71" i="1"/>
  <c r="AP72" i="1"/>
  <c r="AP73" i="1"/>
  <c r="AP74" i="1"/>
  <c r="AP75" i="1"/>
  <c r="AP76" i="1"/>
  <c r="AP77" i="1"/>
  <c r="AP78" i="1"/>
  <c r="AP79" i="1"/>
  <c r="AP80" i="1"/>
  <c r="AP81" i="1"/>
  <c r="AP82" i="1"/>
  <c r="AP83" i="1"/>
  <c r="AP84" i="1"/>
  <c r="AP85" i="1"/>
  <c r="AP86" i="1"/>
  <c r="AP87" i="1"/>
  <c r="AP88" i="1"/>
  <c r="AP89" i="1"/>
  <c r="AP90" i="1"/>
  <c r="AP91" i="1"/>
  <c r="AP92" i="1"/>
  <c r="AP93" i="1"/>
  <c r="AP94" i="1"/>
  <c r="AP95" i="1"/>
  <c r="AP96" i="1"/>
  <c r="AP97" i="1"/>
  <c r="AP98" i="1"/>
  <c r="AP99" i="1"/>
  <c r="AP100" i="1"/>
  <c r="AP101" i="1"/>
  <c r="AP102" i="1"/>
  <c r="AP103" i="1"/>
  <c r="AP104" i="1"/>
  <c r="AP105" i="1"/>
  <c r="AP106" i="1"/>
  <c r="AP107" i="1"/>
  <c r="AP108" i="1"/>
  <c r="AP109" i="1"/>
  <c r="AP110" i="1"/>
  <c r="AP111" i="1"/>
  <c r="AP112" i="1"/>
  <c r="AP113" i="1"/>
  <c r="AP114" i="1"/>
  <c r="AP115" i="1"/>
  <c r="AP116" i="1"/>
  <c r="AP117" i="1"/>
  <c r="AP118" i="1"/>
  <c r="AP119" i="1"/>
  <c r="AP120" i="1"/>
  <c r="AP121" i="1"/>
  <c r="AP122" i="1"/>
  <c r="AP123" i="1"/>
  <c r="AP124" i="1"/>
  <c r="AP125" i="1"/>
  <c r="AP126" i="1"/>
  <c r="AP127" i="1"/>
  <c r="AP128" i="1"/>
  <c r="AP129" i="1"/>
  <c r="AP130" i="1"/>
  <c r="AP131" i="1"/>
  <c r="AP132" i="1"/>
  <c r="AP133" i="1"/>
  <c r="AP134" i="1"/>
  <c r="AP135" i="1"/>
  <c r="AP136" i="1"/>
  <c r="AP137" i="1"/>
  <c r="AP138" i="1"/>
  <c r="AP139" i="1"/>
  <c r="AP140" i="1"/>
  <c r="AP141" i="1"/>
  <c r="AP142" i="1"/>
  <c r="AP143" i="1"/>
  <c r="AP144" i="1"/>
  <c r="AP145" i="1"/>
  <c r="AP146" i="1"/>
  <c r="AP147" i="1"/>
  <c r="AP148" i="1"/>
  <c r="AP149" i="1"/>
  <c r="AP150" i="1"/>
  <c r="AP151" i="1"/>
  <c r="AP152" i="1"/>
  <c r="AP153" i="1"/>
  <c r="AP154" i="1"/>
  <c r="AP155" i="1"/>
  <c r="AP156" i="1"/>
  <c r="AP157" i="1"/>
  <c r="AP158" i="1"/>
  <c r="AP159" i="1"/>
  <c r="AP160" i="1"/>
  <c r="AP161" i="1"/>
  <c r="AP162" i="1"/>
  <c r="AP163" i="1"/>
  <c r="AP164" i="1"/>
  <c r="AP165" i="1"/>
  <c r="AP166" i="1"/>
  <c r="AP167" i="1"/>
  <c r="AP168" i="1"/>
  <c r="AP169" i="1"/>
  <c r="AP170" i="1"/>
  <c r="AP171" i="1"/>
  <c r="AP172" i="1"/>
  <c r="AP173" i="1"/>
  <c r="AP174" i="1"/>
  <c r="AP175" i="1"/>
  <c r="AP176" i="1"/>
  <c r="AP177" i="1"/>
  <c r="AP178" i="1"/>
  <c r="AP179" i="1"/>
  <c r="AP180" i="1"/>
  <c r="AP181" i="1"/>
  <c r="AP182" i="1"/>
  <c r="AP183" i="1"/>
  <c r="AP184" i="1"/>
  <c r="AP185" i="1"/>
  <c r="AP186" i="1"/>
  <c r="AP187" i="1"/>
  <c r="AP188" i="1"/>
  <c r="AP189" i="1"/>
  <c r="AP190" i="1"/>
  <c r="AP191" i="1"/>
  <c r="AP192" i="1"/>
  <c r="AP193" i="1"/>
  <c r="AP194" i="1"/>
  <c r="AP195" i="1"/>
  <c r="AP196" i="1"/>
  <c r="AP197" i="1"/>
  <c r="AP198" i="1"/>
  <c r="AP199" i="1"/>
  <c r="AP200" i="1"/>
  <c r="AP201" i="1"/>
  <c r="AP202" i="1"/>
  <c r="AP203" i="1"/>
  <c r="AP204" i="1"/>
  <c r="AP205" i="1"/>
  <c r="AP206" i="1"/>
  <c r="AP207" i="1"/>
  <c r="AP208" i="1"/>
  <c r="AP209" i="1"/>
  <c r="AP210" i="1"/>
  <c r="AP211" i="1"/>
  <c r="AP212" i="1"/>
  <c r="AP213" i="1"/>
  <c r="AP214" i="1"/>
  <c r="AP215" i="1"/>
  <c r="AP216" i="1"/>
  <c r="AP217" i="1"/>
  <c r="AP218" i="1"/>
  <c r="AP219" i="1"/>
  <c r="AP220" i="1"/>
  <c r="AP221" i="1"/>
  <c r="AP222" i="1"/>
  <c r="AP223" i="1"/>
  <c r="AP224" i="1"/>
  <c r="AP225" i="1"/>
  <c r="AP226" i="1"/>
  <c r="AP227" i="1"/>
  <c r="AP228" i="1"/>
  <c r="AP229" i="1"/>
  <c r="AP230" i="1"/>
  <c r="AP231" i="1"/>
  <c r="AP232" i="1"/>
  <c r="AP233" i="1"/>
  <c r="AP234" i="1"/>
  <c r="AP235" i="1"/>
  <c r="AP236" i="1"/>
  <c r="AP237" i="1"/>
  <c r="AP238" i="1"/>
  <c r="AP239" i="1"/>
  <c r="AP240" i="1"/>
  <c r="AP241" i="1"/>
  <c r="AP242" i="1"/>
  <c r="AP243" i="1"/>
  <c r="AP244" i="1"/>
  <c r="AP245" i="1"/>
  <c r="AP246" i="1"/>
  <c r="AP247" i="1"/>
  <c r="AP248" i="1"/>
  <c r="AP249" i="1"/>
  <c r="AP250" i="1"/>
  <c r="AP251" i="1"/>
  <c r="AP252" i="1"/>
  <c r="AP253" i="1"/>
  <c r="AP254" i="1"/>
  <c r="AP255" i="1"/>
  <c r="AP256" i="1"/>
  <c r="AP257" i="1"/>
  <c r="AP258" i="1"/>
  <c r="AP259" i="1"/>
  <c r="AP260" i="1"/>
  <c r="AP261" i="1"/>
  <c r="AP262" i="1"/>
  <c r="AP263" i="1"/>
  <c r="AP264" i="1"/>
  <c r="AP265" i="1"/>
  <c r="AP266" i="1"/>
  <c r="AP267" i="1"/>
  <c r="AP268" i="1"/>
  <c r="AP269" i="1"/>
  <c r="AP270" i="1"/>
  <c r="AP271" i="1"/>
  <c r="AP272" i="1"/>
  <c r="AP273" i="1"/>
  <c r="AP274" i="1"/>
  <c r="AP275" i="1"/>
  <c r="AP276" i="1"/>
  <c r="AP277" i="1"/>
  <c r="AP278" i="1"/>
  <c r="AP279" i="1"/>
  <c r="AP280" i="1"/>
  <c r="AP281" i="1"/>
  <c r="AP282" i="1"/>
  <c r="AP283" i="1"/>
  <c r="AP284" i="1"/>
  <c r="AP285" i="1"/>
  <c r="AP286" i="1"/>
  <c r="AP287" i="1"/>
  <c r="AP288" i="1"/>
  <c r="AP289" i="1"/>
  <c r="AP290" i="1"/>
  <c r="AP291" i="1"/>
  <c r="AP292" i="1"/>
  <c r="AP293" i="1"/>
  <c r="AP294" i="1"/>
  <c r="AP295" i="1"/>
  <c r="AP296" i="1"/>
  <c r="AP297" i="1"/>
  <c r="AP298" i="1"/>
  <c r="AP299" i="1"/>
  <c r="AP300" i="1"/>
  <c r="AP301" i="1"/>
  <c r="AP302" i="1"/>
  <c r="AP303" i="1"/>
  <c r="AP304" i="1"/>
  <c r="AP305" i="1"/>
  <c r="AP306" i="1"/>
  <c r="AP307" i="1"/>
  <c r="AP308" i="1"/>
  <c r="AP309" i="1"/>
  <c r="AP310" i="1"/>
  <c r="AP311" i="1"/>
  <c r="AP312" i="1"/>
  <c r="AP313" i="1"/>
  <c r="AP314" i="1"/>
  <c r="AP315" i="1"/>
  <c r="AP316" i="1"/>
  <c r="AP317" i="1"/>
  <c r="AP318" i="1"/>
  <c r="AP319" i="1"/>
  <c r="AP320" i="1"/>
  <c r="AP321" i="1"/>
  <c r="AP322" i="1"/>
  <c r="AP323" i="1"/>
  <c r="AP324" i="1"/>
  <c r="AP325" i="1"/>
  <c r="AP326" i="1"/>
  <c r="AP327" i="1"/>
  <c r="AP328" i="1"/>
  <c r="AP329" i="1"/>
  <c r="AP330" i="1"/>
  <c r="AP331" i="1"/>
  <c r="AP332" i="1"/>
  <c r="AP333" i="1"/>
  <c r="AP334" i="1"/>
  <c r="AP335" i="1"/>
  <c r="AP336" i="1"/>
  <c r="AP337" i="1"/>
  <c r="AP338" i="1"/>
  <c r="AP339" i="1"/>
  <c r="AP340" i="1"/>
  <c r="AP341" i="1"/>
  <c r="AP342" i="1"/>
  <c r="AP343" i="1"/>
  <c r="AP344" i="1"/>
  <c r="AP345" i="1"/>
  <c r="AP346" i="1"/>
  <c r="AP347" i="1"/>
  <c r="AP348" i="1"/>
  <c r="AP349" i="1"/>
  <c r="AP350" i="1"/>
  <c r="AP351" i="1"/>
  <c r="AP352" i="1"/>
  <c r="AP353" i="1"/>
  <c r="AP354" i="1"/>
  <c r="AP355" i="1"/>
  <c r="AP356" i="1"/>
  <c r="AP357" i="1"/>
  <c r="AP358" i="1"/>
  <c r="AP359" i="1"/>
  <c r="AP360" i="1"/>
  <c r="AP361" i="1"/>
  <c r="AP362" i="1"/>
  <c r="AP363" i="1"/>
  <c r="AP364" i="1"/>
  <c r="AP365" i="1"/>
  <c r="AP366" i="1"/>
  <c r="AP367" i="1"/>
  <c r="AP368" i="1"/>
  <c r="AP369" i="1"/>
  <c r="AP370" i="1"/>
  <c r="AP371" i="1"/>
  <c r="AP372" i="1"/>
  <c r="AP373" i="1"/>
  <c r="AP374" i="1"/>
  <c r="AP375" i="1"/>
  <c r="AP376" i="1"/>
  <c r="AP377" i="1"/>
  <c r="AP378" i="1"/>
  <c r="AP379" i="1"/>
  <c r="AP380" i="1"/>
  <c r="AP381" i="1"/>
  <c r="AP382" i="1"/>
  <c r="AP383" i="1"/>
  <c r="AP384" i="1"/>
  <c r="AP385" i="1"/>
  <c r="AP386" i="1"/>
  <c r="AP387" i="1"/>
  <c r="AP388" i="1"/>
  <c r="AP389" i="1"/>
  <c r="AP390" i="1"/>
  <c r="AP391" i="1"/>
  <c r="AP392" i="1"/>
  <c r="AP393" i="1"/>
  <c r="AP394" i="1"/>
  <c r="AP395" i="1"/>
  <c r="AP396" i="1"/>
  <c r="AP397" i="1"/>
  <c r="AP398" i="1"/>
  <c r="AP399" i="1"/>
  <c r="AP400" i="1"/>
  <c r="AP401" i="1"/>
  <c r="AP402" i="1"/>
  <c r="AP403" i="1"/>
  <c r="AP404" i="1"/>
  <c r="AP405" i="1"/>
  <c r="AP406" i="1"/>
  <c r="AP407" i="1"/>
  <c r="AP408" i="1"/>
  <c r="AP409" i="1"/>
  <c r="AP410" i="1"/>
  <c r="AP411" i="1"/>
  <c r="AP412" i="1"/>
  <c r="AP413" i="1"/>
  <c r="AP414" i="1"/>
  <c r="AP415" i="1"/>
  <c r="AP416" i="1"/>
  <c r="AP417" i="1"/>
  <c r="AP418" i="1"/>
  <c r="AP419" i="1"/>
  <c r="AP420" i="1"/>
  <c r="AP421" i="1"/>
  <c r="AP422" i="1"/>
  <c r="AP423" i="1"/>
  <c r="AP424" i="1"/>
  <c r="AP425" i="1"/>
  <c r="AP426" i="1"/>
  <c r="AP427" i="1"/>
  <c r="AP428" i="1"/>
  <c r="AP429" i="1"/>
  <c r="AP430" i="1"/>
  <c r="AP431" i="1"/>
  <c r="AP432" i="1"/>
  <c r="AP433" i="1"/>
  <c r="AP434" i="1"/>
  <c r="AP435" i="1"/>
  <c r="AP436" i="1"/>
  <c r="AP437" i="1"/>
  <c r="AP438" i="1"/>
  <c r="AP439" i="1"/>
  <c r="AP440" i="1"/>
  <c r="AP441" i="1"/>
  <c r="AP442" i="1"/>
  <c r="AP443" i="1"/>
  <c r="AP444" i="1"/>
  <c r="AP445" i="1"/>
  <c r="AP446" i="1"/>
  <c r="AP447" i="1"/>
  <c r="AP448" i="1"/>
  <c r="AP449" i="1"/>
  <c r="AP450" i="1"/>
  <c r="AP451" i="1"/>
  <c r="AP452" i="1"/>
  <c r="AP453" i="1"/>
  <c r="AP454" i="1"/>
  <c r="AP455" i="1"/>
  <c r="AP456" i="1"/>
  <c r="AP457" i="1"/>
  <c r="AP458" i="1"/>
  <c r="AP459" i="1"/>
  <c r="AP460" i="1"/>
  <c r="AP461" i="1"/>
  <c r="AP462" i="1"/>
  <c r="AP463" i="1"/>
  <c r="AP464" i="1"/>
  <c r="AP465" i="1"/>
  <c r="AP466" i="1"/>
  <c r="AP467" i="1"/>
  <c r="AP468" i="1"/>
  <c r="AP469" i="1"/>
  <c r="AP470" i="1"/>
  <c r="AP471" i="1"/>
  <c r="AP472" i="1"/>
  <c r="AP473" i="1"/>
  <c r="AP474" i="1"/>
  <c r="AP475" i="1"/>
  <c r="AP476" i="1"/>
  <c r="AP477" i="1"/>
  <c r="AP478" i="1"/>
  <c r="AP479" i="1"/>
  <c r="AP480" i="1"/>
  <c r="AP481" i="1"/>
  <c r="AP482" i="1"/>
  <c r="AP483" i="1"/>
  <c r="AP484" i="1"/>
  <c r="AP485" i="1"/>
  <c r="AP486" i="1"/>
  <c r="AP487" i="1"/>
  <c r="AP488" i="1"/>
  <c r="AP489" i="1"/>
  <c r="AP490" i="1"/>
  <c r="AP491" i="1"/>
  <c r="AP492" i="1"/>
  <c r="AP493" i="1"/>
  <c r="AP494" i="1"/>
  <c r="AP495" i="1"/>
  <c r="AP496" i="1"/>
  <c r="AP497" i="1"/>
  <c r="AP498" i="1"/>
  <c r="AP499" i="1"/>
  <c r="AP500" i="1"/>
  <c r="AP501" i="1"/>
  <c r="AP502" i="1"/>
  <c r="AP503" i="1"/>
  <c r="AP504" i="1"/>
  <c r="AP505" i="1"/>
  <c r="AP506" i="1"/>
  <c r="AP507" i="1"/>
  <c r="AP508" i="1"/>
  <c r="AP509" i="1"/>
  <c r="AP510" i="1"/>
  <c r="AP511" i="1"/>
  <c r="AP512" i="1"/>
  <c r="AP513" i="1"/>
  <c r="AP514" i="1"/>
  <c r="AP515" i="1"/>
  <c r="AP516" i="1"/>
  <c r="AP517" i="1"/>
  <c r="AP518" i="1"/>
  <c r="AP519" i="1"/>
  <c r="AP520" i="1"/>
  <c r="AP521" i="1"/>
  <c r="AP522" i="1"/>
  <c r="AP523" i="1"/>
  <c r="AP524" i="1"/>
  <c r="AP525" i="1"/>
  <c r="AP526" i="1"/>
  <c r="AP527" i="1"/>
  <c r="AP528" i="1"/>
  <c r="AP529" i="1"/>
  <c r="AP530" i="1"/>
  <c r="AP531" i="1"/>
  <c r="AP532" i="1"/>
  <c r="AP533" i="1"/>
  <c r="AP534" i="1"/>
  <c r="AP535" i="1"/>
  <c r="AP536" i="1"/>
  <c r="AP537" i="1"/>
  <c r="AP538" i="1"/>
  <c r="AP539" i="1"/>
  <c r="AP540" i="1"/>
  <c r="AP541" i="1"/>
  <c r="AP542" i="1"/>
  <c r="AP543" i="1"/>
  <c r="AP544" i="1"/>
  <c r="AP545" i="1"/>
  <c r="AP546" i="1"/>
  <c r="AP547" i="1"/>
  <c r="AP548" i="1"/>
  <c r="AP549" i="1"/>
  <c r="AP550" i="1"/>
  <c r="AP551" i="1"/>
  <c r="AP552" i="1"/>
  <c r="AP553" i="1"/>
  <c r="AP554" i="1"/>
  <c r="AP555" i="1"/>
  <c r="AP556" i="1"/>
  <c r="AP557" i="1"/>
  <c r="AP558" i="1"/>
  <c r="AP559" i="1"/>
  <c r="AP560" i="1"/>
  <c r="AP561" i="1"/>
  <c r="AP562" i="1"/>
  <c r="AP563" i="1"/>
  <c r="AP564" i="1"/>
  <c r="AP565" i="1"/>
  <c r="AP566" i="1"/>
  <c r="AP567" i="1"/>
  <c r="AP568" i="1"/>
  <c r="AP569" i="1"/>
  <c r="AP570" i="1"/>
  <c r="AP571" i="1"/>
  <c r="AP572" i="1"/>
  <c r="AP573" i="1"/>
  <c r="AP574" i="1"/>
  <c r="AP575" i="1"/>
  <c r="AP576" i="1"/>
  <c r="AP577" i="1"/>
  <c r="AP578" i="1"/>
  <c r="AP579" i="1"/>
  <c r="AP580" i="1"/>
  <c r="AP581" i="1"/>
  <c r="AP582" i="1"/>
  <c r="AP583" i="1"/>
  <c r="AP584" i="1"/>
  <c r="AP585" i="1"/>
  <c r="AP586" i="1"/>
  <c r="AP587" i="1"/>
  <c r="AP588" i="1"/>
  <c r="AP589" i="1"/>
  <c r="AP590" i="1"/>
  <c r="AP591" i="1"/>
  <c r="AP592" i="1"/>
  <c r="AP593" i="1"/>
  <c r="AP594" i="1"/>
  <c r="AP595" i="1"/>
  <c r="AP596" i="1"/>
  <c r="AP597" i="1"/>
  <c r="AP598" i="1"/>
  <c r="AP599" i="1"/>
  <c r="AP600" i="1"/>
  <c r="AP601" i="1"/>
  <c r="AP602" i="1"/>
  <c r="AP603" i="1"/>
  <c r="AP604" i="1"/>
  <c r="AP605" i="1"/>
  <c r="AP606" i="1"/>
  <c r="AP607" i="1"/>
  <c r="AP608" i="1"/>
  <c r="AP609" i="1"/>
  <c r="AP610" i="1"/>
  <c r="AP611" i="1"/>
  <c r="AP612" i="1"/>
  <c r="AP613" i="1"/>
  <c r="AP614" i="1"/>
  <c r="AP615" i="1"/>
  <c r="AP616" i="1"/>
  <c r="AP617" i="1"/>
  <c r="AP618" i="1"/>
  <c r="AP619" i="1"/>
  <c r="AP620" i="1"/>
  <c r="AP621" i="1"/>
  <c r="AP622" i="1"/>
  <c r="AP623" i="1"/>
  <c r="AP624" i="1"/>
  <c r="AP625" i="1"/>
  <c r="AP626" i="1"/>
  <c r="AP627" i="1"/>
  <c r="AP628" i="1"/>
  <c r="AP629" i="1"/>
  <c r="AP630" i="1"/>
  <c r="AP631" i="1"/>
  <c r="AP632" i="1"/>
  <c r="AP633" i="1"/>
  <c r="AP634" i="1"/>
  <c r="AP635" i="1"/>
  <c r="AP636" i="1"/>
  <c r="AP637" i="1"/>
  <c r="AP638" i="1"/>
  <c r="AP639" i="1"/>
  <c r="AP640" i="1"/>
  <c r="AP641" i="1"/>
  <c r="AP642" i="1"/>
  <c r="AP643" i="1"/>
  <c r="AP644" i="1"/>
  <c r="AP645" i="1"/>
  <c r="AP646" i="1"/>
  <c r="AP647" i="1"/>
  <c r="AP648" i="1"/>
  <c r="AP649" i="1"/>
  <c r="AP650" i="1"/>
  <c r="AP651" i="1"/>
  <c r="AP652" i="1"/>
  <c r="AP653" i="1"/>
  <c r="AP654" i="1"/>
  <c r="AP655" i="1"/>
  <c r="AP656" i="1"/>
  <c r="AP657" i="1"/>
  <c r="AP658" i="1"/>
  <c r="AP659" i="1"/>
  <c r="AP660" i="1"/>
  <c r="AP661" i="1"/>
  <c r="AP662" i="1"/>
  <c r="AP663" i="1"/>
  <c r="AP664" i="1"/>
  <c r="AP665" i="1"/>
  <c r="AP666" i="1"/>
  <c r="AP667" i="1"/>
  <c r="AP668" i="1"/>
  <c r="AP669" i="1"/>
  <c r="AP670" i="1"/>
  <c r="AP671" i="1"/>
  <c r="AP672" i="1"/>
  <c r="AP673" i="1"/>
  <c r="AP674" i="1"/>
  <c r="AP675" i="1"/>
  <c r="AP676" i="1"/>
  <c r="AP677" i="1"/>
  <c r="AP678" i="1"/>
  <c r="AP679" i="1"/>
  <c r="AP680" i="1"/>
  <c r="AP681" i="1"/>
  <c r="AP682" i="1"/>
  <c r="AP683" i="1"/>
  <c r="AP684" i="1"/>
  <c r="AP685" i="1"/>
  <c r="AP686" i="1"/>
  <c r="AP687" i="1"/>
  <c r="AP688" i="1"/>
  <c r="AP689" i="1"/>
  <c r="AP690" i="1"/>
  <c r="AP691" i="1"/>
  <c r="AP692" i="1"/>
  <c r="AP693" i="1"/>
  <c r="AP694" i="1"/>
  <c r="AP695" i="1"/>
  <c r="AP696" i="1"/>
  <c r="AP697" i="1"/>
  <c r="AP698" i="1"/>
  <c r="AP699" i="1"/>
  <c r="AP700" i="1"/>
  <c r="AP701" i="1"/>
  <c r="AP702" i="1"/>
  <c r="AP703" i="1"/>
  <c r="AP704" i="1"/>
  <c r="AP705" i="1"/>
  <c r="AP706" i="1"/>
  <c r="AP707" i="1"/>
  <c r="AP708" i="1"/>
  <c r="AP709" i="1"/>
  <c r="AP710" i="1"/>
  <c r="AP711" i="1"/>
  <c r="AP712" i="1"/>
  <c r="AP713" i="1"/>
  <c r="AP714" i="1"/>
  <c r="AP715" i="1"/>
  <c r="AP716" i="1"/>
  <c r="AP717" i="1"/>
  <c r="AP718" i="1"/>
  <c r="AP719" i="1"/>
  <c r="AP720" i="1"/>
  <c r="AP721" i="1"/>
  <c r="AP722" i="1"/>
  <c r="AP723" i="1"/>
  <c r="AP724" i="1"/>
  <c r="AP725" i="1"/>
  <c r="AP726" i="1"/>
  <c r="AP727" i="1"/>
  <c r="AP728" i="1"/>
  <c r="AP729" i="1"/>
  <c r="AP730" i="1"/>
  <c r="AP731" i="1"/>
  <c r="AP732" i="1"/>
  <c r="AP733" i="1"/>
  <c r="AP734" i="1"/>
  <c r="AP735" i="1"/>
  <c r="AP736" i="1"/>
  <c r="AP737" i="1"/>
  <c r="AP738" i="1"/>
  <c r="AP739" i="1"/>
  <c r="AP740" i="1"/>
  <c r="AP741" i="1"/>
  <c r="AP742" i="1"/>
  <c r="AP743" i="1"/>
  <c r="AP744" i="1"/>
  <c r="AP745" i="1"/>
  <c r="AP746" i="1"/>
  <c r="AP747" i="1"/>
  <c r="AP748" i="1"/>
  <c r="AP749" i="1"/>
  <c r="AP750" i="1"/>
  <c r="AP751" i="1"/>
  <c r="AP752" i="1"/>
  <c r="AP753" i="1"/>
  <c r="AP754" i="1"/>
  <c r="AP755" i="1"/>
  <c r="AP756" i="1"/>
  <c r="AP757" i="1"/>
  <c r="AP758" i="1"/>
  <c r="AP759" i="1"/>
  <c r="AP760" i="1"/>
  <c r="AP761" i="1"/>
  <c r="AP762" i="1"/>
  <c r="AP763" i="1"/>
  <c r="AP764" i="1"/>
  <c r="AP765" i="1"/>
  <c r="AP766" i="1"/>
  <c r="AP767" i="1"/>
  <c r="AP768" i="1"/>
  <c r="AP769" i="1"/>
  <c r="AP770" i="1"/>
  <c r="AP771" i="1"/>
  <c r="AP772" i="1"/>
  <c r="AP773" i="1"/>
  <c r="AP774" i="1"/>
  <c r="AP775" i="1"/>
  <c r="AP776" i="1"/>
  <c r="AP777" i="1"/>
  <c r="AP778" i="1"/>
  <c r="AP779" i="1"/>
  <c r="AP780" i="1"/>
  <c r="AP781" i="1"/>
  <c r="AP782" i="1"/>
  <c r="AP783" i="1"/>
  <c r="AP784" i="1"/>
  <c r="AP785" i="1"/>
  <c r="AP786" i="1"/>
  <c r="AP787" i="1"/>
  <c r="AP788" i="1"/>
  <c r="AP789" i="1"/>
  <c r="AP790" i="1"/>
  <c r="AP791" i="1"/>
  <c r="AP792" i="1"/>
  <c r="AP793" i="1"/>
  <c r="AP794" i="1"/>
  <c r="AP795" i="1"/>
  <c r="AP796" i="1"/>
  <c r="AP797" i="1"/>
  <c r="AP798" i="1"/>
  <c r="AP799" i="1"/>
  <c r="AP800" i="1"/>
  <c r="AP801" i="1"/>
  <c r="AP802" i="1"/>
  <c r="AP803" i="1"/>
  <c r="AP804" i="1"/>
  <c r="AP805" i="1"/>
  <c r="AP806" i="1"/>
  <c r="AP807" i="1"/>
  <c r="AP808" i="1"/>
  <c r="AP809" i="1"/>
  <c r="AP810" i="1"/>
  <c r="AP811" i="1"/>
  <c r="AP812" i="1"/>
  <c r="AP813" i="1"/>
  <c r="AP814" i="1"/>
  <c r="AP815" i="1"/>
  <c r="AP816" i="1"/>
  <c r="AP817" i="1"/>
  <c r="AP818" i="1"/>
  <c r="AP819" i="1"/>
  <c r="AP820" i="1"/>
  <c r="AP821" i="1"/>
  <c r="AP822" i="1"/>
  <c r="AP823" i="1"/>
  <c r="AP824" i="1"/>
  <c r="AP825" i="1"/>
  <c r="AP826" i="1"/>
  <c r="AP827" i="1"/>
  <c r="AP828" i="1"/>
  <c r="AP829" i="1"/>
  <c r="AP830" i="1"/>
  <c r="AP831" i="1"/>
  <c r="AP832" i="1"/>
  <c r="AP833" i="1"/>
  <c r="AP834" i="1"/>
  <c r="AP835" i="1"/>
  <c r="AP836" i="1"/>
  <c r="AP837" i="1"/>
  <c r="AP838" i="1"/>
  <c r="AP839" i="1"/>
  <c r="AP840" i="1"/>
  <c r="AP841" i="1"/>
  <c r="AP842" i="1"/>
  <c r="AP843" i="1"/>
  <c r="AP844" i="1"/>
  <c r="AP845" i="1"/>
  <c r="AP846" i="1"/>
  <c r="AP847" i="1"/>
  <c r="AP848" i="1"/>
  <c r="AP849" i="1"/>
  <c r="AP850" i="1"/>
  <c r="AP851" i="1"/>
  <c r="AP852" i="1"/>
  <c r="AP853" i="1"/>
  <c r="AP854" i="1"/>
  <c r="AP855" i="1"/>
  <c r="AP856" i="1"/>
  <c r="AP857" i="1"/>
  <c r="AP858" i="1"/>
  <c r="AP859" i="1"/>
  <c r="AP860" i="1"/>
  <c r="AP861" i="1"/>
  <c r="AP862" i="1"/>
  <c r="AP863" i="1"/>
  <c r="AP864" i="1"/>
  <c r="AP865" i="1"/>
  <c r="AP866" i="1"/>
  <c r="AP867" i="1"/>
  <c r="AP868" i="1"/>
  <c r="AP869" i="1"/>
  <c r="AP870" i="1"/>
  <c r="AP871" i="1"/>
  <c r="AP872" i="1"/>
  <c r="AP873" i="1"/>
  <c r="AP874" i="1"/>
  <c r="AP875" i="1"/>
  <c r="AP876" i="1"/>
  <c r="AP877" i="1"/>
  <c r="AP878" i="1"/>
  <c r="AP879" i="1"/>
  <c r="AP880" i="1"/>
  <c r="AP881" i="1"/>
  <c r="AP882" i="1"/>
  <c r="AP883" i="1"/>
  <c r="AP884" i="1"/>
  <c r="AP885" i="1"/>
  <c r="AP886" i="1"/>
  <c r="AP887" i="1"/>
  <c r="AP888" i="1"/>
  <c r="AP889" i="1"/>
  <c r="AP890" i="1"/>
  <c r="AP891" i="1"/>
  <c r="AP892" i="1"/>
  <c r="AP893" i="1"/>
  <c r="AP894" i="1"/>
  <c r="AP895" i="1"/>
  <c r="AP896" i="1"/>
  <c r="AP897" i="1"/>
  <c r="AP898" i="1"/>
  <c r="AP899" i="1"/>
  <c r="AP900" i="1"/>
  <c r="AP901" i="1"/>
  <c r="AP902" i="1"/>
  <c r="AP903" i="1"/>
  <c r="AP904" i="1"/>
  <c r="AP905" i="1"/>
  <c r="AP906" i="1"/>
  <c r="AP907" i="1"/>
  <c r="AP908" i="1"/>
  <c r="AP909" i="1"/>
  <c r="AP910" i="1"/>
  <c r="AP911" i="1"/>
  <c r="AP912" i="1"/>
  <c r="AP913" i="1"/>
  <c r="AP914" i="1"/>
  <c r="AP915" i="1"/>
  <c r="AP916" i="1"/>
  <c r="AP917" i="1"/>
  <c r="AP918" i="1"/>
  <c r="AP919" i="1"/>
  <c r="AP920" i="1"/>
  <c r="AP921" i="1"/>
  <c r="AP922" i="1"/>
  <c r="AP923" i="1"/>
  <c r="AP924" i="1"/>
  <c r="AP925" i="1"/>
  <c r="AP926" i="1"/>
  <c r="AP927" i="1"/>
  <c r="AP928" i="1"/>
  <c r="AP929" i="1"/>
  <c r="AP930" i="1"/>
  <c r="AP931" i="1"/>
  <c r="AP932" i="1"/>
  <c r="AP933" i="1"/>
  <c r="AP934" i="1"/>
  <c r="AP935" i="1"/>
  <c r="AP936" i="1"/>
  <c r="AP937" i="1"/>
  <c r="AP938" i="1"/>
  <c r="AP939" i="1"/>
  <c r="AP940" i="1"/>
  <c r="AP941" i="1"/>
  <c r="AP942" i="1"/>
  <c r="AP943" i="1"/>
  <c r="AP944" i="1"/>
  <c r="AP945" i="1"/>
  <c r="AP946" i="1"/>
  <c r="AP947" i="1"/>
  <c r="AP948" i="1"/>
  <c r="AP949" i="1"/>
  <c r="AP950" i="1"/>
  <c r="AP951" i="1"/>
  <c r="AP952" i="1"/>
  <c r="AP953" i="1"/>
  <c r="AP954" i="1"/>
  <c r="AP955" i="1"/>
  <c r="AP956" i="1"/>
  <c r="AP957" i="1"/>
  <c r="AP958" i="1"/>
  <c r="AP959" i="1"/>
  <c r="AP960" i="1"/>
  <c r="AP961" i="1"/>
  <c r="AP962" i="1"/>
  <c r="AP963" i="1"/>
  <c r="AP964" i="1"/>
  <c r="AP965" i="1"/>
  <c r="AP966" i="1"/>
  <c r="AP967" i="1"/>
  <c r="AP968" i="1"/>
  <c r="AP969" i="1"/>
  <c r="AP970" i="1"/>
  <c r="AP971" i="1"/>
  <c r="AP972" i="1"/>
  <c r="AP973" i="1"/>
  <c r="AP974" i="1"/>
  <c r="AP975" i="1"/>
  <c r="AP976" i="1"/>
  <c r="AP977" i="1"/>
  <c r="AP978" i="1"/>
  <c r="AP979" i="1"/>
  <c r="AP980" i="1"/>
  <c r="AP981" i="1"/>
  <c r="AP982" i="1"/>
  <c r="AP983" i="1"/>
  <c r="AP984" i="1"/>
  <c r="AP985" i="1"/>
  <c r="AP986" i="1"/>
  <c r="AP987" i="1"/>
  <c r="AP988" i="1"/>
  <c r="AP989" i="1"/>
  <c r="AP990" i="1"/>
  <c r="AP991" i="1"/>
  <c r="AP992" i="1"/>
  <c r="AP993" i="1"/>
  <c r="AP994" i="1"/>
  <c r="AP995" i="1"/>
  <c r="AP996" i="1"/>
  <c r="AP997" i="1"/>
  <c r="AP998" i="1"/>
  <c r="AP999" i="1"/>
  <c r="AP1000" i="1"/>
  <c r="AP1001" i="1"/>
  <c r="AP1002" i="1"/>
  <c r="AP1003" i="1"/>
  <c r="AP1004" i="1"/>
  <c r="AP1005" i="1"/>
  <c r="AP1006" i="1"/>
  <c r="AP1007" i="1"/>
  <c r="AP1008" i="1"/>
  <c r="AP1009" i="1"/>
  <c r="AP1010" i="1"/>
  <c r="AP1011" i="1"/>
  <c r="AP1012" i="1"/>
  <c r="AP1013" i="1"/>
  <c r="AP1014" i="1"/>
  <c r="AP1015" i="1"/>
  <c r="AP1016" i="1"/>
  <c r="AP1017" i="1"/>
  <c r="AP1018" i="1"/>
  <c r="AP1019" i="1"/>
  <c r="AP1020" i="1"/>
  <c r="AP1021" i="1"/>
  <c r="AP1022" i="1"/>
  <c r="AP1023" i="1"/>
  <c r="AP1024" i="1"/>
  <c r="AP1025" i="1"/>
  <c r="AP1026" i="1"/>
  <c r="AP1027" i="1"/>
  <c r="AP1028" i="1"/>
  <c r="AP1029" i="1"/>
  <c r="AP1030" i="1"/>
  <c r="AP1031" i="1"/>
  <c r="AP1032" i="1"/>
  <c r="AP1033" i="1"/>
  <c r="AP1034" i="1"/>
  <c r="AP1035" i="1"/>
  <c r="AP1036" i="1"/>
  <c r="AP1037" i="1"/>
  <c r="AP1038" i="1"/>
  <c r="AP1039" i="1"/>
  <c r="AP1040" i="1"/>
  <c r="AP1041" i="1"/>
  <c r="AP1042" i="1"/>
  <c r="AP1043" i="1"/>
  <c r="AP1044" i="1"/>
  <c r="AP1045" i="1"/>
  <c r="AP1046" i="1"/>
  <c r="AP1047" i="1"/>
  <c r="AP1048" i="1"/>
  <c r="AP1049" i="1"/>
  <c r="AP1050" i="1"/>
  <c r="AP1051" i="1"/>
  <c r="AP1052" i="1"/>
  <c r="AP1053" i="1"/>
  <c r="AP1054" i="1"/>
  <c r="AP1055" i="1"/>
  <c r="AP1056" i="1"/>
  <c r="AP1057" i="1"/>
  <c r="AP1058" i="1"/>
  <c r="AP1059" i="1"/>
  <c r="AP1060" i="1"/>
  <c r="AP1061" i="1"/>
  <c r="AP1062" i="1"/>
  <c r="AP1063" i="1"/>
  <c r="AP1064" i="1"/>
  <c r="AP1065" i="1"/>
  <c r="AP1066" i="1"/>
  <c r="AP1067" i="1"/>
  <c r="AP1068" i="1"/>
  <c r="AP1069" i="1"/>
  <c r="AP1070" i="1"/>
  <c r="AP1071" i="1"/>
  <c r="AP1072" i="1"/>
  <c r="AP1073" i="1"/>
  <c r="AP1074" i="1"/>
  <c r="AP1075" i="1"/>
  <c r="AP1076" i="1"/>
  <c r="AP1077" i="1"/>
  <c r="AP1078" i="1"/>
  <c r="AP1079" i="1"/>
  <c r="AP1080" i="1"/>
  <c r="AP1081" i="1"/>
  <c r="AP1082" i="1"/>
  <c r="AP1083" i="1"/>
  <c r="AP1084" i="1"/>
  <c r="AP1085" i="1"/>
  <c r="AP1086" i="1"/>
  <c r="AP1087" i="1"/>
  <c r="AP1088" i="1"/>
  <c r="AP1089" i="1"/>
  <c r="AP1090" i="1"/>
  <c r="AP1091" i="1"/>
  <c r="AP1092" i="1"/>
  <c r="AP1093" i="1"/>
  <c r="AP1094" i="1"/>
  <c r="AP1095" i="1"/>
  <c r="AP1096" i="1"/>
  <c r="AP1097" i="1"/>
  <c r="AP1098" i="1"/>
  <c r="AP1099" i="1"/>
  <c r="AP1100" i="1"/>
  <c r="AP1101" i="1"/>
  <c r="AO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N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M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K2" i="1"/>
  <c r="AK3" i="1"/>
  <c r="AK4" i="1"/>
  <c r="AK5" i="1"/>
  <c r="AK6" i="1"/>
  <c r="AK7" i="1"/>
  <c r="AK8" i="1"/>
  <c r="AK9" i="1"/>
  <c r="AK10" i="1"/>
  <c r="AK11" i="1"/>
  <c r="AK12" i="1"/>
  <c r="AK13" i="1"/>
  <c r="AK14" i="1"/>
  <c r="AK15" i="1"/>
  <c r="AK16" i="1"/>
  <c r="AK17" i="1"/>
  <c r="AK18" i="1"/>
  <c r="AK19" i="1"/>
  <c r="AK20" i="1"/>
  <c r="AK21" i="1"/>
  <c r="AK22" i="1"/>
  <c r="AK23" i="1"/>
  <c r="AK24" i="1"/>
  <c r="AK25" i="1"/>
  <c r="AK26" i="1"/>
  <c r="AK27" i="1"/>
  <c r="AK28" i="1"/>
  <c r="AK29" i="1"/>
  <c r="AK30" i="1"/>
  <c r="AK31" i="1"/>
  <c r="AK32" i="1"/>
  <c r="AK33" i="1"/>
  <c r="AK34" i="1"/>
  <c r="AK35" i="1"/>
  <c r="AK36" i="1"/>
  <c r="AK37" i="1"/>
  <c r="AK38" i="1"/>
  <c r="AK39" i="1"/>
  <c r="AK40" i="1"/>
  <c r="AK41" i="1"/>
  <c r="AK42" i="1"/>
  <c r="AK43" i="1"/>
  <c r="AK44" i="1"/>
  <c r="AK45" i="1"/>
  <c r="AK46" i="1"/>
  <c r="AK47" i="1"/>
  <c r="AK48" i="1"/>
  <c r="AK49" i="1"/>
  <c r="AK50" i="1"/>
  <c r="AK51" i="1"/>
  <c r="AK52" i="1"/>
  <c r="AK53" i="1"/>
  <c r="AK54" i="1"/>
  <c r="AK55" i="1"/>
  <c r="AK56" i="1"/>
  <c r="AK57" i="1"/>
  <c r="AK58" i="1"/>
  <c r="AK59" i="1"/>
  <c r="AK60" i="1"/>
  <c r="AK61" i="1"/>
  <c r="AK62" i="1"/>
  <c r="AK63" i="1"/>
  <c r="AK64" i="1"/>
  <c r="AK65" i="1"/>
  <c r="AK66" i="1"/>
  <c r="AK67" i="1"/>
  <c r="AK68" i="1"/>
  <c r="AK69" i="1"/>
  <c r="AK70" i="1"/>
  <c r="AK71" i="1"/>
  <c r="AK72" i="1"/>
  <c r="AK73" i="1"/>
  <c r="AK74" i="1"/>
  <c r="AK75" i="1"/>
  <c r="AK76" i="1"/>
  <c r="AK77" i="1"/>
  <c r="AK78" i="1"/>
  <c r="AK79" i="1"/>
  <c r="AK80" i="1"/>
  <c r="AK81" i="1"/>
  <c r="AK82" i="1"/>
  <c r="AK83" i="1"/>
  <c r="AK84" i="1"/>
  <c r="AK85" i="1"/>
  <c r="AK86" i="1"/>
  <c r="AK87" i="1"/>
  <c r="AK88" i="1"/>
  <c r="AK89" i="1"/>
  <c r="AK90" i="1"/>
  <c r="AK91" i="1"/>
  <c r="AK92" i="1"/>
  <c r="AK93" i="1"/>
  <c r="AK94" i="1"/>
  <c r="AK95" i="1"/>
  <c r="AK96" i="1"/>
  <c r="AK97" i="1"/>
  <c r="AK98" i="1"/>
  <c r="AK99" i="1"/>
  <c r="AK100" i="1"/>
  <c r="AK101" i="1"/>
  <c r="AK102" i="1"/>
  <c r="AK103" i="1"/>
  <c r="AK104" i="1"/>
  <c r="AK105" i="1"/>
  <c r="AK106" i="1"/>
  <c r="AK107" i="1"/>
  <c r="AK108" i="1"/>
  <c r="AK109" i="1"/>
  <c r="AK110" i="1"/>
  <c r="AK111" i="1"/>
  <c r="AK112" i="1"/>
  <c r="AK113" i="1"/>
  <c r="AK114" i="1"/>
  <c r="AK115" i="1"/>
  <c r="AK116" i="1"/>
  <c r="AK117" i="1"/>
  <c r="AK118" i="1"/>
  <c r="AK119" i="1"/>
  <c r="AK120" i="1"/>
  <c r="AK121" i="1"/>
  <c r="AK122" i="1"/>
  <c r="AK123" i="1"/>
  <c r="AK124" i="1"/>
  <c r="AK125" i="1"/>
  <c r="AK126" i="1"/>
  <c r="AK127" i="1"/>
  <c r="AK128" i="1"/>
  <c r="AK129" i="1"/>
  <c r="AK130" i="1"/>
  <c r="AK131" i="1"/>
  <c r="AK132" i="1"/>
  <c r="AK133" i="1"/>
  <c r="AK134" i="1"/>
  <c r="AK135" i="1"/>
  <c r="AK136" i="1"/>
  <c r="AK137" i="1"/>
  <c r="AK138" i="1"/>
  <c r="AK139" i="1"/>
  <c r="AK140" i="1"/>
  <c r="AK141" i="1"/>
  <c r="AK142" i="1"/>
  <c r="AK143" i="1"/>
  <c r="AK144" i="1"/>
  <c r="AK145" i="1"/>
  <c r="AK146" i="1"/>
  <c r="AK147" i="1"/>
  <c r="AK148" i="1"/>
  <c r="AK149" i="1"/>
  <c r="AK150" i="1"/>
  <c r="AK151" i="1"/>
  <c r="AK152" i="1"/>
  <c r="AK153" i="1"/>
  <c r="AK154" i="1"/>
  <c r="AK155" i="1"/>
  <c r="AK156" i="1"/>
  <c r="AK157" i="1"/>
  <c r="AK158" i="1"/>
  <c r="AK159" i="1"/>
  <c r="AK160" i="1"/>
  <c r="AK161" i="1"/>
  <c r="AK162" i="1"/>
  <c r="AK163" i="1"/>
  <c r="AK164" i="1"/>
  <c r="AK165" i="1"/>
  <c r="AK166" i="1"/>
  <c r="AK167" i="1"/>
  <c r="AK168" i="1"/>
  <c r="AK169" i="1"/>
  <c r="AK170" i="1"/>
  <c r="AK171" i="1"/>
  <c r="AK172" i="1"/>
  <c r="AK173" i="1"/>
  <c r="AK174" i="1"/>
  <c r="AK175" i="1"/>
  <c r="AK176" i="1"/>
  <c r="AK177" i="1"/>
  <c r="AK178" i="1"/>
  <c r="AK179" i="1"/>
  <c r="AK180" i="1"/>
  <c r="AK181" i="1"/>
  <c r="AK182" i="1"/>
  <c r="AK183" i="1"/>
  <c r="AK184" i="1"/>
  <c r="AK185" i="1"/>
  <c r="AK186" i="1"/>
  <c r="AK187" i="1"/>
  <c r="AK188" i="1"/>
  <c r="AK189" i="1"/>
  <c r="AK190" i="1"/>
  <c r="AK191" i="1"/>
  <c r="AK192" i="1"/>
  <c r="AK193" i="1"/>
  <c r="AK194" i="1"/>
  <c r="AK195" i="1"/>
  <c r="AK196" i="1"/>
  <c r="AK197" i="1"/>
  <c r="AK198" i="1"/>
  <c r="AK199" i="1"/>
  <c r="AK200" i="1"/>
  <c r="AK201" i="1"/>
  <c r="AK202" i="1"/>
  <c r="AK203" i="1"/>
  <c r="AK204" i="1"/>
  <c r="AK205" i="1"/>
  <c r="AK206" i="1"/>
  <c r="AK207" i="1"/>
  <c r="AK208" i="1"/>
  <c r="AK209" i="1"/>
  <c r="AK210" i="1"/>
  <c r="AK211" i="1"/>
  <c r="AK212" i="1"/>
  <c r="AK213" i="1"/>
  <c r="AK214" i="1"/>
  <c r="AK215" i="1"/>
  <c r="AK216" i="1"/>
  <c r="AK217" i="1"/>
  <c r="AK218" i="1"/>
  <c r="AK219" i="1"/>
  <c r="AK220" i="1"/>
  <c r="AK221" i="1"/>
  <c r="AK222" i="1"/>
  <c r="AK223" i="1"/>
  <c r="AK224" i="1"/>
  <c r="AK225" i="1"/>
  <c r="AK226" i="1"/>
  <c r="AK227" i="1"/>
  <c r="AK228" i="1"/>
  <c r="AK229" i="1"/>
  <c r="AK230" i="1"/>
  <c r="AK231" i="1"/>
  <c r="AK232" i="1"/>
  <c r="AK233" i="1"/>
  <c r="AK234" i="1"/>
  <c r="AK235" i="1"/>
  <c r="AK236" i="1"/>
  <c r="AK237" i="1"/>
  <c r="AK238" i="1"/>
  <c r="AK239" i="1"/>
  <c r="AK240" i="1"/>
  <c r="AK241" i="1"/>
  <c r="AK242" i="1"/>
  <c r="AK243" i="1"/>
  <c r="AK244" i="1"/>
  <c r="AK245" i="1"/>
  <c r="AK246" i="1"/>
  <c r="AK247" i="1"/>
  <c r="AK248" i="1"/>
  <c r="AK249" i="1"/>
  <c r="AK250" i="1"/>
  <c r="AK251" i="1"/>
  <c r="AK252" i="1"/>
  <c r="AK253" i="1"/>
  <c r="AK254" i="1"/>
  <c r="AK255" i="1"/>
  <c r="AK256" i="1"/>
  <c r="AK257" i="1"/>
  <c r="AK258" i="1"/>
  <c r="AK259" i="1"/>
  <c r="AK260" i="1"/>
  <c r="AK261" i="1"/>
  <c r="AK262" i="1"/>
  <c r="AK263" i="1"/>
  <c r="AK264" i="1"/>
  <c r="AK265" i="1"/>
  <c r="AK266" i="1"/>
  <c r="AK267" i="1"/>
  <c r="AK268" i="1"/>
  <c r="AK269" i="1"/>
  <c r="AK270" i="1"/>
  <c r="AK271" i="1"/>
  <c r="AK272" i="1"/>
  <c r="AK273" i="1"/>
  <c r="AK274" i="1"/>
  <c r="AK275" i="1"/>
  <c r="AK276" i="1"/>
  <c r="AK277" i="1"/>
  <c r="AK278" i="1"/>
  <c r="AK279" i="1"/>
  <c r="AK280" i="1"/>
  <c r="AK281" i="1"/>
  <c r="AK282" i="1"/>
  <c r="AK283" i="1"/>
  <c r="AK284" i="1"/>
  <c r="AK285" i="1"/>
  <c r="AK286" i="1"/>
  <c r="AK287" i="1"/>
  <c r="AK288" i="1"/>
  <c r="AK289" i="1"/>
  <c r="AK290" i="1"/>
  <c r="AK291" i="1"/>
  <c r="AK292" i="1"/>
  <c r="AK293" i="1"/>
  <c r="AK294" i="1"/>
  <c r="AK295" i="1"/>
  <c r="AK296" i="1"/>
  <c r="AK297" i="1"/>
  <c r="AK298" i="1"/>
  <c r="AK299" i="1"/>
  <c r="AK300" i="1"/>
  <c r="AK301" i="1"/>
  <c r="AK302" i="1"/>
  <c r="AK303" i="1"/>
  <c r="AK304" i="1"/>
  <c r="AK305" i="1"/>
  <c r="AK306" i="1"/>
  <c r="AK307" i="1"/>
  <c r="AK308" i="1"/>
  <c r="AK309" i="1"/>
  <c r="AK310" i="1"/>
  <c r="AK311" i="1"/>
  <c r="AK312" i="1"/>
  <c r="AK313" i="1"/>
  <c r="AK314" i="1"/>
  <c r="AK315" i="1"/>
  <c r="AK316" i="1"/>
  <c r="AK317" i="1"/>
  <c r="AK318" i="1"/>
  <c r="AK319" i="1"/>
  <c r="AK320" i="1"/>
  <c r="AK321" i="1"/>
  <c r="AK322" i="1"/>
  <c r="AK323" i="1"/>
  <c r="AK324" i="1"/>
  <c r="AK325" i="1"/>
  <c r="AK326" i="1"/>
  <c r="AK327" i="1"/>
  <c r="AK328" i="1"/>
  <c r="AK329" i="1"/>
  <c r="AK330" i="1"/>
  <c r="AK331" i="1"/>
  <c r="AK332" i="1"/>
  <c r="AK333" i="1"/>
  <c r="AK334" i="1"/>
  <c r="AK335" i="1"/>
  <c r="AK336" i="1"/>
  <c r="AK337" i="1"/>
  <c r="AK338" i="1"/>
  <c r="AK339" i="1"/>
  <c r="AK340" i="1"/>
  <c r="AK341" i="1"/>
  <c r="AK342" i="1"/>
  <c r="AK343" i="1"/>
  <c r="AK344" i="1"/>
  <c r="AK345" i="1"/>
  <c r="AK346" i="1"/>
  <c r="AK347" i="1"/>
  <c r="AK348" i="1"/>
  <c r="AK349" i="1"/>
  <c r="AK350" i="1"/>
  <c r="AK351" i="1"/>
  <c r="AK352" i="1"/>
  <c r="AK353" i="1"/>
  <c r="AK354" i="1"/>
  <c r="AK355" i="1"/>
  <c r="AK356" i="1"/>
  <c r="AK357" i="1"/>
  <c r="AK358" i="1"/>
  <c r="AK359" i="1"/>
  <c r="AK360" i="1"/>
  <c r="AK361" i="1"/>
  <c r="AK362" i="1"/>
  <c r="AK363" i="1"/>
  <c r="AK364" i="1"/>
  <c r="AK365" i="1"/>
  <c r="AK366" i="1"/>
  <c r="AK367" i="1"/>
  <c r="AK368" i="1"/>
  <c r="AK369" i="1"/>
  <c r="AK370" i="1"/>
  <c r="AK371" i="1"/>
  <c r="AK372" i="1"/>
  <c r="AK373" i="1"/>
  <c r="AK374" i="1"/>
  <c r="AK375" i="1"/>
  <c r="AK376" i="1"/>
  <c r="AK377" i="1"/>
  <c r="AK378" i="1"/>
  <c r="AK379" i="1"/>
  <c r="AK380" i="1"/>
  <c r="AK381" i="1"/>
  <c r="AK382" i="1"/>
  <c r="AK383" i="1"/>
  <c r="AK384" i="1"/>
  <c r="AK385" i="1"/>
  <c r="AK386" i="1"/>
  <c r="AK387" i="1"/>
  <c r="AK388" i="1"/>
  <c r="AK389" i="1"/>
  <c r="AK390" i="1"/>
  <c r="AK391" i="1"/>
  <c r="AK392" i="1"/>
  <c r="AK393" i="1"/>
  <c r="AK394" i="1"/>
  <c r="AK395" i="1"/>
  <c r="AK396" i="1"/>
  <c r="AK397" i="1"/>
  <c r="AK398" i="1"/>
  <c r="AK399" i="1"/>
  <c r="AK400" i="1"/>
  <c r="AK401" i="1"/>
  <c r="AK402" i="1"/>
  <c r="AK403" i="1"/>
  <c r="AK404" i="1"/>
  <c r="AK405" i="1"/>
  <c r="AK406" i="1"/>
  <c r="AK407" i="1"/>
  <c r="AK408" i="1"/>
  <c r="AK409" i="1"/>
  <c r="AK410" i="1"/>
  <c r="AK411" i="1"/>
  <c r="AK412" i="1"/>
  <c r="AK413" i="1"/>
  <c r="AK414" i="1"/>
  <c r="AK415" i="1"/>
  <c r="AK416" i="1"/>
  <c r="AK417" i="1"/>
  <c r="AK418" i="1"/>
  <c r="AK419" i="1"/>
  <c r="AK420" i="1"/>
  <c r="AK421" i="1"/>
  <c r="AK422" i="1"/>
  <c r="AK423" i="1"/>
  <c r="AK424" i="1"/>
  <c r="AK425" i="1"/>
  <c r="AK426" i="1"/>
  <c r="AK427" i="1"/>
  <c r="AK428" i="1"/>
  <c r="AK429" i="1"/>
  <c r="AK430" i="1"/>
  <c r="AK431" i="1"/>
  <c r="AK432" i="1"/>
  <c r="AK433" i="1"/>
  <c r="AK434" i="1"/>
  <c r="AK435" i="1"/>
  <c r="AK436" i="1"/>
  <c r="AK437" i="1"/>
  <c r="AK438" i="1"/>
  <c r="AK439" i="1"/>
  <c r="AK440" i="1"/>
  <c r="AK441" i="1"/>
  <c r="AK442" i="1"/>
  <c r="AK443" i="1"/>
  <c r="AK444" i="1"/>
  <c r="AK445" i="1"/>
  <c r="AK446" i="1"/>
  <c r="AK447" i="1"/>
  <c r="AK448" i="1"/>
  <c r="AK449" i="1"/>
  <c r="AK450" i="1"/>
  <c r="AK451" i="1"/>
  <c r="AK452" i="1"/>
  <c r="AK453" i="1"/>
  <c r="AK454" i="1"/>
  <c r="AK455" i="1"/>
  <c r="AK456" i="1"/>
  <c r="AK457" i="1"/>
  <c r="AK458" i="1"/>
  <c r="AK459" i="1"/>
  <c r="AK460" i="1"/>
  <c r="AK461" i="1"/>
  <c r="AK462" i="1"/>
  <c r="AK463" i="1"/>
  <c r="AK464" i="1"/>
  <c r="AK465" i="1"/>
  <c r="AK466" i="1"/>
  <c r="AK467" i="1"/>
  <c r="AK468" i="1"/>
  <c r="AK469" i="1"/>
  <c r="AK470" i="1"/>
  <c r="AK471" i="1"/>
  <c r="AK472" i="1"/>
  <c r="AK473" i="1"/>
  <c r="AK474" i="1"/>
  <c r="AK475" i="1"/>
  <c r="AK476" i="1"/>
  <c r="AK477" i="1"/>
  <c r="AK478" i="1"/>
  <c r="AK479" i="1"/>
  <c r="AK480" i="1"/>
  <c r="AK481" i="1"/>
  <c r="AK482" i="1"/>
  <c r="AK483" i="1"/>
  <c r="AK484" i="1"/>
  <c r="AK485" i="1"/>
  <c r="AK486" i="1"/>
  <c r="AK487" i="1"/>
  <c r="AK488" i="1"/>
  <c r="AK489" i="1"/>
  <c r="AK490" i="1"/>
  <c r="AK491" i="1"/>
  <c r="AK492" i="1"/>
  <c r="AK493" i="1"/>
  <c r="AK494" i="1"/>
  <c r="AK495" i="1"/>
  <c r="AK496" i="1"/>
  <c r="AK497" i="1"/>
  <c r="AK498" i="1"/>
  <c r="AK499" i="1"/>
  <c r="AK500" i="1"/>
  <c r="AK501" i="1"/>
  <c r="AK502" i="1"/>
  <c r="AK503" i="1"/>
  <c r="AK504" i="1"/>
  <c r="AK505" i="1"/>
  <c r="AK506" i="1"/>
  <c r="AK507" i="1"/>
  <c r="AK508" i="1"/>
  <c r="AK509" i="1"/>
  <c r="AK510" i="1"/>
  <c r="AK511" i="1"/>
  <c r="AK512" i="1"/>
  <c r="AK513" i="1"/>
  <c r="AK514" i="1"/>
  <c r="AK515" i="1"/>
  <c r="AK516" i="1"/>
  <c r="AK517" i="1"/>
  <c r="AK518" i="1"/>
  <c r="AK519" i="1"/>
  <c r="AK520" i="1"/>
  <c r="AK521" i="1"/>
  <c r="AK522" i="1"/>
  <c r="AK523" i="1"/>
  <c r="AK524" i="1"/>
  <c r="AK525" i="1"/>
  <c r="AK526" i="1"/>
  <c r="AK527" i="1"/>
  <c r="AK528" i="1"/>
  <c r="AK529" i="1"/>
  <c r="AK530" i="1"/>
  <c r="AK531" i="1"/>
  <c r="AK532" i="1"/>
  <c r="AK533" i="1"/>
  <c r="AK534" i="1"/>
  <c r="AK535" i="1"/>
  <c r="AK536" i="1"/>
  <c r="AK537" i="1"/>
  <c r="AK538" i="1"/>
  <c r="AK539" i="1"/>
  <c r="AK540" i="1"/>
  <c r="AK541" i="1"/>
  <c r="AK542" i="1"/>
  <c r="AK543" i="1"/>
  <c r="AK544" i="1"/>
  <c r="AK545" i="1"/>
  <c r="AK546" i="1"/>
  <c r="AK547" i="1"/>
  <c r="AK548" i="1"/>
  <c r="AK549" i="1"/>
  <c r="AK550" i="1"/>
  <c r="AK551" i="1"/>
  <c r="AK552" i="1"/>
  <c r="AK553" i="1"/>
  <c r="AK554" i="1"/>
  <c r="AK555" i="1"/>
  <c r="AK556" i="1"/>
  <c r="AK557" i="1"/>
  <c r="AK558" i="1"/>
  <c r="AK559" i="1"/>
  <c r="AK560" i="1"/>
  <c r="AK561" i="1"/>
  <c r="AK562" i="1"/>
  <c r="AK563" i="1"/>
  <c r="AK564" i="1"/>
  <c r="AK565" i="1"/>
  <c r="AK566" i="1"/>
  <c r="AK567" i="1"/>
  <c r="AK568" i="1"/>
  <c r="AK569" i="1"/>
  <c r="AK570" i="1"/>
  <c r="AK571" i="1"/>
  <c r="AK572" i="1"/>
  <c r="AK573" i="1"/>
  <c r="AK574" i="1"/>
  <c r="AK575" i="1"/>
  <c r="AK576" i="1"/>
  <c r="AK577" i="1"/>
  <c r="AK578" i="1"/>
  <c r="AK579" i="1"/>
  <c r="AK580" i="1"/>
  <c r="AK581" i="1"/>
  <c r="AK582" i="1"/>
  <c r="AK583" i="1"/>
  <c r="AK584" i="1"/>
  <c r="AK585" i="1"/>
  <c r="AK586" i="1"/>
  <c r="AK587" i="1"/>
  <c r="AK588" i="1"/>
  <c r="AK589" i="1"/>
  <c r="AK590" i="1"/>
  <c r="AK591" i="1"/>
  <c r="AK592" i="1"/>
  <c r="AK593" i="1"/>
  <c r="AK594" i="1"/>
  <c r="AK595" i="1"/>
  <c r="AK596" i="1"/>
  <c r="AK597" i="1"/>
  <c r="AK598" i="1"/>
  <c r="AK599" i="1"/>
  <c r="AK600" i="1"/>
  <c r="AK601" i="1"/>
  <c r="AK602" i="1"/>
  <c r="AK603" i="1"/>
  <c r="AK604" i="1"/>
  <c r="AK605" i="1"/>
  <c r="AK606" i="1"/>
  <c r="AK607" i="1"/>
  <c r="AK608" i="1"/>
  <c r="AK609" i="1"/>
  <c r="AK610" i="1"/>
  <c r="AK611" i="1"/>
  <c r="AK612" i="1"/>
  <c r="AK613" i="1"/>
  <c r="AK614" i="1"/>
  <c r="AK615" i="1"/>
  <c r="AK616" i="1"/>
  <c r="AK617" i="1"/>
  <c r="AK618" i="1"/>
  <c r="AK619" i="1"/>
  <c r="AK620" i="1"/>
  <c r="AK621" i="1"/>
  <c r="AK622" i="1"/>
  <c r="AK623" i="1"/>
  <c r="AK624" i="1"/>
  <c r="AK625" i="1"/>
  <c r="AK626" i="1"/>
  <c r="AK627" i="1"/>
  <c r="AK628" i="1"/>
  <c r="AK629" i="1"/>
  <c r="AK630" i="1"/>
  <c r="AK631" i="1"/>
  <c r="AK632" i="1"/>
  <c r="AK633" i="1"/>
  <c r="AK634" i="1"/>
  <c r="AK635" i="1"/>
  <c r="AK636" i="1"/>
  <c r="AK637" i="1"/>
  <c r="AK638" i="1"/>
  <c r="AK639" i="1"/>
  <c r="AK640" i="1"/>
  <c r="AK641" i="1"/>
  <c r="AK642" i="1"/>
  <c r="AK643" i="1"/>
  <c r="AK644" i="1"/>
  <c r="AK645" i="1"/>
  <c r="AK646" i="1"/>
  <c r="AK647" i="1"/>
  <c r="AK648" i="1"/>
  <c r="AK649" i="1"/>
  <c r="AK650" i="1"/>
  <c r="AK651" i="1"/>
  <c r="AK652" i="1"/>
  <c r="AK653" i="1"/>
  <c r="AK654" i="1"/>
  <c r="AK655" i="1"/>
  <c r="AK656" i="1"/>
  <c r="AK657" i="1"/>
  <c r="AK658" i="1"/>
  <c r="AK659" i="1"/>
  <c r="AK660" i="1"/>
  <c r="AK661" i="1"/>
  <c r="AK662" i="1"/>
  <c r="AK663" i="1"/>
  <c r="AK664" i="1"/>
  <c r="AK665" i="1"/>
  <c r="AK666" i="1"/>
  <c r="AK667" i="1"/>
  <c r="AK668" i="1"/>
  <c r="AK669" i="1"/>
  <c r="AK670" i="1"/>
  <c r="AK671" i="1"/>
  <c r="AK672" i="1"/>
  <c r="AK673" i="1"/>
  <c r="AK674" i="1"/>
  <c r="AK675" i="1"/>
  <c r="AK676" i="1"/>
  <c r="AK677" i="1"/>
  <c r="AK678" i="1"/>
  <c r="AK679" i="1"/>
  <c r="AK680" i="1"/>
  <c r="AK681" i="1"/>
  <c r="AK682" i="1"/>
  <c r="AK683" i="1"/>
  <c r="AK684" i="1"/>
  <c r="AK685" i="1"/>
  <c r="AK686" i="1"/>
  <c r="AK687" i="1"/>
  <c r="AK688" i="1"/>
  <c r="AK689" i="1"/>
  <c r="AK690" i="1"/>
  <c r="AK691" i="1"/>
  <c r="AK692" i="1"/>
  <c r="AK693" i="1"/>
  <c r="AK694" i="1"/>
  <c r="AK695" i="1"/>
  <c r="AK696" i="1"/>
  <c r="AK697" i="1"/>
  <c r="AK698" i="1"/>
  <c r="AK699" i="1"/>
  <c r="AK700" i="1"/>
  <c r="AK701" i="1"/>
  <c r="AK702" i="1"/>
  <c r="AK703" i="1"/>
  <c r="AK704" i="1"/>
  <c r="AK705" i="1"/>
  <c r="AK706" i="1"/>
  <c r="AK707" i="1"/>
  <c r="AK708" i="1"/>
  <c r="AK709" i="1"/>
  <c r="AK710" i="1"/>
  <c r="AK711" i="1"/>
  <c r="AK712" i="1"/>
  <c r="AK713" i="1"/>
  <c r="AK714" i="1"/>
  <c r="AK715" i="1"/>
  <c r="AK716" i="1"/>
  <c r="AK717" i="1"/>
  <c r="AK718" i="1"/>
  <c r="AK719" i="1"/>
  <c r="AK720" i="1"/>
  <c r="AK721" i="1"/>
  <c r="AK722" i="1"/>
  <c r="AK723" i="1"/>
  <c r="AK724" i="1"/>
  <c r="AK725" i="1"/>
  <c r="AK726" i="1"/>
  <c r="AK727" i="1"/>
  <c r="AK728" i="1"/>
  <c r="AK729" i="1"/>
  <c r="AK730" i="1"/>
  <c r="AK731" i="1"/>
  <c r="AK732" i="1"/>
  <c r="AK733" i="1"/>
  <c r="AK734" i="1"/>
  <c r="AK735" i="1"/>
  <c r="AK736" i="1"/>
  <c r="AK737" i="1"/>
  <c r="AK738" i="1"/>
  <c r="AK739" i="1"/>
  <c r="AK740" i="1"/>
  <c r="AK741" i="1"/>
  <c r="AK742" i="1"/>
  <c r="AK743" i="1"/>
  <c r="AK744" i="1"/>
  <c r="AK745" i="1"/>
  <c r="AK746" i="1"/>
  <c r="AK747" i="1"/>
  <c r="AK748" i="1"/>
  <c r="AK749" i="1"/>
  <c r="AK750" i="1"/>
  <c r="AK751" i="1"/>
  <c r="AK752" i="1"/>
  <c r="AK753" i="1"/>
  <c r="AK754" i="1"/>
  <c r="AK755" i="1"/>
  <c r="AK756" i="1"/>
  <c r="AK757" i="1"/>
  <c r="AK758" i="1"/>
  <c r="AK759" i="1"/>
  <c r="AK760" i="1"/>
  <c r="AK761" i="1"/>
  <c r="AK762" i="1"/>
  <c r="AK763" i="1"/>
  <c r="AK764" i="1"/>
  <c r="AK765" i="1"/>
  <c r="AK766" i="1"/>
  <c r="AK767" i="1"/>
  <c r="AK768" i="1"/>
  <c r="AK769" i="1"/>
  <c r="AK770" i="1"/>
  <c r="AK771" i="1"/>
  <c r="AK772" i="1"/>
  <c r="AK773" i="1"/>
  <c r="AK774" i="1"/>
  <c r="AK775" i="1"/>
  <c r="AK776" i="1"/>
  <c r="AK777" i="1"/>
  <c r="AK778" i="1"/>
  <c r="AK779" i="1"/>
  <c r="AK780" i="1"/>
  <c r="AK781" i="1"/>
  <c r="AK782" i="1"/>
  <c r="AK783" i="1"/>
  <c r="AK784" i="1"/>
  <c r="AK785" i="1"/>
  <c r="AK786" i="1"/>
  <c r="AK787" i="1"/>
  <c r="AK788" i="1"/>
  <c r="AK789" i="1"/>
  <c r="AK790" i="1"/>
  <c r="AK791" i="1"/>
  <c r="AK792" i="1"/>
  <c r="AK793" i="1"/>
  <c r="AK794" i="1"/>
  <c r="AK795" i="1"/>
  <c r="AK796" i="1"/>
  <c r="AK797" i="1"/>
  <c r="AK798" i="1"/>
  <c r="AK799" i="1"/>
  <c r="AK800" i="1"/>
  <c r="AK801" i="1"/>
  <c r="AK802" i="1"/>
  <c r="AK803" i="1"/>
  <c r="AK804" i="1"/>
  <c r="AK805" i="1"/>
  <c r="AK806" i="1"/>
  <c r="AK807" i="1"/>
  <c r="AK808" i="1"/>
  <c r="AK809" i="1"/>
  <c r="AK810" i="1"/>
  <c r="AK811" i="1"/>
  <c r="AK812" i="1"/>
  <c r="AK813" i="1"/>
  <c r="AK814" i="1"/>
  <c r="AK815" i="1"/>
  <c r="AK816" i="1"/>
  <c r="AK817" i="1"/>
  <c r="AK818" i="1"/>
  <c r="AK819" i="1"/>
  <c r="AK820" i="1"/>
  <c r="AK821" i="1"/>
  <c r="AK822" i="1"/>
  <c r="AK823" i="1"/>
  <c r="AK824" i="1"/>
  <c r="AK825" i="1"/>
  <c r="AK826" i="1"/>
  <c r="AK827" i="1"/>
  <c r="AK828" i="1"/>
  <c r="AK829" i="1"/>
  <c r="AK830" i="1"/>
  <c r="AK831" i="1"/>
  <c r="AK832" i="1"/>
  <c r="AK833" i="1"/>
  <c r="AK834" i="1"/>
  <c r="AK835" i="1"/>
  <c r="AK836" i="1"/>
  <c r="AK837" i="1"/>
  <c r="AK838" i="1"/>
  <c r="AK839" i="1"/>
  <c r="AK840" i="1"/>
  <c r="AK841" i="1"/>
  <c r="AK842" i="1"/>
  <c r="AK843" i="1"/>
  <c r="AK844" i="1"/>
  <c r="AK845" i="1"/>
  <c r="AK846" i="1"/>
  <c r="AK847" i="1"/>
  <c r="AK848" i="1"/>
  <c r="AK849" i="1"/>
  <c r="AK850" i="1"/>
  <c r="AK851" i="1"/>
  <c r="AK852" i="1"/>
  <c r="AK853" i="1"/>
  <c r="AK854" i="1"/>
  <c r="AK855" i="1"/>
  <c r="AK856" i="1"/>
  <c r="AK857" i="1"/>
  <c r="AK858" i="1"/>
  <c r="AK859" i="1"/>
  <c r="AK860" i="1"/>
  <c r="AK861" i="1"/>
  <c r="AK862" i="1"/>
  <c r="AK863" i="1"/>
  <c r="AK864" i="1"/>
  <c r="AK865" i="1"/>
  <c r="AK866" i="1"/>
  <c r="AK867" i="1"/>
  <c r="AK868" i="1"/>
  <c r="AK869" i="1"/>
  <c r="AK870" i="1"/>
  <c r="AK871" i="1"/>
  <c r="AK872" i="1"/>
  <c r="AK873" i="1"/>
  <c r="AK874" i="1"/>
  <c r="AK875" i="1"/>
  <c r="AK876" i="1"/>
  <c r="AK877" i="1"/>
  <c r="AK878" i="1"/>
  <c r="AK879" i="1"/>
  <c r="AK880" i="1"/>
  <c r="AK881" i="1"/>
  <c r="AK882" i="1"/>
  <c r="AK883" i="1"/>
  <c r="AK884" i="1"/>
  <c r="AK885" i="1"/>
  <c r="AK886" i="1"/>
  <c r="AK887" i="1"/>
  <c r="AK888" i="1"/>
  <c r="AK889" i="1"/>
  <c r="AK890" i="1"/>
  <c r="AK891" i="1"/>
  <c r="AK892" i="1"/>
  <c r="AK893" i="1"/>
  <c r="AK894" i="1"/>
  <c r="AK895" i="1"/>
  <c r="AK896" i="1"/>
  <c r="AK897" i="1"/>
  <c r="AK898" i="1"/>
  <c r="AK899" i="1"/>
  <c r="AK900" i="1"/>
  <c r="AK901" i="1"/>
  <c r="AK902" i="1"/>
  <c r="AK903" i="1"/>
  <c r="AK904" i="1"/>
  <c r="AK905" i="1"/>
  <c r="AK906" i="1"/>
  <c r="AK907" i="1"/>
  <c r="AK908" i="1"/>
  <c r="AK909" i="1"/>
  <c r="AK910" i="1"/>
  <c r="AK911" i="1"/>
  <c r="AK912" i="1"/>
  <c r="AK913" i="1"/>
  <c r="AK914" i="1"/>
  <c r="AK915" i="1"/>
  <c r="AK916" i="1"/>
  <c r="AK917" i="1"/>
  <c r="AK918" i="1"/>
  <c r="AK919" i="1"/>
  <c r="AK920" i="1"/>
  <c r="AK921" i="1"/>
  <c r="AK922" i="1"/>
  <c r="AK923" i="1"/>
  <c r="AK924" i="1"/>
  <c r="AK925" i="1"/>
  <c r="AK926" i="1"/>
  <c r="AK927" i="1"/>
  <c r="AK928" i="1"/>
  <c r="AK929" i="1"/>
  <c r="AK930" i="1"/>
  <c r="AK931" i="1"/>
  <c r="AK932" i="1"/>
  <c r="AK933" i="1"/>
  <c r="AK934" i="1"/>
  <c r="AK935" i="1"/>
  <c r="AK936" i="1"/>
  <c r="AK937" i="1"/>
  <c r="AK938" i="1"/>
  <c r="AK939" i="1"/>
  <c r="AK940" i="1"/>
  <c r="AK941" i="1"/>
  <c r="AK942" i="1"/>
  <c r="AK943" i="1"/>
  <c r="AK944" i="1"/>
  <c r="AK945" i="1"/>
  <c r="AK946" i="1"/>
  <c r="AK947" i="1"/>
  <c r="AK948" i="1"/>
  <c r="AK949" i="1"/>
  <c r="AK950" i="1"/>
  <c r="AK951" i="1"/>
  <c r="AK952" i="1"/>
  <c r="AK953" i="1"/>
  <c r="AK954" i="1"/>
  <c r="AK955" i="1"/>
  <c r="AK956" i="1"/>
  <c r="AK957" i="1"/>
  <c r="AK958" i="1"/>
  <c r="AK959" i="1"/>
  <c r="AK960" i="1"/>
  <c r="AK961" i="1"/>
  <c r="AK962" i="1"/>
  <c r="AK963" i="1"/>
  <c r="AK964" i="1"/>
  <c r="AK965" i="1"/>
  <c r="AK966" i="1"/>
  <c r="AK967" i="1"/>
  <c r="AK968" i="1"/>
  <c r="AK969" i="1"/>
  <c r="AK970" i="1"/>
  <c r="AK971" i="1"/>
  <c r="AK972" i="1"/>
  <c r="AK973" i="1"/>
  <c r="AK974" i="1"/>
  <c r="AK975" i="1"/>
  <c r="AK976" i="1"/>
  <c r="AK977" i="1"/>
  <c r="AK978" i="1"/>
  <c r="AK979" i="1"/>
  <c r="AK980" i="1"/>
  <c r="AK981" i="1"/>
  <c r="AK982" i="1"/>
  <c r="AK983" i="1"/>
  <c r="AK984" i="1"/>
  <c r="AK985" i="1"/>
  <c r="AK986" i="1"/>
  <c r="AK987" i="1"/>
  <c r="AK988" i="1"/>
  <c r="AK989" i="1"/>
  <c r="AK990" i="1"/>
  <c r="AK991" i="1"/>
  <c r="AK992" i="1"/>
  <c r="AK993" i="1"/>
  <c r="AK994" i="1"/>
  <c r="AK995" i="1"/>
  <c r="AK996" i="1"/>
  <c r="AK997" i="1"/>
  <c r="AK998" i="1"/>
  <c r="AK999" i="1"/>
  <c r="AK1000" i="1"/>
  <c r="AK1001" i="1"/>
  <c r="AK1002" i="1"/>
  <c r="AK1003" i="1"/>
  <c r="AK1004" i="1"/>
  <c r="AK1005" i="1"/>
  <c r="AK1006" i="1"/>
  <c r="AK1007" i="1"/>
  <c r="AK1008" i="1"/>
  <c r="AK1009" i="1"/>
  <c r="AK1010" i="1"/>
  <c r="AK1011" i="1"/>
  <c r="AK1012" i="1"/>
  <c r="AK1013" i="1"/>
  <c r="AK1014" i="1"/>
  <c r="AK1015" i="1"/>
  <c r="AK1016" i="1"/>
  <c r="AK1017" i="1"/>
  <c r="AK1018" i="1"/>
  <c r="AK1019" i="1"/>
  <c r="AK1020" i="1"/>
  <c r="AK1021" i="1"/>
  <c r="AK1022" i="1"/>
  <c r="AK1023" i="1"/>
  <c r="AK1024" i="1"/>
  <c r="AK1025" i="1"/>
  <c r="AK1026" i="1"/>
  <c r="AK1027" i="1"/>
  <c r="AK1028" i="1"/>
  <c r="AK1029" i="1"/>
  <c r="AK1030" i="1"/>
  <c r="AK1031" i="1"/>
  <c r="AK1032" i="1"/>
  <c r="AK1033" i="1"/>
  <c r="AK1034" i="1"/>
  <c r="AK1035" i="1"/>
  <c r="AK1036" i="1"/>
  <c r="AK1037" i="1"/>
  <c r="AK1038" i="1"/>
  <c r="AK1039" i="1"/>
  <c r="AK1040" i="1"/>
  <c r="AK1041" i="1"/>
  <c r="AK1042" i="1"/>
  <c r="AK1043" i="1"/>
  <c r="AK1044" i="1"/>
  <c r="AK1045" i="1"/>
  <c r="AK1046" i="1"/>
  <c r="AK1047" i="1"/>
  <c r="AK1048" i="1"/>
  <c r="AK1049" i="1"/>
  <c r="AK1050" i="1"/>
  <c r="AK1051" i="1"/>
  <c r="AK1052" i="1"/>
  <c r="AK1053" i="1"/>
  <c r="AK1054" i="1"/>
  <c r="AK1055" i="1"/>
  <c r="AK1056" i="1"/>
  <c r="AK1057" i="1"/>
  <c r="AK1058" i="1"/>
  <c r="AK1059" i="1"/>
  <c r="AK1060" i="1"/>
  <c r="AK1061" i="1"/>
  <c r="AK1062" i="1"/>
  <c r="AK1063" i="1"/>
  <c r="AK1064" i="1"/>
  <c r="AK1065" i="1"/>
  <c r="AK1066" i="1"/>
  <c r="AK1067" i="1"/>
  <c r="AK1068" i="1"/>
  <c r="AK1069" i="1"/>
  <c r="AK1070" i="1"/>
  <c r="AK1071" i="1"/>
  <c r="AK1072" i="1"/>
  <c r="AK1073" i="1"/>
  <c r="AK1074" i="1"/>
  <c r="AK1075" i="1"/>
  <c r="AK1076" i="1"/>
  <c r="AK1077" i="1"/>
  <c r="AK1078" i="1"/>
  <c r="AK1079" i="1"/>
  <c r="AK1080" i="1"/>
  <c r="AK1081" i="1"/>
  <c r="AK1082" i="1"/>
  <c r="AK1083" i="1"/>
  <c r="AK1084" i="1"/>
  <c r="AK1085" i="1"/>
  <c r="AK1086" i="1"/>
  <c r="AK1087" i="1"/>
  <c r="AK1088" i="1"/>
  <c r="AK1089" i="1"/>
  <c r="AK1090" i="1"/>
  <c r="AK1091" i="1"/>
  <c r="AK1092" i="1"/>
  <c r="AK1093" i="1"/>
  <c r="AK1094" i="1"/>
  <c r="AK1095" i="1"/>
  <c r="AK1096" i="1"/>
  <c r="AK1097" i="1"/>
  <c r="AK1098" i="1"/>
  <c r="AK1099" i="1"/>
  <c r="AK1100" i="1"/>
  <c r="AK1101"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43" i="1"/>
  <c r="AI44" i="1"/>
  <c r="AI45" i="1"/>
  <c r="AI46" i="1"/>
  <c r="AI47" i="1"/>
  <c r="AI48" i="1"/>
  <c r="AI49" i="1"/>
  <c r="AI50" i="1"/>
  <c r="AI51" i="1"/>
  <c r="AI52" i="1"/>
  <c r="AI53" i="1"/>
  <c r="AI54" i="1"/>
  <c r="AI55" i="1"/>
  <c r="AI56" i="1"/>
  <c r="AI57" i="1"/>
  <c r="AI58" i="1"/>
  <c r="AI59" i="1"/>
  <c r="AI60" i="1"/>
  <c r="AI61" i="1"/>
  <c r="AI62" i="1"/>
  <c r="AI63" i="1"/>
  <c r="AI64" i="1"/>
  <c r="AI65" i="1"/>
  <c r="AI66" i="1"/>
  <c r="AI67" i="1"/>
  <c r="AI68" i="1"/>
  <c r="AI69" i="1"/>
  <c r="AI70" i="1"/>
  <c r="AI71" i="1"/>
  <c r="AI72" i="1"/>
  <c r="AI73" i="1"/>
  <c r="AI74" i="1"/>
  <c r="AI75" i="1"/>
  <c r="AI76" i="1"/>
  <c r="AI77" i="1"/>
  <c r="AI78" i="1"/>
  <c r="AI79" i="1"/>
  <c r="AI80" i="1"/>
  <c r="AI81" i="1"/>
  <c r="AI82" i="1"/>
  <c r="AI83" i="1"/>
  <c r="AI84" i="1"/>
  <c r="AI85" i="1"/>
  <c r="AI86" i="1"/>
  <c r="AI87" i="1"/>
  <c r="AI88" i="1"/>
  <c r="AI89" i="1"/>
  <c r="AI90" i="1"/>
  <c r="AI91" i="1"/>
  <c r="AI92" i="1"/>
  <c r="AI93" i="1"/>
  <c r="AI94" i="1"/>
  <c r="AI95" i="1"/>
  <c r="AI96" i="1"/>
  <c r="AI97" i="1"/>
  <c r="AI98" i="1"/>
  <c r="AI99" i="1"/>
  <c r="AI100" i="1"/>
  <c r="AI101" i="1"/>
  <c r="AI102" i="1"/>
  <c r="AI103" i="1"/>
  <c r="AI104" i="1"/>
  <c r="AI105" i="1"/>
  <c r="AI106" i="1"/>
  <c r="AI107" i="1"/>
  <c r="AI108" i="1"/>
  <c r="AI109" i="1"/>
  <c r="AI110" i="1"/>
  <c r="AI111" i="1"/>
  <c r="AI112" i="1"/>
  <c r="AI113" i="1"/>
  <c r="AI114" i="1"/>
  <c r="AI115" i="1"/>
  <c r="AI116" i="1"/>
  <c r="AI117" i="1"/>
  <c r="AI118" i="1"/>
  <c r="AI119" i="1"/>
  <c r="AI120" i="1"/>
  <c r="AI121" i="1"/>
  <c r="AI122" i="1"/>
  <c r="AI123" i="1"/>
  <c r="AI124" i="1"/>
  <c r="AI125" i="1"/>
  <c r="AI126" i="1"/>
  <c r="AI127" i="1"/>
  <c r="AI128" i="1"/>
  <c r="AI129" i="1"/>
  <c r="AI130" i="1"/>
  <c r="AI131" i="1"/>
  <c r="AI132" i="1"/>
  <c r="AI133" i="1"/>
  <c r="AI134" i="1"/>
  <c r="AI135" i="1"/>
  <c r="AI136" i="1"/>
  <c r="AI137" i="1"/>
  <c r="AI138" i="1"/>
  <c r="AI139" i="1"/>
  <c r="AI140" i="1"/>
  <c r="AI141" i="1"/>
  <c r="AI142" i="1"/>
  <c r="AI143" i="1"/>
  <c r="AI144" i="1"/>
  <c r="AI145" i="1"/>
  <c r="AI146" i="1"/>
  <c r="AI147" i="1"/>
  <c r="AI148" i="1"/>
  <c r="AI149" i="1"/>
  <c r="AI150" i="1"/>
  <c r="AI151" i="1"/>
  <c r="AI152" i="1"/>
  <c r="AI153" i="1"/>
  <c r="AI154" i="1"/>
  <c r="AI155" i="1"/>
  <c r="AI156" i="1"/>
  <c r="AI157" i="1"/>
  <c r="AI158" i="1"/>
  <c r="AI159" i="1"/>
  <c r="AI160" i="1"/>
  <c r="AI161" i="1"/>
  <c r="AI162" i="1"/>
  <c r="AI163" i="1"/>
  <c r="AI164" i="1"/>
  <c r="AI165" i="1"/>
  <c r="AI166" i="1"/>
  <c r="AI167" i="1"/>
  <c r="AI168" i="1"/>
  <c r="AI169" i="1"/>
  <c r="AI170" i="1"/>
  <c r="AI171" i="1"/>
  <c r="AI172" i="1"/>
  <c r="AI173" i="1"/>
  <c r="AI174" i="1"/>
  <c r="AI175" i="1"/>
  <c r="AI176" i="1"/>
  <c r="AI177" i="1"/>
  <c r="AI178" i="1"/>
  <c r="AI179" i="1"/>
  <c r="AI180" i="1"/>
  <c r="AI181" i="1"/>
  <c r="AI182" i="1"/>
  <c r="AI183" i="1"/>
  <c r="AI184" i="1"/>
  <c r="AI185" i="1"/>
  <c r="AI186" i="1"/>
  <c r="AI187" i="1"/>
  <c r="AI188" i="1"/>
  <c r="AI189" i="1"/>
  <c r="AI190" i="1"/>
  <c r="AI191" i="1"/>
  <c r="AI192" i="1"/>
  <c r="AI193" i="1"/>
  <c r="AI194" i="1"/>
  <c r="AI195" i="1"/>
  <c r="AI196" i="1"/>
  <c r="AI197" i="1"/>
  <c r="AI198" i="1"/>
  <c r="AI199" i="1"/>
  <c r="AI200" i="1"/>
  <c r="AI201" i="1"/>
  <c r="AI202" i="1"/>
  <c r="AI203" i="1"/>
  <c r="AI204" i="1"/>
  <c r="AI205" i="1"/>
  <c r="AI206" i="1"/>
  <c r="AI207" i="1"/>
  <c r="AI208" i="1"/>
  <c r="AI209" i="1"/>
  <c r="AI210" i="1"/>
  <c r="AI211" i="1"/>
  <c r="AI212" i="1"/>
  <c r="AI213" i="1"/>
  <c r="AI214" i="1"/>
  <c r="AI215" i="1"/>
  <c r="AI216" i="1"/>
  <c r="AI217" i="1"/>
  <c r="AI218" i="1"/>
  <c r="AI219" i="1"/>
  <c r="AI220" i="1"/>
  <c r="AI221" i="1"/>
  <c r="AI222" i="1"/>
  <c r="AI223" i="1"/>
  <c r="AI224" i="1"/>
  <c r="AI225" i="1"/>
  <c r="AI226" i="1"/>
  <c r="AI227" i="1"/>
  <c r="AI228" i="1"/>
  <c r="AI229" i="1"/>
  <c r="AI230" i="1"/>
  <c r="AI231" i="1"/>
  <c r="AI232" i="1"/>
  <c r="AI233" i="1"/>
  <c r="AI234" i="1"/>
  <c r="AI235" i="1"/>
  <c r="AI236" i="1"/>
  <c r="AI237" i="1"/>
  <c r="AI238" i="1"/>
  <c r="AI239" i="1"/>
  <c r="AI240" i="1"/>
  <c r="AI241" i="1"/>
  <c r="AI242" i="1"/>
  <c r="AI243" i="1"/>
  <c r="AI244" i="1"/>
  <c r="AI245" i="1"/>
  <c r="AI246" i="1"/>
  <c r="AI247" i="1"/>
  <c r="AI248" i="1"/>
  <c r="AI249" i="1"/>
  <c r="AI250" i="1"/>
  <c r="AI251" i="1"/>
  <c r="AI252" i="1"/>
  <c r="AI253" i="1"/>
  <c r="AI254" i="1"/>
  <c r="AI255" i="1"/>
  <c r="AI256" i="1"/>
  <c r="AI257" i="1"/>
  <c r="AI258" i="1"/>
  <c r="AI259" i="1"/>
  <c r="AI260" i="1"/>
  <c r="AI261" i="1"/>
  <c r="AI262" i="1"/>
  <c r="AI263" i="1"/>
  <c r="AI264" i="1"/>
  <c r="AI265" i="1"/>
  <c r="AI266" i="1"/>
  <c r="AI267" i="1"/>
  <c r="AI268" i="1"/>
  <c r="AI269" i="1"/>
  <c r="AI270" i="1"/>
  <c r="AI271" i="1"/>
  <c r="AI272" i="1"/>
  <c r="AI273" i="1"/>
  <c r="AI274" i="1"/>
  <c r="AI275" i="1"/>
  <c r="AI276" i="1"/>
  <c r="AI277" i="1"/>
  <c r="AI278" i="1"/>
  <c r="AI279" i="1"/>
  <c r="AI280" i="1"/>
  <c r="AI281" i="1"/>
  <c r="AI282" i="1"/>
  <c r="AI283" i="1"/>
  <c r="AI284" i="1"/>
  <c r="AI285" i="1"/>
  <c r="AI286" i="1"/>
  <c r="AI287" i="1"/>
  <c r="AI288" i="1"/>
  <c r="AI289" i="1"/>
  <c r="AI290" i="1"/>
  <c r="AI291" i="1"/>
  <c r="AI292" i="1"/>
  <c r="AI293" i="1"/>
  <c r="AI294" i="1"/>
  <c r="AI295" i="1"/>
  <c r="AI296" i="1"/>
  <c r="AI297" i="1"/>
  <c r="AI298" i="1"/>
  <c r="AI299" i="1"/>
  <c r="AI300" i="1"/>
  <c r="AI301" i="1"/>
  <c r="AI302" i="1"/>
  <c r="AI303" i="1"/>
  <c r="AI304" i="1"/>
  <c r="AI305" i="1"/>
  <c r="AI306" i="1"/>
  <c r="AI307" i="1"/>
  <c r="AI308" i="1"/>
  <c r="AI309" i="1"/>
  <c r="AI310" i="1"/>
  <c r="AI311" i="1"/>
  <c r="AI312" i="1"/>
  <c r="AI313" i="1"/>
  <c r="AI314" i="1"/>
  <c r="AI315" i="1"/>
  <c r="AI316" i="1"/>
  <c r="AI317" i="1"/>
  <c r="AI318" i="1"/>
  <c r="AI319" i="1"/>
  <c r="AI320" i="1"/>
  <c r="AI321" i="1"/>
  <c r="AI322" i="1"/>
  <c r="AI323" i="1"/>
  <c r="AI324" i="1"/>
  <c r="AI325" i="1"/>
  <c r="AI326" i="1"/>
  <c r="AI327" i="1"/>
  <c r="AI328" i="1"/>
  <c r="AI329" i="1"/>
  <c r="AI330" i="1"/>
  <c r="AI331" i="1"/>
  <c r="AI332" i="1"/>
  <c r="AI333" i="1"/>
  <c r="AI334" i="1"/>
  <c r="AI335" i="1"/>
  <c r="AI336" i="1"/>
  <c r="AI337" i="1"/>
  <c r="AI338" i="1"/>
  <c r="AI339" i="1"/>
  <c r="AI340" i="1"/>
  <c r="AI341" i="1"/>
  <c r="AI342" i="1"/>
  <c r="AI343" i="1"/>
  <c r="AI344" i="1"/>
  <c r="AI345" i="1"/>
  <c r="AI346" i="1"/>
  <c r="AI347" i="1"/>
  <c r="AI348" i="1"/>
  <c r="AI349" i="1"/>
  <c r="AI350" i="1"/>
  <c r="AI351" i="1"/>
  <c r="AI352" i="1"/>
  <c r="AI353" i="1"/>
  <c r="AI354" i="1"/>
  <c r="AI355" i="1"/>
  <c r="AI356" i="1"/>
  <c r="AI357" i="1"/>
  <c r="AI358" i="1"/>
  <c r="AI359" i="1"/>
  <c r="AI360" i="1"/>
  <c r="AI361" i="1"/>
  <c r="AI362" i="1"/>
  <c r="AI363" i="1"/>
  <c r="AI364" i="1"/>
  <c r="AI365" i="1"/>
  <c r="AI366" i="1"/>
  <c r="AI367" i="1"/>
  <c r="AI368" i="1"/>
  <c r="AI369" i="1"/>
  <c r="AI370" i="1"/>
  <c r="AI371" i="1"/>
  <c r="AI372" i="1"/>
  <c r="AI373" i="1"/>
  <c r="AI374" i="1"/>
  <c r="AI375" i="1"/>
  <c r="AI376" i="1"/>
  <c r="AI377" i="1"/>
  <c r="AI378" i="1"/>
  <c r="AI379" i="1"/>
  <c r="AI380" i="1"/>
  <c r="AI381" i="1"/>
  <c r="AI382" i="1"/>
  <c r="AI383" i="1"/>
  <c r="AI384" i="1"/>
  <c r="AI385" i="1"/>
  <c r="AI386" i="1"/>
  <c r="AI387" i="1"/>
  <c r="AI388" i="1"/>
  <c r="AI389" i="1"/>
  <c r="AI390" i="1"/>
  <c r="AI391" i="1"/>
  <c r="AI392" i="1"/>
  <c r="AI393" i="1"/>
  <c r="AI394" i="1"/>
  <c r="AI395" i="1"/>
  <c r="AI396" i="1"/>
  <c r="AI397" i="1"/>
  <c r="AI398" i="1"/>
  <c r="AI399" i="1"/>
  <c r="AI400" i="1"/>
  <c r="AI401" i="1"/>
  <c r="AI402" i="1"/>
  <c r="AI403" i="1"/>
  <c r="AI404" i="1"/>
  <c r="AI405" i="1"/>
  <c r="AI406" i="1"/>
  <c r="AI407" i="1"/>
  <c r="AI408" i="1"/>
  <c r="AI409" i="1"/>
  <c r="AI410" i="1"/>
  <c r="AI411" i="1"/>
  <c r="AI412" i="1"/>
  <c r="AI413" i="1"/>
  <c r="AI414" i="1"/>
  <c r="AI415" i="1"/>
  <c r="AI416" i="1"/>
  <c r="AI417" i="1"/>
  <c r="AI418" i="1"/>
  <c r="AI419" i="1"/>
  <c r="AI420" i="1"/>
  <c r="AI421" i="1"/>
  <c r="AI422" i="1"/>
  <c r="AI423" i="1"/>
  <c r="AI424" i="1"/>
  <c r="AI425" i="1"/>
  <c r="AI426" i="1"/>
  <c r="AI427" i="1"/>
  <c r="AI428" i="1"/>
  <c r="AI429" i="1"/>
  <c r="AI430" i="1"/>
  <c r="AI431" i="1"/>
  <c r="AI432" i="1"/>
  <c r="AI433" i="1"/>
  <c r="AI434" i="1"/>
  <c r="AI435" i="1"/>
  <c r="AI436" i="1"/>
  <c r="AI437" i="1"/>
  <c r="AI438" i="1"/>
  <c r="AI439" i="1"/>
  <c r="AI440" i="1"/>
  <c r="AI441" i="1"/>
  <c r="AI442" i="1"/>
  <c r="AI443" i="1"/>
  <c r="AI444" i="1"/>
  <c r="AI445" i="1"/>
  <c r="AI446" i="1"/>
  <c r="AI447" i="1"/>
  <c r="AI448" i="1"/>
  <c r="AI449" i="1"/>
  <c r="AI450" i="1"/>
  <c r="AI451" i="1"/>
  <c r="AI452" i="1"/>
  <c r="AI453" i="1"/>
  <c r="AI454" i="1"/>
  <c r="AI455" i="1"/>
  <c r="AI456" i="1"/>
  <c r="AI457" i="1"/>
  <c r="AI458" i="1"/>
  <c r="AI459" i="1"/>
  <c r="AI460" i="1"/>
  <c r="AI461" i="1"/>
  <c r="AI462" i="1"/>
  <c r="AI463" i="1"/>
  <c r="AI464" i="1"/>
  <c r="AI465" i="1"/>
  <c r="AI466" i="1"/>
  <c r="AI467" i="1"/>
  <c r="AI468" i="1"/>
  <c r="AI469" i="1"/>
  <c r="AI470" i="1"/>
  <c r="AI471" i="1"/>
  <c r="AI472" i="1"/>
  <c r="AI473" i="1"/>
  <c r="AI474" i="1"/>
  <c r="AI475" i="1"/>
  <c r="AI476" i="1"/>
  <c r="AI477" i="1"/>
  <c r="AI478" i="1"/>
  <c r="AI479" i="1"/>
  <c r="AI480" i="1"/>
  <c r="AI481" i="1"/>
  <c r="AI482" i="1"/>
  <c r="AI483" i="1"/>
  <c r="AI484" i="1"/>
  <c r="AI485" i="1"/>
  <c r="AI486" i="1"/>
  <c r="AI487" i="1"/>
  <c r="AI488" i="1"/>
  <c r="AI489" i="1"/>
  <c r="AI490" i="1"/>
  <c r="AI491" i="1"/>
  <c r="AI492" i="1"/>
  <c r="AI493" i="1"/>
  <c r="AI494" i="1"/>
  <c r="AI495" i="1"/>
  <c r="AI496" i="1"/>
  <c r="AI497" i="1"/>
  <c r="AI498" i="1"/>
  <c r="AI499" i="1"/>
  <c r="AI500" i="1"/>
  <c r="AI501" i="1"/>
  <c r="AI502" i="1"/>
  <c r="AI503" i="1"/>
  <c r="AI504" i="1"/>
  <c r="AI505" i="1"/>
  <c r="AI506" i="1"/>
  <c r="AI507" i="1"/>
  <c r="AI508" i="1"/>
  <c r="AI509" i="1"/>
  <c r="AI510" i="1"/>
  <c r="AI511" i="1"/>
  <c r="AI512" i="1"/>
  <c r="AI513" i="1"/>
  <c r="AI514" i="1"/>
  <c r="AI515" i="1"/>
  <c r="AI516" i="1"/>
  <c r="AI517" i="1"/>
  <c r="AI518" i="1"/>
  <c r="AI519" i="1"/>
  <c r="AI520" i="1"/>
  <c r="AI521" i="1"/>
  <c r="AI522" i="1"/>
  <c r="AI523" i="1"/>
  <c r="AI524" i="1"/>
  <c r="AI525" i="1"/>
  <c r="AI526" i="1"/>
  <c r="AI527" i="1"/>
  <c r="AI528" i="1"/>
  <c r="AI529" i="1"/>
  <c r="AI530" i="1"/>
  <c r="AI531" i="1"/>
  <c r="AI532" i="1"/>
  <c r="AI533" i="1"/>
  <c r="AI534" i="1"/>
  <c r="AI535" i="1"/>
  <c r="AI536" i="1"/>
  <c r="AI537" i="1"/>
  <c r="AI538" i="1"/>
  <c r="AI539" i="1"/>
  <c r="AI540" i="1"/>
  <c r="AI541" i="1"/>
  <c r="AI542" i="1"/>
  <c r="AI543" i="1"/>
  <c r="AI544" i="1"/>
  <c r="AI545" i="1"/>
  <c r="AI546" i="1"/>
  <c r="AI547" i="1"/>
  <c r="AI548" i="1"/>
  <c r="AI549" i="1"/>
  <c r="AI550" i="1"/>
  <c r="AI551" i="1"/>
  <c r="AI552" i="1"/>
  <c r="AI553" i="1"/>
  <c r="AI554" i="1"/>
  <c r="AI555" i="1"/>
  <c r="AI556" i="1"/>
  <c r="AI557" i="1"/>
  <c r="AI558" i="1"/>
  <c r="AI559" i="1"/>
  <c r="AI560" i="1"/>
  <c r="AI561" i="1"/>
  <c r="AI562" i="1"/>
  <c r="AI563" i="1"/>
  <c r="AI564" i="1"/>
  <c r="AI565" i="1"/>
  <c r="AI566" i="1"/>
  <c r="AI567" i="1"/>
  <c r="AI568" i="1"/>
  <c r="AI569" i="1"/>
  <c r="AI570" i="1"/>
  <c r="AI571" i="1"/>
  <c r="AI572" i="1"/>
  <c r="AI573" i="1"/>
  <c r="AI574" i="1"/>
  <c r="AI575" i="1"/>
  <c r="AI576" i="1"/>
  <c r="AI577" i="1"/>
  <c r="AI578" i="1"/>
  <c r="AI579" i="1"/>
  <c r="AI580" i="1"/>
  <c r="AI581" i="1"/>
  <c r="AI582" i="1"/>
  <c r="AI583" i="1"/>
  <c r="AI584" i="1"/>
  <c r="AI585" i="1"/>
  <c r="AI586" i="1"/>
  <c r="AI587" i="1"/>
  <c r="AI588" i="1"/>
  <c r="AI589" i="1"/>
  <c r="AI590" i="1"/>
  <c r="AI591" i="1"/>
  <c r="AI592" i="1"/>
  <c r="AI593" i="1"/>
  <c r="AI594" i="1"/>
  <c r="AI595" i="1"/>
  <c r="AI596" i="1"/>
  <c r="AI597" i="1"/>
  <c r="AI598" i="1"/>
  <c r="AI599" i="1"/>
  <c r="AI600" i="1"/>
  <c r="AI601" i="1"/>
  <c r="AI602" i="1"/>
  <c r="AI603" i="1"/>
  <c r="AI604" i="1"/>
  <c r="AI605" i="1"/>
  <c r="AI606" i="1"/>
  <c r="AI607" i="1"/>
  <c r="AI608" i="1"/>
  <c r="AI609" i="1"/>
  <c r="AI610" i="1"/>
  <c r="AI611" i="1"/>
  <c r="AI612" i="1"/>
  <c r="AI613" i="1"/>
  <c r="AI614" i="1"/>
  <c r="AI615" i="1"/>
  <c r="AI616" i="1"/>
  <c r="AI617" i="1"/>
  <c r="AI618" i="1"/>
  <c r="AI619" i="1"/>
  <c r="AI620" i="1"/>
  <c r="AI621" i="1"/>
  <c r="AI622" i="1"/>
  <c r="AI623" i="1"/>
  <c r="AI624" i="1"/>
  <c r="AI625" i="1"/>
  <c r="AI626" i="1"/>
  <c r="AI627" i="1"/>
  <c r="AI628" i="1"/>
  <c r="AI629" i="1"/>
  <c r="AI630" i="1"/>
  <c r="AI631" i="1"/>
  <c r="AI632" i="1"/>
  <c r="AI633" i="1"/>
  <c r="AI634" i="1"/>
  <c r="AI635" i="1"/>
  <c r="AI636" i="1"/>
  <c r="AI637" i="1"/>
  <c r="AI638" i="1"/>
  <c r="AI639" i="1"/>
  <c r="AI640" i="1"/>
  <c r="AI641" i="1"/>
  <c r="AI642" i="1"/>
  <c r="AI643" i="1"/>
  <c r="AI644" i="1"/>
  <c r="AI645" i="1"/>
  <c r="AI646" i="1"/>
  <c r="AI647" i="1"/>
  <c r="AI648" i="1"/>
  <c r="AI649" i="1"/>
  <c r="AI650" i="1"/>
  <c r="AI651" i="1"/>
  <c r="AI652" i="1"/>
  <c r="AI653" i="1"/>
  <c r="AI654" i="1"/>
  <c r="AI655" i="1"/>
  <c r="AI656" i="1"/>
  <c r="AI657" i="1"/>
  <c r="AI658" i="1"/>
  <c r="AI659" i="1"/>
  <c r="AI660" i="1"/>
  <c r="AI661" i="1"/>
  <c r="AI662" i="1"/>
  <c r="AI663" i="1"/>
  <c r="AI664" i="1"/>
  <c r="AI665" i="1"/>
  <c r="AI666" i="1"/>
  <c r="AI667" i="1"/>
  <c r="AI668" i="1"/>
  <c r="AI669" i="1"/>
  <c r="AI670" i="1"/>
  <c r="AI671" i="1"/>
  <c r="AI672" i="1"/>
  <c r="AI673" i="1"/>
  <c r="AI674" i="1"/>
  <c r="AI675" i="1"/>
  <c r="AI676" i="1"/>
  <c r="AI677" i="1"/>
  <c r="AI678" i="1"/>
  <c r="AI679" i="1"/>
  <c r="AI680" i="1"/>
  <c r="AI681" i="1"/>
  <c r="AI682" i="1"/>
  <c r="AI683" i="1"/>
  <c r="AI684" i="1"/>
  <c r="AI685" i="1"/>
  <c r="AI686" i="1"/>
  <c r="AI687" i="1"/>
  <c r="AI688" i="1"/>
  <c r="AI689" i="1"/>
  <c r="AI690" i="1"/>
  <c r="AI691" i="1"/>
  <c r="AI692" i="1"/>
  <c r="AI693" i="1"/>
  <c r="AI694" i="1"/>
  <c r="AI695" i="1"/>
  <c r="AI696" i="1"/>
  <c r="AI697" i="1"/>
  <c r="AI698" i="1"/>
  <c r="AI699" i="1"/>
  <c r="AI700" i="1"/>
  <c r="AI701" i="1"/>
  <c r="AI702" i="1"/>
  <c r="AI703" i="1"/>
  <c r="AI704" i="1"/>
  <c r="AI705" i="1"/>
  <c r="AI706" i="1"/>
  <c r="AI707" i="1"/>
  <c r="AI708" i="1"/>
  <c r="AI709" i="1"/>
  <c r="AI710" i="1"/>
  <c r="AI711" i="1"/>
  <c r="AI712" i="1"/>
  <c r="AI713" i="1"/>
  <c r="AI714" i="1"/>
  <c r="AI715" i="1"/>
  <c r="AI716" i="1"/>
  <c r="AI717" i="1"/>
  <c r="AI718" i="1"/>
  <c r="AI719" i="1"/>
  <c r="AI720" i="1"/>
  <c r="AI721" i="1"/>
  <c r="AI722" i="1"/>
  <c r="AI723" i="1"/>
  <c r="AI724" i="1"/>
  <c r="AI725" i="1"/>
  <c r="AI726" i="1"/>
  <c r="AI727" i="1"/>
  <c r="AI728" i="1"/>
  <c r="AI729" i="1"/>
  <c r="AI730" i="1"/>
  <c r="AI731" i="1"/>
  <c r="AI732" i="1"/>
  <c r="AI733" i="1"/>
  <c r="AI734" i="1"/>
  <c r="AI735" i="1"/>
  <c r="AI736" i="1"/>
  <c r="AI737" i="1"/>
  <c r="AI738" i="1"/>
  <c r="AI739" i="1"/>
  <c r="AI740" i="1"/>
  <c r="AI741" i="1"/>
  <c r="AI742" i="1"/>
  <c r="AI743" i="1"/>
  <c r="AI744" i="1"/>
  <c r="AI745" i="1"/>
  <c r="AI746" i="1"/>
  <c r="AI747" i="1"/>
  <c r="AI748" i="1"/>
  <c r="AI749" i="1"/>
  <c r="AI750" i="1"/>
  <c r="AI751" i="1"/>
  <c r="AI752" i="1"/>
  <c r="AI753" i="1"/>
  <c r="AI754" i="1"/>
  <c r="AI755" i="1"/>
  <c r="AI756" i="1"/>
  <c r="AI757" i="1"/>
  <c r="AI758" i="1"/>
  <c r="AI759" i="1"/>
  <c r="AI760" i="1"/>
  <c r="AI761" i="1"/>
  <c r="AI762" i="1"/>
  <c r="AI763" i="1"/>
  <c r="AI764" i="1"/>
  <c r="AI765" i="1"/>
  <c r="AI766" i="1"/>
  <c r="AI767" i="1"/>
  <c r="AI768" i="1"/>
  <c r="AI769" i="1"/>
  <c r="AI770" i="1"/>
  <c r="AI771" i="1"/>
  <c r="AI772" i="1"/>
  <c r="AI773" i="1"/>
  <c r="AI774" i="1"/>
  <c r="AI775" i="1"/>
  <c r="AI776" i="1"/>
  <c r="AI777" i="1"/>
  <c r="AI778" i="1"/>
  <c r="AI779" i="1"/>
  <c r="AI780" i="1"/>
  <c r="AI781" i="1"/>
  <c r="AI782" i="1"/>
  <c r="AI783" i="1"/>
  <c r="AI784" i="1"/>
  <c r="AI785" i="1"/>
  <c r="AI786" i="1"/>
  <c r="AI787" i="1"/>
  <c r="AI788" i="1"/>
  <c r="AI789" i="1"/>
  <c r="AI790" i="1"/>
  <c r="AI791" i="1"/>
  <c r="AI792" i="1"/>
  <c r="AI793" i="1"/>
  <c r="AI794" i="1"/>
  <c r="AI795" i="1"/>
  <c r="AI796" i="1"/>
  <c r="AI797" i="1"/>
  <c r="AI798" i="1"/>
  <c r="AI799" i="1"/>
  <c r="AI800" i="1"/>
  <c r="AI801" i="1"/>
  <c r="AI802" i="1"/>
  <c r="AI803" i="1"/>
  <c r="AI804" i="1"/>
  <c r="AI805" i="1"/>
  <c r="AI806" i="1"/>
  <c r="AI807" i="1"/>
  <c r="AI808" i="1"/>
  <c r="AI809" i="1"/>
  <c r="AI810" i="1"/>
  <c r="AI811" i="1"/>
  <c r="AI812" i="1"/>
  <c r="AI813" i="1"/>
  <c r="AI814" i="1"/>
  <c r="AI815" i="1"/>
  <c r="AI816" i="1"/>
  <c r="AI817" i="1"/>
  <c r="AI818" i="1"/>
  <c r="AI819" i="1"/>
  <c r="AI820" i="1"/>
  <c r="AI821" i="1"/>
  <c r="AI822" i="1"/>
  <c r="AI823" i="1"/>
  <c r="AI824" i="1"/>
  <c r="AI825" i="1"/>
  <c r="AI826" i="1"/>
  <c r="AI827" i="1"/>
  <c r="AI828" i="1"/>
  <c r="AI829" i="1"/>
  <c r="AI830" i="1"/>
  <c r="AI831" i="1"/>
  <c r="AI832" i="1"/>
  <c r="AI833" i="1"/>
  <c r="AI834" i="1"/>
  <c r="AI835" i="1"/>
  <c r="AI836" i="1"/>
  <c r="AI837" i="1"/>
  <c r="AI838" i="1"/>
  <c r="AI839" i="1"/>
  <c r="AI840" i="1"/>
  <c r="AI841" i="1"/>
  <c r="AI842" i="1"/>
  <c r="AI843" i="1"/>
  <c r="AI844" i="1"/>
  <c r="AI845" i="1"/>
  <c r="AI846" i="1"/>
  <c r="AI847" i="1"/>
  <c r="AI848" i="1"/>
  <c r="AI849" i="1"/>
  <c r="AI850" i="1"/>
  <c r="AI851" i="1"/>
  <c r="AI852" i="1"/>
  <c r="AI853" i="1"/>
  <c r="AI854" i="1"/>
  <c r="AI855" i="1"/>
  <c r="AI856" i="1"/>
  <c r="AI857" i="1"/>
  <c r="AI858" i="1"/>
  <c r="AI859" i="1"/>
  <c r="AI860" i="1"/>
  <c r="AI861" i="1"/>
  <c r="AI862" i="1"/>
  <c r="AI863" i="1"/>
  <c r="AI864" i="1"/>
  <c r="AI865" i="1"/>
  <c r="AI866" i="1"/>
  <c r="AI867" i="1"/>
  <c r="AI868" i="1"/>
  <c r="AI869" i="1"/>
  <c r="AI870" i="1"/>
  <c r="AI871" i="1"/>
  <c r="AI872" i="1"/>
  <c r="AI873" i="1"/>
  <c r="AI874" i="1"/>
  <c r="AI875" i="1"/>
  <c r="AI876" i="1"/>
  <c r="AI877" i="1"/>
  <c r="AI878" i="1"/>
  <c r="AI879" i="1"/>
  <c r="AI880" i="1"/>
  <c r="AI881" i="1"/>
  <c r="AI882" i="1"/>
  <c r="AI883" i="1"/>
  <c r="AI884" i="1"/>
  <c r="AI885" i="1"/>
  <c r="AI886" i="1"/>
  <c r="AI887" i="1"/>
  <c r="AI888" i="1"/>
  <c r="AI889" i="1"/>
  <c r="AI890" i="1"/>
  <c r="AI891" i="1"/>
  <c r="AI892" i="1"/>
  <c r="AI893" i="1"/>
  <c r="AI894" i="1"/>
  <c r="AI895" i="1"/>
  <c r="AI896" i="1"/>
  <c r="AI897" i="1"/>
  <c r="AI898" i="1"/>
  <c r="AI899" i="1"/>
  <c r="AI900" i="1"/>
  <c r="AI901" i="1"/>
  <c r="AI902" i="1"/>
  <c r="AI903" i="1"/>
  <c r="AI904" i="1"/>
  <c r="AI905" i="1"/>
  <c r="AI906" i="1"/>
  <c r="AI907" i="1"/>
  <c r="AI908" i="1"/>
  <c r="AI909" i="1"/>
  <c r="AI910" i="1"/>
  <c r="AI911" i="1"/>
  <c r="AI912" i="1"/>
  <c r="AI913" i="1"/>
  <c r="AI914" i="1"/>
  <c r="AI915" i="1"/>
  <c r="AI916" i="1"/>
  <c r="AI917" i="1"/>
  <c r="AI918" i="1"/>
  <c r="AI919" i="1"/>
  <c r="AI920" i="1"/>
  <c r="AI921" i="1"/>
  <c r="AI922" i="1"/>
  <c r="AI923" i="1"/>
  <c r="AI924" i="1"/>
  <c r="AI925" i="1"/>
  <c r="AI926" i="1"/>
  <c r="AI927" i="1"/>
  <c r="AI928" i="1"/>
  <c r="AI929" i="1"/>
  <c r="AI930" i="1"/>
  <c r="AI931" i="1"/>
  <c r="AI932" i="1"/>
  <c r="AI933" i="1"/>
  <c r="AI934" i="1"/>
  <c r="AI935" i="1"/>
  <c r="AI936" i="1"/>
  <c r="AI937" i="1"/>
  <c r="AI938" i="1"/>
  <c r="AI939" i="1"/>
  <c r="AI940" i="1"/>
  <c r="AI941" i="1"/>
  <c r="AI942" i="1"/>
  <c r="AI943" i="1"/>
  <c r="AI944" i="1"/>
  <c r="AI945" i="1"/>
  <c r="AI946" i="1"/>
  <c r="AI947" i="1"/>
  <c r="AI948" i="1"/>
  <c r="AI949" i="1"/>
  <c r="AI950" i="1"/>
  <c r="AI951" i="1"/>
  <c r="AI952" i="1"/>
  <c r="AI953" i="1"/>
  <c r="AI954" i="1"/>
  <c r="AI955" i="1"/>
  <c r="AI956" i="1"/>
  <c r="AI957" i="1"/>
  <c r="AI958" i="1"/>
  <c r="AI959" i="1"/>
  <c r="AI960" i="1"/>
  <c r="AI961" i="1"/>
  <c r="AI962" i="1"/>
  <c r="AI963" i="1"/>
  <c r="AI964" i="1"/>
  <c r="AI965" i="1"/>
  <c r="AI966" i="1"/>
  <c r="AI967" i="1"/>
  <c r="AI968" i="1"/>
  <c r="AI969" i="1"/>
  <c r="AI970" i="1"/>
  <c r="AI971" i="1"/>
  <c r="AI972" i="1"/>
  <c r="AI973" i="1"/>
  <c r="AI974" i="1"/>
  <c r="AI975" i="1"/>
  <c r="AI976" i="1"/>
  <c r="AI977" i="1"/>
  <c r="AI978" i="1"/>
  <c r="AI979" i="1"/>
  <c r="AI980" i="1"/>
  <c r="AI981" i="1"/>
  <c r="AI982" i="1"/>
  <c r="AI983" i="1"/>
  <c r="AI984" i="1"/>
  <c r="AI985" i="1"/>
  <c r="AI986" i="1"/>
  <c r="AI987" i="1"/>
  <c r="AI988" i="1"/>
  <c r="AI989" i="1"/>
  <c r="AI990" i="1"/>
  <c r="AI991" i="1"/>
  <c r="AI992" i="1"/>
  <c r="AI993" i="1"/>
  <c r="AI994" i="1"/>
  <c r="AI995" i="1"/>
  <c r="AI996" i="1"/>
  <c r="AI997" i="1"/>
  <c r="AI998" i="1"/>
  <c r="AI999" i="1"/>
  <c r="AI1000" i="1"/>
  <c r="AI1001" i="1"/>
  <c r="AI1002" i="1"/>
  <c r="AI1003" i="1"/>
  <c r="AI1004" i="1"/>
  <c r="AI1005" i="1"/>
  <c r="AI1006" i="1"/>
  <c r="AI1007" i="1"/>
  <c r="AI1008" i="1"/>
  <c r="AI1009" i="1"/>
  <c r="AI1010" i="1"/>
  <c r="AI1011" i="1"/>
  <c r="AI1012" i="1"/>
  <c r="AI1013" i="1"/>
  <c r="AI1014" i="1"/>
  <c r="AI1015" i="1"/>
  <c r="AI1016" i="1"/>
  <c r="AI1017" i="1"/>
  <c r="AI1018" i="1"/>
  <c r="AI1019" i="1"/>
  <c r="AI1020" i="1"/>
  <c r="AI1021" i="1"/>
  <c r="AI1022" i="1"/>
  <c r="AI1023" i="1"/>
  <c r="AI1024" i="1"/>
  <c r="AI1025" i="1"/>
  <c r="AI1026" i="1"/>
  <c r="AI1027" i="1"/>
  <c r="AI1028" i="1"/>
  <c r="AI1029" i="1"/>
  <c r="AI1030" i="1"/>
  <c r="AI1031" i="1"/>
  <c r="AI1032" i="1"/>
  <c r="AI1033" i="1"/>
  <c r="AI1034" i="1"/>
  <c r="AI1035" i="1"/>
  <c r="AI1036" i="1"/>
  <c r="AI1037" i="1"/>
  <c r="AI1038" i="1"/>
  <c r="AI1039" i="1"/>
  <c r="AI1040" i="1"/>
  <c r="AI1041" i="1"/>
  <c r="AI1042" i="1"/>
  <c r="AI1043" i="1"/>
  <c r="AI1044" i="1"/>
  <c r="AI1045" i="1"/>
  <c r="AI1046" i="1"/>
  <c r="AI1047" i="1"/>
  <c r="AI1048" i="1"/>
  <c r="AI1049" i="1"/>
  <c r="AI1050" i="1"/>
  <c r="AI1051" i="1"/>
  <c r="AI1052" i="1"/>
  <c r="AI1053" i="1"/>
  <c r="AI1054" i="1"/>
  <c r="AI1055" i="1"/>
  <c r="AI1056" i="1"/>
  <c r="AI1057" i="1"/>
  <c r="AI1058" i="1"/>
  <c r="AI1059" i="1"/>
  <c r="AI1060" i="1"/>
  <c r="AI1061" i="1"/>
  <c r="AI1062" i="1"/>
  <c r="AI1063" i="1"/>
  <c r="AI1064" i="1"/>
  <c r="AI1065" i="1"/>
  <c r="AI1066" i="1"/>
  <c r="AI1067" i="1"/>
  <c r="AI1068" i="1"/>
  <c r="AI1069" i="1"/>
  <c r="AI1070" i="1"/>
  <c r="AI1071" i="1"/>
  <c r="AI1072" i="1"/>
  <c r="AI1073" i="1"/>
  <c r="AI1074" i="1"/>
  <c r="AI1075" i="1"/>
  <c r="AI1076" i="1"/>
  <c r="AI1077" i="1"/>
  <c r="AI1078" i="1"/>
  <c r="AI1079" i="1"/>
  <c r="AI1080" i="1"/>
  <c r="AI1081" i="1"/>
  <c r="AI1082" i="1"/>
  <c r="AI1083" i="1"/>
  <c r="AI1084" i="1"/>
  <c r="AI1085" i="1"/>
  <c r="AI1086" i="1"/>
  <c r="AI1087" i="1"/>
  <c r="AI1088" i="1"/>
  <c r="AI1089" i="1"/>
  <c r="AI1090" i="1"/>
  <c r="AI1091" i="1"/>
  <c r="AI1092" i="1"/>
  <c r="AI1093" i="1"/>
  <c r="AI1094" i="1"/>
  <c r="AI1095" i="1"/>
  <c r="AI1096" i="1"/>
  <c r="AI1097" i="1"/>
  <c r="AI1098" i="1"/>
  <c r="AI1099" i="1"/>
  <c r="AI1100" i="1"/>
  <c r="AI1101" i="1"/>
  <c r="AI2" i="1"/>
  <c r="AY952" i="1" l="1"/>
  <c r="AY873" i="1"/>
  <c r="AY833" i="1"/>
  <c r="AU114" i="1"/>
  <c r="AY817" i="1"/>
  <c r="AY699" i="1"/>
  <c r="AY673" i="1"/>
  <c r="AY548" i="1"/>
  <c r="AY513" i="1"/>
  <c r="AY1038" i="1"/>
  <c r="AY404" i="1"/>
  <c r="AY1017" i="1"/>
  <c r="AY369" i="1"/>
  <c r="AY965" i="1"/>
  <c r="AY237" i="1"/>
  <c r="AY193" i="1"/>
  <c r="AY885" i="1"/>
  <c r="AY45" i="1"/>
  <c r="AY1013" i="1"/>
  <c r="AY951" i="1"/>
  <c r="AY872" i="1"/>
  <c r="AY808" i="1"/>
  <c r="AY669" i="1"/>
  <c r="AY512" i="1"/>
  <c r="AY368" i="1"/>
  <c r="AY189" i="1"/>
  <c r="AY1004" i="1"/>
  <c r="AY947" i="1"/>
  <c r="AY869" i="1"/>
  <c r="AY807" i="1"/>
  <c r="AY644" i="1"/>
  <c r="AY501" i="1"/>
  <c r="AY357" i="1"/>
  <c r="AY177" i="1"/>
  <c r="AY1003" i="1"/>
  <c r="AY939" i="1"/>
  <c r="AY860" i="1"/>
  <c r="AY803" i="1"/>
  <c r="AY639" i="1"/>
  <c r="AY477" i="1"/>
  <c r="AY333" i="1"/>
  <c r="AY145" i="1"/>
  <c r="AY1000" i="1"/>
  <c r="AY921" i="1"/>
  <c r="AY859" i="1"/>
  <c r="AY795" i="1"/>
  <c r="AY633" i="1"/>
  <c r="AY476" i="1"/>
  <c r="AY332" i="1"/>
  <c r="AY141" i="1"/>
  <c r="AY1098" i="1"/>
  <c r="AY991" i="1"/>
  <c r="AY913" i="1"/>
  <c r="AY856" i="1"/>
  <c r="AY773" i="1"/>
  <c r="AY603" i="1"/>
  <c r="AY465" i="1"/>
  <c r="AY321" i="1"/>
  <c r="AY129" i="1"/>
  <c r="AY1086" i="1"/>
  <c r="AY990" i="1"/>
  <c r="AY911" i="1"/>
  <c r="AY847" i="1"/>
  <c r="AY747" i="1"/>
  <c r="AY585" i="1"/>
  <c r="AY441" i="1"/>
  <c r="AY289" i="1"/>
  <c r="AY97" i="1"/>
  <c r="AY1074" i="1"/>
  <c r="AY987" i="1"/>
  <c r="AY908" i="1"/>
  <c r="AY846" i="1"/>
  <c r="AY729" i="1"/>
  <c r="AY584" i="1"/>
  <c r="AY440" i="1"/>
  <c r="AY285" i="1"/>
  <c r="AY93" i="1"/>
  <c r="AY1062" i="1"/>
  <c r="AY978" i="1"/>
  <c r="AY899" i="1"/>
  <c r="AY843" i="1"/>
  <c r="AY728" i="1"/>
  <c r="AY573" i="1"/>
  <c r="AY429" i="1"/>
  <c r="AY273" i="1"/>
  <c r="AY81" i="1"/>
  <c r="AY1050" i="1"/>
  <c r="AY977" i="1"/>
  <c r="AY895" i="1"/>
  <c r="AY834" i="1"/>
  <c r="AY721" i="1"/>
  <c r="AY549" i="1"/>
  <c r="AY405" i="1"/>
  <c r="AY241" i="1"/>
  <c r="AY49" i="1"/>
  <c r="AY1026" i="1"/>
  <c r="AY961" i="1"/>
  <c r="AY882" i="1"/>
  <c r="AY821" i="1"/>
  <c r="AY692" i="1"/>
  <c r="AY537" i="1"/>
  <c r="AY393" i="1"/>
  <c r="AY225" i="1"/>
  <c r="AY33" i="1"/>
  <c r="AW1094" i="1"/>
  <c r="AY1094" i="1"/>
  <c r="AW1082" i="1"/>
  <c r="AY1082" i="1"/>
  <c r="AW1070" i="1"/>
  <c r="AY1070" i="1"/>
  <c r="AW1058" i="1"/>
  <c r="AY1058" i="1"/>
  <c r="AW1046" i="1"/>
  <c r="AY1046" i="1"/>
  <c r="AW1034" i="1"/>
  <c r="AY1034" i="1"/>
  <c r="AW1022" i="1"/>
  <c r="AY1022" i="1"/>
  <c r="AW1010" i="1"/>
  <c r="AY1010" i="1"/>
  <c r="AW998" i="1"/>
  <c r="AY998" i="1"/>
  <c r="AW986" i="1"/>
  <c r="AY986" i="1"/>
  <c r="AW974" i="1"/>
  <c r="AY974" i="1"/>
  <c r="AW962" i="1"/>
  <c r="AY962" i="1"/>
  <c r="AW950" i="1"/>
  <c r="AY950" i="1"/>
  <c r="AW938" i="1"/>
  <c r="AY938" i="1"/>
  <c r="AW926" i="1"/>
  <c r="AY926" i="1"/>
  <c r="AW914" i="1"/>
  <c r="AY914" i="1"/>
  <c r="AW902" i="1"/>
  <c r="AY902" i="1"/>
  <c r="AW890" i="1"/>
  <c r="AY890" i="1"/>
  <c r="AW878" i="1"/>
  <c r="AY878" i="1"/>
  <c r="AW866" i="1"/>
  <c r="AY866" i="1"/>
  <c r="AW854" i="1"/>
  <c r="AY854" i="1"/>
  <c r="AW842" i="1"/>
  <c r="AY842" i="1"/>
  <c r="AW830" i="1"/>
  <c r="AY830" i="1"/>
  <c r="AW818" i="1"/>
  <c r="AY818" i="1"/>
  <c r="AW806" i="1"/>
  <c r="AY806" i="1"/>
  <c r="AW794" i="1"/>
  <c r="AY794" i="1"/>
  <c r="AW782" i="1"/>
  <c r="AY782" i="1"/>
  <c r="AW770" i="1"/>
  <c r="AY770" i="1"/>
  <c r="AW758" i="1"/>
  <c r="AY758" i="1"/>
  <c r="AW746" i="1"/>
  <c r="AY746" i="1"/>
  <c r="AW734" i="1"/>
  <c r="AY734" i="1"/>
  <c r="AW722" i="1"/>
  <c r="AY722" i="1"/>
  <c r="AW710" i="1"/>
  <c r="AY710" i="1"/>
  <c r="AW698" i="1"/>
  <c r="AY698" i="1"/>
  <c r="AW686" i="1"/>
  <c r="AY686" i="1"/>
  <c r="AW674" i="1"/>
  <c r="AY674" i="1"/>
  <c r="AW662" i="1"/>
  <c r="AY662" i="1"/>
  <c r="AW650" i="1"/>
  <c r="AY650" i="1"/>
  <c r="AW638" i="1"/>
  <c r="AY638" i="1"/>
  <c r="AW626" i="1"/>
  <c r="AY626" i="1"/>
  <c r="AW614" i="1"/>
  <c r="AY614" i="1"/>
  <c r="AW602" i="1"/>
  <c r="AY602" i="1"/>
  <c r="AW590" i="1"/>
  <c r="AY590" i="1"/>
  <c r="AW578" i="1"/>
  <c r="AY578" i="1"/>
  <c r="AW566" i="1"/>
  <c r="AY566" i="1"/>
  <c r="AW554" i="1"/>
  <c r="AY554" i="1"/>
  <c r="AW542" i="1"/>
  <c r="AY542" i="1"/>
  <c r="AW530" i="1"/>
  <c r="AY530" i="1"/>
  <c r="AW518" i="1"/>
  <c r="AY518" i="1"/>
  <c r="AW506" i="1"/>
  <c r="AY506" i="1"/>
  <c r="AW494" i="1"/>
  <c r="AY494" i="1"/>
  <c r="AW482" i="1"/>
  <c r="AY482" i="1"/>
  <c r="AW470" i="1"/>
  <c r="AY470" i="1"/>
  <c r="AW458" i="1"/>
  <c r="AY458" i="1"/>
  <c r="AW446" i="1"/>
  <c r="AY446" i="1"/>
  <c r="AW434" i="1"/>
  <c r="AY434" i="1"/>
  <c r="AW422" i="1"/>
  <c r="AY422" i="1"/>
  <c r="AW410" i="1"/>
  <c r="AY410" i="1"/>
  <c r="AW398" i="1"/>
  <c r="AY398" i="1"/>
  <c r="AW386" i="1"/>
  <c r="AY386" i="1"/>
  <c r="AW374" i="1"/>
  <c r="AY374" i="1"/>
  <c r="AW362" i="1"/>
  <c r="AY362" i="1"/>
  <c r="AW350" i="1"/>
  <c r="AY350" i="1"/>
  <c r="AW338" i="1"/>
  <c r="AY338" i="1"/>
  <c r="AW326" i="1"/>
  <c r="AY326" i="1"/>
  <c r="AW314" i="1"/>
  <c r="AY314" i="1"/>
  <c r="AW302" i="1"/>
  <c r="AY302" i="1"/>
  <c r="AW290" i="1"/>
  <c r="AY290" i="1"/>
  <c r="AW278" i="1"/>
  <c r="AY278" i="1"/>
  <c r="AW266" i="1"/>
  <c r="AY266" i="1"/>
  <c r="AW254" i="1"/>
  <c r="AY254" i="1"/>
  <c r="AW242" i="1"/>
  <c r="AY242" i="1"/>
  <c r="AW230" i="1"/>
  <c r="AY230" i="1"/>
  <c r="AW218" i="1"/>
  <c r="AY218" i="1"/>
  <c r="AW206" i="1"/>
  <c r="AY206" i="1"/>
  <c r="AW194" i="1"/>
  <c r="AY194" i="1"/>
  <c r="AW182" i="1"/>
  <c r="AY182" i="1"/>
  <c r="AW1090" i="1"/>
  <c r="AY1090" i="1"/>
  <c r="AW1078" i="1"/>
  <c r="AY1078" i="1"/>
  <c r="AW1066" i="1"/>
  <c r="AY1066" i="1"/>
  <c r="AW1054" i="1"/>
  <c r="AY1054" i="1"/>
  <c r="AW1042" i="1"/>
  <c r="AY1042" i="1"/>
  <c r="AW122" i="1"/>
  <c r="AY122" i="1"/>
  <c r="AY1101" i="1"/>
  <c r="AY1089" i="1"/>
  <c r="AY1077" i="1"/>
  <c r="AY1065" i="1"/>
  <c r="AY1053" i="1"/>
  <c r="AY1041" i="1"/>
  <c r="AY1029" i="1"/>
  <c r="AY1016" i="1"/>
  <c r="AY964" i="1"/>
  <c r="AY925" i="1"/>
  <c r="AY898" i="1"/>
  <c r="AY820" i="1"/>
  <c r="AY781" i="1"/>
  <c r="AY757" i="1"/>
  <c r="AY613" i="1"/>
  <c r="AW158" i="1"/>
  <c r="AY158" i="1"/>
  <c r="AW98" i="1"/>
  <c r="AY98" i="1"/>
  <c r="AW1020" i="1"/>
  <c r="AY1020" i="1"/>
  <c r="AW1008" i="1"/>
  <c r="AY1008" i="1"/>
  <c r="AW996" i="1"/>
  <c r="AY996" i="1"/>
  <c r="AW984" i="1"/>
  <c r="AY984" i="1"/>
  <c r="AW972" i="1"/>
  <c r="AY972" i="1"/>
  <c r="AW960" i="1"/>
  <c r="AY960" i="1"/>
  <c r="AW948" i="1"/>
  <c r="AY948" i="1"/>
  <c r="AW936" i="1"/>
  <c r="AY936" i="1"/>
  <c r="AW924" i="1"/>
  <c r="AY924" i="1"/>
  <c r="AW912" i="1"/>
  <c r="AY912" i="1"/>
  <c r="AW900" i="1"/>
  <c r="AY900" i="1"/>
  <c r="AW888" i="1"/>
  <c r="AY888" i="1"/>
  <c r="AW876" i="1"/>
  <c r="AY876" i="1"/>
  <c r="AW864" i="1"/>
  <c r="AY864" i="1"/>
  <c r="AW852" i="1"/>
  <c r="AY852" i="1"/>
  <c r="AW840" i="1"/>
  <c r="AY840" i="1"/>
  <c r="AW828" i="1"/>
  <c r="AY828" i="1"/>
  <c r="AW816" i="1"/>
  <c r="AY816" i="1"/>
  <c r="AW804" i="1"/>
  <c r="AY804" i="1"/>
  <c r="AW792" i="1"/>
  <c r="AY792" i="1"/>
  <c r="AW780" i="1"/>
  <c r="AY780" i="1"/>
  <c r="AW768" i="1"/>
  <c r="AY768" i="1"/>
  <c r="AW756" i="1"/>
  <c r="AY756" i="1"/>
  <c r="AW744" i="1"/>
  <c r="AY744" i="1"/>
  <c r="AW732" i="1"/>
  <c r="AY732" i="1"/>
  <c r="AW720" i="1"/>
  <c r="AY720" i="1"/>
  <c r="AW708" i="1"/>
  <c r="AY708" i="1"/>
  <c r="AW696" i="1"/>
  <c r="AY696" i="1"/>
  <c r="AW684" i="1"/>
  <c r="AY684" i="1"/>
  <c r="AW672" i="1"/>
  <c r="AY672" i="1"/>
  <c r="AW660" i="1"/>
  <c r="AY660" i="1"/>
  <c r="AW648" i="1"/>
  <c r="AY648" i="1"/>
  <c r="AW636" i="1"/>
  <c r="AY636" i="1"/>
  <c r="AW624" i="1"/>
  <c r="AY624" i="1"/>
  <c r="AW612" i="1"/>
  <c r="AY612" i="1"/>
  <c r="AW600" i="1"/>
  <c r="AY600" i="1"/>
  <c r="AW588" i="1"/>
  <c r="AY588" i="1"/>
  <c r="AW576" i="1"/>
  <c r="AY576" i="1"/>
  <c r="AW564" i="1"/>
  <c r="AY564" i="1"/>
  <c r="AW552" i="1"/>
  <c r="AY552" i="1"/>
  <c r="AW540" i="1"/>
  <c r="AY540" i="1"/>
  <c r="AW528" i="1"/>
  <c r="AY528" i="1"/>
  <c r="AW516" i="1"/>
  <c r="AY516" i="1"/>
  <c r="AW504" i="1"/>
  <c r="AY504" i="1"/>
  <c r="AW492" i="1"/>
  <c r="AY492" i="1"/>
  <c r="AW480" i="1"/>
  <c r="AY480" i="1"/>
  <c r="AW468" i="1"/>
  <c r="AY468" i="1"/>
  <c r="AW456" i="1"/>
  <c r="AY456" i="1"/>
  <c r="AW444" i="1"/>
  <c r="AY444" i="1"/>
  <c r="AW432" i="1"/>
  <c r="AY432" i="1"/>
  <c r="AW420" i="1"/>
  <c r="AY420" i="1"/>
  <c r="AW408" i="1"/>
  <c r="AY408" i="1"/>
  <c r="AW396" i="1"/>
  <c r="AY396" i="1"/>
  <c r="AW384" i="1"/>
  <c r="AY384" i="1"/>
  <c r="AW372" i="1"/>
  <c r="AY372" i="1"/>
  <c r="AW360" i="1"/>
  <c r="AY360" i="1"/>
  <c r="AW348" i="1"/>
  <c r="AY348" i="1"/>
  <c r="AW336" i="1"/>
  <c r="AY336" i="1"/>
  <c r="AW324" i="1"/>
  <c r="AY324" i="1"/>
  <c r="AW312" i="1"/>
  <c r="AY312" i="1"/>
  <c r="AW300" i="1"/>
  <c r="AY300" i="1"/>
  <c r="AW288" i="1"/>
  <c r="AY288" i="1"/>
  <c r="AW276" i="1"/>
  <c r="AY276" i="1"/>
  <c r="AW264" i="1"/>
  <c r="AY264" i="1"/>
  <c r="AW252" i="1"/>
  <c r="AY252" i="1"/>
  <c r="AW240" i="1"/>
  <c r="AY240" i="1"/>
  <c r="AW228" i="1"/>
  <c r="AY228" i="1"/>
  <c r="AW216" i="1"/>
  <c r="AY216" i="1"/>
  <c r="AW204" i="1"/>
  <c r="AY204" i="1"/>
  <c r="AW192" i="1"/>
  <c r="AY192" i="1"/>
  <c r="AW180" i="1"/>
  <c r="AY180" i="1"/>
  <c r="AW168" i="1"/>
  <c r="AY168" i="1"/>
  <c r="AW156" i="1"/>
  <c r="AY156" i="1"/>
  <c r="AW144" i="1"/>
  <c r="AY144" i="1"/>
  <c r="AW132" i="1"/>
  <c r="AY132" i="1"/>
  <c r="AW120" i="1"/>
  <c r="AY120" i="1"/>
  <c r="AW108" i="1"/>
  <c r="AY108" i="1"/>
  <c r="AW96" i="1"/>
  <c r="AY96" i="1"/>
  <c r="AW84" i="1"/>
  <c r="AY84" i="1"/>
  <c r="AW72" i="1"/>
  <c r="AY72" i="1"/>
  <c r="AW60" i="1"/>
  <c r="AY60" i="1"/>
  <c r="AW48" i="1"/>
  <c r="AY48" i="1"/>
  <c r="AW36" i="1"/>
  <c r="AY36" i="1"/>
  <c r="AW24" i="1"/>
  <c r="AY24" i="1"/>
  <c r="AW12" i="1"/>
  <c r="AY12" i="1"/>
  <c r="AY1100" i="1"/>
  <c r="AY1088" i="1"/>
  <c r="AY1076" i="1"/>
  <c r="AY1064" i="1"/>
  <c r="AY1052" i="1"/>
  <c r="AY1040" i="1"/>
  <c r="AY1028" i="1"/>
  <c r="AY1015" i="1"/>
  <c r="AY1002" i="1"/>
  <c r="AY989" i="1"/>
  <c r="AY976" i="1"/>
  <c r="AY963" i="1"/>
  <c r="AY937" i="1"/>
  <c r="AY923" i="1"/>
  <c r="AY910" i="1"/>
  <c r="AY897" i="1"/>
  <c r="AY884" i="1"/>
  <c r="AY871" i="1"/>
  <c r="AY858" i="1"/>
  <c r="AY845" i="1"/>
  <c r="AY832" i="1"/>
  <c r="AY819" i="1"/>
  <c r="AY793" i="1"/>
  <c r="AY777" i="1"/>
  <c r="AY753" i="1"/>
  <c r="AY723" i="1"/>
  <c r="AY697" i="1"/>
  <c r="AY668" i="1"/>
  <c r="AY609" i="1"/>
  <c r="AY579" i="1"/>
  <c r="AY543" i="1"/>
  <c r="AY507" i="1"/>
  <c r="AY471" i="1"/>
  <c r="AY435" i="1"/>
  <c r="AY399" i="1"/>
  <c r="AY363" i="1"/>
  <c r="AY327" i="1"/>
  <c r="AY284" i="1"/>
  <c r="AY236" i="1"/>
  <c r="AY188" i="1"/>
  <c r="AY140" i="1"/>
  <c r="AY92" i="1"/>
  <c r="AY44" i="1"/>
  <c r="AW170" i="1"/>
  <c r="AY170" i="1"/>
  <c r="AW146" i="1"/>
  <c r="AY146" i="1"/>
  <c r="AW134" i="1"/>
  <c r="AY134" i="1"/>
  <c r="AW110" i="1"/>
  <c r="AY110" i="1"/>
  <c r="AW86" i="1"/>
  <c r="AY86" i="1"/>
  <c r="AW74" i="1"/>
  <c r="AY74" i="1"/>
  <c r="AW62" i="1"/>
  <c r="AY62" i="1"/>
  <c r="AW50" i="1"/>
  <c r="AY50" i="1"/>
  <c r="AW38" i="1"/>
  <c r="AY38" i="1"/>
  <c r="AW26" i="1"/>
  <c r="AY26" i="1"/>
  <c r="AW14" i="1"/>
  <c r="AY14" i="1"/>
  <c r="AW2" i="1"/>
  <c r="AY2" i="1"/>
  <c r="AY1030" i="1"/>
  <c r="AY886" i="1"/>
  <c r="AT58" i="1"/>
  <c r="AW779" i="1"/>
  <c r="AY779" i="1"/>
  <c r="AW767" i="1"/>
  <c r="AY767" i="1"/>
  <c r="AW755" i="1"/>
  <c r="AY755" i="1"/>
  <c r="AW743" i="1"/>
  <c r="AY743" i="1"/>
  <c r="AW731" i="1"/>
  <c r="AY731" i="1"/>
  <c r="AW719" i="1"/>
  <c r="AY719" i="1"/>
  <c r="AW707" i="1"/>
  <c r="AY707" i="1"/>
  <c r="AW695" i="1"/>
  <c r="AY695" i="1"/>
  <c r="AW683" i="1"/>
  <c r="AY683" i="1"/>
  <c r="AW671" i="1"/>
  <c r="AY671" i="1"/>
  <c r="AW659" i="1"/>
  <c r="AY659" i="1"/>
  <c r="AW647" i="1"/>
  <c r="AY647" i="1"/>
  <c r="AW635" i="1"/>
  <c r="AY635" i="1"/>
  <c r="AW623" i="1"/>
  <c r="AY623" i="1"/>
  <c r="AW611" i="1"/>
  <c r="AY611" i="1"/>
  <c r="AW599" i="1"/>
  <c r="AY599" i="1"/>
  <c r="AW587" i="1"/>
  <c r="AY587" i="1"/>
  <c r="AW575" i="1"/>
  <c r="AY575" i="1"/>
  <c r="AW563" i="1"/>
  <c r="AY563" i="1"/>
  <c r="AW551" i="1"/>
  <c r="AY551" i="1"/>
  <c r="AW539" i="1"/>
  <c r="AY539" i="1"/>
  <c r="AW527" i="1"/>
  <c r="AY527" i="1"/>
  <c r="AW515" i="1"/>
  <c r="AY515" i="1"/>
  <c r="AW503" i="1"/>
  <c r="AY503" i="1"/>
  <c r="AW491" i="1"/>
  <c r="AY491" i="1"/>
  <c r="AW479" i="1"/>
  <c r="AY479" i="1"/>
  <c r="AW467" i="1"/>
  <c r="AY467" i="1"/>
  <c r="AW455" i="1"/>
  <c r="AY455" i="1"/>
  <c r="AW443" i="1"/>
  <c r="AY443" i="1"/>
  <c r="AW431" i="1"/>
  <c r="AY431" i="1"/>
  <c r="AW419" i="1"/>
  <c r="AY419" i="1"/>
  <c r="AW407" i="1"/>
  <c r="AY407" i="1"/>
  <c r="AW395" i="1"/>
  <c r="AY395" i="1"/>
  <c r="AW383" i="1"/>
  <c r="AY383" i="1"/>
  <c r="AW371" i="1"/>
  <c r="AY371" i="1"/>
  <c r="AW359" i="1"/>
  <c r="AY359" i="1"/>
  <c r="AW347" i="1"/>
  <c r="AY347" i="1"/>
  <c r="AW335" i="1"/>
  <c r="AY335" i="1"/>
  <c r="AW323" i="1"/>
  <c r="AY323" i="1"/>
  <c r="AW311" i="1"/>
  <c r="AY311" i="1"/>
  <c r="AW299" i="1"/>
  <c r="AY299" i="1"/>
  <c r="AW287" i="1"/>
  <c r="AY287" i="1"/>
  <c r="AW275" i="1"/>
  <c r="AY275" i="1"/>
  <c r="AW263" i="1"/>
  <c r="AY263" i="1"/>
  <c r="AW251" i="1"/>
  <c r="AY251" i="1"/>
  <c r="AW239" i="1"/>
  <c r="AY239" i="1"/>
  <c r="AW227" i="1"/>
  <c r="AY227" i="1"/>
  <c r="AW215" i="1"/>
  <c r="AY215" i="1"/>
  <c r="AW203" i="1"/>
  <c r="AY203" i="1"/>
  <c r="AW191" i="1"/>
  <c r="AY191" i="1"/>
  <c r="AW179" i="1"/>
  <c r="AY179" i="1"/>
  <c r="AW167" i="1"/>
  <c r="AY167" i="1"/>
  <c r="AW155" i="1"/>
  <c r="AY155" i="1"/>
  <c r="AW143" i="1"/>
  <c r="AY143" i="1"/>
  <c r="AW131" i="1"/>
  <c r="AY131" i="1"/>
  <c r="AW119" i="1"/>
  <c r="AY119" i="1"/>
  <c r="AW107" i="1"/>
  <c r="AY107" i="1"/>
  <c r="AW95" i="1"/>
  <c r="AY95" i="1"/>
  <c r="AW83" i="1"/>
  <c r="AY83" i="1"/>
  <c r="AW71" i="1"/>
  <c r="AY71" i="1"/>
  <c r="AW59" i="1"/>
  <c r="AY59" i="1"/>
  <c r="AW47" i="1"/>
  <c r="AY47" i="1"/>
  <c r="AW35" i="1"/>
  <c r="AY35" i="1"/>
  <c r="AW23" i="1"/>
  <c r="AY23" i="1"/>
  <c r="AW11" i="1"/>
  <c r="AY11" i="1"/>
  <c r="AW105" i="1"/>
  <c r="AY1099" i="1"/>
  <c r="AY1087" i="1"/>
  <c r="AY1075" i="1"/>
  <c r="AY1063" i="1"/>
  <c r="AY1051" i="1"/>
  <c r="AY1039" i="1"/>
  <c r="AY1027" i="1"/>
  <c r="AY1014" i="1"/>
  <c r="AY1001" i="1"/>
  <c r="AY988" i="1"/>
  <c r="AY975" i="1"/>
  <c r="AY949" i="1"/>
  <c r="AY935" i="1"/>
  <c r="AY922" i="1"/>
  <c r="AY909" i="1"/>
  <c r="AY896" i="1"/>
  <c r="AY883" i="1"/>
  <c r="AY870" i="1"/>
  <c r="AY857" i="1"/>
  <c r="AY844" i="1"/>
  <c r="AY831" i="1"/>
  <c r="AY805" i="1"/>
  <c r="AY791" i="1"/>
  <c r="AY776" i="1"/>
  <c r="AY752" i="1"/>
  <c r="AY693" i="1"/>
  <c r="AY663" i="1"/>
  <c r="AY637" i="1"/>
  <c r="AY608" i="1"/>
  <c r="AY577" i="1"/>
  <c r="AY541" i="1"/>
  <c r="AY505" i="1"/>
  <c r="AY469" i="1"/>
  <c r="AY433" i="1"/>
  <c r="AY397" i="1"/>
  <c r="AY361" i="1"/>
  <c r="AY325" i="1"/>
  <c r="AY277" i="1"/>
  <c r="AY229" i="1"/>
  <c r="AY181" i="1"/>
  <c r="AY133" i="1"/>
  <c r="AY85" i="1"/>
  <c r="AY37" i="1"/>
  <c r="AW778" i="1"/>
  <c r="AY778" i="1"/>
  <c r="AW694" i="1"/>
  <c r="AY694" i="1"/>
  <c r="AW610" i="1"/>
  <c r="AY610" i="1"/>
  <c r="AW538" i="1"/>
  <c r="AY538" i="1"/>
  <c r="AW454" i="1"/>
  <c r="AY454" i="1"/>
  <c r="AW406" i="1"/>
  <c r="AY406" i="1"/>
  <c r="AW346" i="1"/>
  <c r="AY346" i="1"/>
  <c r="AW310" i="1"/>
  <c r="AY310" i="1"/>
  <c r="AW274" i="1"/>
  <c r="AY274" i="1"/>
  <c r="AW226" i="1"/>
  <c r="AY226" i="1"/>
  <c r="AW130" i="1"/>
  <c r="AY130" i="1"/>
  <c r="AY1097" i="1"/>
  <c r="AY1085" i="1"/>
  <c r="AY1073" i="1"/>
  <c r="AY1061" i="1"/>
  <c r="AY1049" i="1"/>
  <c r="AY1037" i="1"/>
  <c r="AY1025" i="1"/>
  <c r="AY1012" i="1"/>
  <c r="AY999" i="1"/>
  <c r="AY973" i="1"/>
  <c r="AY959" i="1"/>
  <c r="AY946" i="1"/>
  <c r="AY933" i="1"/>
  <c r="AY920" i="1"/>
  <c r="AY907" i="1"/>
  <c r="AY894" i="1"/>
  <c r="AY881" i="1"/>
  <c r="AY868" i="1"/>
  <c r="AY855" i="1"/>
  <c r="AY829" i="1"/>
  <c r="AY815" i="1"/>
  <c r="AY802" i="1"/>
  <c r="AY789" i="1"/>
  <c r="AY772" i="1"/>
  <c r="AY717" i="1"/>
  <c r="AY687" i="1"/>
  <c r="AY661" i="1"/>
  <c r="AY632" i="1"/>
  <c r="AY572" i="1"/>
  <c r="AY536" i="1"/>
  <c r="AY500" i="1"/>
  <c r="AY464" i="1"/>
  <c r="AY428" i="1"/>
  <c r="AY392" i="1"/>
  <c r="AY356" i="1"/>
  <c r="AY320" i="1"/>
  <c r="AY272" i="1"/>
  <c r="AY224" i="1"/>
  <c r="AY176" i="1"/>
  <c r="AY128" i="1"/>
  <c r="AY80" i="1"/>
  <c r="AY32" i="1"/>
  <c r="AW706" i="1"/>
  <c r="AY706" i="1"/>
  <c r="AW334" i="1"/>
  <c r="AY334" i="1"/>
  <c r="AY1096" i="1"/>
  <c r="AY1084" i="1"/>
  <c r="AY1072" i="1"/>
  <c r="AY1060" i="1"/>
  <c r="AY1048" i="1"/>
  <c r="AY1036" i="1"/>
  <c r="AY1024" i="1"/>
  <c r="AY1011" i="1"/>
  <c r="AY985" i="1"/>
  <c r="AY971" i="1"/>
  <c r="AY958" i="1"/>
  <c r="AY945" i="1"/>
  <c r="AY932" i="1"/>
  <c r="AY919" i="1"/>
  <c r="AY906" i="1"/>
  <c r="AY893" i="1"/>
  <c r="AY880" i="1"/>
  <c r="AY867" i="1"/>
  <c r="AY841" i="1"/>
  <c r="AY827" i="1"/>
  <c r="AY814" i="1"/>
  <c r="AY801" i="1"/>
  <c r="AY788" i="1"/>
  <c r="AY771" i="1"/>
  <c r="AY745" i="1"/>
  <c r="AY716" i="1"/>
  <c r="AY657" i="1"/>
  <c r="AY627" i="1"/>
  <c r="AY601" i="1"/>
  <c r="AY567" i="1"/>
  <c r="AY531" i="1"/>
  <c r="AY495" i="1"/>
  <c r="AY459" i="1"/>
  <c r="AY423" i="1"/>
  <c r="AY387" i="1"/>
  <c r="AY351" i="1"/>
  <c r="AY313" i="1"/>
  <c r="AY265" i="1"/>
  <c r="AY217" i="1"/>
  <c r="AY169" i="1"/>
  <c r="AY121" i="1"/>
  <c r="AY73" i="1"/>
  <c r="AY25" i="1"/>
  <c r="AW682" i="1"/>
  <c r="AY682" i="1"/>
  <c r="AW370" i="1"/>
  <c r="AY370" i="1"/>
  <c r="AW775" i="1"/>
  <c r="AY775" i="1"/>
  <c r="AW763" i="1"/>
  <c r="AY763" i="1"/>
  <c r="AW751" i="1"/>
  <c r="AY751" i="1"/>
  <c r="AW739" i="1"/>
  <c r="AY739" i="1"/>
  <c r="AW727" i="1"/>
  <c r="AY727" i="1"/>
  <c r="AW715" i="1"/>
  <c r="AY715" i="1"/>
  <c r="AW703" i="1"/>
  <c r="AY703" i="1"/>
  <c r="AW691" i="1"/>
  <c r="AY691" i="1"/>
  <c r="AW679" i="1"/>
  <c r="AY679" i="1"/>
  <c r="AW667" i="1"/>
  <c r="AY667" i="1"/>
  <c r="AW655" i="1"/>
  <c r="AY655" i="1"/>
  <c r="AW643" i="1"/>
  <c r="AY643" i="1"/>
  <c r="AW631" i="1"/>
  <c r="AY631" i="1"/>
  <c r="AW619" i="1"/>
  <c r="AY619" i="1"/>
  <c r="AW607" i="1"/>
  <c r="AY607" i="1"/>
  <c r="AW595" i="1"/>
  <c r="AY595" i="1"/>
  <c r="AW583" i="1"/>
  <c r="AY583" i="1"/>
  <c r="AW571" i="1"/>
  <c r="AY571" i="1"/>
  <c r="AW559" i="1"/>
  <c r="AY559" i="1"/>
  <c r="AW547" i="1"/>
  <c r="AY547" i="1"/>
  <c r="AW535" i="1"/>
  <c r="AY535" i="1"/>
  <c r="AW523" i="1"/>
  <c r="AY523" i="1"/>
  <c r="AW511" i="1"/>
  <c r="AY511" i="1"/>
  <c r="AW499" i="1"/>
  <c r="AY499" i="1"/>
  <c r="AW487" i="1"/>
  <c r="AY487" i="1"/>
  <c r="AW475" i="1"/>
  <c r="AY475" i="1"/>
  <c r="AW463" i="1"/>
  <c r="AY463" i="1"/>
  <c r="AW451" i="1"/>
  <c r="AY451" i="1"/>
  <c r="AW439" i="1"/>
  <c r="AY439" i="1"/>
  <c r="AW427" i="1"/>
  <c r="AY427" i="1"/>
  <c r="AW415" i="1"/>
  <c r="AY415" i="1"/>
  <c r="AW403" i="1"/>
  <c r="AY403" i="1"/>
  <c r="AW391" i="1"/>
  <c r="AY391" i="1"/>
  <c r="AW379" i="1"/>
  <c r="AY379" i="1"/>
  <c r="AW367" i="1"/>
  <c r="AY367" i="1"/>
  <c r="AW355" i="1"/>
  <c r="AY355" i="1"/>
  <c r="AW343" i="1"/>
  <c r="AY343" i="1"/>
  <c r="AW331" i="1"/>
  <c r="AY331" i="1"/>
  <c r="AW319" i="1"/>
  <c r="AY319" i="1"/>
  <c r="AW307" i="1"/>
  <c r="AY307" i="1"/>
  <c r="AW295" i="1"/>
  <c r="AY295" i="1"/>
  <c r="AW283" i="1"/>
  <c r="AY283" i="1"/>
  <c r="AW271" i="1"/>
  <c r="AY271" i="1"/>
  <c r="AW259" i="1"/>
  <c r="AY259" i="1"/>
  <c r="AW247" i="1"/>
  <c r="AY247" i="1"/>
  <c r="AW235" i="1"/>
  <c r="AY235" i="1"/>
  <c r="AW223" i="1"/>
  <c r="AY223" i="1"/>
  <c r="AW211" i="1"/>
  <c r="AY211" i="1"/>
  <c r="AW199" i="1"/>
  <c r="AY199" i="1"/>
  <c r="AW187" i="1"/>
  <c r="AY187" i="1"/>
  <c r="AW175" i="1"/>
  <c r="AY175" i="1"/>
  <c r="AW163" i="1"/>
  <c r="AY163" i="1"/>
  <c r="AW151" i="1"/>
  <c r="AY151" i="1"/>
  <c r="AW139" i="1"/>
  <c r="AY139" i="1"/>
  <c r="AW127" i="1"/>
  <c r="AY127" i="1"/>
  <c r="AW115" i="1"/>
  <c r="AY115" i="1"/>
  <c r="AW103" i="1"/>
  <c r="AY103" i="1"/>
  <c r="AW91" i="1"/>
  <c r="AY91" i="1"/>
  <c r="AW79" i="1"/>
  <c r="AY79" i="1"/>
  <c r="AW67" i="1"/>
  <c r="AY67" i="1"/>
  <c r="AW55" i="1"/>
  <c r="AY55" i="1"/>
  <c r="AW43" i="1"/>
  <c r="AY43" i="1"/>
  <c r="AW31" i="1"/>
  <c r="AY31" i="1"/>
  <c r="AW19" i="1"/>
  <c r="AY19" i="1"/>
  <c r="AW7" i="1"/>
  <c r="AY7" i="1"/>
  <c r="AY1095" i="1"/>
  <c r="AY1083" i="1"/>
  <c r="AY1071" i="1"/>
  <c r="AY1059" i="1"/>
  <c r="AY1047" i="1"/>
  <c r="AY1035" i="1"/>
  <c r="AY1023" i="1"/>
  <c r="AY997" i="1"/>
  <c r="AY983" i="1"/>
  <c r="AY970" i="1"/>
  <c r="AY957" i="1"/>
  <c r="AY944" i="1"/>
  <c r="AY931" i="1"/>
  <c r="AY918" i="1"/>
  <c r="AY905" i="1"/>
  <c r="AY892" i="1"/>
  <c r="AY879" i="1"/>
  <c r="AY853" i="1"/>
  <c r="AY839" i="1"/>
  <c r="AY826" i="1"/>
  <c r="AY813" i="1"/>
  <c r="AY800" i="1"/>
  <c r="AY787" i="1"/>
  <c r="AY741" i="1"/>
  <c r="AY711" i="1"/>
  <c r="AY685" i="1"/>
  <c r="AY656" i="1"/>
  <c r="AY597" i="1"/>
  <c r="AY565" i="1"/>
  <c r="AY529" i="1"/>
  <c r="AY493" i="1"/>
  <c r="AY457" i="1"/>
  <c r="AY421" i="1"/>
  <c r="AY385" i="1"/>
  <c r="AY349" i="1"/>
  <c r="AY309" i="1"/>
  <c r="AY261" i="1"/>
  <c r="AY213" i="1"/>
  <c r="AY165" i="1"/>
  <c r="AY117" i="1"/>
  <c r="AY69" i="1"/>
  <c r="AY21" i="1"/>
  <c r="AW730" i="1"/>
  <c r="AY730" i="1"/>
  <c r="AW634" i="1"/>
  <c r="AY634" i="1"/>
  <c r="AW562" i="1"/>
  <c r="AY562" i="1"/>
  <c r="AW490" i="1"/>
  <c r="AY490" i="1"/>
  <c r="AW382" i="1"/>
  <c r="AY382" i="1"/>
  <c r="AW154" i="1"/>
  <c r="AY154" i="1"/>
  <c r="AW774" i="1"/>
  <c r="AY774" i="1"/>
  <c r="AW762" i="1"/>
  <c r="AY762" i="1"/>
  <c r="AW750" i="1"/>
  <c r="AY750" i="1"/>
  <c r="AW738" i="1"/>
  <c r="AY738" i="1"/>
  <c r="AW726" i="1"/>
  <c r="AY726" i="1"/>
  <c r="AW714" i="1"/>
  <c r="AY714" i="1"/>
  <c r="AW702" i="1"/>
  <c r="AY702" i="1"/>
  <c r="AW690" i="1"/>
  <c r="AY690" i="1"/>
  <c r="AW678" i="1"/>
  <c r="AY678" i="1"/>
  <c r="AW666" i="1"/>
  <c r="AY666" i="1"/>
  <c r="AW654" i="1"/>
  <c r="AY654" i="1"/>
  <c r="AW642" i="1"/>
  <c r="AY642" i="1"/>
  <c r="AW630" i="1"/>
  <c r="AY630" i="1"/>
  <c r="AW618" i="1"/>
  <c r="AY618" i="1"/>
  <c r="AW606" i="1"/>
  <c r="AY606" i="1"/>
  <c r="AW594" i="1"/>
  <c r="AY594" i="1"/>
  <c r="AW582" i="1"/>
  <c r="AY582" i="1"/>
  <c r="AW570" i="1"/>
  <c r="AY570" i="1"/>
  <c r="AW558" i="1"/>
  <c r="AY558" i="1"/>
  <c r="AW546" i="1"/>
  <c r="AY546" i="1"/>
  <c r="AW534" i="1"/>
  <c r="AY534" i="1"/>
  <c r="AW522" i="1"/>
  <c r="AY522" i="1"/>
  <c r="AW510" i="1"/>
  <c r="AY510" i="1"/>
  <c r="AW498" i="1"/>
  <c r="AY498" i="1"/>
  <c r="AW486" i="1"/>
  <c r="AY486" i="1"/>
  <c r="AW474" i="1"/>
  <c r="AY474" i="1"/>
  <c r="AW462" i="1"/>
  <c r="AY462" i="1"/>
  <c r="AW450" i="1"/>
  <c r="AY450" i="1"/>
  <c r="AW438" i="1"/>
  <c r="AY438" i="1"/>
  <c r="AW426" i="1"/>
  <c r="AY426" i="1"/>
  <c r="AW414" i="1"/>
  <c r="AY414" i="1"/>
  <c r="AW402" i="1"/>
  <c r="AY402" i="1"/>
  <c r="AW390" i="1"/>
  <c r="AY390" i="1"/>
  <c r="AW378" i="1"/>
  <c r="AY378" i="1"/>
  <c r="AW366" i="1"/>
  <c r="AY366" i="1"/>
  <c r="AW354" i="1"/>
  <c r="AY354" i="1"/>
  <c r="AW342" i="1"/>
  <c r="AY342" i="1"/>
  <c r="AW330" i="1"/>
  <c r="AY330" i="1"/>
  <c r="AW318" i="1"/>
  <c r="AY318" i="1"/>
  <c r="AW306" i="1"/>
  <c r="AY306" i="1"/>
  <c r="AW294" i="1"/>
  <c r="AY294" i="1"/>
  <c r="AW282" i="1"/>
  <c r="AY282" i="1"/>
  <c r="AW270" i="1"/>
  <c r="AY270" i="1"/>
  <c r="AW258" i="1"/>
  <c r="AY258" i="1"/>
  <c r="AW246" i="1"/>
  <c r="AY246" i="1"/>
  <c r="AW234" i="1"/>
  <c r="AY234" i="1"/>
  <c r="AW222" i="1"/>
  <c r="AY222" i="1"/>
  <c r="AW210" i="1"/>
  <c r="AY210" i="1"/>
  <c r="AW198" i="1"/>
  <c r="AY198" i="1"/>
  <c r="AW186" i="1"/>
  <c r="AY186" i="1"/>
  <c r="AW174" i="1"/>
  <c r="AY174" i="1"/>
  <c r="AW162" i="1"/>
  <c r="AY162" i="1"/>
  <c r="AW150" i="1"/>
  <c r="AY150" i="1"/>
  <c r="AW138" i="1"/>
  <c r="AY138" i="1"/>
  <c r="AW126" i="1"/>
  <c r="AY126" i="1"/>
  <c r="AW114" i="1"/>
  <c r="AY114" i="1"/>
  <c r="AW102" i="1"/>
  <c r="AY102" i="1"/>
  <c r="AW90" i="1"/>
  <c r="AY90" i="1"/>
  <c r="AW78" i="1"/>
  <c r="AY78" i="1"/>
  <c r="AW66" i="1"/>
  <c r="AY66" i="1"/>
  <c r="AW54" i="1"/>
  <c r="AY54" i="1"/>
  <c r="AW42" i="1"/>
  <c r="AY42" i="1"/>
  <c r="AW30" i="1"/>
  <c r="AY30" i="1"/>
  <c r="AW18" i="1"/>
  <c r="AY18" i="1"/>
  <c r="AW6" i="1"/>
  <c r="AY6" i="1"/>
  <c r="AY1009" i="1"/>
  <c r="AY995" i="1"/>
  <c r="AY982" i="1"/>
  <c r="AY969" i="1"/>
  <c r="AY956" i="1"/>
  <c r="AY943" i="1"/>
  <c r="AY930" i="1"/>
  <c r="AY917" i="1"/>
  <c r="AY904" i="1"/>
  <c r="AY891" i="1"/>
  <c r="AY865" i="1"/>
  <c r="AY851" i="1"/>
  <c r="AY838" i="1"/>
  <c r="AY825" i="1"/>
  <c r="AY812" i="1"/>
  <c r="AY799" i="1"/>
  <c r="AY786" i="1"/>
  <c r="AY769" i="1"/>
  <c r="AY740" i="1"/>
  <c r="AY681" i="1"/>
  <c r="AY651" i="1"/>
  <c r="AY625" i="1"/>
  <c r="AY596" i="1"/>
  <c r="AY561" i="1"/>
  <c r="AY525" i="1"/>
  <c r="AY489" i="1"/>
  <c r="AY453" i="1"/>
  <c r="AY417" i="1"/>
  <c r="AY381" i="1"/>
  <c r="AY345" i="1"/>
  <c r="AY308" i="1"/>
  <c r="AY260" i="1"/>
  <c r="AY212" i="1"/>
  <c r="AY164" i="1"/>
  <c r="AY116" i="1"/>
  <c r="AY68" i="1"/>
  <c r="AY20" i="1"/>
  <c r="AW742" i="1"/>
  <c r="AY742" i="1"/>
  <c r="AW622" i="1"/>
  <c r="AY622" i="1"/>
  <c r="AW574" i="1"/>
  <c r="AY574" i="1"/>
  <c r="AW514" i="1"/>
  <c r="AY514" i="1"/>
  <c r="AW430" i="1"/>
  <c r="AY430" i="1"/>
  <c r="AW178" i="1"/>
  <c r="AY178" i="1"/>
  <c r="AW761" i="1"/>
  <c r="AY761" i="1"/>
  <c r="AW749" i="1"/>
  <c r="AY749" i="1"/>
  <c r="AW737" i="1"/>
  <c r="AY737" i="1"/>
  <c r="AW725" i="1"/>
  <c r="AY725" i="1"/>
  <c r="AW713" i="1"/>
  <c r="AY713" i="1"/>
  <c r="AW701" i="1"/>
  <c r="AY701" i="1"/>
  <c r="AW689" i="1"/>
  <c r="AY689" i="1"/>
  <c r="AW677" i="1"/>
  <c r="AY677" i="1"/>
  <c r="AW665" i="1"/>
  <c r="AY665" i="1"/>
  <c r="AW653" i="1"/>
  <c r="AY653" i="1"/>
  <c r="AW641" i="1"/>
  <c r="AY641" i="1"/>
  <c r="AW629" i="1"/>
  <c r="AY629" i="1"/>
  <c r="AW617" i="1"/>
  <c r="AY617" i="1"/>
  <c r="AW605" i="1"/>
  <c r="AY605" i="1"/>
  <c r="AW593" i="1"/>
  <c r="AY593" i="1"/>
  <c r="AW581" i="1"/>
  <c r="AY581" i="1"/>
  <c r="AW569" i="1"/>
  <c r="AY569" i="1"/>
  <c r="AW557" i="1"/>
  <c r="AY557" i="1"/>
  <c r="AW545" i="1"/>
  <c r="AY545" i="1"/>
  <c r="AW533" i="1"/>
  <c r="AY533" i="1"/>
  <c r="AW521" i="1"/>
  <c r="AY521" i="1"/>
  <c r="AW509" i="1"/>
  <c r="AY509" i="1"/>
  <c r="AW497" i="1"/>
  <c r="AY497" i="1"/>
  <c r="AW485" i="1"/>
  <c r="AY485" i="1"/>
  <c r="AW473" i="1"/>
  <c r="AY473" i="1"/>
  <c r="AW461" i="1"/>
  <c r="AY461" i="1"/>
  <c r="AW449" i="1"/>
  <c r="AY449" i="1"/>
  <c r="AW437" i="1"/>
  <c r="AY437" i="1"/>
  <c r="AW425" i="1"/>
  <c r="AY425" i="1"/>
  <c r="AW413" i="1"/>
  <c r="AY413" i="1"/>
  <c r="AW401" i="1"/>
  <c r="AY401" i="1"/>
  <c r="AW389" i="1"/>
  <c r="AY389" i="1"/>
  <c r="AW377" i="1"/>
  <c r="AY377" i="1"/>
  <c r="AW365" i="1"/>
  <c r="AY365" i="1"/>
  <c r="AW353" i="1"/>
  <c r="AY353" i="1"/>
  <c r="AW341" i="1"/>
  <c r="AY341" i="1"/>
  <c r="AW329" i="1"/>
  <c r="AY329" i="1"/>
  <c r="AW317" i="1"/>
  <c r="AY317" i="1"/>
  <c r="AW305" i="1"/>
  <c r="AY305" i="1"/>
  <c r="AW293" i="1"/>
  <c r="AY293" i="1"/>
  <c r="AW281" i="1"/>
  <c r="AY281" i="1"/>
  <c r="AW269" i="1"/>
  <c r="AY269" i="1"/>
  <c r="AW257" i="1"/>
  <c r="AY257" i="1"/>
  <c r="AW245" i="1"/>
  <c r="AY245" i="1"/>
  <c r="AW233" i="1"/>
  <c r="AY233" i="1"/>
  <c r="AW221" i="1"/>
  <c r="AY221" i="1"/>
  <c r="AW209" i="1"/>
  <c r="AY209" i="1"/>
  <c r="AW197" i="1"/>
  <c r="AY197" i="1"/>
  <c r="AW185" i="1"/>
  <c r="AY185" i="1"/>
  <c r="AW173" i="1"/>
  <c r="AY173" i="1"/>
  <c r="AW161" i="1"/>
  <c r="AY161" i="1"/>
  <c r="AW149" i="1"/>
  <c r="AY149" i="1"/>
  <c r="AW137" i="1"/>
  <c r="AY137" i="1"/>
  <c r="AW125" i="1"/>
  <c r="AY125" i="1"/>
  <c r="AW113" i="1"/>
  <c r="AY113" i="1"/>
  <c r="AW101" i="1"/>
  <c r="AY101" i="1"/>
  <c r="AW89" i="1"/>
  <c r="AY89" i="1"/>
  <c r="AW77" i="1"/>
  <c r="AY77" i="1"/>
  <c r="AW65" i="1"/>
  <c r="AY65" i="1"/>
  <c r="AW53" i="1"/>
  <c r="AY53" i="1"/>
  <c r="AW41" i="1"/>
  <c r="AY41" i="1"/>
  <c r="AW29" i="1"/>
  <c r="AY29" i="1"/>
  <c r="AW17" i="1"/>
  <c r="AY17" i="1"/>
  <c r="AW5" i="1"/>
  <c r="AY5" i="1"/>
  <c r="AY1093" i="1"/>
  <c r="AY1081" i="1"/>
  <c r="AY1069" i="1"/>
  <c r="AY1057" i="1"/>
  <c r="AY1045" i="1"/>
  <c r="AY1033" i="1"/>
  <c r="AY1021" i="1"/>
  <c r="AY1007" i="1"/>
  <c r="AY994" i="1"/>
  <c r="AY981" i="1"/>
  <c r="AY968" i="1"/>
  <c r="AY955" i="1"/>
  <c r="AY942" i="1"/>
  <c r="AY929" i="1"/>
  <c r="AY916" i="1"/>
  <c r="AY903" i="1"/>
  <c r="AY877" i="1"/>
  <c r="AY863" i="1"/>
  <c r="AY850" i="1"/>
  <c r="AY837" i="1"/>
  <c r="AY824" i="1"/>
  <c r="AY811" i="1"/>
  <c r="AY798" i="1"/>
  <c r="AY785" i="1"/>
  <c r="AY765" i="1"/>
  <c r="AY735" i="1"/>
  <c r="AY709" i="1"/>
  <c r="AY680" i="1"/>
  <c r="AY621" i="1"/>
  <c r="AY591" i="1"/>
  <c r="AY560" i="1"/>
  <c r="AY524" i="1"/>
  <c r="AY488" i="1"/>
  <c r="AY452" i="1"/>
  <c r="AY416" i="1"/>
  <c r="AY380" i="1"/>
  <c r="AY344" i="1"/>
  <c r="AY301" i="1"/>
  <c r="AY253" i="1"/>
  <c r="AY205" i="1"/>
  <c r="AY157" i="1"/>
  <c r="AY109" i="1"/>
  <c r="AY61" i="1"/>
  <c r="AY13" i="1"/>
  <c r="AW766" i="1"/>
  <c r="AY766" i="1"/>
  <c r="AW718" i="1"/>
  <c r="AY718" i="1"/>
  <c r="AW670" i="1"/>
  <c r="AY670" i="1"/>
  <c r="AW646" i="1"/>
  <c r="AY646" i="1"/>
  <c r="AW586" i="1"/>
  <c r="AY586" i="1"/>
  <c r="AW550" i="1"/>
  <c r="AY550" i="1"/>
  <c r="AW526" i="1"/>
  <c r="AY526" i="1"/>
  <c r="AW502" i="1"/>
  <c r="AY502" i="1"/>
  <c r="AW466" i="1"/>
  <c r="AY466" i="1"/>
  <c r="AW442" i="1"/>
  <c r="AY442" i="1"/>
  <c r="AW418" i="1"/>
  <c r="AY418" i="1"/>
  <c r="AW394" i="1"/>
  <c r="AY394" i="1"/>
  <c r="AW358" i="1"/>
  <c r="AY358" i="1"/>
  <c r="AW322" i="1"/>
  <c r="AY322" i="1"/>
  <c r="AW298" i="1"/>
  <c r="AY298" i="1"/>
  <c r="AW286" i="1"/>
  <c r="AY286" i="1"/>
  <c r="AW262" i="1"/>
  <c r="AY262" i="1"/>
  <c r="AW250" i="1"/>
  <c r="AY250" i="1"/>
  <c r="AW238" i="1"/>
  <c r="AY238" i="1"/>
  <c r="AW202" i="1"/>
  <c r="AY202" i="1"/>
  <c r="AW190" i="1"/>
  <c r="AY190" i="1"/>
  <c r="AW166" i="1"/>
  <c r="AY166" i="1"/>
  <c r="AW142" i="1"/>
  <c r="AY142" i="1"/>
  <c r="AW118" i="1"/>
  <c r="AY118" i="1"/>
  <c r="AW106" i="1"/>
  <c r="AY106" i="1"/>
  <c r="AW94" i="1"/>
  <c r="AY94" i="1"/>
  <c r="AW82" i="1"/>
  <c r="AY82" i="1"/>
  <c r="AW70" i="1"/>
  <c r="AY70" i="1"/>
  <c r="AW58" i="1"/>
  <c r="AY58" i="1"/>
  <c r="AW46" i="1"/>
  <c r="AY46" i="1"/>
  <c r="AW34" i="1"/>
  <c r="AY34" i="1"/>
  <c r="AW22" i="1"/>
  <c r="AY22" i="1"/>
  <c r="AW10" i="1"/>
  <c r="AY10" i="1"/>
  <c r="AY934" i="1"/>
  <c r="AY790" i="1"/>
  <c r="AW760" i="1"/>
  <c r="AY760" i="1"/>
  <c r="AW748" i="1"/>
  <c r="AY748" i="1"/>
  <c r="AW736" i="1"/>
  <c r="AY736" i="1"/>
  <c r="AW724" i="1"/>
  <c r="AY724" i="1"/>
  <c r="AW712" i="1"/>
  <c r="AY712" i="1"/>
  <c r="AW700" i="1"/>
  <c r="AY700" i="1"/>
  <c r="AW688" i="1"/>
  <c r="AY688" i="1"/>
  <c r="AW676" i="1"/>
  <c r="AY676" i="1"/>
  <c r="AW664" i="1"/>
  <c r="AY664" i="1"/>
  <c r="AW652" i="1"/>
  <c r="AY652" i="1"/>
  <c r="AW640" i="1"/>
  <c r="AY640" i="1"/>
  <c r="AW628" i="1"/>
  <c r="AY628" i="1"/>
  <c r="AW616" i="1"/>
  <c r="AY616" i="1"/>
  <c r="AW604" i="1"/>
  <c r="AY604" i="1"/>
  <c r="AW592" i="1"/>
  <c r="AY592" i="1"/>
  <c r="AW580" i="1"/>
  <c r="AY580" i="1"/>
  <c r="AW568" i="1"/>
  <c r="AY568" i="1"/>
  <c r="AW556" i="1"/>
  <c r="AY556" i="1"/>
  <c r="AW544" i="1"/>
  <c r="AY544" i="1"/>
  <c r="AW532" i="1"/>
  <c r="AY532" i="1"/>
  <c r="AW520" i="1"/>
  <c r="AY520" i="1"/>
  <c r="AW508" i="1"/>
  <c r="AY508" i="1"/>
  <c r="AW496" i="1"/>
  <c r="AY496" i="1"/>
  <c r="AW484" i="1"/>
  <c r="AY484" i="1"/>
  <c r="AW472" i="1"/>
  <c r="AY472" i="1"/>
  <c r="AW460" i="1"/>
  <c r="AY460" i="1"/>
  <c r="AW448" i="1"/>
  <c r="AY448" i="1"/>
  <c r="AW436" i="1"/>
  <c r="AY436" i="1"/>
  <c r="AW424" i="1"/>
  <c r="AY424" i="1"/>
  <c r="AW412" i="1"/>
  <c r="AY412" i="1"/>
  <c r="AW400" i="1"/>
  <c r="AY400" i="1"/>
  <c r="AW388" i="1"/>
  <c r="AY388" i="1"/>
  <c r="AW376" i="1"/>
  <c r="AY376" i="1"/>
  <c r="AW364" i="1"/>
  <c r="AY364" i="1"/>
  <c r="AW352" i="1"/>
  <c r="AY352" i="1"/>
  <c r="AW340" i="1"/>
  <c r="AY340" i="1"/>
  <c r="AW328" i="1"/>
  <c r="AY328" i="1"/>
  <c r="AW316" i="1"/>
  <c r="AY316" i="1"/>
  <c r="AW304" i="1"/>
  <c r="AY304" i="1"/>
  <c r="AW292" i="1"/>
  <c r="AY292" i="1"/>
  <c r="AW280" i="1"/>
  <c r="AY280" i="1"/>
  <c r="AW268" i="1"/>
  <c r="AY268" i="1"/>
  <c r="AW256" i="1"/>
  <c r="AY256" i="1"/>
  <c r="AW244" i="1"/>
  <c r="AY244" i="1"/>
  <c r="AW232" i="1"/>
  <c r="AY232" i="1"/>
  <c r="AW220" i="1"/>
  <c r="AY220" i="1"/>
  <c r="AW208" i="1"/>
  <c r="AY208" i="1"/>
  <c r="AW196" i="1"/>
  <c r="AY196" i="1"/>
  <c r="AW184" i="1"/>
  <c r="AY184" i="1"/>
  <c r="AW172" i="1"/>
  <c r="AY172" i="1"/>
  <c r="AW160" i="1"/>
  <c r="AY160" i="1"/>
  <c r="AW148" i="1"/>
  <c r="AY148" i="1"/>
  <c r="AW136" i="1"/>
  <c r="AY136" i="1"/>
  <c r="AW124" i="1"/>
  <c r="AY124" i="1"/>
  <c r="AW112" i="1"/>
  <c r="AY112" i="1"/>
  <c r="AW100" i="1"/>
  <c r="AY100" i="1"/>
  <c r="AW88" i="1"/>
  <c r="AY88" i="1"/>
  <c r="AW76" i="1"/>
  <c r="AY76" i="1"/>
  <c r="AW64" i="1"/>
  <c r="AY64" i="1"/>
  <c r="AW52" i="1"/>
  <c r="AY52" i="1"/>
  <c r="AW40" i="1"/>
  <c r="AY40" i="1"/>
  <c r="AW28" i="1"/>
  <c r="AY28" i="1"/>
  <c r="AW16" i="1"/>
  <c r="AY16" i="1"/>
  <c r="AW4" i="1"/>
  <c r="AY4" i="1"/>
  <c r="AY1092" i="1"/>
  <c r="AY1080" i="1"/>
  <c r="AY1068" i="1"/>
  <c r="AY1056" i="1"/>
  <c r="AY1044" i="1"/>
  <c r="AY1032" i="1"/>
  <c r="AY1019" i="1"/>
  <c r="AY1006" i="1"/>
  <c r="AY993" i="1"/>
  <c r="AY980" i="1"/>
  <c r="AY967" i="1"/>
  <c r="AY954" i="1"/>
  <c r="AY941" i="1"/>
  <c r="AY928" i="1"/>
  <c r="AY915" i="1"/>
  <c r="AY889" i="1"/>
  <c r="AY875" i="1"/>
  <c r="AY862" i="1"/>
  <c r="AY849" i="1"/>
  <c r="AY836" i="1"/>
  <c r="AY823" i="1"/>
  <c r="AY810" i="1"/>
  <c r="AY797" i="1"/>
  <c r="AY784" i="1"/>
  <c r="AY764" i="1"/>
  <c r="AY705" i="1"/>
  <c r="AY675" i="1"/>
  <c r="AY649" i="1"/>
  <c r="AY620" i="1"/>
  <c r="AY555" i="1"/>
  <c r="AY519" i="1"/>
  <c r="AY483" i="1"/>
  <c r="AY447" i="1"/>
  <c r="AY411" i="1"/>
  <c r="AY375" i="1"/>
  <c r="AY339" i="1"/>
  <c r="AY297" i="1"/>
  <c r="AY249" i="1"/>
  <c r="AY201" i="1"/>
  <c r="AY153" i="1"/>
  <c r="AY57" i="1"/>
  <c r="AY9" i="1"/>
  <c r="AW754" i="1"/>
  <c r="AY754" i="1"/>
  <c r="AW658" i="1"/>
  <c r="AY658" i="1"/>
  <c r="AW598" i="1"/>
  <c r="AY598" i="1"/>
  <c r="AW478" i="1"/>
  <c r="AY478" i="1"/>
  <c r="AW214" i="1"/>
  <c r="AY214" i="1"/>
  <c r="AW315" i="1"/>
  <c r="AY315" i="1"/>
  <c r="AW303" i="1"/>
  <c r="AY303" i="1"/>
  <c r="AW291" i="1"/>
  <c r="AY291" i="1"/>
  <c r="AW279" i="1"/>
  <c r="AY279" i="1"/>
  <c r="AW267" i="1"/>
  <c r="AY267" i="1"/>
  <c r="AW255" i="1"/>
  <c r="AY255" i="1"/>
  <c r="AW243" i="1"/>
  <c r="AY243" i="1"/>
  <c r="AW231" i="1"/>
  <c r="AY231" i="1"/>
  <c r="AW219" i="1"/>
  <c r="AY219" i="1"/>
  <c r="AW207" i="1"/>
  <c r="AY207" i="1"/>
  <c r="AW195" i="1"/>
  <c r="AY195" i="1"/>
  <c r="AW183" i="1"/>
  <c r="AY183" i="1"/>
  <c r="AW171" i="1"/>
  <c r="AY171" i="1"/>
  <c r="AW159" i="1"/>
  <c r="AY159" i="1"/>
  <c r="AW147" i="1"/>
  <c r="AY147" i="1"/>
  <c r="AW135" i="1"/>
  <c r="AY135" i="1"/>
  <c r="AW123" i="1"/>
  <c r="AY123" i="1"/>
  <c r="AW111" i="1"/>
  <c r="AY111" i="1"/>
  <c r="AW99" i="1"/>
  <c r="AY99" i="1"/>
  <c r="AW87" i="1"/>
  <c r="AY87" i="1"/>
  <c r="AW75" i="1"/>
  <c r="AY75" i="1"/>
  <c r="AW63" i="1"/>
  <c r="AY63" i="1"/>
  <c r="AW51" i="1"/>
  <c r="AY51" i="1"/>
  <c r="AW39" i="1"/>
  <c r="AY39" i="1"/>
  <c r="AW27" i="1"/>
  <c r="AY27" i="1"/>
  <c r="AW15" i="1"/>
  <c r="AY15" i="1"/>
  <c r="AW3" i="1"/>
  <c r="AY3" i="1"/>
  <c r="AY1091" i="1"/>
  <c r="AY1079" i="1"/>
  <c r="AY1067" i="1"/>
  <c r="AY1055" i="1"/>
  <c r="AY1043" i="1"/>
  <c r="AY1031" i="1"/>
  <c r="AY1018" i="1"/>
  <c r="AY1005" i="1"/>
  <c r="AY992" i="1"/>
  <c r="AY979" i="1"/>
  <c r="AY966" i="1"/>
  <c r="AY953" i="1"/>
  <c r="AY940" i="1"/>
  <c r="AY927" i="1"/>
  <c r="AY901" i="1"/>
  <c r="AY887" i="1"/>
  <c r="AY874" i="1"/>
  <c r="AY861" i="1"/>
  <c r="AY848" i="1"/>
  <c r="AY835" i="1"/>
  <c r="AY822" i="1"/>
  <c r="AY809" i="1"/>
  <c r="AY796" i="1"/>
  <c r="AY783" i="1"/>
  <c r="AY759" i="1"/>
  <c r="AY733" i="1"/>
  <c r="AY704" i="1"/>
  <c r="AY645" i="1"/>
  <c r="AY615" i="1"/>
  <c r="AY589" i="1"/>
  <c r="AY553" i="1"/>
  <c r="AY517" i="1"/>
  <c r="AY481" i="1"/>
  <c r="AY445" i="1"/>
  <c r="AY409" i="1"/>
  <c r="AY373" i="1"/>
  <c r="AY337" i="1"/>
  <c r="AY296" i="1"/>
  <c r="AY248" i="1"/>
  <c r="AY200" i="1"/>
  <c r="AY152" i="1"/>
  <c r="AY104" i="1"/>
  <c r="AY56" i="1"/>
  <c r="AY8" i="1"/>
  <c r="AT331" i="1"/>
  <c r="AU113" i="1"/>
  <c r="AU53" i="1"/>
  <c r="AU42" i="1"/>
  <c r="AU389" i="1"/>
  <c r="AU306" i="1"/>
  <c r="AU197" i="1"/>
  <c r="AU816" i="1"/>
  <c r="AU514" i="1"/>
  <c r="AU186" i="1"/>
  <c r="AU409" i="1"/>
  <c r="AU205" i="1"/>
  <c r="AT276" i="1"/>
  <c r="AU731" i="1"/>
  <c r="AU371" i="1"/>
  <c r="AT192" i="1"/>
  <c r="AU718" i="1"/>
  <c r="AU361" i="1"/>
  <c r="AU185" i="1"/>
  <c r="AU41" i="1"/>
  <c r="AT277" i="1"/>
  <c r="AT120" i="1"/>
  <c r="AU689" i="1"/>
  <c r="AU144" i="1"/>
  <c r="AU732" i="1"/>
  <c r="AU673" i="1"/>
  <c r="AU289" i="1"/>
  <c r="AU143" i="1"/>
  <c r="AU1037" i="1"/>
  <c r="AU564" i="1"/>
  <c r="AU288" i="1"/>
  <c r="AU133" i="1"/>
  <c r="AU61" i="1"/>
  <c r="AU989" i="1"/>
  <c r="AU563" i="1"/>
  <c r="AU121" i="1"/>
  <c r="AU956" i="1"/>
  <c r="AU529" i="1"/>
  <c r="AU269" i="1"/>
  <c r="AU869" i="1"/>
  <c r="AU265" i="1"/>
  <c r="AU839" i="1"/>
  <c r="AU421" i="1"/>
  <c r="AU227" i="1"/>
  <c r="AU73" i="1"/>
  <c r="AU817" i="1"/>
  <c r="AU413" i="1"/>
  <c r="AU217" i="1"/>
  <c r="AU72" i="1"/>
  <c r="AU1025" i="1"/>
  <c r="AU853" i="1"/>
  <c r="AU1020" i="1"/>
  <c r="AU546" i="1"/>
  <c r="AU990" i="1"/>
  <c r="AU833" i="1"/>
  <c r="AU695" i="1"/>
  <c r="AU533" i="1"/>
  <c r="AU390" i="1"/>
  <c r="AU287" i="1"/>
  <c r="AU204" i="1"/>
  <c r="AU125" i="1"/>
  <c r="AU60" i="1"/>
  <c r="AU954" i="1"/>
  <c r="AU803" i="1"/>
  <c r="AU642" i="1"/>
  <c r="AU498" i="1"/>
  <c r="AT865" i="1"/>
  <c r="AT48" i="1"/>
  <c r="AU941" i="1"/>
  <c r="AU802" i="1"/>
  <c r="AU629" i="1"/>
  <c r="AU481" i="1"/>
  <c r="AU349" i="1"/>
  <c r="AU258" i="1"/>
  <c r="AU174" i="1"/>
  <c r="AU102" i="1"/>
  <c r="AU30" i="1"/>
  <c r="AT709" i="1"/>
  <c r="AU1080" i="1"/>
  <c r="AU920" i="1"/>
  <c r="AU797" i="1"/>
  <c r="AU611" i="1"/>
  <c r="AU466" i="1"/>
  <c r="AU330" i="1"/>
  <c r="AU257" i="1"/>
  <c r="AU167" i="1"/>
  <c r="AU101" i="1"/>
  <c r="AU23" i="1"/>
  <c r="AT504" i="1"/>
  <c r="AU1079" i="1"/>
  <c r="AU918" i="1"/>
  <c r="AU781" i="1"/>
  <c r="AU610" i="1"/>
  <c r="AU450" i="1"/>
  <c r="AU329" i="1"/>
  <c r="AU246" i="1"/>
  <c r="AU162" i="1"/>
  <c r="AU95" i="1"/>
  <c r="AU18" i="1"/>
  <c r="AT493" i="1"/>
  <c r="AU1054" i="1"/>
  <c r="AU905" i="1"/>
  <c r="AU761" i="1"/>
  <c r="AU594" i="1"/>
  <c r="AU449" i="1"/>
  <c r="AU318" i="1"/>
  <c r="AU245" i="1"/>
  <c r="AU155" i="1"/>
  <c r="AU84" i="1"/>
  <c r="AU12" i="1"/>
  <c r="AT334" i="1"/>
  <c r="AU1050" i="1"/>
  <c r="AU888" i="1"/>
  <c r="AU738" i="1"/>
  <c r="AU577" i="1"/>
  <c r="AU433" i="1"/>
  <c r="AU311" i="1"/>
  <c r="AU228" i="1"/>
  <c r="AU145" i="1"/>
  <c r="AU83" i="1"/>
  <c r="AU11" i="1"/>
  <c r="AT1077" i="1"/>
  <c r="AU1077" i="1"/>
  <c r="AT1065" i="1"/>
  <c r="AU1065" i="1"/>
  <c r="AT1029" i="1"/>
  <c r="AU1029" i="1"/>
  <c r="AT909" i="1"/>
  <c r="AU909" i="1"/>
  <c r="AT885" i="1"/>
  <c r="AU885" i="1"/>
  <c r="AT765" i="1"/>
  <c r="AU765" i="1"/>
  <c r="AT693" i="1"/>
  <c r="AU693" i="1"/>
  <c r="AT621" i="1"/>
  <c r="AU621" i="1"/>
  <c r="AT585" i="1"/>
  <c r="AU585" i="1"/>
  <c r="AT561" i="1"/>
  <c r="AU561" i="1"/>
  <c r="AT525" i="1"/>
  <c r="AU525" i="1"/>
  <c r="AT489" i="1"/>
  <c r="AU489" i="1"/>
  <c r="AT465" i="1"/>
  <c r="AU465" i="1"/>
  <c r="AT429" i="1"/>
  <c r="AU429" i="1"/>
  <c r="AT405" i="1"/>
  <c r="AU405" i="1"/>
  <c r="AT333" i="1"/>
  <c r="AU333" i="1"/>
  <c r="AT297" i="1"/>
  <c r="AU297" i="1"/>
  <c r="AT213" i="1"/>
  <c r="AU213" i="1"/>
  <c r="AT177" i="1"/>
  <c r="AU177" i="1"/>
  <c r="AT153" i="1"/>
  <c r="AU153" i="1"/>
  <c r="AT117" i="1"/>
  <c r="AU117" i="1"/>
  <c r="AT45" i="1"/>
  <c r="AU45" i="1"/>
  <c r="AT9" i="1"/>
  <c r="AU9" i="1"/>
  <c r="AT1100" i="1"/>
  <c r="AU1100" i="1"/>
  <c r="AT1088" i="1"/>
  <c r="AU1088" i="1"/>
  <c r="AT1064" i="1"/>
  <c r="AU1064" i="1"/>
  <c r="AT1040" i="1"/>
  <c r="AU1040" i="1"/>
  <c r="AT1016" i="1"/>
  <c r="AU1016" i="1"/>
  <c r="AT980" i="1"/>
  <c r="AU980" i="1"/>
  <c r="AT968" i="1"/>
  <c r="AU968" i="1"/>
  <c r="AT944" i="1"/>
  <c r="AU944" i="1"/>
  <c r="AT896" i="1"/>
  <c r="AU896" i="1"/>
  <c r="AT872" i="1"/>
  <c r="AU872" i="1"/>
  <c r="AT836" i="1"/>
  <c r="AU836" i="1"/>
  <c r="AT824" i="1"/>
  <c r="AU824" i="1"/>
  <c r="AT764" i="1"/>
  <c r="AU764" i="1"/>
  <c r="AT740" i="1"/>
  <c r="AU740" i="1"/>
  <c r="AT692" i="1"/>
  <c r="AU692" i="1"/>
  <c r="AT680" i="1"/>
  <c r="AU680" i="1"/>
  <c r="AT656" i="1"/>
  <c r="AU656" i="1"/>
  <c r="AT632" i="1"/>
  <c r="AU632" i="1"/>
  <c r="AT572" i="1"/>
  <c r="AU572" i="1"/>
  <c r="AT560" i="1"/>
  <c r="AU560" i="1"/>
  <c r="AT536" i="1"/>
  <c r="AU536" i="1"/>
  <c r="AT488" i="1"/>
  <c r="AU488" i="1"/>
  <c r="AT464" i="1"/>
  <c r="AU464" i="1"/>
  <c r="AT440" i="1"/>
  <c r="AU440" i="1"/>
  <c r="AT416" i="1"/>
  <c r="AU416" i="1"/>
  <c r="AT392" i="1"/>
  <c r="AU392" i="1"/>
  <c r="AT368" i="1"/>
  <c r="AU368" i="1"/>
  <c r="AT344" i="1"/>
  <c r="AU344" i="1"/>
  <c r="AT332" i="1"/>
  <c r="AU332" i="1"/>
  <c r="AT296" i="1"/>
  <c r="AU296" i="1"/>
  <c r="AT272" i="1"/>
  <c r="AU272" i="1"/>
  <c r="AT248" i="1"/>
  <c r="AU248" i="1"/>
  <c r="AT224" i="1"/>
  <c r="AU224" i="1"/>
  <c r="AT200" i="1"/>
  <c r="AU200" i="1"/>
  <c r="AT176" i="1"/>
  <c r="AU176" i="1"/>
  <c r="AT152" i="1"/>
  <c r="AU152" i="1"/>
  <c r="AT116" i="1"/>
  <c r="AU116" i="1"/>
  <c r="AT92" i="1"/>
  <c r="AU92" i="1"/>
  <c r="AT68" i="1"/>
  <c r="AU68" i="1"/>
  <c r="AT44" i="1"/>
  <c r="AU44" i="1"/>
  <c r="AT32" i="1"/>
  <c r="AU32" i="1"/>
  <c r="AT8" i="1"/>
  <c r="AU8" i="1"/>
  <c r="AU884" i="1"/>
  <c r="AU848" i="1"/>
  <c r="AU776" i="1"/>
  <c r="AU501" i="1"/>
  <c r="AU369" i="1"/>
  <c r="AT1099" i="1"/>
  <c r="AU1099" i="1"/>
  <c r="AT1087" i="1"/>
  <c r="AU1087" i="1"/>
  <c r="AT1075" i="1"/>
  <c r="AU1075" i="1"/>
  <c r="AT1063" i="1"/>
  <c r="AU1063" i="1"/>
  <c r="AT1051" i="1"/>
  <c r="AU1051" i="1"/>
  <c r="AT1039" i="1"/>
  <c r="AU1039" i="1"/>
  <c r="AT1027" i="1"/>
  <c r="AU1027" i="1"/>
  <c r="AT1015" i="1"/>
  <c r="AU1015" i="1"/>
  <c r="AT1003" i="1"/>
  <c r="AU1003" i="1"/>
  <c r="AT991" i="1"/>
  <c r="AU991" i="1"/>
  <c r="AT979" i="1"/>
  <c r="AU979" i="1"/>
  <c r="AT967" i="1"/>
  <c r="AU967" i="1"/>
  <c r="AT955" i="1"/>
  <c r="AU955" i="1"/>
  <c r="AT943" i="1"/>
  <c r="AU943" i="1"/>
  <c r="AT931" i="1"/>
  <c r="AU931" i="1"/>
  <c r="AT919" i="1"/>
  <c r="AU919" i="1"/>
  <c r="AT907" i="1"/>
  <c r="AU907" i="1"/>
  <c r="AT895" i="1"/>
  <c r="AU895" i="1"/>
  <c r="AT883" i="1"/>
  <c r="AU883" i="1"/>
  <c r="AT871" i="1"/>
  <c r="AU871" i="1"/>
  <c r="AT859" i="1"/>
  <c r="AU859" i="1"/>
  <c r="AT847" i="1"/>
  <c r="AU847" i="1"/>
  <c r="AU835" i="1"/>
  <c r="AT835" i="1"/>
  <c r="AT823" i="1"/>
  <c r="AU823" i="1"/>
  <c r="AT811" i="1"/>
  <c r="AU811" i="1"/>
  <c r="AT799" i="1"/>
  <c r="AU799" i="1"/>
  <c r="AT787" i="1"/>
  <c r="AU787" i="1"/>
  <c r="AT775" i="1"/>
  <c r="AU775" i="1"/>
  <c r="AT763" i="1"/>
  <c r="AU763" i="1"/>
  <c r="AT751" i="1"/>
  <c r="AU751" i="1"/>
  <c r="AU739" i="1"/>
  <c r="AT739" i="1"/>
  <c r="AT727" i="1"/>
  <c r="AU727" i="1"/>
  <c r="AT715" i="1"/>
  <c r="AU715" i="1"/>
  <c r="AT703" i="1"/>
  <c r="AU703" i="1"/>
  <c r="AT691" i="1"/>
  <c r="AU691" i="1"/>
  <c r="AT679" i="1"/>
  <c r="AU679" i="1"/>
  <c r="AT667" i="1"/>
  <c r="AU667" i="1"/>
  <c r="AT655" i="1"/>
  <c r="AU655" i="1"/>
  <c r="AT643" i="1"/>
  <c r="AU643" i="1"/>
  <c r="AT631" i="1"/>
  <c r="AU631" i="1"/>
  <c r="AT619" i="1"/>
  <c r="AU619" i="1"/>
  <c r="AU607" i="1"/>
  <c r="AT607" i="1"/>
  <c r="AT595" i="1"/>
  <c r="AU595" i="1"/>
  <c r="AT583" i="1"/>
  <c r="AU583" i="1"/>
  <c r="AT571" i="1"/>
  <c r="AU571" i="1"/>
  <c r="AT559" i="1"/>
  <c r="AU559" i="1"/>
  <c r="AT547" i="1"/>
  <c r="AU547" i="1"/>
  <c r="AT535" i="1"/>
  <c r="AU535" i="1"/>
  <c r="AT523" i="1"/>
  <c r="AU523" i="1"/>
  <c r="AT511" i="1"/>
  <c r="AU511" i="1"/>
  <c r="AT499" i="1"/>
  <c r="AU499" i="1"/>
  <c r="AT487" i="1"/>
  <c r="AU487" i="1"/>
  <c r="AT475" i="1"/>
  <c r="AU475" i="1"/>
  <c r="AT463" i="1"/>
  <c r="AU463" i="1"/>
  <c r="AT864" i="1"/>
  <c r="AT434" i="1"/>
  <c r="AU1078" i="1"/>
  <c r="AU1049" i="1"/>
  <c r="AU1019" i="1"/>
  <c r="AU984" i="1"/>
  <c r="AU948" i="1"/>
  <c r="AU917" i="1"/>
  <c r="AU882" i="1"/>
  <c r="AU846" i="1"/>
  <c r="AU812" i="1"/>
  <c r="AU774" i="1"/>
  <c r="AU688" i="1"/>
  <c r="AU627" i="1"/>
  <c r="AU500" i="1"/>
  <c r="AU432" i="1"/>
  <c r="AU165" i="1"/>
  <c r="AU105" i="1"/>
  <c r="AT1014" i="1"/>
  <c r="AU1014" i="1"/>
  <c r="AT1002" i="1"/>
  <c r="AU1002" i="1"/>
  <c r="AT978" i="1"/>
  <c r="AU978" i="1"/>
  <c r="AT966" i="1"/>
  <c r="AU966" i="1"/>
  <c r="AT942" i="1"/>
  <c r="AU942" i="1"/>
  <c r="AT930" i="1"/>
  <c r="AU930" i="1"/>
  <c r="AT906" i="1"/>
  <c r="AU906" i="1"/>
  <c r="AT894" i="1"/>
  <c r="AU894" i="1"/>
  <c r="AT870" i="1"/>
  <c r="AU870" i="1"/>
  <c r="AT858" i="1"/>
  <c r="AU858" i="1"/>
  <c r="AT834" i="1"/>
  <c r="AU834" i="1"/>
  <c r="AT822" i="1"/>
  <c r="AU822" i="1"/>
  <c r="AT798" i="1"/>
  <c r="AU798" i="1"/>
  <c r="AT786" i="1"/>
  <c r="AU786" i="1"/>
  <c r="AT762" i="1"/>
  <c r="AU762" i="1"/>
  <c r="AT750" i="1"/>
  <c r="AU750" i="1"/>
  <c r="AT726" i="1"/>
  <c r="AU726" i="1"/>
  <c r="AT714" i="1"/>
  <c r="AU714" i="1"/>
  <c r="AT690" i="1"/>
  <c r="AU690" i="1"/>
  <c r="AT678" i="1"/>
  <c r="AU678" i="1"/>
  <c r="AT666" i="1"/>
  <c r="AU666" i="1"/>
  <c r="AT654" i="1"/>
  <c r="AU654" i="1"/>
  <c r="AT630" i="1"/>
  <c r="AU630" i="1"/>
  <c r="AT618" i="1"/>
  <c r="AU618" i="1"/>
  <c r="AT606" i="1"/>
  <c r="AU606" i="1"/>
  <c r="AT582" i="1"/>
  <c r="AU582" i="1"/>
  <c r="AT570" i="1"/>
  <c r="AU570" i="1"/>
  <c r="AT558" i="1"/>
  <c r="AU558" i="1"/>
  <c r="AT534" i="1"/>
  <c r="AU534" i="1"/>
  <c r="AT420" i="1"/>
  <c r="AT57" i="1"/>
  <c r="AU1074" i="1"/>
  <c r="AU1044" i="1"/>
  <c r="AU1018" i="1"/>
  <c r="AU983" i="1"/>
  <c r="AU947" i="1"/>
  <c r="AU912" i="1"/>
  <c r="AU876" i="1"/>
  <c r="AU845" i="1"/>
  <c r="AU810" i="1"/>
  <c r="AU773" i="1"/>
  <c r="AU730" i="1"/>
  <c r="AU687" i="1"/>
  <c r="AU625" i="1"/>
  <c r="AU562" i="1"/>
  <c r="AU431" i="1"/>
  <c r="AU351" i="1"/>
  <c r="AU225" i="1"/>
  <c r="AT1101" i="1"/>
  <c r="AU1101" i="1"/>
  <c r="AT1053" i="1"/>
  <c r="AU1053" i="1"/>
  <c r="AT1017" i="1"/>
  <c r="AU1017" i="1"/>
  <c r="AT993" i="1"/>
  <c r="AU993" i="1"/>
  <c r="AT921" i="1"/>
  <c r="AU921" i="1"/>
  <c r="AT849" i="1"/>
  <c r="AU849" i="1"/>
  <c r="AT837" i="1"/>
  <c r="AU837" i="1"/>
  <c r="AT813" i="1"/>
  <c r="AU813" i="1"/>
  <c r="AT777" i="1"/>
  <c r="AU777" i="1"/>
  <c r="AT741" i="1"/>
  <c r="AU741" i="1"/>
  <c r="AT657" i="1"/>
  <c r="AU657" i="1"/>
  <c r="AT417" i="1"/>
  <c r="AU417" i="1"/>
  <c r="AT381" i="1"/>
  <c r="AU381" i="1"/>
  <c r="AT357" i="1"/>
  <c r="AU357" i="1"/>
  <c r="AT321" i="1"/>
  <c r="AU321" i="1"/>
  <c r="AT285" i="1"/>
  <c r="AU285" i="1"/>
  <c r="AT261" i="1"/>
  <c r="AU261" i="1"/>
  <c r="AT189" i="1"/>
  <c r="AU189" i="1"/>
  <c r="AT141" i="1"/>
  <c r="AU141" i="1"/>
  <c r="AT1076" i="1"/>
  <c r="AU1076" i="1"/>
  <c r="AT1052" i="1"/>
  <c r="AU1052" i="1"/>
  <c r="AT1028" i="1"/>
  <c r="AU1028" i="1"/>
  <c r="AT908" i="1"/>
  <c r="AU908" i="1"/>
  <c r="AT800" i="1"/>
  <c r="AU800" i="1"/>
  <c r="AT752" i="1"/>
  <c r="AU752" i="1"/>
  <c r="AT728" i="1"/>
  <c r="AU728" i="1"/>
  <c r="AT668" i="1"/>
  <c r="AU668" i="1"/>
  <c r="AT620" i="1"/>
  <c r="AU620" i="1"/>
  <c r="AT608" i="1"/>
  <c r="AU608" i="1"/>
  <c r="AT584" i="1"/>
  <c r="AU584" i="1"/>
  <c r="AT524" i="1"/>
  <c r="AU524" i="1"/>
  <c r="AT512" i="1"/>
  <c r="AU512" i="1"/>
  <c r="AT476" i="1"/>
  <c r="AU476" i="1"/>
  <c r="AT452" i="1"/>
  <c r="AU452" i="1"/>
  <c r="AT428" i="1"/>
  <c r="AU428" i="1"/>
  <c r="AT404" i="1"/>
  <c r="AU404" i="1"/>
  <c r="AT380" i="1"/>
  <c r="AU380" i="1"/>
  <c r="AT356" i="1"/>
  <c r="AU356" i="1"/>
  <c r="AT320" i="1"/>
  <c r="AU320" i="1"/>
  <c r="AT308" i="1"/>
  <c r="AU308" i="1"/>
  <c r="AT284" i="1"/>
  <c r="AU284" i="1"/>
  <c r="AT260" i="1"/>
  <c r="AU260" i="1"/>
  <c r="AT236" i="1"/>
  <c r="AU236" i="1"/>
  <c r="AT212" i="1"/>
  <c r="AU212" i="1"/>
  <c r="AT188" i="1"/>
  <c r="AU188" i="1"/>
  <c r="AT164" i="1"/>
  <c r="AU164" i="1"/>
  <c r="AT140" i="1"/>
  <c r="AU140" i="1"/>
  <c r="AT128" i="1"/>
  <c r="AU128" i="1"/>
  <c r="AT104" i="1"/>
  <c r="AU104" i="1"/>
  <c r="AT80" i="1"/>
  <c r="AU80" i="1"/>
  <c r="AT56" i="1"/>
  <c r="AU56" i="1"/>
  <c r="AT20" i="1"/>
  <c r="AU20" i="1"/>
  <c r="AT1001" i="1"/>
  <c r="AU1001" i="1"/>
  <c r="AT965" i="1"/>
  <c r="AU965" i="1"/>
  <c r="AT953" i="1"/>
  <c r="AU953" i="1"/>
  <c r="AT929" i="1"/>
  <c r="AU929" i="1"/>
  <c r="AT893" i="1"/>
  <c r="AU893" i="1"/>
  <c r="AT881" i="1"/>
  <c r="AU881" i="1"/>
  <c r="AT857" i="1"/>
  <c r="AU857" i="1"/>
  <c r="AT821" i="1"/>
  <c r="AU821" i="1"/>
  <c r="AT809" i="1"/>
  <c r="AU809" i="1"/>
  <c r="AT785" i="1"/>
  <c r="AU785" i="1"/>
  <c r="AT749" i="1"/>
  <c r="AU749" i="1"/>
  <c r="AT737" i="1"/>
  <c r="AU737" i="1"/>
  <c r="AT725" i="1"/>
  <c r="AU725" i="1"/>
  <c r="AT713" i="1"/>
  <c r="AU713" i="1"/>
  <c r="AT677" i="1"/>
  <c r="AU677" i="1"/>
  <c r="AT665" i="1"/>
  <c r="AU665" i="1"/>
  <c r="AT653" i="1"/>
  <c r="AU653" i="1"/>
  <c r="AT641" i="1"/>
  <c r="AU641" i="1"/>
  <c r="AT617" i="1"/>
  <c r="AU617" i="1"/>
  <c r="AT605" i="1"/>
  <c r="AU605" i="1"/>
  <c r="AT593" i="1"/>
  <c r="AU593" i="1"/>
  <c r="AT569" i="1"/>
  <c r="AU569" i="1"/>
  <c r="AT557" i="1"/>
  <c r="AU557" i="1"/>
  <c r="AT545" i="1"/>
  <c r="AU545" i="1"/>
  <c r="AT521" i="1"/>
  <c r="AU521" i="1"/>
  <c r="AT509" i="1"/>
  <c r="AU509" i="1"/>
  <c r="AT497" i="1"/>
  <c r="AU497" i="1"/>
  <c r="AT473" i="1"/>
  <c r="AU473" i="1"/>
  <c r="AT461" i="1"/>
  <c r="AU461" i="1"/>
  <c r="AT348" i="1"/>
  <c r="AU1073" i="1"/>
  <c r="AU1043" i="1"/>
  <c r="AU1013" i="1"/>
  <c r="AU977" i="1"/>
  <c r="AU946" i="1"/>
  <c r="AU911" i="1"/>
  <c r="AU875" i="1"/>
  <c r="AU840" i="1"/>
  <c r="AU804" i="1"/>
  <c r="AU767" i="1"/>
  <c r="AU724" i="1"/>
  <c r="AU675" i="1"/>
  <c r="AU612" i="1"/>
  <c r="AU549" i="1"/>
  <c r="AU485" i="1"/>
  <c r="AT1096" i="1"/>
  <c r="AU1096" i="1"/>
  <c r="AT1084" i="1"/>
  <c r="AU1084" i="1"/>
  <c r="AT1072" i="1"/>
  <c r="AU1072" i="1"/>
  <c r="AT1060" i="1"/>
  <c r="AU1060" i="1"/>
  <c r="AT1048" i="1"/>
  <c r="AU1048" i="1"/>
  <c r="AT1036" i="1"/>
  <c r="AU1036" i="1"/>
  <c r="AT1024" i="1"/>
  <c r="AU1024" i="1"/>
  <c r="AT1000" i="1"/>
  <c r="AU1000" i="1"/>
  <c r="AT988" i="1"/>
  <c r="AU988" i="1"/>
  <c r="AT964" i="1"/>
  <c r="AU964" i="1"/>
  <c r="AT952" i="1"/>
  <c r="AU952" i="1"/>
  <c r="AT928" i="1"/>
  <c r="AU928" i="1"/>
  <c r="AT916" i="1"/>
  <c r="AU916" i="1"/>
  <c r="AT892" i="1"/>
  <c r="AU892" i="1"/>
  <c r="AT880" i="1"/>
  <c r="AU880" i="1"/>
  <c r="AT856" i="1"/>
  <c r="AU856" i="1"/>
  <c r="AT844" i="1"/>
  <c r="AU844" i="1"/>
  <c r="AU820" i="1"/>
  <c r="AT820" i="1"/>
  <c r="AT808" i="1"/>
  <c r="AU808" i="1"/>
  <c r="AT784" i="1"/>
  <c r="AU784" i="1"/>
  <c r="AT772" i="1"/>
  <c r="AU772" i="1"/>
  <c r="AT748" i="1"/>
  <c r="AU748" i="1"/>
  <c r="AT736" i="1"/>
  <c r="AU736" i="1"/>
  <c r="AT712" i="1"/>
  <c r="AU712" i="1"/>
  <c r="AT700" i="1"/>
  <c r="AU700" i="1"/>
  <c r="AT676" i="1"/>
  <c r="AU676" i="1"/>
  <c r="AT664" i="1"/>
  <c r="AU664" i="1"/>
  <c r="AT652" i="1"/>
  <c r="AU652" i="1"/>
  <c r="AT640" i="1"/>
  <c r="AU640" i="1"/>
  <c r="AT628" i="1"/>
  <c r="AU628" i="1"/>
  <c r="AT616" i="1"/>
  <c r="AU616" i="1"/>
  <c r="AT592" i="1"/>
  <c r="AU592" i="1"/>
  <c r="AT580" i="1"/>
  <c r="AU580" i="1"/>
  <c r="AT568" i="1"/>
  <c r="AU568" i="1"/>
  <c r="AT556" i="1"/>
  <c r="AU556" i="1"/>
  <c r="AT544" i="1"/>
  <c r="AU544" i="1"/>
  <c r="AT532" i="1"/>
  <c r="AU532" i="1"/>
  <c r="AT520" i="1"/>
  <c r="AU520" i="1"/>
  <c r="AU508" i="1"/>
  <c r="AT508" i="1"/>
  <c r="AT496" i="1"/>
  <c r="AU496" i="1"/>
  <c r="AT484" i="1"/>
  <c r="AU484" i="1"/>
  <c r="AT472" i="1"/>
  <c r="AU472" i="1"/>
  <c r="AT460" i="1"/>
  <c r="AU460" i="1"/>
  <c r="AT448" i="1"/>
  <c r="AU448" i="1"/>
  <c r="AT436" i="1"/>
  <c r="AU436" i="1"/>
  <c r="AT424" i="1"/>
  <c r="AU424" i="1"/>
  <c r="AT412" i="1"/>
  <c r="AU412" i="1"/>
  <c r="AT400" i="1"/>
  <c r="AU400" i="1"/>
  <c r="AT388" i="1"/>
  <c r="AU388" i="1"/>
  <c r="AT376" i="1"/>
  <c r="AU376" i="1"/>
  <c r="AU364" i="1"/>
  <c r="AT364" i="1"/>
  <c r="AT352" i="1"/>
  <c r="AU352" i="1"/>
  <c r="AT340" i="1"/>
  <c r="AU340" i="1"/>
  <c r="AT328" i="1"/>
  <c r="AU328" i="1"/>
  <c r="AT316" i="1"/>
  <c r="AU316" i="1"/>
  <c r="AT304" i="1"/>
  <c r="AU304" i="1"/>
  <c r="AT292" i="1"/>
  <c r="AU292" i="1"/>
  <c r="AT280" i="1"/>
  <c r="AU280" i="1"/>
  <c r="AT268" i="1"/>
  <c r="AU268" i="1"/>
  <c r="AT256" i="1"/>
  <c r="AU256" i="1"/>
  <c r="AU244" i="1"/>
  <c r="AT244" i="1"/>
  <c r="AT232" i="1"/>
  <c r="AU232" i="1"/>
  <c r="AT208" i="1"/>
  <c r="AU208" i="1"/>
  <c r="AT196" i="1"/>
  <c r="AU196" i="1"/>
  <c r="AT184" i="1"/>
  <c r="AU184" i="1"/>
  <c r="AT172" i="1"/>
  <c r="AU172" i="1"/>
  <c r="AT160" i="1"/>
  <c r="AU160" i="1"/>
  <c r="AT148" i="1"/>
  <c r="AU148" i="1"/>
  <c r="AT136" i="1"/>
  <c r="AU136" i="1"/>
  <c r="AT124" i="1"/>
  <c r="AU124" i="1"/>
  <c r="AT112" i="1"/>
  <c r="AU112" i="1"/>
  <c r="AT100" i="1"/>
  <c r="AU100" i="1"/>
  <c r="AT88" i="1"/>
  <c r="AU88" i="1"/>
  <c r="AT76" i="1"/>
  <c r="AU76" i="1"/>
  <c r="AT64" i="1"/>
  <c r="AU64" i="1"/>
  <c r="AT52" i="1"/>
  <c r="AU52" i="1"/>
  <c r="AT40" i="1"/>
  <c r="AU40" i="1"/>
  <c r="AT28" i="1"/>
  <c r="AU28" i="1"/>
  <c r="AT16" i="1"/>
  <c r="AU16" i="1"/>
  <c r="AT4" i="1"/>
  <c r="AU4" i="1"/>
  <c r="AT780" i="1"/>
  <c r="AU1098" i="1"/>
  <c r="AU1068" i="1"/>
  <c r="AU1042" i="1"/>
  <c r="AU1012" i="1"/>
  <c r="AU976" i="1"/>
  <c r="AU874" i="1"/>
  <c r="AU548" i="1"/>
  <c r="AU483" i="1"/>
  <c r="AU207" i="1"/>
  <c r="AU39" i="1"/>
  <c r="AT1095" i="1"/>
  <c r="AU1095" i="1"/>
  <c r="AT1083" i="1"/>
  <c r="AU1083" i="1"/>
  <c r="AT1071" i="1"/>
  <c r="AU1071" i="1"/>
  <c r="AT1059" i="1"/>
  <c r="AU1059" i="1"/>
  <c r="AT1047" i="1"/>
  <c r="AU1047" i="1"/>
  <c r="AT1035" i="1"/>
  <c r="AU1035" i="1"/>
  <c r="AT1023" i="1"/>
  <c r="AU1023" i="1"/>
  <c r="AT1011" i="1"/>
  <c r="AU1011" i="1"/>
  <c r="AT987" i="1"/>
  <c r="AU987" i="1"/>
  <c r="AT951" i="1"/>
  <c r="AU951" i="1"/>
  <c r="AT939" i="1"/>
  <c r="AU939" i="1"/>
  <c r="AT915" i="1"/>
  <c r="AU915" i="1"/>
  <c r="AT879" i="1"/>
  <c r="AU879" i="1"/>
  <c r="AT867" i="1"/>
  <c r="AU867" i="1"/>
  <c r="AT843" i="1"/>
  <c r="AU843" i="1"/>
  <c r="AT807" i="1"/>
  <c r="AU807" i="1"/>
  <c r="AT795" i="1"/>
  <c r="AU795" i="1"/>
  <c r="AT783" i="1"/>
  <c r="AU783" i="1"/>
  <c r="AT771" i="1"/>
  <c r="AU771" i="1"/>
  <c r="AT735" i="1"/>
  <c r="AU735" i="1"/>
  <c r="AT723" i="1"/>
  <c r="AU723" i="1"/>
  <c r="AT711" i="1"/>
  <c r="AU711" i="1"/>
  <c r="AT699" i="1"/>
  <c r="AU699" i="1"/>
  <c r="AT663" i="1"/>
  <c r="AU663" i="1"/>
  <c r="AT651" i="1"/>
  <c r="AU651" i="1"/>
  <c r="AT639" i="1"/>
  <c r="AU639" i="1"/>
  <c r="AT615" i="1"/>
  <c r="AU615" i="1"/>
  <c r="AT603" i="1"/>
  <c r="AU603" i="1"/>
  <c r="AT591" i="1"/>
  <c r="AU591" i="1"/>
  <c r="AT567" i="1"/>
  <c r="AU567" i="1"/>
  <c r="AT555" i="1"/>
  <c r="AU555" i="1"/>
  <c r="AT543" i="1"/>
  <c r="AU543" i="1"/>
  <c r="AT519" i="1"/>
  <c r="AU519" i="1"/>
  <c r="AT507" i="1"/>
  <c r="AU507" i="1"/>
  <c r="AT495" i="1"/>
  <c r="AU495" i="1"/>
  <c r="AT471" i="1"/>
  <c r="AU471" i="1"/>
  <c r="AT459" i="1"/>
  <c r="AU459" i="1"/>
  <c r="AT447" i="1"/>
  <c r="AU447" i="1"/>
  <c r="AT435" i="1"/>
  <c r="AU435" i="1"/>
  <c r="AT423" i="1"/>
  <c r="AU423" i="1"/>
  <c r="AT399" i="1"/>
  <c r="AU399" i="1"/>
  <c r="AT387" i="1"/>
  <c r="AU387" i="1"/>
  <c r="AT375" i="1"/>
  <c r="AU375" i="1"/>
  <c r="AT363" i="1"/>
  <c r="AU363" i="1"/>
  <c r="AT339" i="1"/>
  <c r="AU339" i="1"/>
  <c r="AT315" i="1"/>
  <c r="AU315" i="1"/>
  <c r="AT303" i="1"/>
  <c r="AU303" i="1"/>
  <c r="AT291" i="1"/>
  <c r="AU291" i="1"/>
  <c r="AT279" i="1"/>
  <c r="AU279" i="1"/>
  <c r="AT255" i="1"/>
  <c r="AU255" i="1"/>
  <c r="AT243" i="1"/>
  <c r="AU243" i="1"/>
  <c r="AT231" i="1"/>
  <c r="AU231" i="1"/>
  <c r="AT219" i="1"/>
  <c r="AU219" i="1"/>
  <c r="AT195" i="1"/>
  <c r="AU195" i="1"/>
  <c r="AT171" i="1"/>
  <c r="AU171" i="1"/>
  <c r="AT159" i="1"/>
  <c r="AU159" i="1"/>
  <c r="AT147" i="1"/>
  <c r="AU147" i="1"/>
  <c r="AT135" i="1"/>
  <c r="AU135" i="1"/>
  <c r="AT111" i="1"/>
  <c r="AU111" i="1"/>
  <c r="AT99" i="1"/>
  <c r="AU99" i="1"/>
  <c r="AT87" i="1"/>
  <c r="AU87" i="1"/>
  <c r="AT75" i="1"/>
  <c r="AU75" i="1"/>
  <c r="AT51" i="1"/>
  <c r="AU51" i="1"/>
  <c r="AT27" i="1"/>
  <c r="AU27" i="1"/>
  <c r="AT15" i="1"/>
  <c r="AU15" i="1"/>
  <c r="AT3" i="1"/>
  <c r="AU3" i="1"/>
  <c r="AT722" i="1"/>
  <c r="AU1097" i="1"/>
  <c r="AU1067" i="1"/>
  <c r="AU1038" i="1"/>
  <c r="AU1006" i="1"/>
  <c r="AU975" i="1"/>
  <c r="AU940" i="1"/>
  <c r="AU904" i="1"/>
  <c r="AU760" i="1"/>
  <c r="AU717" i="1"/>
  <c r="AU672" i="1"/>
  <c r="AU411" i="1"/>
  <c r="AU267" i="1"/>
  <c r="AT1094" i="1"/>
  <c r="AU1094" i="1"/>
  <c r="AT1082" i="1"/>
  <c r="AU1082" i="1"/>
  <c r="AT1070" i="1"/>
  <c r="AU1070" i="1"/>
  <c r="AT1058" i="1"/>
  <c r="AU1058" i="1"/>
  <c r="AT1046" i="1"/>
  <c r="AU1046" i="1"/>
  <c r="AT1034" i="1"/>
  <c r="AU1034" i="1"/>
  <c r="AT1022" i="1"/>
  <c r="AU1022" i="1"/>
  <c r="AT1010" i="1"/>
  <c r="AU1010" i="1"/>
  <c r="AT998" i="1"/>
  <c r="AU998" i="1"/>
  <c r="AT986" i="1"/>
  <c r="AU986" i="1"/>
  <c r="AT974" i="1"/>
  <c r="AU974" i="1"/>
  <c r="AT962" i="1"/>
  <c r="AU962" i="1"/>
  <c r="AT950" i="1"/>
  <c r="AU950" i="1"/>
  <c r="AT938" i="1"/>
  <c r="AU938" i="1"/>
  <c r="AU926" i="1"/>
  <c r="AT926" i="1"/>
  <c r="AT914" i="1"/>
  <c r="AU914" i="1"/>
  <c r="AT902" i="1"/>
  <c r="AU902" i="1"/>
  <c r="AT890" i="1"/>
  <c r="AU890" i="1"/>
  <c r="AT878" i="1"/>
  <c r="AU878" i="1"/>
  <c r="AT866" i="1"/>
  <c r="AU866" i="1"/>
  <c r="AT854" i="1"/>
  <c r="AU854" i="1"/>
  <c r="AT842" i="1"/>
  <c r="AU842" i="1"/>
  <c r="AT830" i="1"/>
  <c r="AU830" i="1"/>
  <c r="AT818" i="1"/>
  <c r="AU818" i="1"/>
  <c r="AT806" i="1"/>
  <c r="AU806" i="1"/>
  <c r="AT794" i="1"/>
  <c r="AU794" i="1"/>
  <c r="AT782" i="1"/>
  <c r="AU782" i="1"/>
  <c r="AT770" i="1"/>
  <c r="AU770" i="1"/>
  <c r="AT758" i="1"/>
  <c r="AU758" i="1"/>
  <c r="AT746" i="1"/>
  <c r="AU746" i="1"/>
  <c r="AT734" i="1"/>
  <c r="AU734" i="1"/>
  <c r="AT710" i="1"/>
  <c r="AU710" i="1"/>
  <c r="AT698" i="1"/>
  <c r="AU698" i="1"/>
  <c r="AT686" i="1"/>
  <c r="AU686" i="1"/>
  <c r="AT674" i="1"/>
  <c r="AU674" i="1"/>
  <c r="AT662" i="1"/>
  <c r="AU662" i="1"/>
  <c r="AT650" i="1"/>
  <c r="AU650" i="1"/>
  <c r="AT638" i="1"/>
  <c r="AU638" i="1"/>
  <c r="AT626" i="1"/>
  <c r="AU626" i="1"/>
  <c r="AT614" i="1"/>
  <c r="AU614" i="1"/>
  <c r="AT602" i="1"/>
  <c r="AU602" i="1"/>
  <c r="AT590" i="1"/>
  <c r="AU590" i="1"/>
  <c r="AT578" i="1"/>
  <c r="AU578" i="1"/>
  <c r="AT566" i="1"/>
  <c r="AU566" i="1"/>
  <c r="AT554" i="1"/>
  <c r="AU554" i="1"/>
  <c r="AT542" i="1"/>
  <c r="AU542" i="1"/>
  <c r="AT530" i="1"/>
  <c r="AU530" i="1"/>
  <c r="AT518" i="1"/>
  <c r="AU518" i="1"/>
  <c r="AT494" i="1"/>
  <c r="AU494" i="1"/>
  <c r="AT482" i="1"/>
  <c r="AU482" i="1"/>
  <c r="AT470" i="1"/>
  <c r="AU470" i="1"/>
  <c r="AT458" i="1"/>
  <c r="AU458" i="1"/>
  <c r="AT446" i="1"/>
  <c r="AU446" i="1"/>
  <c r="AT422" i="1"/>
  <c r="AU422" i="1"/>
  <c r="AT410" i="1"/>
  <c r="AU410" i="1"/>
  <c r="AT398" i="1"/>
  <c r="AU398" i="1"/>
  <c r="AT386" i="1"/>
  <c r="AU386" i="1"/>
  <c r="AT374" i="1"/>
  <c r="AU374" i="1"/>
  <c r="AT362" i="1"/>
  <c r="AU362" i="1"/>
  <c r="AT350" i="1"/>
  <c r="AU350" i="1"/>
  <c r="AT338" i="1"/>
  <c r="AU338" i="1"/>
  <c r="AT326" i="1"/>
  <c r="AU326" i="1"/>
  <c r="AT314" i="1"/>
  <c r="AU314" i="1"/>
  <c r="AT302" i="1"/>
  <c r="AU302" i="1"/>
  <c r="AT290" i="1"/>
  <c r="AU290" i="1"/>
  <c r="AT278" i="1"/>
  <c r="AU278" i="1"/>
  <c r="AT266" i="1"/>
  <c r="AU266" i="1"/>
  <c r="AT254" i="1"/>
  <c r="AU254" i="1"/>
  <c r="AU1092" i="1"/>
  <c r="AU1066" i="1"/>
  <c r="AU1005" i="1"/>
  <c r="AU970" i="1"/>
  <c r="AU934" i="1"/>
  <c r="AU903" i="1"/>
  <c r="AU868" i="1"/>
  <c r="AU832" i="1"/>
  <c r="AU759" i="1"/>
  <c r="AU716" i="1"/>
  <c r="AU660" i="1"/>
  <c r="AU597" i="1"/>
  <c r="AU468" i="1"/>
  <c r="AT1089" i="1"/>
  <c r="AU1089" i="1"/>
  <c r="AT1041" i="1"/>
  <c r="AU1041" i="1"/>
  <c r="AT981" i="1"/>
  <c r="AU981" i="1"/>
  <c r="AT945" i="1"/>
  <c r="AU945" i="1"/>
  <c r="AT873" i="1"/>
  <c r="AU873" i="1"/>
  <c r="AT801" i="1"/>
  <c r="AU801" i="1"/>
  <c r="AT729" i="1"/>
  <c r="AU729" i="1"/>
  <c r="AT705" i="1"/>
  <c r="AU705" i="1"/>
  <c r="AT669" i="1"/>
  <c r="AU669" i="1"/>
  <c r="AT633" i="1"/>
  <c r="AU633" i="1"/>
  <c r="AT609" i="1"/>
  <c r="AU609" i="1"/>
  <c r="AT573" i="1"/>
  <c r="AU573" i="1"/>
  <c r="AT537" i="1"/>
  <c r="AU537" i="1"/>
  <c r="AT513" i="1"/>
  <c r="AU513" i="1"/>
  <c r="AT477" i="1"/>
  <c r="AU477" i="1"/>
  <c r="AT441" i="1"/>
  <c r="AU441" i="1"/>
  <c r="AT345" i="1"/>
  <c r="AU345" i="1"/>
  <c r="AU273" i="1"/>
  <c r="AT273" i="1"/>
  <c r="AT237" i="1"/>
  <c r="AU237" i="1"/>
  <c r="AT201" i="1"/>
  <c r="AU201" i="1"/>
  <c r="AT129" i="1"/>
  <c r="AU129" i="1"/>
  <c r="AT93" i="1"/>
  <c r="AU93" i="1"/>
  <c r="AT69" i="1"/>
  <c r="AU69" i="1"/>
  <c r="AT33" i="1"/>
  <c r="AU33" i="1"/>
  <c r="AT957" i="1"/>
  <c r="AT1093" i="1"/>
  <c r="AU1093" i="1"/>
  <c r="AU1081" i="1"/>
  <c r="AT1081" i="1"/>
  <c r="AU1069" i="1"/>
  <c r="AT1069" i="1"/>
  <c r="AT1033" i="1"/>
  <c r="AU1033" i="1"/>
  <c r="AT1009" i="1"/>
  <c r="AU1009" i="1"/>
  <c r="AT985" i="1"/>
  <c r="AU985" i="1"/>
  <c r="AT973" i="1"/>
  <c r="AU973" i="1"/>
  <c r="AT949" i="1"/>
  <c r="AU949" i="1"/>
  <c r="AT937" i="1"/>
  <c r="AU937" i="1"/>
  <c r="AT913" i="1"/>
  <c r="AU913" i="1"/>
  <c r="AT901" i="1"/>
  <c r="AU901" i="1"/>
  <c r="AT877" i="1"/>
  <c r="AU877" i="1"/>
  <c r="AT841" i="1"/>
  <c r="AU841" i="1"/>
  <c r="AT829" i="1"/>
  <c r="AU829" i="1"/>
  <c r="AT805" i="1"/>
  <c r="AU805" i="1"/>
  <c r="AT793" i="1"/>
  <c r="AU793" i="1"/>
  <c r="AT769" i="1"/>
  <c r="AU769" i="1"/>
  <c r="AT757" i="1"/>
  <c r="AU757" i="1"/>
  <c r="AU733" i="1"/>
  <c r="AT733" i="1"/>
  <c r="AT721" i="1"/>
  <c r="AU721" i="1"/>
  <c r="AT697" i="1"/>
  <c r="AU697" i="1"/>
  <c r="AT685" i="1"/>
  <c r="AU685" i="1"/>
  <c r="AT661" i="1"/>
  <c r="AU661" i="1"/>
  <c r="AT649" i="1"/>
  <c r="AU649" i="1"/>
  <c r="AU637" i="1"/>
  <c r="AT637" i="1"/>
  <c r="AT613" i="1"/>
  <c r="AU613" i="1"/>
  <c r="AT1057" i="1"/>
  <c r="AT681" i="1"/>
  <c r="AU1091" i="1"/>
  <c r="AU1062" i="1"/>
  <c r="AU1032" i="1"/>
  <c r="AU1004" i="1"/>
  <c r="AU969" i="1"/>
  <c r="AU933" i="1"/>
  <c r="AU898" i="1"/>
  <c r="AU862" i="1"/>
  <c r="AU831" i="1"/>
  <c r="AU796" i="1"/>
  <c r="AU753" i="1"/>
  <c r="AU659" i="1"/>
  <c r="AU596" i="1"/>
  <c r="AU531" i="1"/>
  <c r="AU467" i="1"/>
  <c r="AU393" i="1"/>
  <c r="AU327" i="1"/>
  <c r="AU81" i="1"/>
  <c r="AU21" i="1"/>
  <c r="AT1008" i="1"/>
  <c r="AU1008" i="1"/>
  <c r="AT996" i="1"/>
  <c r="AU996" i="1"/>
  <c r="AT972" i="1"/>
  <c r="AU972" i="1"/>
  <c r="AT936" i="1"/>
  <c r="AU936" i="1"/>
  <c r="AT924" i="1"/>
  <c r="AU924" i="1"/>
  <c r="AT900" i="1"/>
  <c r="AU900" i="1"/>
  <c r="AT852" i="1"/>
  <c r="AU852" i="1"/>
  <c r="AT828" i="1"/>
  <c r="AU828" i="1"/>
  <c r="AT792" i="1"/>
  <c r="AU792" i="1"/>
  <c r="AT768" i="1"/>
  <c r="AU768" i="1"/>
  <c r="AT756" i="1"/>
  <c r="AU756" i="1"/>
  <c r="AT720" i="1"/>
  <c r="AU720" i="1"/>
  <c r="AT708" i="1"/>
  <c r="AU708" i="1"/>
  <c r="AT696" i="1"/>
  <c r="AU696" i="1"/>
  <c r="AT684" i="1"/>
  <c r="AU684" i="1"/>
  <c r="AU648" i="1"/>
  <c r="AT648" i="1"/>
  <c r="AT636" i="1"/>
  <c r="AU636" i="1"/>
  <c r="AT624" i="1"/>
  <c r="AU624" i="1"/>
  <c r="AT600" i="1"/>
  <c r="AU600" i="1"/>
  <c r="AT588" i="1"/>
  <c r="AU588" i="1"/>
  <c r="AT576" i="1"/>
  <c r="AU576" i="1"/>
  <c r="AT552" i="1"/>
  <c r="AU552" i="1"/>
  <c r="AT540" i="1"/>
  <c r="AU540" i="1"/>
  <c r="AT528" i="1"/>
  <c r="AU528" i="1"/>
  <c r="AT492" i="1"/>
  <c r="AU492" i="1"/>
  <c r="AU480" i="1"/>
  <c r="AT480" i="1"/>
  <c r="AT456" i="1"/>
  <c r="AU456" i="1"/>
  <c r="AT444" i="1"/>
  <c r="AU444" i="1"/>
  <c r="AT408" i="1"/>
  <c r="AU408" i="1"/>
  <c r="AT396" i="1"/>
  <c r="AU396" i="1"/>
  <c r="AT384" i="1"/>
  <c r="AU384" i="1"/>
  <c r="AT360" i="1"/>
  <c r="AU360" i="1"/>
  <c r="AT1045" i="1"/>
  <c r="AT604" i="1"/>
  <c r="AT220" i="1"/>
  <c r="AU1090" i="1"/>
  <c r="AU1061" i="1"/>
  <c r="AU1031" i="1"/>
  <c r="AU999" i="1"/>
  <c r="AU963" i="1"/>
  <c r="AU932" i="1"/>
  <c r="AU897" i="1"/>
  <c r="AU861" i="1"/>
  <c r="AU826" i="1"/>
  <c r="AU790" i="1"/>
  <c r="AU747" i="1"/>
  <c r="AU704" i="1"/>
  <c r="AU658" i="1"/>
  <c r="AT1007" i="1"/>
  <c r="AU1007" i="1"/>
  <c r="AT995" i="1"/>
  <c r="AU995" i="1"/>
  <c r="AT971" i="1"/>
  <c r="AU971" i="1"/>
  <c r="AT959" i="1"/>
  <c r="AU959" i="1"/>
  <c r="AT935" i="1"/>
  <c r="AU935" i="1"/>
  <c r="AT923" i="1"/>
  <c r="AU923" i="1"/>
  <c r="AT899" i="1"/>
  <c r="AU899" i="1"/>
  <c r="AT887" i="1"/>
  <c r="AU887" i="1"/>
  <c r="AT863" i="1"/>
  <c r="AU863" i="1"/>
  <c r="AT851" i="1"/>
  <c r="AU851" i="1"/>
  <c r="AT827" i="1"/>
  <c r="AU827" i="1"/>
  <c r="AT815" i="1"/>
  <c r="AU815" i="1"/>
  <c r="AT791" i="1"/>
  <c r="AU791" i="1"/>
  <c r="AT779" i="1"/>
  <c r="AU779" i="1"/>
  <c r="AT755" i="1"/>
  <c r="AU755" i="1"/>
  <c r="AT743" i="1"/>
  <c r="AU743" i="1"/>
  <c r="AT719" i="1"/>
  <c r="AU719" i="1"/>
  <c r="AT707" i="1"/>
  <c r="AU707" i="1"/>
  <c r="AT683" i="1"/>
  <c r="AU683" i="1"/>
  <c r="AT671" i="1"/>
  <c r="AU671" i="1"/>
  <c r="AT647" i="1"/>
  <c r="AU647" i="1"/>
  <c r="AT635" i="1"/>
  <c r="AU635" i="1"/>
  <c r="AT623" i="1"/>
  <c r="AU623" i="1"/>
  <c r="AT599" i="1"/>
  <c r="AU599" i="1"/>
  <c r="AT587" i="1"/>
  <c r="AU587" i="1"/>
  <c r="AT575" i="1"/>
  <c r="AU575" i="1"/>
  <c r="AT551" i="1"/>
  <c r="AU551" i="1"/>
  <c r="AT539" i="1"/>
  <c r="AU539" i="1"/>
  <c r="AT527" i="1"/>
  <c r="AU527" i="1"/>
  <c r="AT503" i="1"/>
  <c r="AU503" i="1"/>
  <c r="AT491" i="1"/>
  <c r="AU491" i="1"/>
  <c r="AT479" i="1"/>
  <c r="AU479" i="1"/>
  <c r="AT455" i="1"/>
  <c r="AU455" i="1"/>
  <c r="AT443" i="1"/>
  <c r="AU443" i="1"/>
  <c r="AT419" i="1"/>
  <c r="AU419" i="1"/>
  <c r="AT407" i="1"/>
  <c r="AU407" i="1"/>
  <c r="AT1021" i="1"/>
  <c r="AT581" i="1"/>
  <c r="AU1086" i="1"/>
  <c r="AU1056" i="1"/>
  <c r="AU1030" i="1"/>
  <c r="AU997" i="1"/>
  <c r="AU961" i="1"/>
  <c r="AU927" i="1"/>
  <c r="AU891" i="1"/>
  <c r="AU860" i="1"/>
  <c r="AU825" i="1"/>
  <c r="AU789" i="1"/>
  <c r="AU745" i="1"/>
  <c r="AU702" i="1"/>
  <c r="AU645" i="1"/>
  <c r="AU516" i="1"/>
  <c r="AU453" i="1"/>
  <c r="AU249" i="1"/>
  <c r="AU123" i="1"/>
  <c r="AT994" i="1"/>
  <c r="AU994" i="1"/>
  <c r="AT982" i="1"/>
  <c r="AU982" i="1"/>
  <c r="AT958" i="1"/>
  <c r="AU958" i="1"/>
  <c r="AT922" i="1"/>
  <c r="AU922" i="1"/>
  <c r="AT910" i="1"/>
  <c r="AU910" i="1"/>
  <c r="AT886" i="1"/>
  <c r="AU886" i="1"/>
  <c r="AT850" i="1"/>
  <c r="AU850" i="1"/>
  <c r="AT838" i="1"/>
  <c r="AU838" i="1"/>
  <c r="AT814" i="1"/>
  <c r="AU814" i="1"/>
  <c r="AT778" i="1"/>
  <c r="AU778" i="1"/>
  <c r="AT766" i="1"/>
  <c r="AU766" i="1"/>
  <c r="AT754" i="1"/>
  <c r="AU754" i="1"/>
  <c r="AT742" i="1"/>
  <c r="AU742" i="1"/>
  <c r="AT706" i="1"/>
  <c r="AU706" i="1"/>
  <c r="AT694" i="1"/>
  <c r="AU694" i="1"/>
  <c r="AT682" i="1"/>
  <c r="AU682" i="1"/>
  <c r="AT670" i="1"/>
  <c r="AU670" i="1"/>
  <c r="AT646" i="1"/>
  <c r="AU646" i="1"/>
  <c r="AT634" i="1"/>
  <c r="AU634" i="1"/>
  <c r="AT622" i="1"/>
  <c r="AU622" i="1"/>
  <c r="AT598" i="1"/>
  <c r="AU598" i="1"/>
  <c r="AT586" i="1"/>
  <c r="AU586" i="1"/>
  <c r="AT574" i="1"/>
  <c r="AU574" i="1"/>
  <c r="AT550" i="1"/>
  <c r="AU550" i="1"/>
  <c r="AT538" i="1"/>
  <c r="AU538" i="1"/>
  <c r="AT526" i="1"/>
  <c r="AU526" i="1"/>
  <c r="AT502" i="1"/>
  <c r="AU502" i="1"/>
  <c r="AT490" i="1"/>
  <c r="AU490" i="1"/>
  <c r="AT478" i="1"/>
  <c r="AU478" i="1"/>
  <c r="AT454" i="1"/>
  <c r="AU454" i="1"/>
  <c r="AT442" i="1"/>
  <c r="AU442" i="1"/>
  <c r="AT430" i="1"/>
  <c r="AU430" i="1"/>
  <c r="AT418" i="1"/>
  <c r="AU418" i="1"/>
  <c r="AT406" i="1"/>
  <c r="AU406" i="1"/>
  <c r="AT394" i="1"/>
  <c r="AU394" i="1"/>
  <c r="AT382" i="1"/>
  <c r="AU382" i="1"/>
  <c r="AT370" i="1"/>
  <c r="AU370" i="1"/>
  <c r="AT358" i="1"/>
  <c r="AU358" i="1"/>
  <c r="AT346" i="1"/>
  <c r="AU346" i="1"/>
  <c r="AT322" i="1"/>
  <c r="AU322" i="1"/>
  <c r="AT310" i="1"/>
  <c r="AU310" i="1"/>
  <c r="AT298" i="1"/>
  <c r="AU298" i="1"/>
  <c r="AT286" i="1"/>
  <c r="AU286" i="1"/>
  <c r="AT274" i="1"/>
  <c r="AU274" i="1"/>
  <c r="AT262" i="1"/>
  <c r="AU262" i="1"/>
  <c r="AT250" i="1"/>
  <c r="AU250" i="1"/>
  <c r="AT238" i="1"/>
  <c r="AU238" i="1"/>
  <c r="AT226" i="1"/>
  <c r="AU226" i="1"/>
  <c r="AT214" i="1"/>
  <c r="AU214" i="1"/>
  <c r="AT202" i="1"/>
  <c r="AU202" i="1"/>
  <c r="AT190" i="1"/>
  <c r="AU190" i="1"/>
  <c r="AT178" i="1"/>
  <c r="AU178" i="1"/>
  <c r="AT166" i="1"/>
  <c r="AU166" i="1"/>
  <c r="AT154" i="1"/>
  <c r="AU154" i="1"/>
  <c r="AT142" i="1"/>
  <c r="AU142" i="1"/>
  <c r="AT130" i="1"/>
  <c r="AU130" i="1"/>
  <c r="AT118" i="1"/>
  <c r="AU118" i="1"/>
  <c r="AT106" i="1"/>
  <c r="AU106" i="1"/>
  <c r="AT94" i="1"/>
  <c r="AU94" i="1"/>
  <c r="AT82" i="1"/>
  <c r="AU82" i="1"/>
  <c r="AT70" i="1"/>
  <c r="AU70" i="1"/>
  <c r="AT46" i="1"/>
  <c r="AU46" i="1"/>
  <c r="AT34" i="1"/>
  <c r="AU34" i="1"/>
  <c r="AT22" i="1"/>
  <c r="AU22" i="1"/>
  <c r="AT10" i="1"/>
  <c r="AU10" i="1"/>
  <c r="AT506" i="1"/>
  <c r="AU1085" i="1"/>
  <c r="AU1055" i="1"/>
  <c r="AU1026" i="1"/>
  <c r="AU992" i="1"/>
  <c r="AU960" i="1"/>
  <c r="AU925" i="1"/>
  <c r="AU889" i="1"/>
  <c r="AU855" i="1"/>
  <c r="AU819" i="1"/>
  <c r="AU788" i="1"/>
  <c r="AU744" i="1"/>
  <c r="AU701" i="1"/>
  <c r="AU644" i="1"/>
  <c r="AU579" i="1"/>
  <c r="AU515" i="1"/>
  <c r="AU372" i="1"/>
  <c r="AU309" i="1"/>
  <c r="AU183" i="1"/>
  <c r="AU63" i="1"/>
  <c r="AT451" i="1"/>
  <c r="AU451" i="1"/>
  <c r="AT439" i="1"/>
  <c r="AU439" i="1"/>
  <c r="AT427" i="1"/>
  <c r="AU427" i="1"/>
  <c r="AT415" i="1"/>
  <c r="AU415" i="1"/>
  <c r="AT403" i="1"/>
  <c r="AU403" i="1"/>
  <c r="AT391" i="1"/>
  <c r="AU391" i="1"/>
  <c r="AT379" i="1"/>
  <c r="AU379" i="1"/>
  <c r="AT367" i="1"/>
  <c r="AU367" i="1"/>
  <c r="AT355" i="1"/>
  <c r="AU355" i="1"/>
  <c r="AT343" i="1"/>
  <c r="AU343" i="1"/>
  <c r="AT319" i="1"/>
  <c r="AU319" i="1"/>
  <c r="AT307" i="1"/>
  <c r="AU307" i="1"/>
  <c r="AT295" i="1"/>
  <c r="AU295" i="1"/>
  <c r="AT283" i="1"/>
  <c r="AU283" i="1"/>
  <c r="AT271" i="1"/>
  <c r="AU271" i="1"/>
  <c r="AT259" i="1"/>
  <c r="AU259" i="1"/>
  <c r="AT247" i="1"/>
  <c r="AU247" i="1"/>
  <c r="AT223" i="1"/>
  <c r="AU223" i="1"/>
  <c r="AT211" i="1"/>
  <c r="AU211" i="1"/>
  <c r="AT199" i="1"/>
  <c r="AU199" i="1"/>
  <c r="AT187" i="1"/>
  <c r="AU187" i="1"/>
  <c r="AT175" i="1"/>
  <c r="AU175" i="1"/>
  <c r="AT163" i="1"/>
  <c r="AU163" i="1"/>
  <c r="AT151" i="1"/>
  <c r="AU151" i="1"/>
  <c r="AT139" i="1"/>
  <c r="AU139" i="1"/>
  <c r="AT127" i="1"/>
  <c r="AU127" i="1"/>
  <c r="AT115" i="1"/>
  <c r="AU115" i="1"/>
  <c r="AT91" i="1"/>
  <c r="AU91" i="1"/>
  <c r="AT79" i="1"/>
  <c r="AU79" i="1"/>
  <c r="AT67" i="1"/>
  <c r="AU67" i="1"/>
  <c r="AT55" i="1"/>
  <c r="AU55" i="1"/>
  <c r="AT43" i="1"/>
  <c r="AU43" i="1"/>
  <c r="AT31" i="1"/>
  <c r="AU31" i="1"/>
  <c r="AT19" i="1"/>
  <c r="AU19" i="1"/>
  <c r="AT7" i="1"/>
  <c r="AU7" i="1"/>
  <c r="AT301" i="1"/>
  <c r="AT146" i="1"/>
  <c r="AU366" i="1"/>
  <c r="AU347" i="1"/>
  <c r="AU325" i="1"/>
  <c r="AU305" i="1"/>
  <c r="AU264" i="1"/>
  <c r="AU222" i="1"/>
  <c r="AU203" i="1"/>
  <c r="AU181" i="1"/>
  <c r="AU161" i="1"/>
  <c r="AU78" i="1"/>
  <c r="AU59" i="1"/>
  <c r="AU37" i="1"/>
  <c r="AU17" i="1"/>
  <c r="AT293" i="1"/>
  <c r="AU445" i="1"/>
  <c r="AU426" i="1"/>
  <c r="AU385" i="1"/>
  <c r="AU365" i="1"/>
  <c r="AU324" i="1"/>
  <c r="AU282" i="1"/>
  <c r="AU263" i="1"/>
  <c r="AU241" i="1"/>
  <c r="AU221" i="1"/>
  <c r="AU180" i="1"/>
  <c r="AU138" i="1"/>
  <c r="AU119" i="1"/>
  <c r="AU97" i="1"/>
  <c r="AU77" i="1"/>
  <c r="AU36" i="1"/>
  <c r="AT132" i="1"/>
  <c r="AU589" i="1"/>
  <c r="AU541" i="1"/>
  <c r="AU510" i="1"/>
  <c r="AU462" i="1"/>
  <c r="AU425" i="1"/>
  <c r="AU342" i="1"/>
  <c r="AU323" i="1"/>
  <c r="AU281" i="1"/>
  <c r="AU240" i="1"/>
  <c r="AU198" i="1"/>
  <c r="AU179" i="1"/>
  <c r="AU157" i="1"/>
  <c r="AU137" i="1"/>
  <c r="AU96" i="1"/>
  <c r="AU54" i="1"/>
  <c r="AU35" i="1"/>
  <c r="AU13" i="1"/>
  <c r="AU402" i="1"/>
  <c r="AU383" i="1"/>
  <c r="AU341" i="1"/>
  <c r="AU300" i="1"/>
  <c r="AU239" i="1"/>
  <c r="AU156" i="1"/>
  <c r="AU401" i="1"/>
  <c r="AU299" i="1"/>
  <c r="AU216" i="1"/>
  <c r="AT242" i="1"/>
  <c r="AU242" i="1"/>
  <c r="AT230" i="1"/>
  <c r="AU230" i="1"/>
  <c r="AT218" i="1"/>
  <c r="AU218" i="1"/>
  <c r="AT206" i="1"/>
  <c r="AU206" i="1"/>
  <c r="AT194" i="1"/>
  <c r="AU194" i="1"/>
  <c r="AT182" i="1"/>
  <c r="AU182" i="1"/>
  <c r="AT170" i="1"/>
  <c r="AU170" i="1"/>
  <c r="AT158" i="1"/>
  <c r="AU158" i="1"/>
  <c r="AT134" i="1"/>
  <c r="AU134" i="1"/>
  <c r="AT122" i="1"/>
  <c r="AU122" i="1"/>
  <c r="AT110" i="1"/>
  <c r="AU110" i="1"/>
  <c r="AT98" i="1"/>
  <c r="AU98" i="1"/>
  <c r="AT86" i="1"/>
  <c r="AU86" i="1"/>
  <c r="AT62" i="1"/>
  <c r="AU62" i="1"/>
  <c r="AT50" i="1"/>
  <c r="AU50" i="1"/>
  <c r="AT38" i="1"/>
  <c r="AU38" i="1"/>
  <c r="AT26" i="1"/>
  <c r="AU26" i="1"/>
  <c r="AT14" i="1"/>
  <c r="AU14" i="1"/>
  <c r="AT2" i="1"/>
  <c r="AU2" i="1"/>
  <c r="AT373" i="1"/>
  <c r="AT103" i="1"/>
  <c r="AU601" i="1"/>
  <c r="AU553" i="1"/>
  <c r="AU522" i="1"/>
  <c r="AU505" i="1"/>
  <c r="AU474" i="1"/>
  <c r="AU457" i="1"/>
  <c r="AU378" i="1"/>
  <c r="AU359" i="1"/>
  <c r="AU337" i="1"/>
  <c r="AU317" i="1"/>
  <c r="AU234" i="1"/>
  <c r="AU215" i="1"/>
  <c r="AU193" i="1"/>
  <c r="AU173" i="1"/>
  <c r="AU90" i="1"/>
  <c r="AU71" i="1"/>
  <c r="AU49" i="1"/>
  <c r="AU29" i="1"/>
  <c r="AT85" i="1"/>
  <c r="AU438" i="1"/>
  <c r="AU397" i="1"/>
  <c r="AU377" i="1"/>
  <c r="AU336" i="1"/>
  <c r="AU294" i="1"/>
  <c r="AU275" i="1"/>
  <c r="AU253" i="1"/>
  <c r="AU233" i="1"/>
  <c r="AU150" i="1"/>
  <c r="AU131" i="1"/>
  <c r="AU109" i="1"/>
  <c r="AU89" i="1"/>
  <c r="AU6" i="1"/>
  <c r="AT235" i="1"/>
  <c r="AT74" i="1"/>
  <c r="AU437" i="1"/>
  <c r="AU354" i="1"/>
  <c r="AU335" i="1"/>
  <c r="AU313" i="1"/>
  <c r="AU252" i="1"/>
  <c r="AU210" i="1"/>
  <c r="AU191" i="1"/>
  <c r="AU169" i="1"/>
  <c r="AU149" i="1"/>
  <c r="AU108" i="1"/>
  <c r="AU66" i="1"/>
  <c r="AU47" i="1"/>
  <c r="AU25" i="1"/>
  <c r="AU5" i="1"/>
  <c r="AT229" i="1"/>
  <c r="AU565" i="1"/>
  <c r="AU517" i="1"/>
  <c r="AU486" i="1"/>
  <c r="AU469" i="1"/>
  <c r="AU414" i="1"/>
  <c r="AU395" i="1"/>
  <c r="AU353" i="1"/>
  <c r="AU312" i="1"/>
  <c r="AU270" i="1"/>
  <c r="AU251" i="1"/>
  <c r="AU209" i="1"/>
  <c r="AU168" i="1"/>
  <c r="AU126" i="1"/>
  <c r="AU107" i="1"/>
  <c r="AU65" i="1"/>
  <c r="AU24" i="1"/>
</calcChain>
</file>

<file path=xl/sharedStrings.xml><?xml version="1.0" encoding="utf-8"?>
<sst xmlns="http://schemas.openxmlformats.org/spreadsheetml/2006/main" count="26240" uniqueCount="6878">
  <si>
    <t>fechaexpedicion</t>
  </si>
  <si>
    <t>fechavencimiento</t>
  </si>
  <si>
    <t>principioactivo</t>
  </si>
  <si>
    <t>atc</t>
  </si>
  <si>
    <t>modalidad</t>
  </si>
  <si>
    <t>tiporol</t>
  </si>
  <si>
    <t>cantidadcum</t>
  </si>
  <si>
    <t>estadoregistro</t>
  </si>
  <si>
    <t>descripcioncomercial</t>
  </si>
  <si>
    <t>expedientecum</t>
  </si>
  <si>
    <t>ium</t>
  </si>
  <si>
    <t>estadocum</t>
  </si>
  <si>
    <t>formafarmaceutica</t>
  </si>
  <si>
    <t>expediente</t>
  </si>
  <si>
    <t>fechainactivo</t>
  </si>
  <si>
    <t>nombrerol</t>
  </si>
  <si>
    <t>titular</t>
  </si>
  <si>
    <t>producto</t>
  </si>
  <si>
    <t>registrosanitario</t>
  </si>
  <si>
    <t>consecutivocum</t>
  </si>
  <si>
    <t>descripcionatc</t>
  </si>
  <si>
    <t>fechaactivo</t>
  </si>
  <si>
    <t>LEVOTIROXINA SODICA</t>
  </si>
  <si>
    <t>H03AA01</t>
  </si>
  <si>
    <t>FABRICAR Y VENDER</t>
  </si>
  <si>
    <t>FABRICANTE</t>
  </si>
  <si>
    <t>Vigente</t>
  </si>
  <si>
    <t>null</t>
  </si>
  <si>
    <t>Activo</t>
  </si>
  <si>
    <t>TABLETA</t>
  </si>
  <si>
    <t>LEVOTIROXINA DE SODIO</t>
  </si>
  <si>
    <t>A10BH01</t>
  </si>
  <si>
    <t>IMPORTAR Y VENDER</t>
  </si>
  <si>
    <t>TABLETA RECUBIERTA</t>
  </si>
  <si>
    <t>SITAGLIPTINA</t>
  </si>
  <si>
    <t>PREGABALINA</t>
  </si>
  <si>
    <t>N03AX16</t>
  </si>
  <si>
    <t>CAPSULA DURA</t>
  </si>
  <si>
    <t>IMPORTADOR</t>
  </si>
  <si>
    <t>SEVEN PHARMA COLOMBIA S.A.S.</t>
  </si>
  <si>
    <t>HETERO LABS LIMITED</t>
  </si>
  <si>
    <t>MELOXICAM</t>
  </si>
  <si>
    <t>M01AC06</t>
  </si>
  <si>
    <t>GEL TOPICO</t>
  </si>
  <si>
    <t>COASPHARMA S.A.S.</t>
  </si>
  <si>
    <t>METFORMINA CLORHIDRATO</t>
  </si>
  <si>
    <t>A10BA02</t>
  </si>
  <si>
    <t>TABLETA DE LIBERACION PROLONGADA</t>
  </si>
  <si>
    <t>GENFAR S.A.</t>
  </si>
  <si>
    <t>METFORMINA</t>
  </si>
  <si>
    <t>SOLUCION INYECTABLE</t>
  </si>
  <si>
    <t>BLAU FARMACÉUTICA COLOMBIA S.A.S.</t>
  </si>
  <si>
    <t>ALTADIS FARMACEUTICA S.A.S.</t>
  </si>
  <si>
    <t>SUNITINIB</t>
  </si>
  <si>
    <t>A10BD11</t>
  </si>
  <si>
    <t>DR. REDDY´S LABORATORIES S.A.S.</t>
  </si>
  <si>
    <t>DR. REDDY´S LABORATORIES LIMITED</t>
  </si>
  <si>
    <t>METFORMINA MAS LINAGLIPTINA</t>
  </si>
  <si>
    <t>C09DX04</t>
  </si>
  <si>
    <t>VALSARTAN Y SACUBITRIL</t>
  </si>
  <si>
    <t>LINAGLIPTINA</t>
  </si>
  <si>
    <t>D01AA20</t>
  </si>
  <si>
    <t>CREMA TOPICA</t>
  </si>
  <si>
    <t>TRIDEX FARMACEUTICA S.A.</t>
  </si>
  <si>
    <t>COMBINACIONES</t>
  </si>
  <si>
    <t>CLORURO DE CALCIO DIHIDRATADO</t>
  </si>
  <si>
    <t>B05BB02</t>
  </si>
  <si>
    <t>SOLUCION ORAL</t>
  </si>
  <si>
    <t>QUIBI S.A. EN REESTRUCTURACION</t>
  </si>
  <si>
    <t>ELECTROLITOS CON CARBOHIDRATOS</t>
  </si>
  <si>
    <t>CLORURO DE POTASIO</t>
  </si>
  <si>
    <t>CLORURO DE MAGNESIO HEXAHIDRATADO</t>
  </si>
  <si>
    <t>J01CR02</t>
  </si>
  <si>
    <t>POLVO PARA RECONSTITUIR A SUSPENSION ORAL</t>
  </si>
  <si>
    <t>SYNTOFARMA S.A.</t>
  </si>
  <si>
    <t>AMOXICILINA Y BETA-LACTAMASA INHIBIDOR</t>
  </si>
  <si>
    <t>CLORURO DE SODIO</t>
  </si>
  <si>
    <t>SUBSALICILATO DE BISMUTO</t>
  </si>
  <si>
    <t>SUSPENSION ORAL</t>
  </si>
  <si>
    <t>AMOXICILINA</t>
  </si>
  <si>
    <t>TECNOQUIMICAS S.A.</t>
  </si>
  <si>
    <t>LABORATORIOS MK S.A.S.</t>
  </si>
  <si>
    <t>A10BD07</t>
  </si>
  <si>
    <t>LABORATORIOS LA SANTÉ S.A.</t>
  </si>
  <si>
    <t>METFORMINA Y SITAGLIPTINA</t>
  </si>
  <si>
    <t>DASATINIB</t>
  </si>
  <si>
    <t>L01XE06</t>
  </si>
  <si>
    <t>HIDROXICLOROQUINA SULFATO</t>
  </si>
  <si>
    <t>P01BA02</t>
  </si>
  <si>
    <t>ADVANCE SCIENTIFIC DE COLOMBIA S.A.S.</t>
  </si>
  <si>
    <t>HIDROXICLOROQUINA</t>
  </si>
  <si>
    <t>RIVAROXABAN</t>
  </si>
  <si>
    <t>B01AF01</t>
  </si>
  <si>
    <t>LABORATORIOS DELTA S.A.S.</t>
  </si>
  <si>
    <t>ZYDUS LIFESCIENCES LIMITED</t>
  </si>
  <si>
    <t>INTAS PHARMACEUTICALS LIMITED</t>
  </si>
  <si>
    <t>VILDAGLIPTINA</t>
  </si>
  <si>
    <t>SIN DATO</t>
  </si>
  <si>
    <t>__id</t>
  </si>
  <si>
    <t>unidad</t>
  </si>
  <si>
    <t>unidadreferencia</t>
  </si>
  <si>
    <t>unidadmedida</t>
  </si>
  <si>
    <t>cantidad</t>
  </si>
  <si>
    <t>viaadministracion</t>
  </si>
  <si>
    <t>concentracion</t>
  </si>
  <si>
    <t>muestramedica</t>
  </si>
  <si>
    <t>row-8bpg_vnr4-kyuu</t>
  </si>
  <si>
    <t>HIDROCLOROTIAZIDA</t>
  </si>
  <si>
    <t>U</t>
  </si>
  <si>
    <t>LABORATORIOS LEGRANDS.A.</t>
  </si>
  <si>
    <t>Inactivo</t>
  </si>
  <si>
    <t>INVIMA 2023M-0013598-R2</t>
  </si>
  <si>
    <t>CARDIK ® 3 160/5/12.5</t>
  </si>
  <si>
    <t>PRESENTACION INSTITUCIONAL: CAJA POR 203 TABLETASEN BLISTER OPA/AL/PVC - ALUMINIO.</t>
  </si>
  <si>
    <t>LABORATORIOS LEGRAND S.A.</t>
  </si>
  <si>
    <t>mg</t>
  </si>
  <si>
    <t>VALSARTAN. AMLODIPINA E HIDROCLOROTIAZIDA.</t>
  </si>
  <si>
    <t>12,5</t>
  </si>
  <si>
    <t>C09DX01</t>
  </si>
  <si>
    <t>ORAL</t>
  </si>
  <si>
    <t>A</t>
  </si>
  <si>
    <t>No</t>
  </si>
  <si>
    <t>row-ihww.mvjs~puxu</t>
  </si>
  <si>
    <t>TRAMADOL CLORHIDRATO</t>
  </si>
  <si>
    <t>VITALIS S.A.C.I. PLANTA 8</t>
  </si>
  <si>
    <t>INVIMA 2021M-0000733-R2</t>
  </si>
  <si>
    <t>TRAMADOL CLORHIDRATO AMPOLLAS 50 MG / 1 ML.</t>
  </si>
  <si>
    <t>CAJA PLEGADIZA POR 1 AMPOLLA EN VIDRIO TIPO I X 2SIN DATOML CADA UNO</t>
  </si>
  <si>
    <t>1 ML</t>
  </si>
  <si>
    <t>VITALIS S.A.C.I.</t>
  </si>
  <si>
    <t>TRAMADOL</t>
  </si>
  <si>
    <t>N02AX02</t>
  </si>
  <si>
    <t>SUBCUTANEA</t>
  </si>
  <si>
    <t>C</t>
  </si>
  <si>
    <t>row-4t4d.dbbx.3jw3</t>
  </si>
  <si>
    <t>PROPAFENONA CLORHIDRATO</t>
  </si>
  <si>
    <t>ABBOTT LABORATORIES DE COLOMBIA S.A.S.</t>
  </si>
  <si>
    <t>INVIMA 2015M-004879-R3</t>
  </si>
  <si>
    <t>RYTMONORM® 300 MG TABLETAS</t>
  </si>
  <si>
    <t>CAJA POR 10 TABLETAS EN BLISTER DE PVC/PVDC/ALUMINIO POR 10 TABLETAS.</t>
  </si>
  <si>
    <t>TABLETA CUBIERTA (GRAGEA)</t>
  </si>
  <si>
    <t>LABORATORIOS FRANCO COLOMBIANO LAFRANCOL S.A.S</t>
  </si>
  <si>
    <t>PROPAFENONA</t>
  </si>
  <si>
    <t>C01BC03</t>
  </si>
  <si>
    <t>row-ufne.mg23.fdq5</t>
  </si>
  <si>
    <t>GLICERINA</t>
  </si>
  <si>
    <t>TECNOFAR TQ S.A.S</t>
  </si>
  <si>
    <t>INVIMA 2021M-0020061</t>
  </si>
  <si>
    <t>CARMELUB® PLUS UD</t>
  </si>
  <si>
    <t>2C1012371002104 MUESTRA MEDICA - CAJA CON 10 VIALES MONODOSIS ESTÉRILES DE PEBD POR 0.5 ML. EN 2 BOLSAS. CON 5 VIALES CADA UNA</t>
  </si>
  <si>
    <t>ML DE SOLUCIÓN OFTALMICA</t>
  </si>
  <si>
    <t>SOLUCION OFTALMICA</t>
  </si>
  <si>
    <t>LAGRIMAS ARTIFICIALES Y OTRAS PREPARACIONES INDIFERENTES</t>
  </si>
  <si>
    <t>S01XA20</t>
  </si>
  <si>
    <t>OFTÁLMICA</t>
  </si>
  <si>
    <t>Si</t>
  </si>
  <si>
    <t>row-e9mn.u4ns~7rpq</t>
  </si>
  <si>
    <t>EXCESO 6.0%</t>
  </si>
  <si>
    <t>TECNOQUIMICAS S.A. PLANTA JAMUNDI</t>
  </si>
  <si>
    <t>INVIMA 2023M-0002622-R2</t>
  </si>
  <si>
    <t>NORAVER- G CONTRA LOS SINTOMAS DE LA GRIPA</t>
  </si>
  <si>
    <t>CAJASIN DATOPOR 8 EN 2 FOILS X 4</t>
  </si>
  <si>
    <t>IBUPROFEN COMBINACIONES</t>
  </si>
  <si>
    <t>0,6</t>
  </si>
  <si>
    <t>M01AE51</t>
  </si>
  <si>
    <t>IMPORTAR. SEMIELABORAR Y VENDER</t>
  </si>
  <si>
    <t>row-9iaq_8ynx_2uxy</t>
  </si>
  <si>
    <t>ALIZAPRIDA CLORHIDRATO EQUIVALENTE A ALIZAPRIDA BASE</t>
  </si>
  <si>
    <t>C.I. FARMACAPSULAS S.A.S.</t>
  </si>
  <si>
    <t>INVIMA 2021M-0020003</t>
  </si>
  <si>
    <t>SISPRAD® 50MG TABLETAS</t>
  </si>
  <si>
    <t>CAJA POR 30 TABLETAS. 3 BLISTER USO INSTITUCIONAL</t>
  </si>
  <si>
    <t>NOVAMED S.A.S.</t>
  </si>
  <si>
    <t>ALIZAPRIDA</t>
  </si>
  <si>
    <t>A03FA05</t>
  </si>
  <si>
    <t>row-i7tb-36p8.6zxp</t>
  </si>
  <si>
    <t>NILOTINIB CLORHIDRATO MONOHIDRATADO 165.45 MG EQUIVALENTE A NILOTINIB BASE ANHIDRA 150 MG</t>
  </si>
  <si>
    <t>NOVARTIS DE COLOMBIA S.A.</t>
  </si>
  <si>
    <t>INVIMA 2023M-0011944-R2</t>
  </si>
  <si>
    <t>TASIGNA® 150 MG CAPSULAS</t>
  </si>
  <si>
    <t>MUESTRA MÉDICA: CAJA POR 120 CÁPSULAS QUE CONTIENEN 3 CAJAS CON 5 BLÍSTER EN PA-AL-PVC/ALUMINIO POR 8 CÁPSULAS CADA UNO.</t>
  </si>
  <si>
    <t>CÁPSULA</t>
  </si>
  <si>
    <t>NOVARTIS PHARMA A.G.</t>
  </si>
  <si>
    <t>NILOTINIB</t>
  </si>
  <si>
    <t>L01XE08</t>
  </si>
  <si>
    <t>row-7f8j.9nnf~quxh</t>
  </si>
  <si>
    <t>EZETIMIBE</t>
  </si>
  <si>
    <t>TECNOQUIMICAS S.A. (PLANTA JAMUNDI)</t>
  </si>
  <si>
    <t>INVIMA 2021M-0008464-R1</t>
  </si>
  <si>
    <t>EZETIMIBE10 + SIMVASTATINA 40 TABLETA CUBIERTA</t>
  </si>
  <si>
    <t>MUESTRA MÉDICA: BLISTER DE ALUMINIO / ALUMINIO POR 4 TABLETAS EN CAJA POR 4 TABLETAS.</t>
  </si>
  <si>
    <t>SIMVASTATINA COMBINACIONES PAQUETES</t>
  </si>
  <si>
    <t>C10AA51</t>
  </si>
  <si>
    <t>row-b86j-cexi.jd2h</t>
  </si>
  <si>
    <t>TALIDOMIDA</t>
  </si>
  <si>
    <t>ADIUM SAS</t>
  </si>
  <si>
    <t>INVIMA 2015M-0003434 R1</t>
  </si>
  <si>
    <t>INMUNOPRIN® 100 MG COMPRIMIDOS RECUBIERTOS</t>
  </si>
  <si>
    <t>BLISTER PVC / ALUMINIO EN CAJA POR 10 BLISTER DE 1 COMPRIMIDO.</t>
  </si>
  <si>
    <t>TABLETA CUBIERTA (COMPRIMIDO RECUBIERTO)</t>
  </si>
  <si>
    <t>TABLETA CUBIERTA CON PELICULA</t>
  </si>
  <si>
    <t>MONTE VERDE S.A.</t>
  </si>
  <si>
    <t>TALIDOMIDE</t>
  </si>
  <si>
    <t>L04AX02</t>
  </si>
  <si>
    <t>row-64q8-huap.7ydy</t>
  </si>
  <si>
    <t>CEFTRIAXONA</t>
  </si>
  <si>
    <t>NECTAR LIFESCIENCES LIMITED</t>
  </si>
  <si>
    <t>INVIMA 2021M-0020306</t>
  </si>
  <si>
    <t>CEFTRINOX® 1000 MG POLVO ESTERIL PARA RECONSTITUIR</t>
  </si>
  <si>
    <t>CAJA PLEGADIZA POR 50 FRASCOS VIAL DE VIDRIO TIPO I POR 1000 MG CON TAPÓN DE CAUCHO Y AGRAFE + INSERTO.</t>
  </si>
  <si>
    <t>POLVO ESTERIL PARA RECONSTITUIR</t>
  </si>
  <si>
    <t>POLVO ESTERIL PARA RECONSTITUIR A SOLUCION INYECTABLE</t>
  </si>
  <si>
    <t>J01DD04</t>
  </si>
  <si>
    <t>INTRAMUSCULAR</t>
  </si>
  <si>
    <t>row-3rzv.rdgp.jp3z</t>
  </si>
  <si>
    <t>LEVETIRACETAM</t>
  </si>
  <si>
    <t>JUBILANT GENERICS LIMITED</t>
  </si>
  <si>
    <t>INVIMA 2014M-0015385</t>
  </si>
  <si>
    <t>ETITAM® 1000 MG TABLETAS RECUBIERTAS</t>
  </si>
  <si>
    <t>CAJA PLEGADIZA POR 10 TABLETAS EN BLISTER DE ALUMINIO/PVC ACLAR (BLISTER POR 10 TABLETAS) EN DENOMINACION GENÉRICA.</t>
  </si>
  <si>
    <t>WILLOW PHARMAS.A.S.</t>
  </si>
  <si>
    <t>N03AX14</t>
  </si>
  <si>
    <t>row-4amy~e2fp-kj6f</t>
  </si>
  <si>
    <t>TECNANDINA S.A. TENSA</t>
  </si>
  <si>
    <t>INVIMA 2016M-0005192-R1</t>
  </si>
  <si>
    <t>TRAMAL® LONG 50MG TABLETAS</t>
  </si>
  <si>
    <t>CAJA POR 1 BLISTER PVC/LDPE/PVDC TRANSPARENTE- AL DE 10 TABLETAS DE LIBERACION PROLONGADASIN DATO+ INSTRUCTIVO</t>
  </si>
  <si>
    <t>GRUNENTHAL GMBH</t>
  </si>
  <si>
    <t>row-iqdh_dvgz.z8f8</t>
  </si>
  <si>
    <t>INSULINA DETEMIR 100 U. 2400 NMOL</t>
  </si>
  <si>
    <t>NOVO NORDISK PRODUÇÃO FARMACEUTICA DO BRASIL LTDA</t>
  </si>
  <si>
    <t>INVIMA 2018M-0006790-R1</t>
  </si>
  <si>
    <t>LEVEMIR 100U/ML</t>
  </si>
  <si>
    <t>CAJA POR 1 PLUMA PRE - LLENADA DESECHABLE QUE CONTIENE UN CARTUCHO DE VIDRIO TIPO ITRANSPARENTE POR 3ML. CON ÉMBOLO DE CAUCHO DE BROMOBUTILO Y TAPÓN DE CAUCHO DEBROMOBUTILO CON TAPA DE ALUMINIO. CONTENIDA EN UNA PLUMA PRE - LLENADA DEPOLIPROPILENO. CAJA POR 5 PLUMAS PRE - LLENADAS DESECHABLES QUE CONTIENEN UNCARTUCHO DE VIDRIO TIPO I TRANSPARENTE POR 3ML. CON ÉMBOLO DE CAUCHO DE BROMOBUTILO YTAPÓN DE CAUCHO DE BROMOBUTILO CON TAPA DE ALUMINIO. CONTENIDA EN UNA PLUMA PRE -LLENADA DE POLIPROPILENO. MUESTRA MÉDICA: CAJA POR 1 PLUMA PRE - LLENADA DESECHABLEQUE CONTIENE UN CARTUCHO DE VIDRIO TIPO I TRANSPARENTE POR 3ML. CON ÉMBOLO DE CAUCHODE BROMOBUTILO Y TAPÓN DE CAUCHO DE BROMOBUTILO CON TAPA DE ALUMINIO. CONTENIDA ENUNA PLUMA PRE - LLENADA DE POLIPROPILENO. CAJA POR 5 PLUMAS PRE - LLENADASDESECHABLES QUE CONTIENEN UN CARTUCHO DE VIDRIO TIPO I TRANSPARENTE POR 3ML. CONÉMBOLO DE CAUCHO DE BROMOBUTILO Y TAPÓN DE CAUCHO CON TAPA DE ALUMINIO. CONTENIDAEN UNA PLUMA PRE - LLENADA DE POLIPROPILENO.</t>
  </si>
  <si>
    <t>ML</t>
  </si>
  <si>
    <t>NOVO NORDISK A/S</t>
  </si>
  <si>
    <t>INSULIN DETEMIR</t>
  </si>
  <si>
    <t>14,2</t>
  </si>
  <si>
    <t>A10AE05</t>
  </si>
  <si>
    <t>S</t>
  </si>
  <si>
    <t>row-rjhc~2uqk_uhr3</t>
  </si>
  <si>
    <t>DEXTROSA ANHIDRA</t>
  </si>
  <si>
    <t>TECNOFAR TQ S.A.S.</t>
  </si>
  <si>
    <t>INVIMA 2020M-0013239-R1</t>
  </si>
  <si>
    <t>HIDRAPLUS® 45 CON ZINC</t>
  </si>
  <si>
    <t>MUESTRA MÉDICA: FRASCO EN PP CILÍNDRICO. TAPA PUSH PULL EN PP 28MM MAS COPA DOSIFICADORA Y FUNDA EN DE POLIÉSTER POR 400ML DE SOLUCIÓN ORAL EN SABOR TUTIFRUTI</t>
  </si>
  <si>
    <t>100 ML DE SOLUCION ORAL ESTERIL</t>
  </si>
  <si>
    <t>g</t>
  </si>
  <si>
    <t>ELECTROLITOS CON CARBOHIDRATOS REHIDRATACION ORAL</t>
  </si>
  <si>
    <t>A07CA99</t>
  </si>
  <si>
    <t>B</t>
  </si>
  <si>
    <t>row-m6tw-36dv-6hnz</t>
  </si>
  <si>
    <t>GLUCOSA MONOHIDRATO 158.4 GCORRESPONDIENTE A GLUCOSA ANHIDRA</t>
  </si>
  <si>
    <t>B. BRAUN MELSUNGEN AG</t>
  </si>
  <si>
    <t>INVIMA 2017M-0012937-R1</t>
  </si>
  <si>
    <t>NUTRIFLEX ®OMEGA SPECIAL</t>
  </si>
  <si>
    <t>CAJAS CON 5 BOLSAS PLÁSTICA FLEXIBLE DESIN DATOPOLIAMIDA Y POLIPROPILENO. PUERTO DE PP CON TAPÓN DE GOMASIN DATOCON TRES COMPARTIMENTOSSIN DATOPOR 1875 ML .CADA BOLSA INCLUYE INDICADOR Y ADSORBENTE DE OXIGENO</t>
  </si>
  <si>
    <t>1000 ML</t>
  </si>
  <si>
    <t>EMULSION INYECTABLE</t>
  </si>
  <si>
    <t>B05BA10</t>
  </si>
  <si>
    <t>INTRAVENOSA</t>
  </si>
  <si>
    <t>row-8dgg_u92m~tmbw</t>
  </si>
  <si>
    <t>BISOPROLOL FUMARATO</t>
  </si>
  <si>
    <t>INVIMA 2021M-0016454-R1</t>
  </si>
  <si>
    <t>BISOPROLOL 5 MG</t>
  </si>
  <si>
    <t>MUESTRA MÉDICA: CAJA PLEGADIZA CON FRASCO PEAD X 30 TABLETAS CUBIERTAS.</t>
  </si>
  <si>
    <t>TABLETA CUBIERTA</t>
  </si>
  <si>
    <t>BISOPROLOL</t>
  </si>
  <si>
    <t>C07AB07</t>
  </si>
  <si>
    <t>row-3vs4.ersh.pzxb</t>
  </si>
  <si>
    <t>ENOXOPARINA SODICA 80 MG/0.8 ML</t>
  </si>
  <si>
    <t>INVIMA 2021MB-0016141-R1</t>
  </si>
  <si>
    <t>ENOXAPARINASODICA JERINGAS PRELLENADAS 80 MG/0.8 ML</t>
  </si>
  <si>
    <t>CAJA PLEGADIZA POR 100 JERINGAS PRELLENADAS DE VIDRIO TIPO I CON AGUJA FIJA Y TAPÓN DE CAUCHO DE CLOROBUTILO CON 0.8 ML DE SOLUCIÓN INYECTABLE</t>
  </si>
  <si>
    <t>JERINGA PRELLENADA</t>
  </si>
  <si>
    <t>ENOXAPARINA</t>
  </si>
  <si>
    <t>B01AB05</t>
  </si>
  <si>
    <t>row-f93p-wm52~hwsw</t>
  </si>
  <si>
    <t>BIOTOSCANA FARMA S.A.</t>
  </si>
  <si>
    <t>INVIMA 2021M-0020430</t>
  </si>
  <si>
    <t>REMBRE® 50 MG</t>
  </si>
  <si>
    <t>DASATINIB 50.0000 MG TABLETAS DE LIBERACION NO MODIFICADA ORAL (REMBRE) TABLETA 1.0000U / CAJA X 30</t>
  </si>
  <si>
    <t>LABORATORIO LKM S.A.</t>
  </si>
  <si>
    <t>row-aa7b-aqi8~ujjk</t>
  </si>
  <si>
    <t>CAJASIN DATOPOR 60 EN FOIL POR 4 CAPSULAS.</t>
  </si>
  <si>
    <t>row-kg25~3xuu.8xw8</t>
  </si>
  <si>
    <t>ACIDO FOLICO</t>
  </si>
  <si>
    <t>LABORATORIOS ECAR SA</t>
  </si>
  <si>
    <t>INVIMA 2022M-011236-R3</t>
  </si>
  <si>
    <t>ACIDO FOLICO TABLETAS 1 MG.</t>
  </si>
  <si>
    <t>CAJA POR 60 TABLETAS EN BLISTER PVC/ ALUMINIO X 10 TABLETAS</t>
  </si>
  <si>
    <t>FOLICO ACIDO</t>
  </si>
  <si>
    <t>B03BB01</t>
  </si>
  <si>
    <t>row-qbce-9nbp-6242</t>
  </si>
  <si>
    <t>ACIDO VALPROICO</t>
  </si>
  <si>
    <t>INVIMA 2016M-0011592-R1</t>
  </si>
  <si>
    <t>FERBIN® C.L. 250 MG CAPSULA</t>
  </si>
  <si>
    <t>MUESTRA MEDICA: CAJA POR 1 CAPSULAS EN BLISTER DE PVC ÁMBAR-FOIL ALUMINIO</t>
  </si>
  <si>
    <t>CAPSULA DURA CON CONTENIDO LIQUIDO</t>
  </si>
  <si>
    <t>VALPROICO ACIDO</t>
  </si>
  <si>
    <t>N03AG01</t>
  </si>
  <si>
    <t>row-pue7-izgn~s82r</t>
  </si>
  <si>
    <t>NAPROXENO SODICO</t>
  </si>
  <si>
    <t>FARMATECH S.A.</t>
  </si>
  <si>
    <t>2C1026541004106</t>
  </si>
  <si>
    <t>INVIMA 2021M-0016590-R1</t>
  </si>
  <si>
    <t>NAPROFEN ® TABLETAS RECUBIERTAS</t>
  </si>
  <si>
    <t>CAJASIN DATOPOR 100 TABLETAS RECUBIERTAS ENSIN DATO10 BLISTER PVC/PVDC- ALUMINIO POR 10 TABLETAS RECUBIERTAS C/U .</t>
  </si>
  <si>
    <t>HUMAX PHARMACEUTICAL S.A.</t>
  </si>
  <si>
    <t>NAPROXENO. COMBINACIONES</t>
  </si>
  <si>
    <t>M01AE59</t>
  </si>
  <si>
    <t>row-8ha3~gkgg_iwy9</t>
  </si>
  <si>
    <t>B. BRAUN MEDICAL S.A.</t>
  </si>
  <si>
    <t>CAJA CON BOLSAS PLÁSTICA FLEXIBLE DE POLIAMIDA Y POLIPROPILENO. PUERTO DE PP CON TAPÓN DE GOMASIN DATOCON TRES COMPARTIMENTOSSIN DATOPOR 2500 ML.CADA BOLSA INCLUYE INDICADOR Y ADSORBENTE DE OXIGENO</t>
  </si>
  <si>
    <t>row-efjm~eumm-nqza</t>
  </si>
  <si>
    <t>ACETAMINOFEN COMPRESION DIRECTA NO OFICIAL 90 %)** 555.556 MG EQUIVALENTE A ACETAMINOFEN</t>
  </si>
  <si>
    <t>GRANULES INDIA LIMITED</t>
  </si>
  <si>
    <t>INVIMA 2021M-0001930-R2</t>
  </si>
  <si>
    <t>GRIPTOTAL® TABLETAS</t>
  </si>
  <si>
    <t>CAJA PLEGADIZA POR 12 TABLETASSIN DATOCONTENIENDO 3 BLISTER DE FOIL DE ALUMINIO PROLAMSIN DATOPOR 4 TABLETAS CADA UNO</t>
  </si>
  <si>
    <t>GENFAR S.A</t>
  </si>
  <si>
    <t>PARACETAMOL COMBINACIONES EXCLUYENDO SICOLEPTICOS</t>
  </si>
  <si>
    <t>N02BE51</t>
  </si>
  <si>
    <t>row-u7gj.z3gt~j87g</t>
  </si>
  <si>
    <t>LOSARTAN POTASICO</t>
  </si>
  <si>
    <t>LABORATORIO PROFESIONAL FARMACEUTICO S.A.S. - LABORATORIOS LAPROFF S.A.S.</t>
  </si>
  <si>
    <t>1L1011181000100</t>
  </si>
  <si>
    <t>INVIMA 2023M-0018110-R1</t>
  </si>
  <si>
    <t>LOSARTAN POTASICO 100 MG TABLETA RECUBIERTAS</t>
  </si>
  <si>
    <t>1L1011181000100 LOSARTAN 100.0000 MG TABLETAS DE LIBERACION NO MODIFICADA ORAL (LAPROFF S.A) TABLETA 1.0000U / CAJA X 30</t>
  </si>
  <si>
    <t>LOSARTAN</t>
  </si>
  <si>
    <t>C09CA01</t>
  </si>
  <si>
    <t>row-wjys~g2k8-fvik</t>
  </si>
  <si>
    <t>DEXAMETASONA SODICA FOSFATO. EQUIVALENTE A DEXAMETASONA FOSFATO</t>
  </si>
  <si>
    <t>FAREVA VILLA RICA S.A.S.</t>
  </si>
  <si>
    <t>INVIMA 2021M-002916-R5</t>
  </si>
  <si>
    <t>DECADRON 8 MG/2 ML INYECTABLE</t>
  </si>
  <si>
    <t>FRASCO AMPOLLA DE VIDRIO TRANSPARENTE TIPO I POR 2ML EN CAJA POR 100 FRASCOS AMPOLLA</t>
  </si>
  <si>
    <t>AMPOLLA POR 2 ML</t>
  </si>
  <si>
    <t>DEXAMETASONA</t>
  </si>
  <si>
    <t>H02AB02</t>
  </si>
  <si>
    <t>INTRA-ARTICULAR</t>
  </si>
  <si>
    <t>row-z7ny-gjrw-pq4z</t>
  </si>
  <si>
    <t>DIPIRONA</t>
  </si>
  <si>
    <t>TAKEDA PHARMA LTD.</t>
  </si>
  <si>
    <t>INVIMA 2017M-004981-R2</t>
  </si>
  <si>
    <t>NEOSALDINA® GRAGEAS</t>
  </si>
  <si>
    <t>MUESTRA MEDICA EN CAJA POR 2 GRAGEAS EN BLISTER DE PVDC/PVC/ALUMINIO X 2 GRAGEAS</t>
  </si>
  <si>
    <t>GRAGEA</t>
  </si>
  <si>
    <t>DAMUZI COMPANY S.A.</t>
  </si>
  <si>
    <t>METAMIZOL SODIO COMBINACIONES EXCLUYENDO SICOLEPTICOS</t>
  </si>
  <si>
    <t>N02BB52</t>
  </si>
  <si>
    <t>row-y8c9-6ymc_e47w</t>
  </si>
  <si>
    <t>SUNITINIB MALATO (33.4 MG) EQUIVALENTE SUNITINIB</t>
  </si>
  <si>
    <t>PFIZER S.A.S.</t>
  </si>
  <si>
    <t>INVIMA 2022M-0006443-R2</t>
  </si>
  <si>
    <t>SUTENT® CAPSULAS 25 MG</t>
  </si>
  <si>
    <t>MUESTRA MEDICA: CAJA POR UN FRASCO BLANCO OPACO DE POLIETILENO DE ALTA DENSIDAD CON 10 CAPSULAS.</t>
  </si>
  <si>
    <t>CÁPSULA DURA</t>
  </si>
  <si>
    <t>L01EX01</t>
  </si>
  <si>
    <t>row-tq8u~ekx9-cswn</t>
  </si>
  <si>
    <t>LACTATO DE SODIO (SE FORMA A PARTIR DE 0.252 G DE ÁCIDO LÁCTICO Y 0.112 G DE HIDRÓXIDO DE SODIO)</t>
  </si>
  <si>
    <t>PISA FARMACEUTICA DE COLOMBIA S.A.</t>
  </si>
  <si>
    <t>INVIMA 2020M-0009131-R1</t>
  </si>
  <si>
    <t>ELECTROLIT®</t>
  </si>
  <si>
    <t>MUESTRA MÉDICA: FRASCO DE POLIPROPILENO CLASE IV USP CON TAPA AZUL DE POLIPROPILENO POR 625 ML CON SABOR A MANZANA.</t>
  </si>
  <si>
    <t>100 ML DE SOLUCIÓN ORAL</t>
  </si>
  <si>
    <t>LABORATORIOS PISA S.A. DE C.V.</t>
  </si>
  <si>
    <t>0,314</t>
  </si>
  <si>
    <t>row-wgn2~22ft.zvej</t>
  </si>
  <si>
    <t>VIRUSDE POLIO INACTIVADO (CEPA MAHONEY) (IPV) TIPO 1</t>
  </si>
  <si>
    <t>GLAXOSMITHKLINE BIOLOGICALS S.A.S.</t>
  </si>
  <si>
    <t>INVIMA 2017MBT-14204-R2</t>
  </si>
  <si>
    <t>INFANRIX HEXA (DPTA-HEPB-IPV-HIB)</t>
  </si>
  <si>
    <t>VIAL DE VIDRIO TIPO CON CAPACIDAD DE 3 ML CON TAPÓN DE BROMOBUTILO Y CONTENIENDO UNA DOSIS DE LIOFILIZADO (HIB) + JERINGA PRELLENADA DE 1.25 ML DE CAPACIDAD DE VIDRIO INCOLORO TIPO I CON UN TAPÓN ELASTOMÉRICO. CONTENIENDO 1 DOSIS DE DILUENTE (DTPA+HVB+IPV) + 2 AGUJAS HIPODÉRMICAS</t>
  </si>
  <si>
    <t>SUSPENSION INYECTABLE</t>
  </si>
  <si>
    <t>GLAXOSMITHKLINE BIOLOGICALS S.A.</t>
  </si>
  <si>
    <t>UD</t>
  </si>
  <si>
    <t>DIFTERIA-HEMOFILUS INFLUENZA B-PERTUSIS-POLIOMIELITIS-TETANOS-HEPATITIS B</t>
  </si>
  <si>
    <t>J07CA09</t>
  </si>
  <si>
    <t>row-ieu8_zqya_iyxp</t>
  </si>
  <si>
    <t>FOSFATO SÓDICO DE DEXAMETASONA EQUIVALENTE A DE FOSFATO DE DEXAMETASONA</t>
  </si>
  <si>
    <t>PRODUCTOS FARMACÉUTICOS S.A. DE C.V</t>
  </si>
  <si>
    <t>1D1004301003100</t>
  </si>
  <si>
    <t>INVIMA 2020M-0019720</t>
  </si>
  <si>
    <t>CHINOIN ALIN ® SOLUCION INYECTABLE</t>
  </si>
  <si>
    <t>1D1004301003100SIN DATOCAJA DE CARTÓN CON UN BLÍSTER DE PVC/ALUMINIO QUE CONTIENE UNA AMPOLLETA DE VIDRIO BOROSILICATO TIPO I COLOR ÁMBAR CON 2 MLSIN DATO</t>
  </si>
  <si>
    <t>CADA AMPOLLA</t>
  </si>
  <si>
    <t>TEJIDO BLANDO</t>
  </si>
  <si>
    <t>row-tgre.4epr-yesz</t>
  </si>
  <si>
    <t>FOSFOMICINA TROMETAMOL 5.631 G EQUIVALENTE A FOSFOMICINA</t>
  </si>
  <si>
    <t>ZAMBON SWITZERLAND LTD.</t>
  </si>
  <si>
    <t>INVIMA 2015M-0003562-R1</t>
  </si>
  <si>
    <t>ZAMBON MONURIL® 3G</t>
  </si>
  <si>
    <t>CAJA DE CARTULINA MAULE. CON DOS SOBRE DE 8G (C/U) EN PAPEL LAMINADO EN ALUMINIO /PVC.</t>
  </si>
  <si>
    <t>SOBRE CON GRANULADO PARA SOLUCIÓN ORAL</t>
  </si>
  <si>
    <t>GRANULOS</t>
  </si>
  <si>
    <t>ZAMBON COLOMBIA S.A.</t>
  </si>
  <si>
    <t>FOSFOMICINA</t>
  </si>
  <si>
    <t>J01XX01</t>
  </si>
  <si>
    <t>row-z2fa_uu83.xt9s</t>
  </si>
  <si>
    <t>ETOFENAMATO</t>
  </si>
  <si>
    <t>INVIMA 2022M-0015503-R1</t>
  </si>
  <si>
    <t>ETOFENAMATO 1G/2ML</t>
  </si>
  <si>
    <t>CAJA X 3SIN DATOAMPOLLAS DE VIDRIO TRANSPARENTE TIPO I POR 2ML CADA UNA.</t>
  </si>
  <si>
    <t>AMPOLLA O JERINGA PRELLENADA X 2ML</t>
  </si>
  <si>
    <t>LABORATORIOS MK S.A.S</t>
  </si>
  <si>
    <t>M02AA06</t>
  </si>
  <si>
    <t>row-jgid~terh~jvnu</t>
  </si>
  <si>
    <t>LOSARTÁN POTÁSICO</t>
  </si>
  <si>
    <t>C.I. FARMACAPSULAS S.A.S. - SEDE 4</t>
  </si>
  <si>
    <t>2H1024851003112</t>
  </si>
  <si>
    <t>INVIMA 2024M-0021398</t>
  </si>
  <si>
    <t>TENSOFAR® H 50 / 12.5 TABLETAS RECUBIERTAS</t>
  </si>
  <si>
    <t>MARCA: CAJA QUE CONTIENE 200 TABLETAS RECUBIERTAS EN BLÍSTER (PVC/PVDC TRANSPARENTE/FOIL ALUMINIO) 20 BLÍSTER POR 10 TABLETAS</t>
  </si>
  <si>
    <t>LOSARTAN Y DIURETICOS</t>
  </si>
  <si>
    <t>C09DA01</t>
  </si>
  <si>
    <t>row-wtct_rzt3_5ig3</t>
  </si>
  <si>
    <t>CLORHIDRATO DE DIFENHIDRAMINA</t>
  </si>
  <si>
    <t>INVIMA 2015M-0016067</t>
  </si>
  <si>
    <t>NORAVER® NOCHE</t>
  </si>
  <si>
    <t>MUESTRA MÉDICA: CAJA PLEGADIZA POR 7 SOBRES LAMINADOS (BOPP+ ALUMINIO + RESINA DE SELLE) POR 15 GRAMOS CADA UNO</t>
  </si>
  <si>
    <t>SOBRE DE 15G CON POLVO GRANULADO PARA RECONSTITUIR A SOLUCIÓN ORAL.</t>
  </si>
  <si>
    <t>POLVO</t>
  </si>
  <si>
    <t>ACETAMINOFEN + CLORHIDRATO DE DIFENHIDRAMINA +CLORHIDRATO DE FENILEFRINA</t>
  </si>
  <si>
    <t>N02BE75</t>
  </si>
  <si>
    <t>row-xb3b_ih8e_n4k8</t>
  </si>
  <si>
    <t>CLONAZEPAM</t>
  </si>
  <si>
    <t>LABORATORIOS SIEGFRIED S.A.S.</t>
  </si>
  <si>
    <t>INVIMA 2013M-0002375-R1</t>
  </si>
  <si>
    <t>COQUAN® 0.5 MG TABLETAS RECUBIERTAS</t>
  </si>
  <si>
    <t>CAJA POR 150 TABLETAS RECUBIERTAS EN BLÍSTER PVC TRANSPARENTE / ALUMINIO IMPRESO POR 10 O 30 TABLETAS RECUBIERTAS CADA UNO</t>
  </si>
  <si>
    <t>TABLETARECUBIERTA</t>
  </si>
  <si>
    <t>0,5</t>
  </si>
  <si>
    <t>N03AE01</t>
  </si>
  <si>
    <t>row-ziju-8stb-zyxj</t>
  </si>
  <si>
    <t>EXEMESTANO</t>
  </si>
  <si>
    <t>SYNTHON HISPANIA. S.L.</t>
  </si>
  <si>
    <t>1E1022301002108</t>
  </si>
  <si>
    <t>INVIMA 2020M-0019585</t>
  </si>
  <si>
    <t>EXTANO® 25 MG TABLETAS RECUBIERTAS</t>
  </si>
  <si>
    <t>1E1022301002108: MUESTRA MÉDICA: CAJA POR 10 TABLETAS RECUBIERTAS EN BLISTER PVC/PVDC BLANCO OPACO- ALUMINIO</t>
  </si>
  <si>
    <t>L02BG06</t>
  </si>
  <si>
    <t>row-trsj_j3ix_72qy</t>
  </si>
  <si>
    <t>LEVOFLOXACINO HEMIHIDRATO EQUIVALENTE A LEVOFLOXACINO BASE</t>
  </si>
  <si>
    <t>MSN LABS AMERICAS S.A.S.</t>
  </si>
  <si>
    <t>INVIMA 2018M-0014489-R1</t>
  </si>
  <si>
    <t>SAFELEVO® 500 MG</t>
  </si>
  <si>
    <t>CAJA PLEGADIZA X 14 TABLETAS RECUBIERTAS EN BLISTER ALUMINIO/PVC-PVDC</t>
  </si>
  <si>
    <t>MSN LABORATORIES PRIVATE LIMITED</t>
  </si>
  <si>
    <t>LEVOFLOXACINA</t>
  </si>
  <si>
    <t>J01MA12</t>
  </si>
  <si>
    <t>row-kxe9_6r59_9kpq</t>
  </si>
  <si>
    <t>CETIRIZINA DICLORHIDRATO</t>
  </si>
  <si>
    <t>PROCAPS S.A.</t>
  </si>
  <si>
    <t>INVIMA 2022M-0007606-R1</t>
  </si>
  <si>
    <t>ALERCET® D</t>
  </si>
  <si>
    <t>MUESTRA MEDICA:CAJASIN DATOCON FRASCO PET AMBARSIN DATOX 60 ML CON TAPA DE POLIPROPILENO BLANCA.SIN DATOCON LINNER DE EVA DE COLOR AZULSIN DATO CON CUCHARASIN DATODOSIFICADORA</t>
  </si>
  <si>
    <t>100ML DE JARABE</t>
  </si>
  <si>
    <t>JARABE</t>
  </si>
  <si>
    <t>FENILEFRINA COMBINACIONES</t>
  </si>
  <si>
    <t>R01BA53</t>
  </si>
  <si>
    <t>row-ps25-nctx_5gi3</t>
  </si>
  <si>
    <t>ERITROPOYETINA ALFA HUMANA RECOMBINANTE</t>
  </si>
  <si>
    <t>MEGALABS COLOMBIA S.A.S</t>
  </si>
  <si>
    <t>INVIMA 2023MBT-0009704-R1</t>
  </si>
  <si>
    <t>ERITROPOYETINA 4000 UI SOLUCIÓN INYECTABLE</t>
  </si>
  <si>
    <t>CAJA DE CARTULINA POR 160 JERINGAS PRELLENADAS (CON CAPACIDAD DE 1 ML (VIDRIO TIPO I)) POR 1 ML + AGUJA EN CUNA DE PVC TRANSPARENTE. SELLADA CON UN FILM PLÁSTICO TRANSPARENTE</t>
  </si>
  <si>
    <t>JERINGA PRELLENADA CON 1 ML DE SOLUCIÓN INYECTABLE</t>
  </si>
  <si>
    <t>UI</t>
  </si>
  <si>
    <t>ERITROPOYETINA</t>
  </si>
  <si>
    <t>B03XA01</t>
  </si>
  <si>
    <t>row-kfzb_afvi_2jq9</t>
  </si>
  <si>
    <t>CITRATO DE SODIO DIHIDRATADO</t>
  </si>
  <si>
    <t>INVIMA 2020M-0013319-R1</t>
  </si>
  <si>
    <t>HIDRAPLUS® 75 CON ZINC</t>
  </si>
  <si>
    <t>MUESTRA MÉDICA: CAJA PLEGADIZA POR 5 SACHET LAMINADO POR 100 ML C/U DE SOLUCION ORAL SABOR UVA</t>
  </si>
  <si>
    <t>100ML DE SOLUCIÓN</t>
  </si>
  <si>
    <t>0,29</t>
  </si>
  <si>
    <t>row-yyc6-7rv9_7yda</t>
  </si>
  <si>
    <t>PEGFILGRASTIM</t>
  </si>
  <si>
    <t>AMGEN BIOTECNOLÓGICA S.A.S</t>
  </si>
  <si>
    <t>1P1029381006101</t>
  </si>
  <si>
    <t>INVIMA 2023MBT-0004907-R2</t>
  </si>
  <si>
    <t>NEULASTIM ® SOLUCION INYECTABLE 6 MG/0.6 ML</t>
  </si>
  <si>
    <t>CAJA CON 4 BANDEJAS. CONTENIENDO UNASIN DATOJERINGA PRELLENADA CON 0.6ML DE SOLUCIÓN INYECTABLE. JERINGA DE VIDRIO TIPO I CON AGUJA DE ACERO INOXIDABLE. CON O SIN PROTECTOR MANUAL DE AGUJA MÁS INSERTO</t>
  </si>
  <si>
    <t>JERINGA PRELLENADA CON0.6 ML</t>
  </si>
  <si>
    <t>AMGEN MANUFACTURING LIMITED LLC</t>
  </si>
  <si>
    <t>L03AA13</t>
  </si>
  <si>
    <t>row-9mdb.zq8j_qazz</t>
  </si>
  <si>
    <t>CLORURO DE CETILPIRIDINIO</t>
  </si>
  <si>
    <t>INVIMA 2023M-0002754-R2</t>
  </si>
  <si>
    <t>NORAVER P TABLETAS DE DISOLUCIÓN BUCAL</t>
  </si>
  <si>
    <t>MUESTRA MÉDICA: CAJA PORSIN DATO2 PASTILLAS EN 1 FOIL ALUMINIO / ALUMINIO BLANCO POR 2 PASTILLAS</t>
  </si>
  <si>
    <t>TABLETA DE DISOLUCIÓN BUCAL</t>
  </si>
  <si>
    <t>TABLETA BUCAL</t>
  </si>
  <si>
    <t>CETILPIRIDINO CLORURO + COMBINACION</t>
  </si>
  <si>
    <t>1,4</t>
  </si>
  <si>
    <t>R02AA50</t>
  </si>
  <si>
    <t>BUCAL</t>
  </si>
  <si>
    <t>row-c8e5-afhj.k65w</t>
  </si>
  <si>
    <t>DEXAMETASONA SODIO FOSFATO 4.3726 MGEQUIVALENTE A DEXAMETASONAFOSFATO</t>
  </si>
  <si>
    <t>ml</t>
  </si>
  <si>
    <t>PHARMAYECT S.A.</t>
  </si>
  <si>
    <t>INVIMA 2023M-0009145-R2</t>
  </si>
  <si>
    <t>DEXAMETASONA FOSFATO 4 MG/1ML</t>
  </si>
  <si>
    <t>SOLUCIÓNSIN DATOINYECTABLE. AMPOLLA VIDRIO ÁMBAR TIPO I POR UN (1) ML.SIN DATOCAJA PORSIN DATOCINCO(5) AMPOLLAS</t>
  </si>
  <si>
    <t>UN (1) ML DE SOLUCIÓN INYECTABLE</t>
  </si>
  <si>
    <t>PRODUCTORA DE CAPSULAS DE GELATINA S.A.. PROCAPS S.A.</t>
  </si>
  <si>
    <t>row-53hw.4rmv~tn49</t>
  </si>
  <si>
    <t>FENILEFRINA HCL</t>
  </si>
  <si>
    <t>INVIMA 2008M-0008561</t>
  </si>
  <si>
    <t>NOXPIRIN® SINUS TABLETA</t>
  </si>
  <si>
    <t>CAJA POR 72 TABLETAS EN TIRA DE POLIETILENO/POLIÉSTER/ALUMINIO.</t>
  </si>
  <si>
    <t>row-witu.9sdq-56rg</t>
  </si>
  <si>
    <t>IBUPROFENO</t>
  </si>
  <si>
    <t>PFIZERS.R.L..</t>
  </si>
  <si>
    <t>INVIMA 2023M-0016139-R1</t>
  </si>
  <si>
    <t>ADVIL® FEM</t>
  </si>
  <si>
    <t>CAJA CON 2 BLISTER POR 10 TABLETAS C/U</t>
  </si>
  <si>
    <t>HALEON COLOMBIA S.A.S</t>
  </si>
  <si>
    <t>row-6r3z~yfk8-2jg8</t>
  </si>
  <si>
    <t>ACETAMINOFEN</t>
  </si>
  <si>
    <t>INVIMA 2019M-0014206-R1</t>
  </si>
  <si>
    <t>DOLEX® ACTIVGEL</t>
  </si>
  <si>
    <t>CAJA POR 10SIN DATOCAPSULAS BLANDAS DE GELATINA EN ENVASE FOIL CHILD RESISTANCE 204MM/PVDC 250-40 204MM X 10 CAPSULAS CADA UNO</t>
  </si>
  <si>
    <t>CAPSULA DE GELATINA BLANDA</t>
  </si>
  <si>
    <t>CAPSULA BLANDA</t>
  </si>
  <si>
    <t>PARACETAMOL</t>
  </si>
  <si>
    <t>N02BE01</t>
  </si>
  <si>
    <t>row-3mex.c5d7-jn24</t>
  </si>
  <si>
    <t>AMOXICILINA TRIHIDRATO EQUIVALENTE A 875 MG DEAMOXICILINABASE</t>
  </si>
  <si>
    <t>FAES FARMA COLOMBIA S.A.S.</t>
  </si>
  <si>
    <t>INVIMA 2020M-0013763-R1</t>
  </si>
  <si>
    <t>CLAVUTEC</t>
  </si>
  <si>
    <t>USO INSTITUCIONAL: CAJA PLEGADIZA POR 28 TABLETAS RECUBIERTAS. EN BLISTER PVC/ALU POR 7 TABLETAS RECUBIERTAS CADA UNO</t>
  </si>
  <si>
    <t>CADA TABLETA RECUBIERTA</t>
  </si>
  <si>
    <t>1026,87</t>
  </si>
  <si>
    <t>row-v63y.3ncf_8jx9</t>
  </si>
  <si>
    <t>CLORTALIDONA</t>
  </si>
  <si>
    <t>IPCA LABORATORIES LIMITED.</t>
  </si>
  <si>
    <t>1C1012331000109</t>
  </si>
  <si>
    <t>INVIMA 2023M-0018346-R1</t>
  </si>
  <si>
    <t>IPCA DICHLOR® 25 MG</t>
  </si>
  <si>
    <t>CAJA POR 500 TABLETAS EN BLÍSTER PVDC/ALUMINIO</t>
  </si>
  <si>
    <t>IPCA LABORATORIES LIMITED</t>
  </si>
  <si>
    <t>C03BA04</t>
  </si>
  <si>
    <t>row-pp6r.vtd4.77fg</t>
  </si>
  <si>
    <t>L-TIROSINA</t>
  </si>
  <si>
    <t>LABORATORIOS BAXTER S.A.</t>
  </si>
  <si>
    <t>INVIMA 2020M-007459-R2</t>
  </si>
  <si>
    <t>PRIMENE 10%</t>
  </si>
  <si>
    <t>MUESTRA MEDICA:FRASCO DE VIDRIO TIPO II POR 250 ML SELLADO CON UN TAPÓN DE MATERIAL ELASTOMÉRICO.</t>
  </si>
  <si>
    <t>100 ML</t>
  </si>
  <si>
    <t>AMINOACIDOS</t>
  </si>
  <si>
    <t>0,045</t>
  </si>
  <si>
    <t>B05BA01</t>
  </si>
  <si>
    <t>row-dvmy.gzhm~vz7c</t>
  </si>
  <si>
    <t>YODOPOVIDONA</t>
  </si>
  <si>
    <t>QUIRUMEDICAS S.A.S</t>
  </si>
  <si>
    <t>INVIMA 2021M-010075-R3</t>
  </si>
  <si>
    <t>IODIGER ESPUMA</t>
  </si>
  <si>
    <t>FRASCO POR 120 ML. EN POLIETILENO FARMACEUTICO DE ALTA DENSIDAD EN CAJA CORRUGADA POR 141</t>
  </si>
  <si>
    <t>CADA 100 ML CONTIENEN</t>
  </si>
  <si>
    <t>SOLUCION TOPICA</t>
  </si>
  <si>
    <t>D08AG02</t>
  </si>
  <si>
    <t>TOPICA (EXTERNA)</t>
  </si>
  <si>
    <t>row-xh9h.7ua2_qfdg</t>
  </si>
  <si>
    <t>NEBIVOLOL CLORHIDRATO 5.45 MG EQUIVALENTE A NEBIVOLOL</t>
  </si>
  <si>
    <t>MENARINI VON HEYDEN GMBH</t>
  </si>
  <si>
    <t>1N1043231000101</t>
  </si>
  <si>
    <t>INVIMA 2023M-0001124-R2</t>
  </si>
  <si>
    <t>NEBILET® COMPRIMIDOS 5 MG</t>
  </si>
  <si>
    <t>MUESTRA MEDICASIN DATOCAJA POR 14 TABLETAS EN BLISTER ALUMINIO/PVC</t>
  </si>
  <si>
    <t>COMPRIMIDO</t>
  </si>
  <si>
    <t>MENARINI INTERNATIONAL OPERATIONS LUXEMBOURG S.A.</t>
  </si>
  <si>
    <t>NEBIVOLOL</t>
  </si>
  <si>
    <t>C07AB12</t>
  </si>
  <si>
    <t>row-6cig-a9qh~5i4g</t>
  </si>
  <si>
    <t>ESOMEPRAZOL MAGNESIO TRIHIDRATO 22.210 MG EQUIVALENTE A ESOMEPRAZOL BASE</t>
  </si>
  <si>
    <t>INVIMA 2022M-0003930-R2</t>
  </si>
  <si>
    <t>ESOMEPRAZOL 20 MG TABLETAS DE LIBERACIÓN RETARDADA.</t>
  </si>
  <si>
    <t>CAJA PORSIN DATO14SIN DATOTABLETAS EN BLISTER TRIFLEX II (PP/AI/PVC/PVDC) / ALUMINIO</t>
  </si>
  <si>
    <t>TABLETA DE LIBERACIÓN RETARDADA CONTIENE:(TABLETA RECUBIERTA)</t>
  </si>
  <si>
    <t>TABLETA CON CUBIERTA ENTERICA CON PELICULA</t>
  </si>
  <si>
    <t>ESOMEPRAZOL</t>
  </si>
  <si>
    <t>A02BC05</t>
  </si>
  <si>
    <t>row-6a9v.3k7m_jn73</t>
  </si>
  <si>
    <t>MIDAZOLAM</t>
  </si>
  <si>
    <t>LABORATORIOS SERRA PAMIES</t>
  </si>
  <si>
    <t>INVIMA 2023M-0021179</t>
  </si>
  <si>
    <t>SERRACLINICS</t>
  </si>
  <si>
    <t>CAJA X 50 AMPOLLAS DE VIDRIO TIPO I TRANSPARENTE X 3 ML</t>
  </si>
  <si>
    <t>N05CD08</t>
  </si>
  <si>
    <t>RECTAL</t>
  </si>
  <si>
    <t>row-enbm_cmhh~sjn4</t>
  </si>
  <si>
    <t>HIDROCORTISONA SUCCINATO SODICA 133.67MG EQUIVALENTE A HIDROCORTISONA BASE</t>
  </si>
  <si>
    <t>VITALIS S.A.C.I. PLANTA 2</t>
  </si>
  <si>
    <t>INVIMA 2021M-0003102-R2</t>
  </si>
  <si>
    <t>HIDROCORTISONA 100 MG</t>
  </si>
  <si>
    <t>CAJA POR 6 VIALES DE VIDRIO TIPO I. INCOLORO CON TAPÓN GRIS EN BROMOBUTILO. AGRAFE DE ALUMINIO CON FLIP OFF</t>
  </si>
  <si>
    <t>VIAL</t>
  </si>
  <si>
    <t>HIDROCORTISONA</t>
  </si>
  <si>
    <t>H02AB09</t>
  </si>
  <si>
    <t>row-rtb3-q3v3-i9w2</t>
  </si>
  <si>
    <t>FOSFATO DE SODIO DIHIDRÓGENO DIHIDRATADO</t>
  </si>
  <si>
    <t>INVIMA 2016M-0012163-R1</t>
  </si>
  <si>
    <t>NUTRIFLEXLIPID SPECIAL</t>
  </si>
  <si>
    <t>CAJA X 5 BOLSAS (CADA BOLSA PLÁSTICA FLEXIBLE CON TRES COMPARTIMENTOS X 1875 ML) + INSERTO</t>
  </si>
  <si>
    <t>1ML DE EMULSIÓN INYECTABLE</t>
  </si>
  <si>
    <t>B. BRAUN MELSUNGEN A.G.</t>
  </si>
  <si>
    <t>row-jjdf.gtuv.2722</t>
  </si>
  <si>
    <t>ENOXAPARINA SODICA (DE ORIGEN PORCINO)</t>
  </si>
  <si>
    <t>INVIMA 2024MB-0004412-R2</t>
  </si>
  <si>
    <t>CLENOX ®</t>
  </si>
  <si>
    <t>CAJA POR 10 JERINGAS PRELLENADAS DE VIDRIO TIPO I SIN BLÍSTER POR 0.2ML CADA UNA. SIN BIOCLICK DE SEGURIDAD.</t>
  </si>
  <si>
    <t>POR ML EN JERINGA PRELLENADA X 0.2. 0.4. 0.6 Y 0.8 ML</t>
  </si>
  <si>
    <t>row-mkre-73vz_ey8i</t>
  </si>
  <si>
    <t>INVIMA 2021M-0013188-R1</t>
  </si>
  <si>
    <t>TRAMADOL CLORHIDRATO 100 MG / 2 ML</t>
  </si>
  <si>
    <t>CAJA X 3 AMPOLLAS DE VIDRIO TRANSPARENTE INCOLORO TIPO I. POR 2 ML DE SOLUCIÓN C/U.</t>
  </si>
  <si>
    <t>AMPOLLA DE 2 ML</t>
  </si>
  <si>
    <t>row-m8ff.t2wr-uyzt</t>
  </si>
  <si>
    <t>DEXKETOPROFENO TROMETAMOL EQUIVALENTE A DEXKETOPROFENO BASE.</t>
  </si>
  <si>
    <t>GALENICUM HEALTH COLOMBIA S.A.S.</t>
  </si>
  <si>
    <t>INVIMA 2023M-0018009-R1</t>
  </si>
  <si>
    <t>DEXKETOVITAE® 25 MG COMPRIMIDOS RECUBIERTOS</t>
  </si>
  <si>
    <t>CAJA X 100 COMPRIMIDOS RECUBIERTOS EL BLISTER ALU /PVC / PVDC + INSERTO</t>
  </si>
  <si>
    <t>TABLETA (COMPRIMIDO) RECUBIERTO</t>
  </si>
  <si>
    <t>DEXKETOPROFENO</t>
  </si>
  <si>
    <t>M01AE17</t>
  </si>
  <si>
    <t>row-wqea~w2en~v3ya</t>
  </si>
  <si>
    <t>ETINILESTRADIOL MICRONIZADO</t>
  </si>
  <si>
    <t>LABORATORIOS LEON FARMA S.A.</t>
  </si>
  <si>
    <t>2D1018811006109</t>
  </si>
  <si>
    <t>INVIMA 2022M-0016961-R1</t>
  </si>
  <si>
    <t>DROSPERA® 20</t>
  </si>
  <si>
    <t>2D1018811006109 DROSPIRENONA 3.0000 MG/ETINILESTRADIOL 0.0200 MG TABLETAS DE LIBERACION NO MODIFICADA OTRA (DROSPERA) TABLETA 1.0000U / CAJA X 60. CAJA POR 2 BLISTER DE PVC-PVDC - ALUMINIO CON 30 TABLETAS CADA BLISTER CON PORTA BLÍSTER.</t>
  </si>
  <si>
    <t>TABLETA RECUBIERTA CON PELÍCULA</t>
  </si>
  <si>
    <t>EXELTIS S.A.S</t>
  </si>
  <si>
    <t>DROSPIRENONA Y ESTROGENO</t>
  </si>
  <si>
    <t>0,02</t>
  </si>
  <si>
    <t>G03AA12</t>
  </si>
  <si>
    <t>row-6nac-9qhw.vn7r</t>
  </si>
  <si>
    <t>NEOMICINA SULFATO EQUIVALENTE A NEOMICINA BASE</t>
  </si>
  <si>
    <t>FABRIFARMA S.A.</t>
  </si>
  <si>
    <t>2B100540101310</t>
  </si>
  <si>
    <t>INVIMA 2022M-0017156-R1</t>
  </si>
  <si>
    <t>TRIBACTER® BETAMETASONA 0.04% + COTRIMAZOL 1% + NEOMICINA 0.5% CREMA TÓPICA.</t>
  </si>
  <si>
    <t>BETAMETASONA 0.0400 G/CLOTRIMAZOL 1.0000 G/NEOMICINA 0.5000 G CREMA TOPICA (TRIBACTER) TUBO 20.0000G / CAJA X 1. CAJA CON TUBO COLAPSIBLE DE PLÁSTICO X 20 G + TAPA + LINNER.</t>
  </si>
  <si>
    <t>QUIRUPOS LTDA</t>
  </si>
  <si>
    <t>BETAMETASONA Y ANTIBIOTICOS</t>
  </si>
  <si>
    <t>D07CC01</t>
  </si>
  <si>
    <t>D</t>
  </si>
  <si>
    <t>row-f2qq_wqj7~bae3</t>
  </si>
  <si>
    <t>AMLODIPINO BESILATO 13.8880 MGEQUIVALENTE A AMLODIPINO BASE</t>
  </si>
  <si>
    <t>INVIMA 2008M-0008752</t>
  </si>
  <si>
    <t>VARTERAL® NF 160/10 MG</t>
  </si>
  <si>
    <t>CAJA POR 2 CAPSULAS BLANDAS EN BLISTER ALUMINIO / FILL ACLAR ´PR 2 CÁPSULAS</t>
  </si>
  <si>
    <t>CAPSULA</t>
  </si>
  <si>
    <t>VALSARTAN</t>
  </si>
  <si>
    <t>C09CA03</t>
  </si>
  <si>
    <t>row-gqd4-hvu3-jhn7</t>
  </si>
  <si>
    <t>ROSUVASTATINA CALCICA 10.3952 MG EQUIVALENTE A ROSUVASTATINA.</t>
  </si>
  <si>
    <t>INVIMA 2020M-0010336-R1</t>
  </si>
  <si>
    <t>ROVARIL® 10 MG CAPSULAS BLANDAS DE GELATINA</t>
  </si>
  <si>
    <t>CAJA POR 50 CAPSULAS BLANDAS DE GELATINA EN EMPAQUE INDIVIDUAL TIPO BLISTER ALUMINIO/ALUMINIO X 10 CAPSULAS BLANDAS DE GELATINA.</t>
  </si>
  <si>
    <t>ROSUVASTATINA</t>
  </si>
  <si>
    <t>C10AA07</t>
  </si>
  <si>
    <t>row-cp8y_fmtc.hcam</t>
  </si>
  <si>
    <t>BARICITINIB</t>
  </si>
  <si>
    <t>ELI LILLY INTERAMERICA INC.</t>
  </si>
  <si>
    <t>1B1014471000102</t>
  </si>
  <si>
    <t>INVIMA 2019M 0019292</t>
  </si>
  <si>
    <t>OLUMIANT 2 MG</t>
  </si>
  <si>
    <t>1B1014471000102 CAJA POR 28 TABLETAS DE 2 MG. TIPO ENVASE: ENVASE DE ALUMINIO + ALUMINIO. COLOR GRIS TIPO EMPAQUE: CAJA DE CARTULINA. COLOR BLANCO</t>
  </si>
  <si>
    <t>CADA TABLETA CONTIENE</t>
  </si>
  <si>
    <t>ELI LILLY AND COMPANY</t>
  </si>
  <si>
    <t>L04AA37</t>
  </si>
  <si>
    <t>row-8cj6_xjd3_s29s</t>
  </si>
  <si>
    <t>L-ACIDO GLUTAMICO</t>
  </si>
  <si>
    <t>BIEFFE MEDITAL S.P.A</t>
  </si>
  <si>
    <t>FRASCO DE VIDRIO TIPO II POR 500 ML SELLADO CON UN TAPON DE MATERIAL ELASTOMERICO.</t>
  </si>
  <si>
    <t>row-tafz_n6j4~k4m7</t>
  </si>
  <si>
    <t>NUTRI MACK S.A.S.</t>
  </si>
  <si>
    <t>INVIMA 2022M-0013764-R2</t>
  </si>
  <si>
    <t>NODOL® FORTE TABLETAS</t>
  </si>
  <si>
    <t>CAJA POR 300 TABLETAS EN BLÍSTER DE PVC TRANSPARENTE/ALUMINIO POR 10 TABLETAS CADA UNO.</t>
  </si>
  <si>
    <t>SALUS PHARMA LABS S.A.S.</t>
  </si>
  <si>
    <t>CODEINA COMBINACIONES EXCL. SICOLEPTICOS</t>
  </si>
  <si>
    <t>N02AA59</t>
  </si>
  <si>
    <t>row-4a7t-3f9m_gw8z</t>
  </si>
  <si>
    <t>FLUCONAZOL</t>
  </si>
  <si>
    <t>LABORATORIOS MEDIFARMA S.A.S</t>
  </si>
  <si>
    <t>INVIMA 2023M-0008758-R1</t>
  </si>
  <si>
    <t>FLUCONAZOL200 MG / 100 ML SOLUCION INYECTABLE</t>
  </si>
  <si>
    <t>CAJA POR 50 BOLSAS DE POLIPROPILENOS FREEFLEX® POR 100 ML</t>
  </si>
  <si>
    <t>BOLSA DE 100ML</t>
  </si>
  <si>
    <t>LABORATORIO SANDERSON S.A.</t>
  </si>
  <si>
    <t>J02AC01</t>
  </si>
  <si>
    <t>row-y5pw~bkqf_p3up</t>
  </si>
  <si>
    <t>30.68 MG DE CODEINA FOSFATO HEMIHIDRATO. EQUIVALENTE A CODEINA FOSFATO</t>
  </si>
  <si>
    <t>ZHEJIANG DAOHUAXIANG FOOD CO. LTD</t>
  </si>
  <si>
    <t>INVIMA 2021M-0001889-R2</t>
  </si>
  <si>
    <t>APRIX-F® TABLETAS</t>
  </si>
  <si>
    <t>M.M.: CAJA POR 2 TABLETAS EN BLISTER DE PVC TRANSPARENTE/ALUMINIO.</t>
  </si>
  <si>
    <t>CODEINA Y PARACETAMOL</t>
  </si>
  <si>
    <t>N02AJ06</t>
  </si>
  <si>
    <t>row-396b~hqts~ddpf</t>
  </si>
  <si>
    <t>ACETILCISTEINA</t>
  </si>
  <si>
    <t>COLOMPACK S.A.</t>
  </si>
  <si>
    <t>2A1047621000100</t>
  </si>
  <si>
    <t>INVIMA 2025M-0022032</t>
  </si>
  <si>
    <t>FLEXVI</t>
  </si>
  <si>
    <t>CAJA PLEGADIZA CON 1 FRASCO PET ÁMBAR X 120 ML CON TAPA PLÁSTICA BLANCA EN POLIPROPILENO X 28 MM</t>
  </si>
  <si>
    <t>COMERCIALIZADORA RUECAM S.A.S.</t>
  </si>
  <si>
    <t>R05CB10</t>
  </si>
  <si>
    <t>row-kqub~rzsb_r39i</t>
  </si>
  <si>
    <t>LANSOPRAZOL MICROGRANULOS (85MG/G) (EQUIVALENTE A 15.0 MG LANSOPRAZOL)</t>
  </si>
  <si>
    <t>INVIMA 2020M-0002828-R2</t>
  </si>
  <si>
    <t>REFLUYET®</t>
  </si>
  <si>
    <t>MUESTRA MEDICA: CAJA X 2 CÁPSULAS EN EMPAQUE INDIVIDUAL EN BLISTER-ALUMINIO-ALUMINIO X 2 CÁPSULAS</t>
  </si>
  <si>
    <t>LANSOPRAZOL</t>
  </si>
  <si>
    <t>A02BC03</t>
  </si>
  <si>
    <t>row-2stc~9yet.afm6</t>
  </si>
  <si>
    <t>ACIDO ASCORBICO 97% EQUIVALENTE A VITAMINA C</t>
  </si>
  <si>
    <t>INVIMA 2022M-0003759-R2</t>
  </si>
  <si>
    <t>Z-FULL MK TABLETAS</t>
  </si>
  <si>
    <t>CAJA POR 60 TABLETAS CUBIERTAS EN BLISTER PVC/PVDC/ALUMINIO ENSIN DATOBLISTER POR 10 TABLETAS</t>
  </si>
  <si>
    <t>MULTIVITAMINAS Y OTROS MINERALES INCL COMBINACIONES</t>
  </si>
  <si>
    <t>A11AA03</t>
  </si>
  <si>
    <t>row-man9_httx~28k8</t>
  </si>
  <si>
    <t>MUESTRA MÉDICA: FRASCO DE POLIPROPILENO CLASE IV USP CON TAPA AZUL DE POLIPROPILENO POR 625 ML CON SABOR A COCO.</t>
  </si>
  <si>
    <t>0,149</t>
  </si>
  <si>
    <t>row-x6m6-iykj_pidy</t>
  </si>
  <si>
    <t>NAPROXENO SÓDICO</t>
  </si>
  <si>
    <t>LABORATORIO FRANCO COLOMBIANO LAFRANCOL S.A.S.</t>
  </si>
  <si>
    <t>INVIMA 2016M-0017043</t>
  </si>
  <si>
    <t>SUAXINA® TABLETA RECUBIERTA</t>
  </si>
  <si>
    <t>CAJA X 4 TABLETAS RECUBIERTAS. EN BLÍSTER PVC-PE-PVDC BLANCO/ALUMINIO POR 4TABLETAS RECUBIERTAS.</t>
  </si>
  <si>
    <t>SUMATRIPTAN. COMBINACIONES</t>
  </si>
  <si>
    <t>N02CC51</t>
  </si>
  <si>
    <t>row-3car-6b5c-s3b7</t>
  </si>
  <si>
    <t>AXITINIB</t>
  </si>
  <si>
    <t>INVIMA 2023M-0014373-R2</t>
  </si>
  <si>
    <t>INLYTA ® 5MG TABLETAS RECUBIERTAS</t>
  </si>
  <si>
    <t>FRASCO EN HDPE CON TAPA PPSIN DATOPOR 60 TABLETAS RECUBIERTAS</t>
  </si>
  <si>
    <t>L01XE17</t>
  </si>
  <si>
    <t>row-kdtb-zxin-dyhn</t>
  </si>
  <si>
    <t>ESTERES ETÍLICOS DE LOS ÁCIDOS GRASOS YODADOS Y NO YODADOS DE ACEITE DE ADORMIDERA EQUIVALENTES A YODO</t>
  </si>
  <si>
    <t>GUERBET</t>
  </si>
  <si>
    <t>INVIMA 2021M-0005401-R2</t>
  </si>
  <si>
    <t>LIPIODOL ® ULTRA-FLUIDE</t>
  </si>
  <si>
    <t>CAJA POR 4 AMPOLLAS DE VIDRIO TIPO I. INCOLORO POR 5 ML.</t>
  </si>
  <si>
    <t>ML.</t>
  </si>
  <si>
    <t>ETIL ESTERES DE ACIDOS GRASOS YODADOS</t>
  </si>
  <si>
    <t>V08AD01</t>
  </si>
  <si>
    <t>INTRALINFATICA</t>
  </si>
  <si>
    <t>row-kq4t-66mv~4piy</t>
  </si>
  <si>
    <t>TAZOBACTAMSÓDICO 0.537 EQUIVALENTE ATAZOBACTAM</t>
  </si>
  <si>
    <t>BLAU FARMACÉUTICA S.A.</t>
  </si>
  <si>
    <t>INVIMA 2020M-0007071-R1</t>
  </si>
  <si>
    <t>SUMIMED PIPERTAZO®</t>
  </si>
  <si>
    <t>CAJA POR 10 FRASCOS AMPOLLA DE VIDRIO TRANSPARENTE TIPO I . TAPÓN DE BROMOBUTILO GRIS. PRECINTO DE ALUMINIO CON TAPA FLIP OF.</t>
  </si>
  <si>
    <t>FRASCOAMPOLLA</t>
  </si>
  <si>
    <t>PIPERACILINA E INHIBIDOR ENZIMATICO</t>
  </si>
  <si>
    <t>J01CR05</t>
  </si>
  <si>
    <t>row-wxzk_hpvi_zv8h</t>
  </si>
  <si>
    <t>CIPROFLOXACINA CLORHIDRATO MONOHIDRATO EQUIVALENTE A CIPROFLOXACINA BASE</t>
  </si>
  <si>
    <t>LABORATORIOS BUSSIÉ S.A.</t>
  </si>
  <si>
    <t>INVIMA 2015 M- 011296-R3</t>
  </si>
  <si>
    <t>CIGRAM 500 MG TABLETAS</t>
  </si>
  <si>
    <t>CAJA X 10 TABLETAS EN FOILSIN DATOALU/ALU</t>
  </si>
  <si>
    <t>CIPROFLOXACINA</t>
  </si>
  <si>
    <t>J01MA02</t>
  </si>
  <si>
    <t>row-s8id.9sgw-pq9t</t>
  </si>
  <si>
    <t>VENLAFAXINA 30% SR PELLETS (CONTENIDO: VENLAFAXINA HCL. AZUCAR ESFERAS. PVP K30. CROSPOVIDONA XL-10. COPOVIDONA S630. TALCO PURIFICADO. POLISORBATO 80. HPMC. HPMCP FTALATO. ALCOHOL CETILICO. ETILCELULOSA. ALCOHOL ISOPROPILICO. ACETONA. AGUA PURIFICADA)</t>
  </si>
  <si>
    <t>INVIMA 2009M-0009752</t>
  </si>
  <si>
    <t>VENLAFAXINA 150 MG CAPSULAS DE LIBERACION PROLONGADA</t>
  </si>
  <si>
    <t>CAJA POR 30 CAPSULAS EN BLISTER PVDC TRASLUCIDO INCOLORO/ALUMINIO.</t>
  </si>
  <si>
    <t>CAPSULA DE LIBERACION PROLONGADA</t>
  </si>
  <si>
    <t>mg.</t>
  </si>
  <si>
    <t>VENLAFAXINA</t>
  </si>
  <si>
    <t>N06AX16</t>
  </si>
  <si>
    <t>row-s5t4~xjgk-se74</t>
  </si>
  <si>
    <t>MIRTAZAPINA</t>
  </si>
  <si>
    <t>MEDINFAR MANUFACTURING S.A</t>
  </si>
  <si>
    <t>INVIMA 2021M-0016987-R1</t>
  </si>
  <si>
    <t>EPILFARMO 30 MG</t>
  </si>
  <si>
    <t>CAJA CON TRES BLISTER (ALUMINIO/PVC - PVDC) DE 10 TABLETAS RECUBIERTAS CADA UNO</t>
  </si>
  <si>
    <t>ALTADIS FARMACÉUTICA S.A</t>
  </si>
  <si>
    <t>N06AX11</t>
  </si>
  <si>
    <t>row-anvi_3si9~6e47</t>
  </si>
  <si>
    <t>LEVOFLOXACINA HEMIHIDRATO 512.5 MG EQUIVALENTE A LEVOFLOXACINA</t>
  </si>
  <si>
    <t>1L1018431007103</t>
  </si>
  <si>
    <t>INVIMA 2023M-0021004</t>
  </si>
  <si>
    <t>LEVODEXA 500 MG TABLETAS</t>
  </si>
  <si>
    <t>CAJA POR 14 TABLETAS RECUBIERTAS EN BLÍSTER PVC-PVDC BLANCO/ALUMINIO.</t>
  </si>
  <si>
    <t>ADEXA PHARMA S.A.S.</t>
  </si>
  <si>
    <t>row-ksqh.3mah-8fzt</t>
  </si>
  <si>
    <t>STREPTOCOCCUS PNEUMONIAE TIPO 2</t>
  </si>
  <si>
    <t>MERCK SHARP &amp; DOHME COLOMBIA S.A.S</t>
  </si>
  <si>
    <t>INVIMA 2020MB-0008056-R1</t>
  </si>
  <si>
    <t>PNEUMOVAX ® 23 (VACUNA PNEUMOCOCO POLIVALENTE)</t>
  </si>
  <si>
    <t>CAJA POR 10 VIALES DE VIDRIO TIPO I CON TAPÓN GRIS DE BROMOBUTILO Y SELLO DE ALUMINIO CON TAPA DE PLASTICO VIOLETA CON 0.5 ML DE SOLUCION INYECTABLE CADA UNO MAS INSERTO.</t>
  </si>
  <si>
    <t>VIAL DE 0.5 ML</t>
  </si>
  <si>
    <t>MERCK SHARP &amp; DOHME LLC</t>
  </si>
  <si>
    <t>mcg</t>
  </si>
  <si>
    <t>NEUMOCOCO ANTIGENOS POLISACARIDOS PURIFICADOS</t>
  </si>
  <si>
    <t>J07AL01</t>
  </si>
  <si>
    <t>row-n6up.tfvf_5wav</t>
  </si>
  <si>
    <t>METOPROLOL SUCCINATO EQUIVALENTE A METOPROLOL TARTRATO</t>
  </si>
  <si>
    <t>ASTRAZENECA COLOMBIA S.A.S.</t>
  </si>
  <si>
    <t>INVIMA 2021M-013944-R2</t>
  </si>
  <si>
    <t>BETALOC ZOK® 200 MG</t>
  </si>
  <si>
    <t>SEGURO SOCIAL: FRASCO DE POLIETILENO CON TAPA DE POLIPROPILENO POR 30 TABLETAS</t>
  </si>
  <si>
    <t>TABLETA DE LIBERACION CONTROLADA</t>
  </si>
  <si>
    <t>METOPROLOL</t>
  </si>
  <si>
    <t>C07AB02</t>
  </si>
  <si>
    <t>row-uv9r~y7b9~mpzp</t>
  </si>
  <si>
    <t>LIDOCAINA</t>
  </si>
  <si>
    <t>GRÜNENTHAL COLOMBIANA S.A.</t>
  </si>
  <si>
    <t>INVIMA 2023M-0007502-R2</t>
  </si>
  <si>
    <t>VERSATIS® 5% PARCHES</t>
  </si>
  <si>
    <t>CAJA POR 30 PARCHES EN UN SACHET INDIVIDUAL DE 5 PARCHES DE PAPEL/POLIETILENO/ALUMINIO/ETILENO COPOLIMERO DEL ÁCIDO METACRÍLICO.</t>
  </si>
  <si>
    <t>PARCHE 14 CM X 10 CM</t>
  </si>
  <si>
    <t>TRANSDERMICOS</t>
  </si>
  <si>
    <t>GRÜNENTHAL GMBH</t>
  </si>
  <si>
    <t>0,7</t>
  </si>
  <si>
    <t>N01BB02</t>
  </si>
  <si>
    <t>row-aie6_t3gq.hwz6</t>
  </si>
  <si>
    <t>HIDROCORTISONA ACETATOEQUIVALENTE HIDROCORTISONA BASE</t>
  </si>
  <si>
    <t>INVIMA 2023M-014387-R4</t>
  </si>
  <si>
    <t>HIDROCORTISONA AL 1% CREMA</t>
  </si>
  <si>
    <t>TUBO PLASTICO LAMINADO BLANCO DE POLIETILENO /COEXTRUIDO/ FOILSIN DATOALUMINIO /COEXTRUIDO / POLIETILENO POR 15 G. EN CAJA DE CARTON</t>
  </si>
  <si>
    <t>100 G DE CREMA</t>
  </si>
  <si>
    <t>AMERICAN GENERICS S.A.S.</t>
  </si>
  <si>
    <t>D07AA02</t>
  </si>
  <si>
    <t>row-ph3j~44vk-mvvz</t>
  </si>
  <si>
    <t>CETAMINOFEN -COMPAP L) 364.903 MG EQUIVALENTE A</t>
  </si>
  <si>
    <t>SPECGX LLC</t>
  </si>
  <si>
    <t>2H1019881001104</t>
  </si>
  <si>
    <t>INVIMA 2023M-0018067-R1</t>
  </si>
  <si>
    <t>SINALGEN MAXTABLETAS.</t>
  </si>
  <si>
    <t>IUM 2H1019881001104 HIDROCODONA 10.000 MG/PARACETAMOL 325.0000 MG TABLETAS DE LIBERACION NO MODIFICADA ORAL (SINALGEN MAX) TABLETA 1.0000U / CAJA X 90 / CAJA PLEGADIZA POR 90 TABLETAS EN BLÍSTER DE PAPEL/ADHESIVO/FOIL EN ALUMINIO/PVC TRANSPARENTE.</t>
  </si>
  <si>
    <t>TABLETAS</t>
  </si>
  <si>
    <t>PARACETAMOL. COMBINACIONES CON PSICOLECTICOS</t>
  </si>
  <si>
    <t>N02BE71</t>
  </si>
  <si>
    <t>IMPORTAR. ENVASAR Y VENDER</t>
  </si>
  <si>
    <t>row-7j69-cjfk.dqsp</t>
  </si>
  <si>
    <t>MERCK S.A. DE C.V.</t>
  </si>
  <si>
    <t>INVIMA 2023M-0007831-R2</t>
  </si>
  <si>
    <t>EUTIROX® 112 MCG.</t>
  </si>
  <si>
    <t>MUESTRA MEDICA: CAJA POR 5 TABLETAS</t>
  </si>
  <si>
    <t>MERCK S.A.</t>
  </si>
  <si>
    <t>row-4y4h-29im_ewcv</t>
  </si>
  <si>
    <t>CLORHIDRATO DE FENILEFRINA</t>
  </si>
  <si>
    <t>INVIMA 2016M-0017505</t>
  </si>
  <si>
    <t>ASOBRONCOL GRIPA CAPSULAS.</t>
  </si>
  <si>
    <t>CAJA POR 160 CÁPSULAS EN 40 BLÍSTER DE PVC - PVDC / ALUMINIO CON 4 CÁPSULAS CADA UNO</t>
  </si>
  <si>
    <t>ROCIPHAR S.A.S</t>
  </si>
  <si>
    <t>row-857w~nzz6_ktst</t>
  </si>
  <si>
    <t>ACETAMINOFEN COMPACTADO(COMPAP WSE) DEL 95% EQUIVALENTE A ACETAMINOFEN</t>
  </si>
  <si>
    <t>INVIMA 2015M-0016065</t>
  </si>
  <si>
    <t>NORAVER® DIA</t>
  </si>
  <si>
    <t>PLEGADIZASIN DATOXSIN DATO15SIN DATOSOBRESSIN DATOLAMINADOSSIN DATO(BOPP +ALUMINIO + RESINA DE SELLE) X 15 GSIN DATOCADA UNO</t>
  </si>
  <si>
    <t>SOBRE</t>
  </si>
  <si>
    <t>POLVO PARA RECONSTITUIR A SOLUCION ORAL</t>
  </si>
  <si>
    <t>row-jydv~qy5q~2vna</t>
  </si>
  <si>
    <t>ENOXAPARINA SODICA</t>
  </si>
  <si>
    <t>SANOFI-AVENTIS DE COLOMBIA S.A.</t>
  </si>
  <si>
    <t>INVIMA 2021MB-011485-R4</t>
  </si>
  <si>
    <t>CLEXANE INYECTABLE 20 MG / 0.2 ML.</t>
  </si>
  <si>
    <t>ESTUCHE POR 10 JERINGAS PRELLENADAS.</t>
  </si>
  <si>
    <t>JERINGA PRELLENADA CON 0.2 ML.</t>
  </si>
  <si>
    <t>row-cb6k~4k65_bv4n</t>
  </si>
  <si>
    <t>ALCOHOL ETILICO 96% GL</t>
  </si>
  <si>
    <t>LABORATORIOS OSA S.A.S</t>
  </si>
  <si>
    <t>INVIMA 2021M-13486-R2</t>
  </si>
  <si>
    <t>ALCOHOL ANTISEPTICO REMY</t>
  </si>
  <si>
    <t>FRASCO DE PEBD POR 250 ML</t>
  </si>
  <si>
    <t>100 ML DE SOLUCION</t>
  </si>
  <si>
    <t>LABORATORIOS OSA S.A.S.</t>
  </si>
  <si>
    <t>ETANOL</t>
  </si>
  <si>
    <t>72,9</t>
  </si>
  <si>
    <t>D08AX08</t>
  </si>
  <si>
    <t>row-8ie6-fpxz-bdmf</t>
  </si>
  <si>
    <t>MOSAPRIDA CITRATO DIHIDRATO EQUIVALENTE A MOSAPRIDA CITRATO</t>
  </si>
  <si>
    <t>C.I. FARMACAPSULAS S.A. - PLANTA NO. 2</t>
  </si>
  <si>
    <t>INVIMA 2021M-0007526-R1</t>
  </si>
  <si>
    <t>ETOPAN GI</t>
  </si>
  <si>
    <t>GENERICO: MUESTRA MÉDICA: CAJA POR 6 TABLETAS RECUBIERTAS. EN BLÍSTER PVC ÁMBAR- ALUMINIO. POR 6 TABLETAS CADA BLÍSTER.</t>
  </si>
  <si>
    <t>MOSAPRIDA</t>
  </si>
  <si>
    <t>A03FA99</t>
  </si>
  <si>
    <t>row-3t4x~r9h2_6k5a</t>
  </si>
  <si>
    <t>361.11 MG DE ACETAMINOFEN DC 90. EQUIVALENTE A ACETAMINOFEN</t>
  </si>
  <si>
    <t>CAJA PVP X 10 TABLETAS CON LA LEYENDA : USO ESCLUSIVO DEL HOMICSIN DATOPROHIBIDA SU VENTA</t>
  </si>
  <si>
    <t>row-jk9y_j8ii~ha4s</t>
  </si>
  <si>
    <t>TIAMINA CLORHIDRATO</t>
  </si>
  <si>
    <t>INVIMA 2021M-0002350-R2</t>
  </si>
  <si>
    <t>B-VIT HT</t>
  </si>
  <si>
    <t>CAJA POR 1 JERINGA PRELLENADA HYPACK DE VIDRIO ÁMBAR TIPO I POR 2 ML EN BLISTER PVC (POLICLORURO DE VINILO) TRANSPARENTE / FOIL ALUMINIO +SIN DATOAGUJA HIPODÉRMICA (REGISTRO SANITARIO: INVIMA 2019DM-0020484) O (REGISTRO SANITARIO: INVIMA 2016DM-0015162</t>
  </si>
  <si>
    <t>JERINGA PRELLENADA DE VIDRIO AMBAR TIPO IPOR 2 ML.</t>
  </si>
  <si>
    <t>TIAMINA (VIT B1)</t>
  </si>
  <si>
    <t>A11DA01</t>
  </si>
  <si>
    <t>row-vgct-mdwq_k9iy</t>
  </si>
  <si>
    <t>BETAMETASONA DIPROPIONATO 0.643MG EQUIVALENTE A BETAMETASONA</t>
  </si>
  <si>
    <t>LABORATORIOS BIOPAS S.A.</t>
  </si>
  <si>
    <t>INVIMA 2019M-0003064-R2</t>
  </si>
  <si>
    <t>DAIVOBET UNGUENTO</t>
  </si>
  <si>
    <t>CAJA POR UN TUBO EN ALUMINIO POR 30 G.</t>
  </si>
  <si>
    <t>1G.</t>
  </si>
  <si>
    <t>UNGUENTO TOPICO</t>
  </si>
  <si>
    <t>LEO PHARMA A/S</t>
  </si>
  <si>
    <t>CALCIPOTRIOL COMBINACIONES</t>
  </si>
  <si>
    <t>D05AX52</t>
  </si>
  <si>
    <t>row-36jv_tvju.bi4a</t>
  </si>
  <si>
    <t>LEVOFLOXACINA CLORHIDRATO 551.0 MG ( EQUIVALENTE A LEVOFLOXACINA BASE)</t>
  </si>
  <si>
    <t>INVIMA 2022M-0002580-R3</t>
  </si>
  <si>
    <t>LEVOVAX 500 MG.</t>
  </si>
  <si>
    <t>PRESENTACIÓN COMERCIAL BAJO NOMBRE GENÉRICO CAJA PLEGADIZA POR 10 TABLETAS CUBIERTAS CON PELICULA EN EMPAQUES INDIVIDUALES TIPO BLISTER PVC/ALUMINIO.</t>
  </si>
  <si>
    <t>row-vbp6_mu7u~gh2q</t>
  </si>
  <si>
    <t>ESOMEPRAZOL MAGNÉSICO TRIHIDRATO MICROGRÁNULOS AL 22.5% EQUIVALENTE A ESOMEPRAZOL</t>
  </si>
  <si>
    <t>INVIMA 2019M-0002765-R2</t>
  </si>
  <si>
    <t>ESOPRAX ® 40 CAPSULAS</t>
  </si>
  <si>
    <t>CAJA X 30 CAPSULAS EN FRASCO DE PEAS BLANCO OPACO.</t>
  </si>
  <si>
    <t>row-dcwf-xnz7~b6uz</t>
  </si>
  <si>
    <t>ASCORBATO DE SODIO EQUIVALENTE A ACIDO ASCORBICO</t>
  </si>
  <si>
    <t>LABORATORIOS ECAR S.A.</t>
  </si>
  <si>
    <t>INVIMA 2022M-0004550-R2</t>
  </si>
  <si>
    <t>VICAL® TABLETAS MASTICABLES</t>
  </si>
  <si>
    <t>BOLSA FLOW PACK POR 300 SOBRES POR 4 TABLETAS CADA UNO</t>
  </si>
  <si>
    <t>TABLETA MASTICABLE</t>
  </si>
  <si>
    <t>ACIDO ASCORBICO (VIT C)</t>
  </si>
  <si>
    <t>A11GA01</t>
  </si>
  <si>
    <t>row-a2pg_i4wn~m28i</t>
  </si>
  <si>
    <t>IRBESARTAN</t>
  </si>
  <si>
    <t>INVIMA 2019M-010586-R2</t>
  </si>
  <si>
    <t>APROVEL 150 MG</t>
  </si>
  <si>
    <t>CAJA DE CARTULINA POR 7 TABLETAS EN BLISTER DE PVC / PVDC ALUMINIO</t>
  </si>
  <si>
    <t>C09CA04</t>
  </si>
  <si>
    <t>row-v3au-fex5~h288</t>
  </si>
  <si>
    <t>ACETAMINOFEN DE COMPRESIÓN DIRECTA AL 90% EQUIVALENTE A ACETAMINOFEN</t>
  </si>
  <si>
    <t>GRANULES INDIA LTD.</t>
  </si>
  <si>
    <t>INVIMA 2022M-0017895-R1</t>
  </si>
  <si>
    <t>TAFLAX®FORTE TABLETAS RECUBIERTAS</t>
  </si>
  <si>
    <t>CAJA POR 30SIN DATOEN BLISTER EN ALUMINIO-PVC/PVDC TRANSPARENTE DENTRO DE BOLSA LAMINADA DE POLIETILENO-ALUMINIO-POLIESTER POR 10 TABLETAS CADA UNO.</t>
  </si>
  <si>
    <t>CLOSTER PHARMA S.A.S.</t>
  </si>
  <si>
    <t>row-z7n6_rn64-dvey</t>
  </si>
  <si>
    <t>EZETIMIBA</t>
  </si>
  <si>
    <t>INVIMA 2022M-0013655-R1</t>
  </si>
  <si>
    <t>ROSUVAX ®E 10 MGTABLETA RECUBIERTA</t>
  </si>
  <si>
    <t>USO INSTITUCIONAL:CAJASIN DATOPOR 30 TABLETAS RECUBIERTAS EN BLISTER PVDC BLANCO/ ALUMINIO</t>
  </si>
  <si>
    <t>TABLETA CON CUBIERTA</t>
  </si>
  <si>
    <t>ROSUVASTATINA Y EZETIMIBA</t>
  </si>
  <si>
    <t>C10BA06</t>
  </si>
  <si>
    <t>row-hrdn.bpee-aeqy</t>
  </si>
  <si>
    <t>OLANZAPINA</t>
  </si>
  <si>
    <t>EUROFARMA COLOMBIA S.A.S.</t>
  </si>
  <si>
    <t>INVIMA 2016M-0006774-R1</t>
  </si>
  <si>
    <t>PROLANZ® FAST 10 MG</t>
  </si>
  <si>
    <t>CAJA POR 30 TABLETAS. EN BLISTER ALU/ALU POR 10 TABLETAS</t>
  </si>
  <si>
    <t>TABLETA DISPERSABLE</t>
  </si>
  <si>
    <t>EUROFARMA COLOMBIAS.A.S</t>
  </si>
  <si>
    <t>N05AH03</t>
  </si>
  <si>
    <t>row-6fi7-asgg.9jm4</t>
  </si>
  <si>
    <t>FENILEFRINA CLORHIDRATO</t>
  </si>
  <si>
    <t>2C1031391003100</t>
  </si>
  <si>
    <t>INVIMA 2021M-0020346</t>
  </si>
  <si>
    <t>DOLICOX GRIP®NOCHE</t>
  </si>
  <si>
    <t>2C1031391003100 CLORFENAMINA 4.0 MG/FENILEFRINA 10.0 MG/PARACETAMOL 500.0 MG POLVOS PARA RECONSTITUIR ORAL (DOLICOX) SOBRE 1.0 U/CAJA X 24. CAJA POR 24 SOBRES LAMINADOS POR 6 G CADA UNO</t>
  </si>
  <si>
    <t>SOBRE POR 6 G DE GRANULADO</t>
  </si>
  <si>
    <t>PATMAR S.A.</t>
  </si>
  <si>
    <t>PREPARACIONES DE OTRAS COMBINACIONES PARA EL RESFRIADO COMÚN</t>
  </si>
  <si>
    <t>R05XX99</t>
  </si>
  <si>
    <t>row-qkxt-xmr4.7akn</t>
  </si>
  <si>
    <t>CAFEINA</t>
  </si>
  <si>
    <t>COASPHARMA S.A.S</t>
  </si>
  <si>
    <t>INVIMA 2021M-0016405-R1</t>
  </si>
  <si>
    <t>DOLICOX FORTE MAX® TABLETAS</t>
  </si>
  <si>
    <t>CAJA PLEGADIZA POR 24 TABLETAS = 4 BLISTER EN PVC/ ALUMINIO POR 6 TABLETAS CADA UNO</t>
  </si>
  <si>
    <t>row-kcnh.kpvq~96rd</t>
  </si>
  <si>
    <t>FRASCO DE VIDRIO AMBAR X 60 MLSIN DATOCON CUCHARA DOSIFICADORA</t>
  </si>
  <si>
    <t>row-n8ue~85ay-2tb6</t>
  </si>
  <si>
    <t>AIZANT DRUG RESEARCH SOLUTIONS PRIVATE LIMITED</t>
  </si>
  <si>
    <t>INVIMA 2024M-0021580</t>
  </si>
  <si>
    <t>SVATROM 20 MG TABLETAS RECUBIERTAS</t>
  </si>
  <si>
    <t>CAJA PLEGADIZA DE CARTÓN QUE CONTIENE 3 BLISTER EN PVDC-PVC/ALUMINIO POR 10 TABLETAS RECUBIERTAS CADA UNO.</t>
  </si>
  <si>
    <t>CLINICOS Y HOSPITALARIOS DE COLOMBIA S.A.</t>
  </si>
  <si>
    <t>row-xft9~guuz.p7tj</t>
  </si>
  <si>
    <t>AMLODIPINO BESILATO EQUIVALENTE A 5 MG DE AMLODIPINO BASE (EN COMPRIMIDO DENTRO CAPSULA)</t>
  </si>
  <si>
    <t>FARMA DE COLOMBIA S.A.S.</t>
  </si>
  <si>
    <t>INVIMA 2020M-0007035-R1</t>
  </si>
  <si>
    <t>ARANDA® CAPSULAS 5 MG/ 100 MG</t>
  </si>
  <si>
    <t>MUESTRA MÉDICA: CAJA POR 30 CÁPSULAS EN FOIL DE ALUMINIO.</t>
  </si>
  <si>
    <t>LOSARTAN Y AMLODIPINO</t>
  </si>
  <si>
    <t>C09DB06</t>
  </si>
  <si>
    <t>row-qs2u~uivm~3ubm</t>
  </si>
  <si>
    <t>PIPERACILINASÓDICA 4.17GEQUIVALENTE A PIPERACILINABASE</t>
  </si>
  <si>
    <t>row-qz9k.m6w2-4sbg</t>
  </si>
  <si>
    <t>BROMHIDRATO DE DARIFENACINA EQUIVALENTE A DARIFENACINA 15.0MG)</t>
  </si>
  <si>
    <t>ASPEN COLOMBIANA S.A.S.</t>
  </si>
  <si>
    <t>INVIMA 2022M-0004850-R2</t>
  </si>
  <si>
    <t>ENABLEX ® 15 MG TABLETAS DE LIBERACION PROLONGADA</t>
  </si>
  <si>
    <t>CAJA DE CARTÓN POR 14 TABLETAS DE LIBERACIÓN PROLONGADA EN BLÍSTER PVC/PVDC-DUPLEX</t>
  </si>
  <si>
    <t>TABLETA DE LIBERACIÓN PROLONGADA.</t>
  </si>
  <si>
    <t>ASPEN LABS S.A. DE C.V.. MEXICO</t>
  </si>
  <si>
    <t>DARIFENACINA</t>
  </si>
  <si>
    <t>G04BD10</t>
  </si>
  <si>
    <t>row-3tkv~mhcb~8k85</t>
  </si>
  <si>
    <t>GEL FLUIDO DE HIDROXIDO DE ALUMINIO. EQUIVALENTE A HIDROXIDO DE ALUMINIO</t>
  </si>
  <si>
    <t>EUROFARMA COLOMBIA S.A.S</t>
  </si>
  <si>
    <t>INVIMA 2010 M-003275 R3</t>
  </si>
  <si>
    <t>ACI-BIOGEL® SUSPENSION</t>
  </si>
  <si>
    <t>FRASCO DE PEAD BLANCO CON TAPA DE SEGURIDAD. POR 240 ML DE SUSPENSION SABOR CHICLE</t>
  </si>
  <si>
    <t>COMBINACIONES DE SALES Y ANTIFLATULENTOS</t>
  </si>
  <si>
    <t>A02AF02</t>
  </si>
  <si>
    <t>row-v2fx-svh4.mevg</t>
  </si>
  <si>
    <t>BENZOCAINA</t>
  </si>
  <si>
    <t>LABORATORIOS NEOLTDA.</t>
  </si>
  <si>
    <t>INVIMA 2014M-0015350</t>
  </si>
  <si>
    <t>BUCOSEPTOL N</t>
  </si>
  <si>
    <t>CAJA POR 10 TABLETAS SABOR FRUTOS ROJOS EN FOIL TRILAMINADO PAPEL POUCHE/ALUMINIO/POLIETILENO.</t>
  </si>
  <si>
    <t>R02AD01</t>
  </si>
  <si>
    <t>row-54k8~4kvh_72am</t>
  </si>
  <si>
    <t>DABIGATRAN ETEXILATO MESILATO 172.95 MGEQUIVALENTE A DABIGATRAN ETEXILATO</t>
  </si>
  <si>
    <t>BOEHRINGER INGELHEIM PHARMA GMBH &amp; CO. KG.</t>
  </si>
  <si>
    <t>INVIMA 2021M-0011886-R2</t>
  </si>
  <si>
    <t>PRADAXA® 150 MG</t>
  </si>
  <si>
    <t>MUESTRA MÉDICA: CAJA POR 60 CAPSULAS DURAS EN BLISTER ALUMINIO/ALUMINIO</t>
  </si>
  <si>
    <t>BOEHRINGER INGELHEIM INTERNATIONAL GMBH</t>
  </si>
  <si>
    <t>DABIGATRAN ETEXILATO</t>
  </si>
  <si>
    <t>B01AE07</t>
  </si>
  <si>
    <t>row-hdpr~ne48_gv23</t>
  </si>
  <si>
    <t>CEFTRIAXONA SODICA EQUIVALENTE A CEFTRIAXONA</t>
  </si>
  <si>
    <t>SETAA PHARMA S.A.S.</t>
  </si>
  <si>
    <t>1C1013941008101</t>
  </si>
  <si>
    <t>INVIMA 2023M-0021066</t>
  </si>
  <si>
    <t>CEFTRIAXONA PARA INYECCIÓN 1 G</t>
  </si>
  <si>
    <t>1C1013941008101 CEFTRIAXONA 1000 MG POLVOS PARA RECONSTITUIR INTRAMUSCULAR INTRAVENOSA (PUNISKA HEALTHCARE) VIAL 1U/CAJA X 10. CAJA POR 10 VIALES DE VIDRIO TRANSPARENTE TIPO III. TAPÓN DE CAUCHO BUTÍLICO GRIS DE 20 MM CON SELLO FLIP OFF 20 MM.</t>
  </si>
  <si>
    <t>row-p8hu.vtvz_bbcf</t>
  </si>
  <si>
    <t>DEXTROMETORFANO BROMHIDRATO</t>
  </si>
  <si>
    <t>INVIMA 2020M-0014586-R1</t>
  </si>
  <si>
    <t>NORAVER® G FAST TOTAL</t>
  </si>
  <si>
    <t>CAJA POR 6 CÁPSULAS EN BLÍSTER PVC/PVDC/ALUMINIO POR 3 CÁPSULAS</t>
  </si>
  <si>
    <t>row-7rrd.x4nu_n2f6</t>
  </si>
  <si>
    <t>FIBRINOGENO HUMANO</t>
  </si>
  <si>
    <t>OCTAPHARMA AB</t>
  </si>
  <si>
    <t>1F1002641001100</t>
  </si>
  <si>
    <t>INVIMA 2020MB-0000019</t>
  </si>
  <si>
    <t>FIBRYGA®</t>
  </si>
  <si>
    <t>FRASCO VIAL DE VIDRIO TIPO II DESIN DATO100 ML CON POLVO LIOFILIZADO CERRADO CON TAPON DE CAUCHO DE BROMOBUTILO TIPO I Y SELLADO CON TAPA DE ALUMINIO FLIP-OFF + FRASCO VIAL DE 50 ML CON SOLVENTE (AGUA PARA INYECCION) + DISPOSITIVO DE TRANSFERENCIA OCTAJET + FILTRO</t>
  </si>
  <si>
    <t>VIAL POR 50 ML</t>
  </si>
  <si>
    <t>OCTAPHARMA A.G</t>
  </si>
  <si>
    <t>B02BB01</t>
  </si>
  <si>
    <t>row-822i-sqva-t8mq</t>
  </si>
  <si>
    <t>RIFAXIMINA</t>
  </si>
  <si>
    <t>1R1036541000105</t>
  </si>
  <si>
    <t>INVIMA 2022M-0017375-R1</t>
  </si>
  <si>
    <t>IFAXIM ® 550MG</t>
  </si>
  <si>
    <t>IUM 1R1036541000105: RIFAXIMINA 550.0000 MG CAPSULAS DE LIBERACION NO MODIFICADA ORAL (IFAXIM) CAPSULA 1.0000U / CAJA X 7. MUESTRA MÉDICA: CAJA POR 7 CÁPSULAS BLANDAS. EN EMPAQUE INDIVIDUAL TIPO BLÍSTER PVDC/ALUMINIO POR 7 CÁPSULAS BLANDAS CADA UNO.</t>
  </si>
  <si>
    <t>CÁPSULA BLANDA</t>
  </si>
  <si>
    <t>A07AA11</t>
  </si>
  <si>
    <t>row-i7v5.ypjx.rf49</t>
  </si>
  <si>
    <t>DICLOFENAC SODICO</t>
  </si>
  <si>
    <t>INVIMA 2022M-0004740-R2</t>
  </si>
  <si>
    <t>LERTUS® FORTE 50 MG COMPRIMIDOSRECUBIERTOS</t>
  </si>
  <si>
    <t>CAJA- CONTENIENDO 2 BLISTER PVC/ALUMINIO X 10 COMPRIMIDOS RECUBIERTOS.</t>
  </si>
  <si>
    <t>COMPRIMIDO RECUBIERTO.</t>
  </si>
  <si>
    <t>FARMACEUTICA PARAGUAYA S.A</t>
  </si>
  <si>
    <t>CODEINA</t>
  </si>
  <si>
    <t>R05DA04</t>
  </si>
  <si>
    <t>row-ejm4~pyck.fzc9</t>
  </si>
  <si>
    <t>NAPROXENO</t>
  </si>
  <si>
    <t>INVIMA 2023M-0016135-R1</t>
  </si>
  <si>
    <t>DURAFLEX ® 500MG</t>
  </si>
  <si>
    <t>CAJA PLEGADIZA POR 6 CAPSULAS EN BLISTER PVC-ACLAR-ALUMUNIO POR 6 CAPSULAS</t>
  </si>
  <si>
    <t>M01AE02</t>
  </si>
  <si>
    <t>row-nf73.bwcj~2yjr</t>
  </si>
  <si>
    <t>CITRATO DE POTASIO MONOHIDRATADO</t>
  </si>
  <si>
    <t>USO INSTITUCIONAL:CAJA PLEGADIZA CON 5 SACHET LAMINADO CON 100ML DE SOLUCION ORAL SABOR MANDARINA</t>
  </si>
  <si>
    <t>0,216</t>
  </si>
  <si>
    <t>row-zkbj.gvsq~98gt</t>
  </si>
  <si>
    <t>HIDROCODONA BITARTRATO DISESQUIHIDRATO EQUIVALENTE A HIDROCODONA BITARTRATO</t>
  </si>
  <si>
    <t>INVIMA 2025M-0021715</t>
  </si>
  <si>
    <t>ACETAMINOFEN 325 MG + HIDROCODONA BITARTRATO 5 MG TABLETAS</t>
  </si>
  <si>
    <t>CAJA PLEGADIZA POR 10 TABLETAS EN BLÍSTER DE PVC/PVDC INCOLORO/ALUMINIO. POR 10 TABLETAS POR BLÍSTER.</t>
  </si>
  <si>
    <t>row-98v6~idw6-et2a</t>
  </si>
  <si>
    <t>DICLOXACILINA SODICA MONOHIDRATO EQUIVALENTE A DICLOXACILINA BASE</t>
  </si>
  <si>
    <t>INVIMA 2017M-0006149-R1</t>
  </si>
  <si>
    <t>DICLOXACILINA 250 MG POLVO PARA RECONSTITUIR A SUSPENSIÓN ORAL</t>
  </si>
  <si>
    <t>FRASCO DE VIDRIO ÁMBAR TIPO III CON 49G DE POLVO PARA RECONSTITUIR A 80 ML. TAPA BLANCA EN POLIPROPILENO CON ANILLO DE SEGURIDADSIN DATOCON LINER AZUL Y ETIQUETA</t>
  </si>
  <si>
    <t>61.25 G DE POLVO PARA RECONSTITUIR A 100 ML DE SUSPENSIÓNORALCONTIENE</t>
  </si>
  <si>
    <t>DICLOXACILINA</t>
  </si>
  <si>
    <t>J01CF01</t>
  </si>
  <si>
    <t>E</t>
  </si>
  <si>
    <t>row-dwuj~bmr2-spuz</t>
  </si>
  <si>
    <t>2D1020881002114</t>
  </si>
  <si>
    <t>INVIMA 2021M-0016402-R1</t>
  </si>
  <si>
    <t>DROSPERA</t>
  </si>
  <si>
    <t>CAJA PLEGADIZA CON 72 TABLETAS EN 3 BLÍSTER DE PVC-PVDC/ALUMINIO. CON PORTA BLÍSTER.</t>
  </si>
  <si>
    <t>0,03</t>
  </si>
  <si>
    <t>row-m6wy-65zm~tapk</t>
  </si>
  <si>
    <t>CELECOXIB</t>
  </si>
  <si>
    <t>EUROFARMA LABORATORIOS S.A</t>
  </si>
  <si>
    <t>1C1023001000110</t>
  </si>
  <si>
    <t>INVIMA 2019M-0019067</t>
  </si>
  <si>
    <t>CELECOXIB 200 MG</t>
  </si>
  <si>
    <t>MUESTRA MÉDICA: 1C1023001000110 CAJA X 2 CÁPSULAS EN BLISTER DE ALUMINIO + PVDC TRANSPARENTE</t>
  </si>
  <si>
    <t>M01AH01</t>
  </si>
  <si>
    <t>row-y3cg_5m8d.93jv</t>
  </si>
  <si>
    <t>DIPIRONA (METAMIZOL)</t>
  </si>
  <si>
    <t>INVIMA 2021M-0008746-R1</t>
  </si>
  <si>
    <t>DIPIRONA SODICA 2.5 G/5 ML</t>
  </si>
  <si>
    <t>AMPOLLA DESIN DATO5 MLSIN DATOEN CAJA POR 10 AMPOLLAS DE VIDRIO AMBAR TIPO I</t>
  </si>
  <si>
    <t>AMPOLLA</t>
  </si>
  <si>
    <t>METAMIZOL SODIO</t>
  </si>
  <si>
    <t>2,5</t>
  </si>
  <si>
    <t>N02BB02</t>
  </si>
  <si>
    <t>row-txan_a7a5_79yh</t>
  </si>
  <si>
    <t>ROEMMERS S.A.I.C.F</t>
  </si>
  <si>
    <t>INVIMA 2019M-011080-R3</t>
  </si>
  <si>
    <t>DORMICUM ® AMPOLLAS 5 MG/5 ML</t>
  </si>
  <si>
    <t>AMPOLLA X 5 ML. EN CAJA DE CARTULINA X 1 AMPOLLA</t>
  </si>
  <si>
    <t>1ML</t>
  </si>
  <si>
    <t>row-qi8v-cwu5.56sa</t>
  </si>
  <si>
    <t>INVIMA 2022M-0014884-R1</t>
  </si>
  <si>
    <t>MICOTOPIC®</t>
  </si>
  <si>
    <t>USO INSTITUCIONAL: CAJA CON 1 TUBO LAMINADO CON 20 G DE CREMA.</t>
  </si>
  <si>
    <t>DEXAMETASONA Y ANTIBIOTICOS</t>
  </si>
  <si>
    <t>D07CB04</t>
  </si>
  <si>
    <t>row-38ch-5j44.evtf</t>
  </si>
  <si>
    <t>ENOXOPARINA SODICA 40 MG/0.4 ML</t>
  </si>
  <si>
    <t>INVIMA 2021MB-0016079-R1</t>
  </si>
  <si>
    <t>ENOXAPARINA SODICA 40 MG JERINGAS PRELLENADAS</t>
  </si>
  <si>
    <t>USO INSTITUCIONAL: CAJA PLEGADIZA POR 100 JERINGAS PRELLENADAS DE 0.4 ML</t>
  </si>
  <si>
    <t>JERINGAS PRELLENADAS.</t>
  </si>
  <si>
    <t>INTRA-ARTERIAL</t>
  </si>
  <si>
    <t>row-55iq-r2sz~xkjd</t>
  </si>
  <si>
    <t>ACETATO DE SODIO TRIHIDRATADO</t>
  </si>
  <si>
    <t>INVIMA 2023M-009590-R3</t>
  </si>
  <si>
    <t>OQ-BALANS</t>
  </si>
  <si>
    <t>BOLSA PLÁSTICA EN PEBD CLASE VI ATOXICO TRANSPARENTE X 2 ML</t>
  </si>
  <si>
    <t>SOLUCION ESTERIL PARA IRRIGACION</t>
  </si>
  <si>
    <t>OFTALMOQUIMICA S.A.</t>
  </si>
  <si>
    <t>0,39</t>
  </si>
  <si>
    <t>B05CB10</t>
  </si>
  <si>
    <t>INTRAOCULAR</t>
  </si>
  <si>
    <t>row-6kn5_tyqe.ik5i</t>
  </si>
  <si>
    <t>MEMANTINA CLORHIDRATO</t>
  </si>
  <si>
    <t>INVIMA 2022M-0014832-R1</t>
  </si>
  <si>
    <t>MODUALZ®20 MG</t>
  </si>
  <si>
    <t>MUESTRA MÉDICA: CAJA PLEGADIZA PORSIN DATO6 TABLETAS BLISTER ALUMINIO PVC/ACLAR PORSIN DATO 6SIN DATOTABLETAS.</t>
  </si>
  <si>
    <t>MEMANTINA</t>
  </si>
  <si>
    <t>N06DX01</t>
  </si>
  <si>
    <t>row-5m3p-tgzd-7u5k</t>
  </si>
  <si>
    <t>RIFENATATO DE VILANTEROL MICRONIZADO EQUIVALENTE A VILANTEROL 25MCG (CADA DOSIS PREDISPENSADA CONTIENE VILANTEROL)</t>
  </si>
  <si>
    <t>GLAXO OPERATIONS UK</t>
  </si>
  <si>
    <t>2F1005581000100</t>
  </si>
  <si>
    <t>INVIMA 2023M-0018199-R1</t>
  </si>
  <si>
    <t>RELVAR® ELLIPTA ® 200MCG/25MCG POLVO PARA INHALACIÓN</t>
  </si>
  <si>
    <t>2F100558/1000/100 MUESTRA MÉDICA: CAJA CON INHALADOR CONTENIDO EN UN MECANISMO DE BLISTER DOBLE DE FOIL LAMINADO CON 30 DOSIS USANDO COMO EMPAQUE SECUNDARIO UNA BANDEJA DE POLIPROPILENO SELLADA CON FOIL LAMINADA CONTENIENDO ADICIONALMENTE SILICA GEL COMO DESECANTE CONTENIDO EN UN EMPAQUE DE POLIETILENO DE ALTA DENSIDAD (HPDE).</t>
  </si>
  <si>
    <t>DOSIS PREDISPENSADA</t>
  </si>
  <si>
    <t>POLVO PARA INHALACION</t>
  </si>
  <si>
    <t>GLAXOSMITHKLINE COLOMBIA S.A</t>
  </si>
  <si>
    <t>ug</t>
  </si>
  <si>
    <t>VILANTEROL Y FUROATO DE FLUTICASONA</t>
  </si>
  <si>
    <t>R03AK10</t>
  </si>
  <si>
    <t>INHALACION</t>
  </si>
  <si>
    <t>row-9af9-qwht-sh5z</t>
  </si>
  <si>
    <t>ROSUVASTATINA CALCICA 41.581 MG EQUIVALENTES A ROSUVASTATINA BASE</t>
  </si>
  <si>
    <t>INVIMA 2022M-0017544-R1</t>
  </si>
  <si>
    <t>RUVAX ® 40 MG TABLETAS RECUBIERTAS</t>
  </si>
  <si>
    <t>CAJA PLEGADIZA POR 14 TABLETAS RECUBIERTAS EN 1 FOIL DE ALUMINIO PEBD POR 14 TABLETAS RECUBIERTAS CADA UNO</t>
  </si>
  <si>
    <t>row-tu4f_8r7a-qiv7</t>
  </si>
  <si>
    <t>IOPAMIDOL EQUIVALENTE A 300MG DE YODO</t>
  </si>
  <si>
    <t>SANOCHEMIA PHARMAZEUTIKA GMBH</t>
  </si>
  <si>
    <t>INVIMA 2025M-0021763</t>
  </si>
  <si>
    <t>SCANLUX® 300MG SOLUCION PARA INYECCION</t>
  </si>
  <si>
    <t>SCANLUX VIAL DE VIDRIO TIPO II CON TAPÓN DE GOMA. SELLO DE ALUMINIO Y TAPA PLÁSTICA ABATIBLE POR 50 ML. CADA ML CONTIENE 612 MG DE IOPAMIDOL (EQUIVALENTE A 300 MG DE IODO POR ML).</t>
  </si>
  <si>
    <t>ML DE SOLUCIÓN INYECTABLE</t>
  </si>
  <si>
    <t>IOPAMIDOL</t>
  </si>
  <si>
    <t>V08AB04</t>
  </si>
  <si>
    <t>INTRATECAL</t>
  </si>
  <si>
    <t>row-huae~qcxb-remg</t>
  </si>
  <si>
    <t>ACETAMINOFEN COMPRESION DIRECTA AL 90% EQUIVALENTE A ACETAMINOFEN</t>
  </si>
  <si>
    <t>INVIMA 2020M-0013210-R1</t>
  </si>
  <si>
    <t>CRONOFEN 500 MG TABLETAS</t>
  </si>
  <si>
    <t>PRESENTACIÓN COMERCIAL MARCA:SIN DATOCAJA PORSIN DATO200 TABLETASSIN DATOEN ENVASE BLISTER PVC TRANSPARENT</t>
  </si>
  <si>
    <t>row-ammk~ddxn-r7hf</t>
  </si>
  <si>
    <t>CEFTRIAXONA SODICA EQUIVALENTE A CEFTRIAXONA BASE</t>
  </si>
  <si>
    <t>VITALIS S.A.C.I. COMPLEJO SOPÓ (PLANTA 6)</t>
  </si>
  <si>
    <t>INVIMA 2020M-010037-R2</t>
  </si>
  <si>
    <t>CEFTRIAXONA 1G INYECTABLE</t>
  </si>
  <si>
    <t>CAJA POR 2 VIALES DE VIDRIO TIPO I INCOLORO. TAPON GRIS DE CAUCHO Y AGRAFE DE ALUMINIO CEBRA FLIP OFF AMARILLO</t>
  </si>
  <si>
    <t>FRASCO VIAL</t>
  </si>
  <si>
    <t>row-n3iv~6vf5~6txa</t>
  </si>
  <si>
    <t>DEFERASIROX</t>
  </si>
  <si>
    <t>INVIMA 2025M-0022011</t>
  </si>
  <si>
    <t>THALADEF 180 MG</t>
  </si>
  <si>
    <t>MUESTRA MEDICA: CAJA PLEGADIZA POR 30 TABLETAS CON 3 BLISTER ALU-PVC/PE/PVDC TRANSPARENTE X 10 TABLETAS</t>
  </si>
  <si>
    <t>TABLETAS RECUBIERTAS</t>
  </si>
  <si>
    <t>V03AC03</t>
  </si>
  <si>
    <t>row-s5wj_4a5j~j483</t>
  </si>
  <si>
    <t>SIMETICONA EN POLVO AL 65% *(EQUIVALENTE A SIMETICONA 120MG)</t>
  </si>
  <si>
    <t>ALTEA FARMACEUTICA S.A.</t>
  </si>
  <si>
    <t>INVIMA 2021M-0014046-R1</t>
  </si>
  <si>
    <t>COLYPAN PLUS®TABLETAS RECUBIERTAS</t>
  </si>
  <si>
    <t>CAJA POR 60 TABLETAS EN BLÍSTER DE PVC/PVDC - ALUMINIO. EN BLÍSTER POR 10 TABLETAS CADA UNO</t>
  </si>
  <si>
    <t>TRIMEBUTINA</t>
  </si>
  <si>
    <t>A03AA05</t>
  </si>
  <si>
    <t>row-rnhp.6fge_fzxr</t>
  </si>
  <si>
    <t>SACCHAROMYCES BOULARDII</t>
  </si>
  <si>
    <t>BIOCODEX S.A.</t>
  </si>
  <si>
    <t>INVIMA 2019M-0013510-R1</t>
  </si>
  <si>
    <t>FLORATIL® 250 MG CAPSULAS</t>
  </si>
  <si>
    <t>MUESTRA MEDICA: CAJA PLEGADIZA POR 4 CAPSULAS EN BLISTER TERMOFORMADO COMPUESTO DE FOIL DE ALUMINIO Y ALUMINIO/PVC</t>
  </si>
  <si>
    <t>BIOCODEX</t>
  </si>
  <si>
    <t>SACAROMICES BOULARDI</t>
  </si>
  <si>
    <t>A07FA02</t>
  </si>
  <si>
    <t>row-j832_c9wf_kdd2</t>
  </si>
  <si>
    <t>ACETAMINOFEN 87% EQUIVALENTE A ACETAMINOFEN</t>
  </si>
  <si>
    <t>INVIMA 2023M-015015-R3</t>
  </si>
  <si>
    <t>ACETAMINOFEN500 MG TABLETA CUBIERTA.</t>
  </si>
  <si>
    <t>CAJA PLEGADIZA POR 20 TABLETAS RECUBIERTAS EN BLÍSTER PVC/ALUMINIO POR 10 TABLETAS RECUBIERTAS CADA BLÍSTER.</t>
  </si>
  <si>
    <t>row-vyyq_8znx~q9my</t>
  </si>
  <si>
    <t>GLUCOSAMINA SULFATO</t>
  </si>
  <si>
    <t>NATURAL SYSTEMS INTERNATIONAL S.A.</t>
  </si>
  <si>
    <t>2C1006811006104</t>
  </si>
  <si>
    <t>INVIMA 2022M-0016981-R1</t>
  </si>
  <si>
    <t>GLUCOSAMINE &amp; CHONDROITIN 500/400 MG</t>
  </si>
  <si>
    <t>CONDROITINA 400.0000 MG/GLUCOSAMINA 500.0000 MG CAPSULAS DE LIBERACION NO MODIFICADA ORAL (MILLENIUM NATURAL SYSTEMS) CAPSULA 1.0000U / FRASCO X 120. FRASCO AZUL EN KODAPAK PET COPOLYESTER 9921. TAPA HG (HINGE GUARD) DE BISAGRA EN POLIETILENO DE BAJA DENSIDAD. COLOR BLANCA. LINER FOAM METALIZADO. POR 120 CÁPSULAS.</t>
  </si>
  <si>
    <t>CÁPSULA DURA DE GELATINA VEGETAL</t>
  </si>
  <si>
    <t>GLUCOSAMINA/CONDROITINA</t>
  </si>
  <si>
    <t>M01AX99</t>
  </si>
  <si>
    <t>row-p5th.vtt5_z6zv</t>
  </si>
  <si>
    <t>INVIMA 2023M-0013559-R2</t>
  </si>
  <si>
    <t>ROSUVINA LEGRAND ® E 10/10</t>
  </si>
  <si>
    <t>CAJA PLEGADIZA X 7 TABLETAS EN BLISTER PVC/PVDC BOLSA SACHET</t>
  </si>
  <si>
    <t>POR TABLETA</t>
  </si>
  <si>
    <t>row-yh8f-xt3z~mkwg</t>
  </si>
  <si>
    <t>BETAMETASONADIPROPIONATO 0.064G EQUIVALENTE A BETAMETASONA BASE</t>
  </si>
  <si>
    <t>ORGANON COLOMBIA S.A.S.</t>
  </si>
  <si>
    <t>INVIMA 2019M-0015560-R1</t>
  </si>
  <si>
    <t>DIPROSONE® CREMA</t>
  </si>
  <si>
    <t>CAJA CON UN TUBO DE ALUMINIO CON RESINA EPOXIFENOLICA Y TAPA DE PEAD POR 50 GRAMOS</t>
  </si>
  <si>
    <t>CADA 100 GRAMOS</t>
  </si>
  <si>
    <t>ORGANON LLC</t>
  </si>
  <si>
    <t>BETAMETASONA</t>
  </si>
  <si>
    <t>0,05</t>
  </si>
  <si>
    <t>D07AC01</t>
  </si>
  <si>
    <t>row-ngnm-vzpx.qvcn</t>
  </si>
  <si>
    <t>HC CLOVER. PRODUCTOS Y SERVICIOS</t>
  </si>
  <si>
    <t>INVIMA 2021M-0016942-R1</t>
  </si>
  <si>
    <t>NEXT GL GENOMMA LAB®</t>
  </si>
  <si>
    <t>CAJA POR 16 CAPSULAS BLANDAS EN BLISTER PVC-PVDC TRANSPARENTE / ALUMINIO</t>
  </si>
  <si>
    <t>GENOMMA LAB COLOMBIA LTDA.</t>
  </si>
  <si>
    <t>row-7bgx~c5q4-kg8p</t>
  </si>
  <si>
    <t>VITAMINA K1 (FITOMENADIONA)</t>
  </si>
  <si>
    <t>VIDRIO TECNICO DE COLOMBIA S.A. VITECO S.A.</t>
  </si>
  <si>
    <t>INVIMA 2021M-0002050-R2</t>
  </si>
  <si>
    <t>VITAMINA K1 SOLUCION INYECTABLE</t>
  </si>
  <si>
    <t>CAJA POR 1000 AMPOLLAS DE VIDRIO TIPO I. COLOR AMBAR X 1 ML</t>
  </si>
  <si>
    <t>VIAL POR 1 ML</t>
  </si>
  <si>
    <t>FITOMENADIONA</t>
  </si>
  <si>
    <t>B02BA01</t>
  </si>
  <si>
    <t>row-g3ep_7qes.jiva</t>
  </si>
  <si>
    <t>BROMURO DE PINAVERIO</t>
  </si>
  <si>
    <t>INVIMA 2008 M-011466 R1</t>
  </si>
  <si>
    <t>DICETEL® TABLETAS 100 MG</t>
  </si>
  <si>
    <t>MUESTRA MEDICA: CAJA POR 30 TABLETAS EN BLISTER PVC/ALUMINIO.</t>
  </si>
  <si>
    <t>1 TABLETA RECUBIERTA</t>
  </si>
  <si>
    <t>PINAVERIUM</t>
  </si>
  <si>
    <t>A03AX04</t>
  </si>
  <si>
    <t>row-n837-qss4.847x</t>
  </si>
  <si>
    <t>CIPROFLOXACINO CLORHIDRATO MONOHIDRATO GRANULADO C.D. 65% 769.10MG EQUIVALENTES A CIPROFLOXACINO BASE.</t>
  </si>
  <si>
    <t>INVIMA 2016M-0011422-R1</t>
  </si>
  <si>
    <t>CIPROFLOXACINO 500 MG TABLETAS RECUBIERTAS</t>
  </si>
  <si>
    <t>MUESTRA MÉDICA: CAJA X 10 TABLETAS RECUBIERTAS EN BLISTER PVC TRANSPARENTE/ ALUMINIO.</t>
  </si>
  <si>
    <t>LABORATORIOS LA SANTE S.A.</t>
  </si>
  <si>
    <t>row-a2hd-cd37_asgn</t>
  </si>
  <si>
    <t>USO INSTITUCIONAL PROHIBIDA SU VENTA : FERBIN ® CAJA PLEGADIZA CON 60 BLISTER FOIL ALUMINIO/PVC/TE/PVDC/TRANSPARENTE (PERLALUXSIN DATOSTARFLEX)POR 10 CAPSULASSIN DATOC/U.</t>
  </si>
  <si>
    <t>row-v7bh~yq7p_nzq6</t>
  </si>
  <si>
    <t>CAJASIN DATOPORSIN DATO5SIN DATOFRASCOS AMPOLLA CONSIN DATO4.5SIN DATOG DE POLVO ESTÉRILSIN DATOPARA RECONSTIUIR A 50 ML CON 20SIN DATOML DE AGUA PARA INYECCIÓN OSIN DATO NACLSIN DATOALSIN DATO0.9%</t>
  </si>
  <si>
    <t>22,5</t>
  </si>
  <si>
    <t>row-nk3f_u7mx~kttj</t>
  </si>
  <si>
    <t>CITRATO DE POTASIOMONOHIDRATADO</t>
  </si>
  <si>
    <t>ABBOTT LABORATORIES DE MEXICO. S.A. DE C.V.</t>
  </si>
  <si>
    <t>INVIMA 2021M-0011356-R2</t>
  </si>
  <si>
    <t>PEDIALYTE® ACTIVE 45 MEQ.</t>
  </si>
  <si>
    <t>MUESTRA MÉDICA: FRASCO PLÁSTICO (PEAD) 500 ML . CIERRE FOIL DE ALUMINIO.TAPA DE POLIETINEO DE ALTA DENSIDAD. SABOR FRESA</t>
  </si>
  <si>
    <t>row-y7uy-bzbz~gp7w</t>
  </si>
  <si>
    <t>MICROGRANULOS GASTRORESISTENTES: ESOMEPRAZOL MAGNESICO TRIHIDRATO (EQUIVALENTES A DE ESOMEPRAZOL)</t>
  </si>
  <si>
    <t>INVIMA 2015M-0016459</t>
  </si>
  <si>
    <t>ESOMED® 10 MG SOBRES.</t>
  </si>
  <si>
    <t>INSTITUCIONAL: CAJA CON 600 SOBRES LAMINADOS PES-ALU-PE CADA UNO CON 2.6 G DE MICROGRANULOS GASTRORESISTENTES PARA SUSPENSION ORAL</t>
  </si>
  <si>
    <t>row-65fx-idvh_mew6</t>
  </si>
  <si>
    <t>CLINDAMICINA FOSFATO EQUIVALENTE A CLINDAMICINA BASE</t>
  </si>
  <si>
    <t>TECNOQUÍMICAS S.A. PLANTA JAMUNDÍ</t>
  </si>
  <si>
    <t>INVIMA 2020M-0015698-R1</t>
  </si>
  <si>
    <t>CLINDAMICINA / CLOTRIMAZOL 100MG/200MG</t>
  </si>
  <si>
    <t>INSTITUCIONAL: CAJA PLEGADIZA POR 30 ÓVULOS EN BLISTER PVC/PVDC TRANSPARENTE -ALUMINIO POR 10 ÓVULOS.</t>
  </si>
  <si>
    <t>OVULO</t>
  </si>
  <si>
    <t>CLOTRIMAZOL</t>
  </si>
  <si>
    <t>G01AF02</t>
  </si>
  <si>
    <t>VAGINAL</t>
  </si>
  <si>
    <t>row-xftf.pegy.bzn7</t>
  </si>
  <si>
    <t>VANCOMICINA CLORHIDRATO EQUIVALENTE A VANCOMICINA</t>
  </si>
  <si>
    <t>LABORATORIO REIG JOFRE.S.A.</t>
  </si>
  <si>
    <t>INVIMA 2019M-0018709</t>
  </si>
  <si>
    <t>VANCOSALA 500 MG POLVO LIOFILIZADO PARA RECONSTITUIR A SOLUCIÓN INYECTABLE</t>
  </si>
  <si>
    <t>CAJA POR UN VIAL DE VIDRIO TIPO I TRANSPARENTE X 10 ML. TAPÓN DE CLOROBUTILO TIPO 1 GRIS Y TAPA FLIP-OFF DE ALUMINIO Y POLIPROPILENO BLANCO QUE CONTIENE 500 MG DE VANCOMICINA</t>
  </si>
  <si>
    <t>POLVO LIOFILIZADO PARA RECONSTITUIR A SOLUCION INYECTABLE</t>
  </si>
  <si>
    <t>VANCOMICINA</t>
  </si>
  <si>
    <t>J01XA01</t>
  </si>
  <si>
    <t>row-u6jf.5ich_w7nq</t>
  </si>
  <si>
    <t>LUBIPROSTONA</t>
  </si>
  <si>
    <t>TECNOQUIMICAS S.A. PLANTA JAMUNDÍ</t>
  </si>
  <si>
    <t>INVIMA 2022M-0014340-R1</t>
  </si>
  <si>
    <t>MOVIPROST® 24 MCG</t>
  </si>
  <si>
    <t>CAJA POR 42 CAPSULAS EN BLISTER PVC/PE/PVDC-ALUMINIO POR 14 CAPSULAS BLANDAS C/U.</t>
  </si>
  <si>
    <t>LUBIPROSTONE</t>
  </si>
  <si>
    <t>A06AX03</t>
  </si>
  <si>
    <t>row-ycgc_b3i9~gvw6</t>
  </si>
  <si>
    <t>CAMARA 1: SOLUCION DE AMINOACIDOS: L-ALANINA</t>
  </si>
  <si>
    <t>FRESENIUS KABI COLOMBIA S.A.S</t>
  </si>
  <si>
    <t>INVIMA 2021M-0015496-R1</t>
  </si>
  <si>
    <t>SMOFKABIVEN® LIBRE DE ELECTROLITOS CENTRAL. EMULSION PARA INFUSION</t>
  </si>
  <si>
    <t>BOLSAS BIOFINE TRICAMERALES TRANSPARENTES POR 1477 ML. CAJA QUE CONTIENE 4 BOLSAS TRICAMERALES.</t>
  </si>
  <si>
    <t>FRESENIUS KABI AB</t>
  </si>
  <si>
    <t>7,1</t>
  </si>
  <si>
    <t>row-j8kv~v9fz-s3am</t>
  </si>
  <si>
    <t>CITRATO DE TOFACITINIB 8.078MG EQUIVALENTE A TOFACITINIB</t>
  </si>
  <si>
    <t>INVIMA 2019M-0014423-R1</t>
  </si>
  <si>
    <t>XELJANZ®5MG</t>
  </si>
  <si>
    <t>CAJA PLEGABLE DE CARTÓN POR 14 TABLETAS RECUBIERTAS EN BLISTER PVC TRANSPARENTE Y FOIL DE ALUMINIO PLATEADO</t>
  </si>
  <si>
    <t>TOFACITINIB</t>
  </si>
  <si>
    <t>L04AA29</t>
  </si>
  <si>
    <t>row-c7iu~sr3x.hyyy</t>
  </si>
  <si>
    <t>MEGA LIFESCIENCES PUBLIC COMPANY LIMITED</t>
  </si>
  <si>
    <t>INVIMA 2023M-0018119-R1</t>
  </si>
  <si>
    <t>MEGA WE CARE ZIRIN</t>
  </si>
  <si>
    <t>CAJA POR 5 BLISTERSIN DATOCLARO TRANSPARENTE EN PVC/PVDC/ALUMINIO CADA UNO POR 10 CÁPSULAS BLANDAS</t>
  </si>
  <si>
    <t>CETIRIZINA</t>
  </si>
  <si>
    <t>R06AE07</t>
  </si>
  <si>
    <t>row-a2ax-bbkj~b3y7</t>
  </si>
  <si>
    <t>IBUPROFENO GRANULADO (IBUPROFENO 85% + CELULOSA MICROCRISTALINA 6.63% + DIOXIDO DE SILICIO COLOIDAL 5.43% + CROSCARMELOSA SODICA 2.94%) 235.3 MG EQUIVALENTE A IBUPROFENO</t>
  </si>
  <si>
    <t>INVIMA 2023M-0013152-R2</t>
  </si>
  <si>
    <t>DOVIR ® TABLETAS</t>
  </si>
  <si>
    <t>MUESTRA MEDICA: CAJA X 4 FRASCOS DE PEAD POR 2 TABLETAS.</t>
  </si>
  <si>
    <t>HYDROCODONA Y IBUPROFENO</t>
  </si>
  <si>
    <t>N02AJ23</t>
  </si>
  <si>
    <t>row-4nx2~gcre~qv35</t>
  </si>
  <si>
    <t>INVIMA 2024M-0021363</t>
  </si>
  <si>
    <t>ZERODOL P</t>
  </si>
  <si>
    <t>CAJA POR 20 TABLETAS RECUBIERTAS EN BLISTER ALU/ALU</t>
  </si>
  <si>
    <t>row-dsva_w5nj_6hmx</t>
  </si>
  <si>
    <t>CARBONATO DE MAGNESIO LIVIANO (EXCESO 2%)</t>
  </si>
  <si>
    <t>INVIMA 2014M-0015513</t>
  </si>
  <si>
    <t>BIOCALCIUM PLUS</t>
  </si>
  <si>
    <t>CAJA POR 25 SOBRE (LAMINADO BOPP/ALUMINIO/PE) DE 5 G DE PRODUCTO.</t>
  </si>
  <si>
    <t>CADA SOBRE</t>
  </si>
  <si>
    <t>CALCIO (DIFERENTES SALES EN COMBINACION)</t>
  </si>
  <si>
    <t>A12AA20</t>
  </si>
  <si>
    <t>row-in6b~csbn.rd3m</t>
  </si>
  <si>
    <t>DICLOXACILINA SODICA MONOHIDRATO (COMPACTADA)553. 3940 MGEQUIVALENTE ADICLOXACILINA</t>
  </si>
  <si>
    <t>INVIMA 2020M-0013267-R1</t>
  </si>
  <si>
    <t>DICLOGRAN 500 MG CAPSULAS</t>
  </si>
  <si>
    <t>CAJA PLEGADIZA CON 2 BLISTER EN FOIL ALUMINIOSIN DATOPOR 10 CAPSULAS DURAS.</t>
  </si>
  <si>
    <t>GLOBAL INTERNATIONAL MEDICINE S.A.S. GIMED S.A.S.</t>
  </si>
  <si>
    <t>row-hic4~y6j8~bfqh</t>
  </si>
  <si>
    <t>LINCOMICINA CLORHIDRATO MONOHIDRATO678.7 MG (EQUIVALENTE ALINCOMICINA BASE)</t>
  </si>
  <si>
    <t>INVIMA 2022M-011521-R2</t>
  </si>
  <si>
    <t>LINCOMICINA INYECTABLE 600 MG/2 ML.</t>
  </si>
  <si>
    <t>CAJA PLEGADIZA CON 10 AMPOLLAS DE VIDRIO INCOLORO TIPO I. POR 2 ML. DE SOLUCION.</t>
  </si>
  <si>
    <t>AMPOLLA DE 2 ML.</t>
  </si>
  <si>
    <t>LINCOMICINA</t>
  </si>
  <si>
    <t>J01FF02</t>
  </si>
  <si>
    <t>row-uug6~47ch.mwiy</t>
  </si>
  <si>
    <t>LORATADINA</t>
  </si>
  <si>
    <t>C.I. FARMACAPSULAS S.A.S</t>
  </si>
  <si>
    <t>INVIMA 2015 M-011734-R3</t>
  </si>
  <si>
    <t>LORDINEX ® 10 MG TABLETAS</t>
  </si>
  <si>
    <t>PRESENTACION MUESTRA MEDICA: MARCA. CAJA PLEGADIZA O PORTABLISTER CON UN BLISTER PVC TRANSPARENTE INCOLORO/ FOIL ALUMINIO POR 2 TABLETA DE 10 MG</t>
  </si>
  <si>
    <t>CADA TABLETA CONTIENE.</t>
  </si>
  <si>
    <t>R06AX13</t>
  </si>
  <si>
    <t>row-tevd-6st7~at2g</t>
  </si>
  <si>
    <t>HEPARINA SÓDICA</t>
  </si>
  <si>
    <t>LABORATORIOS BUSSIE S.A</t>
  </si>
  <si>
    <t>INVIMA 2021MB-13740-R2</t>
  </si>
  <si>
    <t>LIOTON® 1000 GEL</t>
  </si>
  <si>
    <t>MUESTRA MEDICA: TUBO DE ALUMINIO RECUBIERTO POR BARNIZ DERECINAS EPÓXICAS FENÓLICAS CON TAPA DE POLIETILENO POR 10G.</t>
  </si>
  <si>
    <t>100 G DE GEL</t>
  </si>
  <si>
    <t>A. MENARINI INDUSTRIE FARMACEUTICHE RIUNITI S R L</t>
  </si>
  <si>
    <t>IU</t>
  </si>
  <si>
    <t>HEPARINA</t>
  </si>
  <si>
    <t>C05BA03</t>
  </si>
  <si>
    <t>row-hy7n_t2th-jzn4</t>
  </si>
  <si>
    <t>DOMPERIDONA</t>
  </si>
  <si>
    <t>1D1035991002105</t>
  </si>
  <si>
    <t>INVIMA 2023M-0020867</t>
  </si>
  <si>
    <t>DOMPERIDONA10MG</t>
  </si>
  <si>
    <t>1D1035991002105 DOMPERIDONA 10.0000 MG TABLETAS DE LIBERACION NO MODIFICADA ORAL (MOMENTA FARMACEUTICA) TABLETA 1.0000U / CAJA X 30/ CAJA PLEGADIZA CON 3 BLÍSTER PVC/PVDC ALUMINIO X 10 TABLETAS MUESTRA MÉDICA</t>
  </si>
  <si>
    <t>MOMENTA FARMACEUTICA S.A.S.</t>
  </si>
  <si>
    <t>A03FA03</t>
  </si>
  <si>
    <t>row-6sfz-vbfs-wwbg</t>
  </si>
  <si>
    <t>CLORHIDRATO DE SERTRALINA EQUIVALENTE A SERTRALINA</t>
  </si>
  <si>
    <t>INVIMA 2021M-13265-R4</t>
  </si>
  <si>
    <t>ZOLOF® TABLETAS 50MG</t>
  </si>
  <si>
    <t>CAJA POR 50SIN DATOTABLETAS EN SISTEMA BLISTER PVC/ALUMINIO. CADA BLISTER POR 10 TABLETAS.</t>
  </si>
  <si>
    <t>SERTRALINA</t>
  </si>
  <si>
    <t>N06AB06</t>
  </si>
  <si>
    <t>row-g9fx.fyq2.tqqx</t>
  </si>
  <si>
    <t>ÁCIDO ASPÁRTICO</t>
  </si>
  <si>
    <t>B BRAUN MELSUNGEN AG</t>
  </si>
  <si>
    <t>3A1034731000101</t>
  </si>
  <si>
    <t>INVIMA 2021M-0020171</t>
  </si>
  <si>
    <t>AMINOPLASMAL 15%</t>
  </si>
  <si>
    <t>3A1034731000101 CAJA POR 6 FRASCOS DE VIDRIO TIPO II DE 1000ML</t>
  </si>
  <si>
    <t>ML DE SOLUCIÓN PARA PERFUSIÓN</t>
  </si>
  <si>
    <t>SOLUCIÓN CONCENTRADA PARA INFUSIÓN</t>
  </si>
  <si>
    <t>7,95</t>
  </si>
  <si>
    <t>V03AB23</t>
  </si>
  <si>
    <t>INFUSIÓN INTRAVENOSA</t>
  </si>
  <si>
    <t>row-mimm.qvrq~p5x5</t>
  </si>
  <si>
    <t>N-BUTILBROMURO DE HIOSINA</t>
  </si>
  <si>
    <t>CLARIPACK S.A.</t>
  </si>
  <si>
    <t>INVIMA 2022M-0014766-R1</t>
  </si>
  <si>
    <t>TAFLAX® FEM TABLETAS RECUBIERTAS</t>
  </si>
  <si>
    <t>MUESTRA MEDICA EN FLAYER: CAJA POR 1 TABLETA EN BLISTER DE ALUMINIO-PVC/PVDC TRANSPARENTE.</t>
  </si>
  <si>
    <t>row-cdj4-mctc~iuau</t>
  </si>
  <si>
    <t>PANCREATINA (EQUIVALENTE A AMILASA 15000 U. LIPASA 1200 U. PROTEASA 15000 U)</t>
  </si>
  <si>
    <t>INVIMA 2017M-0017639</t>
  </si>
  <si>
    <t>DIMOFLAX® ENZIMATICO TABLETAS RECUBIERTAS</t>
  </si>
  <si>
    <t>CAJA POR 10 TABLETAS CON CUBIERTA ENTÉRICA EN BLÍSTER PVC/TE/PVDC TRANSPARENTE INCOLORO / FOIL ALUMINIO POR 10 TABLETAS CON CUBIERTA ENTÉRICA CADA BLÍSTER.</t>
  </si>
  <si>
    <t>TABLETA CON CUBIERTA ENTÉRICA</t>
  </si>
  <si>
    <t>MULTIENZIMAS (LIPASA PROTEASA ETC.)</t>
  </si>
  <si>
    <t>A09AA02</t>
  </si>
  <si>
    <t>row-9u9h-c7tr-de3q</t>
  </si>
  <si>
    <t>DICLOXACILINA SODICA MONOHIDRATO COMPACTADA 553.40 MG EQUIVALENTE A DICLOXACILINA BASE</t>
  </si>
  <si>
    <t>SYNTOFARMA S.A. PLANTA PENICILINAS</t>
  </si>
  <si>
    <t>1D1000481004104</t>
  </si>
  <si>
    <t>INVIMA 2019M-0019163</t>
  </si>
  <si>
    <t>BAMAXIN 500 MG</t>
  </si>
  <si>
    <t>1D1000481004104 CAJA POR 250 CAPSULASEN BLISTER PVC/ ACLAR BLANCO/ALUMINIO MARCA</t>
  </si>
  <si>
    <t>BIOQUIMICO PHARMAS.A.</t>
  </si>
  <si>
    <t>row-iu7z~skt6~8mnd</t>
  </si>
  <si>
    <t>BENCETONIO CLORURO</t>
  </si>
  <si>
    <t>LABORATORIOS RIOSOL LTDA</t>
  </si>
  <si>
    <t>INVIMA 2009 M- 002085 R3</t>
  </si>
  <si>
    <t>BUTIMERIN® SOLUCION</t>
  </si>
  <si>
    <t>FRASCO POR 1 ML MUESTRA MEDICA</t>
  </si>
  <si>
    <t>LABORATORIOS BAGO DE COLOMBIA S.A.S.</t>
  </si>
  <si>
    <t>BENZETONIO CLORURO COMBINACIONES</t>
  </si>
  <si>
    <t>D08AJ58</t>
  </si>
  <si>
    <t>row-8ikz.cvuz-5m7p</t>
  </si>
  <si>
    <t>KOPRAN LIMITED</t>
  </si>
  <si>
    <t>INVIMA 2024M-0021564</t>
  </si>
  <si>
    <t>LOSARTAN POTASICO 100 MG</t>
  </si>
  <si>
    <t>CAJA X 10 TABLETAS RECUBIERTAS EN BLÍSTER PVC/ALUMINIO X 10 TABLETAS CADA UNO</t>
  </si>
  <si>
    <t>row-tnbu_8xnh~6rjy</t>
  </si>
  <si>
    <t>ROSUVASTATINA CÁLCICA 41.66 MG EQUIVALENTE A ROSUVASTATICA BASE</t>
  </si>
  <si>
    <t>INVIMA 2022M-0016426-R1</t>
  </si>
  <si>
    <t>ROSUVASTATINA TABLETAS RECUBIERTAS POR 40 MG</t>
  </si>
  <si>
    <t>CAJA POR 3 BLISTER CON 14 TABLETAS RECUBIERTAS</t>
  </si>
  <si>
    <t>row-vqju_zwez-6f6g</t>
  </si>
  <si>
    <t>RISPERIDONA</t>
  </si>
  <si>
    <t>MEGALABS URUGUAY S.A.</t>
  </si>
  <si>
    <t>INVIMA 2020M-0000896-R2</t>
  </si>
  <si>
    <t>TRACTAL® COMPRIMIDOS RECUBIERTOS 1 MG</t>
  </si>
  <si>
    <t>MUESTRA MÉDICA: CAJA X 4 TABLETAS RECUBIERTAS EN BLÍSTER ALUMINIO/PVC TRANSPARENTE + INSERTO</t>
  </si>
  <si>
    <t>N05AX08</t>
  </si>
  <si>
    <t>row-7fqi~72jy.79h8</t>
  </si>
  <si>
    <t>TRIMEBUTINA MALEATO</t>
  </si>
  <si>
    <t>INVIMA 2023M-0006516-R2</t>
  </si>
  <si>
    <t>TRIMEBUTINA MALEATO 200 MG.</t>
  </si>
  <si>
    <t>CAJA POR 200 TABLETAS EN BLISTER PVDC TRANSPARENTE / ALUMINIO POR 10 TABLETAS</t>
  </si>
  <si>
    <t>MEMPHIS PRODUCTS S.A.</t>
  </si>
  <si>
    <t>row-rd3f.4fty~sm4n</t>
  </si>
  <si>
    <t>CAFEÍNA ANHIDRA</t>
  </si>
  <si>
    <t>CAJA POR 80 CÁPSULAS EN BLÍSTER DE PVC - PVDC / ALUMINIO CON 4 CÁPSULAS CADA UNO</t>
  </si>
  <si>
    <t>row-avwp_qqys~jinf</t>
  </si>
  <si>
    <t>TADALAFILO</t>
  </si>
  <si>
    <t>LABORATORIOS ECAR S.A. (PLANTA RIONEGRO)</t>
  </si>
  <si>
    <t>INVIMA 2009M-0010091</t>
  </si>
  <si>
    <t>LUDIKA TABLETAS RECUBIERTAS POR 20 MG</t>
  </si>
  <si>
    <t>CAJA POR 12 TABLETAS EN BLISTER PVC/ALUMINIO.</t>
  </si>
  <si>
    <t>TADALAFIL</t>
  </si>
  <si>
    <t>G04BE08</t>
  </si>
  <si>
    <t>row-ffqw_d2im.b5yw</t>
  </si>
  <si>
    <t>LABORATORIO FRANCO COLOMBIANO - LAFRANCOL S.A.S.</t>
  </si>
  <si>
    <t>INVIMA 2015M-0011033-R1</t>
  </si>
  <si>
    <t>LUMBAL FORTE® TABLETAS</t>
  </si>
  <si>
    <t>CAJA X 60 TABLETAS RECUBIERTAS EN BLISTER PVC/PE/PVDC INCOLORO/PAPEL ALUMINIO</t>
  </si>
  <si>
    <t>row-crvp~qb3p-n63c</t>
  </si>
  <si>
    <t>INVIMA 2018M-0018462</t>
  </si>
  <si>
    <t>FERASIRO 500 MG TABLETA DISPERSABLE</t>
  </si>
  <si>
    <t>GENÉRICA M.M: CAJA X 7 TABLETAS DISPERSABLES (BLÍSTER PVC/PE/PVDC-ALU X 7 TABLETAS CADA UNO)</t>
  </si>
  <si>
    <t>POR CADA TABLETA DISPERSABLE</t>
  </si>
  <si>
    <t>row-pr3j~spti.vrce</t>
  </si>
  <si>
    <t>L-PROLINA</t>
  </si>
  <si>
    <t>FRESENIUS KABI AUSTRIA GMBH</t>
  </si>
  <si>
    <t>BOLSAS BIOFINE TRICAMERALES TRANSPARENTES POR 986 ML. CAJA QUE CONTIENE 4 BOLSAS TRICAMERALES.</t>
  </si>
  <si>
    <t>5,7</t>
  </si>
  <si>
    <t>row-ydak_27s4_uya8</t>
  </si>
  <si>
    <t>2H1030531001112</t>
  </si>
  <si>
    <t>INVIMA 2024M-0021405</t>
  </si>
  <si>
    <t>TENSOFAR® H 100 / 25 TABLETAS RECUBIERTAS</t>
  </si>
  <si>
    <t>MARCA:CAJA QUE CONTIENE 300 TABLETAS RECUBIERTAS EN BLÍSTER (PVC/PVDC TRANSPARENTE/FOIL ALUMINIO) 30 BLÍSTER POR 10 TABLETAS</t>
  </si>
  <si>
    <t>row-qmgz~3n6r~v2fp</t>
  </si>
  <si>
    <t>FEXOFENADINA CLORHIDRATO</t>
  </si>
  <si>
    <t>INVIMA 2023M-0018002-R1</t>
  </si>
  <si>
    <t>FEXU® 180 MG TABLETAS RECUBIERTAS</t>
  </si>
  <si>
    <t>MUESTRA MÉDICA - CAJA PLEGADIZA POR 2 TABLETAS RECUBIERTAS EN BLÍSTER ALUMINIO/ALUMINIO POR 2 TABLETAS.</t>
  </si>
  <si>
    <t>FEXOFENADINA</t>
  </si>
  <si>
    <t>R06AX26</t>
  </si>
  <si>
    <t>row-uinc_d6i4~spa7</t>
  </si>
  <si>
    <t>NIFUROXAZIDA</t>
  </si>
  <si>
    <t>INVIMA 2020M-0015399-R1</t>
  </si>
  <si>
    <t>DIARSET NX® M CAPSULAS</t>
  </si>
  <si>
    <t>MUESTRA MEDICA: CAJA POR UNSIN DATOBLISTER PVC COLOR ÁMBAR / ALUMINIO POR 3 CÁPSULAS CADA UNO</t>
  </si>
  <si>
    <t>NEVOX FARMA S.A.S.</t>
  </si>
  <si>
    <t>COMBINACIONES DE IMIDAZOL DERIVADOS</t>
  </si>
  <si>
    <t>G01AF20</t>
  </si>
  <si>
    <t>row-935c_w4g3-bwap</t>
  </si>
  <si>
    <t>CODEINA FOSFATO</t>
  </si>
  <si>
    <t>2C1011421001103</t>
  </si>
  <si>
    <t>INVIMA 2020M-0019628</t>
  </si>
  <si>
    <t>CODALGEN®</t>
  </si>
  <si>
    <t>2C1011421001103:CAJA PLEGADIZA POR 100 TABLETAS EN BLISTER PVC/PE/PVDC-ALUMINIO POR 10 TABLETAS MAS INSERTO</t>
  </si>
  <si>
    <t>row-rwrc_iiju-usmg</t>
  </si>
  <si>
    <t>INVIMA 2022M-003811-R3</t>
  </si>
  <si>
    <t>TRAMADOL INYECTABLE X 50 MG/ML</t>
  </si>
  <si>
    <t>CAJA PORSIN DATO900 AMPOLLAS EN VIDRIO TRANSPARENTE TIPO I POR 1 ML. CON ARO AMARILLO.</t>
  </si>
  <si>
    <t>AMPOLLA DE 1 ML</t>
  </si>
  <si>
    <t>row-vxvs~eb5b.sz6q</t>
  </si>
  <si>
    <t>FERBIN C.L.: CAJA POR 10 CAPSULAS EN SISTEMA BLISTER PACK FOIL ALUMINIO/ STARFLEX</t>
  </si>
  <si>
    <t>row-zm2y_gvid-57xi</t>
  </si>
  <si>
    <t>ESOMEPRAZOL TRIHIDRATO DE MAGNESIO EQUIVALENTE A ESOMEPRAZOL</t>
  </si>
  <si>
    <t>1E1013191002101</t>
  </si>
  <si>
    <t>INVIMA 2024M-0021404</t>
  </si>
  <si>
    <t>ESOPOLE® 20MG CAPSULA DE LIBERACION RETARDADA</t>
  </si>
  <si>
    <t>MUESTRA MEDICA:CAJA PLEGADIZA CON FRASCO BLANCO DE POLIETILENO DE ALTA DENSIDAD POR 30 CÁPSULAS DURAS CON TAPA BLANCA EN POLIPROPILENO A PRUEBA DE NIÑOS.CONTIENE DESECANTE EN SILICAGEL</t>
  </si>
  <si>
    <t>CÁPSULA DE LIBERACIÓN RETARDADA</t>
  </si>
  <si>
    <t>row-3gg7_p46f.e2t6</t>
  </si>
  <si>
    <t>FINERENONA MICRONIZADA</t>
  </si>
  <si>
    <t>BAYER AG</t>
  </si>
  <si>
    <t>1F1039711000100</t>
  </si>
  <si>
    <t>INVIMA 2024M-0021588</t>
  </si>
  <si>
    <t>FIRIALTA® 10 MG TABLETAS RECUBIERTAS</t>
  </si>
  <si>
    <t>CAJA CON 28 TABLETAS RECUBIERTAS (2 BLÍSTER CON 14 TABLETAS C/U) EN BLÍSTER AL/PVC/PVDC</t>
  </si>
  <si>
    <t>FINERENONA</t>
  </si>
  <si>
    <t>C03DA05</t>
  </si>
  <si>
    <t>row-g8wc.pdn2~brmb</t>
  </si>
  <si>
    <t>2B1005401001103</t>
  </si>
  <si>
    <t>INVIMA 2023M-0018028-R1</t>
  </si>
  <si>
    <t>NECLOBET</t>
  </si>
  <si>
    <t>2B1005401001103SIN DATOCAJA PLEGADIZA CON TUBO LAMINADO EP2612/CH X 30 G</t>
  </si>
  <si>
    <t>100 G. CREMA</t>
  </si>
  <si>
    <t>PROFMA S.A.S</t>
  </si>
  <si>
    <t>0,04</t>
  </si>
  <si>
    <t>row-eaah_6vv4_6kdk</t>
  </si>
  <si>
    <t>IBUPROFENO 66% (IBUPROFENO 66%. ALMIDON PREGELATINIZADO 8%. CELULOSA MICROCRISTALINA 14%. ALMIDON 6%. DIOXIDO DE SILICIO COLOIDAL 1%. POVIDONA 1.5%. ACIDO ESTEARICO 1.5%. CROSCARMELOSA SODICA 2%. AGUA PURIFICADA C.S.P.) EQUIVALENTE A IBUPROFENO</t>
  </si>
  <si>
    <t>1I1001891003100</t>
  </si>
  <si>
    <t>INVIMA 2024M-0021286</t>
  </si>
  <si>
    <t>IBUPROFENO 400 MG TABLETA RECUBIERTA</t>
  </si>
  <si>
    <t>1I1001891003100IBUPROFENO 400.0000 MG TABLETAS DE LIBERACION NO MODIFICADA ORAL (NOVAMED) TABLETA 1.0000U / CAJA X 10 . CAJA QUE CONTIENE 10 TABLETAS RECUBIERTAS. BLÍSTER PVC TRANSPARENTE INCOLORO / FOIL ALUMINIO. 1 BLÍSTER POR 10 TABLETAS RECUBIERTAS.</t>
  </si>
  <si>
    <t>M01AE01</t>
  </si>
  <si>
    <t>row-7x5n~g2bb-jgwa</t>
  </si>
  <si>
    <t>MONTELUKAST SÓDICO 5.2 MGEQUIVALENTE A MONTELUKAST</t>
  </si>
  <si>
    <t>PHARMALAB PHL LABORATORIOS S.A.S.</t>
  </si>
  <si>
    <t>INVIMA 2023M-0012762-R2</t>
  </si>
  <si>
    <t>KASTAMON 5 MG TABLETAS MASTICABLES</t>
  </si>
  <si>
    <t>CAJA POR 56 TABLETAS EN BLISTER OPA/ALU/PE-ALU</t>
  </si>
  <si>
    <t>SANDOZ GMBH</t>
  </si>
  <si>
    <t>MONTELUKAST</t>
  </si>
  <si>
    <t>R03DC03</t>
  </si>
  <si>
    <t>row-v3jr~pn9e-5tdx</t>
  </si>
  <si>
    <t>ATORVASTATINA CALCICA EQUIVALENTE A ATORVASTATINA BASE</t>
  </si>
  <si>
    <t>INVIMA 2022M-0005892-R2</t>
  </si>
  <si>
    <t>ATORVASTATINA 20 MG TABLETAS RECUBIERTAS</t>
  </si>
  <si>
    <t>CAJA POR 900 TABLETAS RECUBIERTAS EN BLÍSTER PVC/PVDC TRANSPARENTE / ALUMINIO IMPRESO BLANCO POR 10 TABLETAS RECUBIERTAS CADA UNO.SIN DATO</t>
  </si>
  <si>
    <t>CADA TABLETA RECUBIERTA CONTIENE:</t>
  </si>
  <si>
    <t>ATORVASTATIN</t>
  </si>
  <si>
    <t>C10AA05</t>
  </si>
  <si>
    <t>row-xjrj_jbnj_p695</t>
  </si>
  <si>
    <t>INVIMA 2021M-011638-R4</t>
  </si>
  <si>
    <t>DIFLUCAN ® INYECTABLE.</t>
  </si>
  <si>
    <t>MUESTRA MÉDICA: CAJA CON FRASCO AMPOLLA DE VIDRIO TIPO I POR 100 ML DE SOLUCIÓN INYECTABLE CON TAPÓN DE CLOROBUTILO Y TAPA DE ALUMINIO.</t>
  </si>
  <si>
    <t>row-5ssh.ctfj~esx2</t>
  </si>
  <si>
    <t>N- BUTIL BROMURO DE HIOSCINA</t>
  </si>
  <si>
    <t>LABORATORIO INTERNACIONAL DE COLOMBIA S.A.S - LABINCO S.A.S</t>
  </si>
  <si>
    <t>INVIMA 2016M-0005256-R1</t>
  </si>
  <si>
    <t>LABINPINA</t>
  </si>
  <si>
    <t>CAJA X 500 GRAGEAS EN BLISTER PVC TRANSPARENTE/ALUMINIO X 10 GRAGEAS</t>
  </si>
  <si>
    <t>GRAGEA.</t>
  </si>
  <si>
    <t>BUTILESCOPOLAMINA</t>
  </si>
  <si>
    <t>A03BB01</t>
  </si>
  <si>
    <t>row-e5zj_ahhs-ikcu</t>
  </si>
  <si>
    <t>DULAGLUTIDA</t>
  </si>
  <si>
    <t>ELI LILLYINTERAMERICA INC</t>
  </si>
  <si>
    <t>1D1042451000105</t>
  </si>
  <si>
    <t>INVIMA 2023MBT-0016817-R1</t>
  </si>
  <si>
    <t>TRULICITY® 0.75 MG/0.5 ML</t>
  </si>
  <si>
    <t>MUESTRA MEDICA: CAJA CONTENIENDO CUATRO INYECTORES (JERINGA PRELLENADA DE VIDRIO TIPO I TRASPARENTE + AGUJA) CON 0.5 ML.</t>
  </si>
  <si>
    <t>0.5 ML</t>
  </si>
  <si>
    <t>0,75</t>
  </si>
  <si>
    <t>A10BJ05</t>
  </si>
  <si>
    <t>row-g2mp~c56g.sr3i</t>
  </si>
  <si>
    <t>TELMISARTAN</t>
  </si>
  <si>
    <t>INVIMA 2023M-0015380-R1</t>
  </si>
  <si>
    <t>CARDIOCAP A 80/5</t>
  </si>
  <si>
    <t>CAJA PORSIN DATO100SIN DATOCAPSULAS EN BLISTER PVC/PVDC-ALUMINIO EN BOLSA SACHET</t>
  </si>
  <si>
    <t>CAPSULA DE GELATINA DURA</t>
  </si>
  <si>
    <t>C09CA07</t>
  </si>
  <si>
    <t>row-djkg.xu6v-36z3</t>
  </si>
  <si>
    <t>ATORVASTATINA CALCICA TRIHIDRATO 43.30MG EQUIVALENTE AATORVASTATINA</t>
  </si>
  <si>
    <t>INVIMA 2022M-0016377-R1</t>
  </si>
  <si>
    <t>ATORVASTATINATABLETASRECUBIERTASPOR 40 MG</t>
  </si>
  <si>
    <t>CAJA POR 20 TABLETAS RECUBIERTAS EN BLISTER PVC/PVDC TRANSPARENTE-ALUMINIO POR 10 TABLETAS RECUBIERTAS.</t>
  </si>
  <si>
    <t>row-2xge-qfja.5pvv</t>
  </si>
  <si>
    <t>CETILPIRIDINIO CLORURO</t>
  </si>
  <si>
    <t>INVIMA 2019M-0018911</t>
  </si>
  <si>
    <t>DIMETAPP GARGANTA® TABLETAS MASTICABLES</t>
  </si>
  <si>
    <t>CAJA POR 12 TABLETAS EN BLÍSTER ALU/PVC SABOR PANELA LIMÓN. IUM 2C1007841000102</t>
  </si>
  <si>
    <t>row-yyy2_tkwd.34ui</t>
  </si>
  <si>
    <t>VITAMINA C (ACIDO ASCORBICO 220 MG + ASCORBATO DE SODIO 315 MG EQUIVALENTE A 280 MG DE ÁCIDO ASCÓRBICO) TOTAL DE ÁCIDO ASCORBICO</t>
  </si>
  <si>
    <t>INVIMA 2023M-000487-R3</t>
  </si>
  <si>
    <t>VITAMINA C TABLETAS MASTICABLES</t>
  </si>
  <si>
    <t>MUESTRA MEDICA SABOR TUTTI FRUTTI: FOIL DE ALUMINIO POR 2 TABLETAS MASTICABLES CON Y SIN CAJA.</t>
  </si>
  <si>
    <t>row-7xvq-tudf~gghx</t>
  </si>
  <si>
    <t>DEXMEDETOMIDINA CLORHIDRATO 4.72 MCG EQUIVALENTES A DEXMEDETOMIDINA</t>
  </si>
  <si>
    <t>GLAND PHARMA LIMITED</t>
  </si>
  <si>
    <t>INVIMA 2025M-0021919</t>
  </si>
  <si>
    <t>DELTODELT® DEXMEDETOMIDINA 4 MCG/ML. SOLUCIÓN INYECTABLE.</t>
  </si>
  <si>
    <t>CAJA POR 10 VIALES. VIAL DE VIDRIO TRANSPARENTE TIPO I DE 100 ML CON UN CIERRE DE TAPÓN DE BROMOBUTILO GRIS DE 32 MM LISTA PARA ESTERILIZAR Y SELLADO CON FLIP OFFSIN DATODE ALUMINIO DE 32 MM.</t>
  </si>
  <si>
    <t>INYECTABLES</t>
  </si>
  <si>
    <t>MCG</t>
  </si>
  <si>
    <t>DEXMEDETOMIDINA</t>
  </si>
  <si>
    <t>N05CM18</t>
  </si>
  <si>
    <t>row-jwsc.s93n.2s5x</t>
  </si>
  <si>
    <t>SERVICIO TECNICO GONHER FARMACEUTICA LTDA. PLANTA I</t>
  </si>
  <si>
    <t>1T1001671023102</t>
  </si>
  <si>
    <t>INVIMA 2022M-0020719</t>
  </si>
  <si>
    <t>VERELIS® 20 MG TABLETAS RECUBIERTAS</t>
  </si>
  <si>
    <t>1T1001671023102 . TADALAFILO 20.0000 MG TABLETAS DE LIBERACION NO MODIFICADA ORAL (VERELIS) TABLETA 1.0000U / CAJA X 10 . BLISTER ALUMINIO PVC TRANSPARENTE EN CAJA PLEGADIZA X 10 TABLETAS RECUBIERTAS.</t>
  </si>
  <si>
    <t>BIOQUIFAR PHARMACEUTICA S.A.</t>
  </si>
  <si>
    <t>row-9hen_eprx.63s7</t>
  </si>
  <si>
    <t>NAPROXENO C.D 80%625 MG EQUIVALENTE A NAPROXENO</t>
  </si>
  <si>
    <t>1N1002981009102</t>
  </si>
  <si>
    <t>INVIMA 2023M-0012500-R2</t>
  </si>
  <si>
    <t>NAPROXENO TABLETAS RECUBIERTAS 500 MG</t>
  </si>
  <si>
    <t>CAJA PLEGADIZA POR 300 TABLETAS EN BLÍSTER DE PVC TRANSPARENTE-ALUMINIO POR 10 TABLETAS</t>
  </si>
  <si>
    <t>row-vbjr-3xvi.kuri</t>
  </si>
  <si>
    <t>AZELASTINA CLORHIDRATO</t>
  </si>
  <si>
    <t>2A1029271001100</t>
  </si>
  <si>
    <t>INVIMA 2019M-0019286</t>
  </si>
  <si>
    <t>AZEC®</t>
  </si>
  <si>
    <t>2A1029271001100: CAJA POR 1 FRASCO DE VIDRIO COLOR ÁMBAR TIPO III POR 30 ML CON BOMBA SPRAY PLÁSTICA COLOR BLANCO Y APLICADOR NASAL POR 120 DOSIS.</t>
  </si>
  <si>
    <t>PULVERIZACIÓN DE 0.13 ML</t>
  </si>
  <si>
    <t>SUSPENSION NASAL</t>
  </si>
  <si>
    <t>FLUTICASONE. COMBINACIONES</t>
  </si>
  <si>
    <t>R01AD58</t>
  </si>
  <si>
    <t>INTRANASAL</t>
  </si>
  <si>
    <t>row-2du4_vhef.ggua</t>
  </si>
  <si>
    <t>SULTAMICILINA TOSILATO (EQUIVALENTE A SULTAMICILINA BASE)</t>
  </si>
  <si>
    <t>MANUFACTURERA MUNDIAL FARMACEUTICA S.A.</t>
  </si>
  <si>
    <t>INVIMA 2023M-0011776-R2</t>
  </si>
  <si>
    <t>SULTAMICILINA 750 MG TABLETAS RECUBIERTAS</t>
  </si>
  <si>
    <t>CAJA POR 16 TABLETAS RECUBIERTAS EN FOIL ALUMINIO/ALUMINIO</t>
  </si>
  <si>
    <t>SULTAMICILINA</t>
  </si>
  <si>
    <t>J01CR04</t>
  </si>
  <si>
    <t>row-zd69-dy35~ui5m</t>
  </si>
  <si>
    <t>ETORICOXIB</t>
  </si>
  <si>
    <t>INVIMA 2022M-0015237-R1</t>
  </si>
  <si>
    <t>ETORICOXIB 60 MG</t>
  </si>
  <si>
    <t>PRESENTACIÓN INSTITUCIONAL: CAJA POR 14 TABLETAS CUBIERTAS EN BLISTER ALUMINIO-ALUMINIO POR 14 TABLETAS CUBIERTAS.</t>
  </si>
  <si>
    <t>M01AH05</t>
  </si>
  <si>
    <t>row-k2s9_aq5c-tabr</t>
  </si>
  <si>
    <t>CLORFENIRAMINA MALEATO USP</t>
  </si>
  <si>
    <t>INVIMA 2023M-0009559-R2</t>
  </si>
  <si>
    <t>ADVIL® CONTRA LOS SÍNTOMAS DE LA GRIPA MULTISINTOMAS</t>
  </si>
  <si>
    <t>SOBRE PORTABLISTER POR 4 CÁPSULAS BLANDAS EN EMPAQUE INDIVIDUAL TIPO BLISTER FILL. ACLAR POR 4 CÁPSULAS BLANDAS</t>
  </si>
  <si>
    <t>row-3qbb_aksi~t55t</t>
  </si>
  <si>
    <t>CLAVULANATO DE POTASIO EQUIVALENTE A ACIDO CLAVULANICO</t>
  </si>
  <si>
    <t>SMITHKLINE BEECHAM PHARMACEUTICALS</t>
  </si>
  <si>
    <t>INVIMA2020M-006616-R2</t>
  </si>
  <si>
    <t>CLAVULIN® TABLETAS 1G</t>
  </si>
  <si>
    <t>CAJA CON UN FRASCO X 20 TABLETAS</t>
  </si>
  <si>
    <t>GLAXOSMITHKLINE COLOMBIA S.A.</t>
  </si>
  <si>
    <t>row-tini_9pjd~b5t7</t>
  </si>
  <si>
    <t>PAROXETINA CLORHIDRATO EQUIVALENTE A PAROXETINA BASE</t>
  </si>
  <si>
    <t>INVIMA 2022M-0004694-R2</t>
  </si>
  <si>
    <t>PAROXETINA 20 MG</t>
  </si>
  <si>
    <t>MUESTRA MEDICA: CAJA PLEGADIZASIN DATO30SIN DATOTABLETAS CUBIERTAS EN BLISTER PVC-ALUMINIO POR 10 TABLETAS</t>
  </si>
  <si>
    <t>TABLETA CUBIERTA RANURADA SIN FINES DE DOSIFICACION</t>
  </si>
  <si>
    <t>PAROXETINA</t>
  </si>
  <si>
    <t>N06AB05</t>
  </si>
  <si>
    <t>row-rdqk_h7kk.sryk</t>
  </si>
  <si>
    <t>ALIZAPRIDA CLORHIDRATO 55.78 MGEQUIVALENTE A ALIZAPRIDA BASE</t>
  </si>
  <si>
    <t>LABORATORIOS RYAN DE COLOMBIA S.A.S.</t>
  </si>
  <si>
    <t>1A1043091000108</t>
  </si>
  <si>
    <t>INVIMA 2023M-0007858-R1</t>
  </si>
  <si>
    <t>ALIZAPRIDA SOLUCION INYECTABLE 50 MG/ 2 ML</t>
  </si>
  <si>
    <t>MUESTRA MEDICA: CAJA PLEGADIZA POR 100 AMPOLLAS DE VIDRIO AMBAR TIPO I EN CUNA TERMOFORMADA POR 2 ML C/U. MUESTRA MÉDICA: ALIZAPRIDA 25.0000 MG OTRAS SOLUCIONES INTRAMUSCULAR (HUMAX PHARMACEUTICAL) AMPOLLA 2.0000ML / CAJA X 100</t>
  </si>
  <si>
    <t>2 ML DE SOLUCION INYECTABLE</t>
  </si>
  <si>
    <t>row-5fnc~s2wn.ph2b</t>
  </si>
  <si>
    <t>INVIMA 2015M-0016427</t>
  </si>
  <si>
    <t>COLTRIM PLUS</t>
  </si>
  <si>
    <t>MUESTRA MÉDICA PROHIBIDA SU VENTA: CAJA O PORTA BLISTER POR 2 TABLETAS RECUBIERTAS EN BLISTER PVC/TE/PVDC INCOLORO / FOIL ALUMINIO BLISTER POR 2 TABLETAS RECUBIERTAS.</t>
  </si>
  <si>
    <t>row-a929-73sj-kr36</t>
  </si>
  <si>
    <t>2H1020751003102</t>
  </si>
  <si>
    <t>INVIMA 2022M-0017612-R1</t>
  </si>
  <si>
    <t>VALSARVITAE ® PLUS 160 MG + 12.5 MG COMPRIMIDOS RECUBIERTOS</t>
  </si>
  <si>
    <t>CAJA POR 14 TABLETAS RECUBIERTAS EN BLÍSTER TRANSPARENTE ACLAR / ALU</t>
  </si>
  <si>
    <t>VALSARTAN Y DIURETICOS</t>
  </si>
  <si>
    <t>C09DA03</t>
  </si>
  <si>
    <t>row-gn48-igq5_jkm9</t>
  </si>
  <si>
    <t>ÁCIDO TRANEXÁMICO</t>
  </si>
  <si>
    <t>1T1003441009106</t>
  </si>
  <si>
    <t>INVIMA 2022M-0020796</t>
  </si>
  <si>
    <t>ÁCIDO TRANEXÁMICO SOLUCIÓN INYECTABLE</t>
  </si>
  <si>
    <t>- 1T1003441009106 - ACIDO TRANEXAMICO 100SIN DATOMG OTRAS SOLUCIONES INTRAVENOSA (MEGALABS) AMPOLLA 10 ML / CAJA X 5-SIN DATOCAJA CON 5 AMPOLLAS DE VIDRIO TIPO I TRANSPARENTE X 10 ML.</t>
  </si>
  <si>
    <t>TRANEXAMICO ACIDO</t>
  </si>
  <si>
    <t>B02AA02</t>
  </si>
  <si>
    <t>row-sqqz.r6ki-avvy</t>
  </si>
  <si>
    <t>SIMETICONA</t>
  </si>
  <si>
    <t>2A1031301000128</t>
  </si>
  <si>
    <t>INVIMA 2019M-0019434</t>
  </si>
  <si>
    <t>GASTROFAST ADVANCE</t>
  </si>
  <si>
    <t>2A1031301000128: ACIDO ALGINICO 5000.0000 MG/MAGALDRATO 8000.0000 MG/SIMETICONA 1200.0000 MG/SODIO BICARBONATO 2670.0000 MG SUSPENSION ORAL (GASTROFAST ADVANCE) SOBRE 10.0000ML / SOBRE X 1. MUESTRA MÉDICA: SACHET EN ALUMINIO LAMINADO POR 10 ML.</t>
  </si>
  <si>
    <t>100 ML DE SUSPENSIÓN</t>
  </si>
  <si>
    <t>1,2</t>
  </si>
  <si>
    <t>row-zn88.aiie-2jd3</t>
  </si>
  <si>
    <t>BICARBONATO DE SODIO</t>
  </si>
  <si>
    <t>INVIMA 2017M-0017550</t>
  </si>
  <si>
    <t>MILPAX®NF FRASCO PEAD</t>
  </si>
  <si>
    <t>MUESTRA MÉDICA: FRASCOSIN DATOBLANCO DE POLIETILENO DE ALTA DENSIDAD (PEAD) POR 360 ML CON TAPA DE SEGURIDAD ALUSUD BLANCA EN POLIPROPILENO (PP). LINER PEBD AZUL</t>
  </si>
  <si>
    <t>2,67</t>
  </si>
  <si>
    <t>row-hgv2.gk5s-2gik</t>
  </si>
  <si>
    <t>AMOXICILINA TRIHIDRATADA 625 MG EQUIVALENTE A AMOXICILINA BASE</t>
  </si>
  <si>
    <t>INVIMA 2021M-007223-R4</t>
  </si>
  <si>
    <t>AMOXAL® 500 MG CAPSULAS</t>
  </si>
  <si>
    <t>MUESTRA MÉDICA: CAJA PLEGADIZA DE CARTON X 30 CAPSULAS CON 3 BLISTER PVC/ALU POR 10 CÁPSULAS C/U</t>
  </si>
  <si>
    <t>J01CA04</t>
  </si>
  <si>
    <t>row-vf7i.3dke-2re6</t>
  </si>
  <si>
    <t>MOXIFLOXACINACLORHIDRATO EQUIVALENTE A MOXIFLOXACINA</t>
  </si>
  <si>
    <t>INVIMA 2020M-0014436-R1</t>
  </si>
  <si>
    <t>OXIFLED®400 MG TABLETA RECUBIERTA</t>
  </si>
  <si>
    <t>CAJA PLEGADIZA DE CARTÓNSIN DATOXSIN DATO7SIN DATOTABLETAS RECUBIERTAS EN BLISTERSIN DATOALUMINIO /PVC /PVDC</t>
  </si>
  <si>
    <t>POR CADA TABLETA RECUBIERTA</t>
  </si>
  <si>
    <t>MOXIFLOXACINA</t>
  </si>
  <si>
    <t>J01MA14</t>
  </si>
  <si>
    <t>row-6wrj_hk4q.judw</t>
  </si>
  <si>
    <t>LOTEPREDNOL ETABONATO</t>
  </si>
  <si>
    <t>INVIMA 2008M-0008239</t>
  </si>
  <si>
    <t>LOTEMICIN®</t>
  </si>
  <si>
    <t>MUESTRA MEDICA: CAJA DE CARTULINA POR UN FCO. GOTERO DE POLIETILENO CON CIERRE DE SEGURIDAD POR 2 ML. DE SUSPENSIÓN OFTALMICA.</t>
  </si>
  <si>
    <t>ML DE SUSPENSIÓN</t>
  </si>
  <si>
    <t>SUSPENSION OFTALMICA</t>
  </si>
  <si>
    <t>TOBRAMICINA</t>
  </si>
  <si>
    <t>S01AA12</t>
  </si>
  <si>
    <t>CONJUNTIVAL</t>
  </si>
  <si>
    <t>row-nxaw-cp3x-jg7d</t>
  </si>
  <si>
    <t>TITAN LABORATORIES PVT. LTD</t>
  </si>
  <si>
    <t>INVIMA 2023M-0015381-R1</t>
  </si>
  <si>
    <t>CARDIOCAP® A80/10</t>
  </si>
  <si>
    <t>CAJA POR 14SIN DATOCAPSULAS EN BLISTER PVC/PVDC-ALUMINIO EN BOLSA SACHET</t>
  </si>
  <si>
    <t>row-w2tk_bmhp_b3en</t>
  </si>
  <si>
    <t>VITAMINA A PALMITATO</t>
  </si>
  <si>
    <t>ARBOFARMA S.A.S</t>
  </si>
  <si>
    <t>INVIMA 2022M-002639-R5</t>
  </si>
  <si>
    <t>METATITANE® POMADA</t>
  </si>
  <si>
    <t>CAJA CON 1 TUBO CALAPSIBLE DE ALUMINIO X 40 G DE POMADA AROMA CITRONELA. TAPA DE POLIETILENO BLANCO.</t>
  </si>
  <si>
    <t>100 G DE UNGÜENTO</t>
  </si>
  <si>
    <t>POMADA</t>
  </si>
  <si>
    <t>LABORATORIOS REMO S.A.S.</t>
  </si>
  <si>
    <t>PREPARADOS DE ÓXICO DE ZINC SÓLO O EN COMBINACIÓN</t>
  </si>
  <si>
    <t>0,15</t>
  </si>
  <si>
    <t>D02AB99</t>
  </si>
  <si>
    <t>row-sukc-tdq6.3ce9</t>
  </si>
  <si>
    <t>INVIMA 2021M-0003975-R2</t>
  </si>
  <si>
    <t>CLOTRIMAZOL 100 MG</t>
  </si>
  <si>
    <t>MUESTRA MÉDICA: CAJA POR 10 ÓVULOS EN EMPAQUE INDIVIDUAL TIPO BLÍSTER ALUMINIO/PVDC. POR 10 ÓVULOS.</t>
  </si>
  <si>
    <t>COLMED LTDA</t>
  </si>
  <si>
    <t>A01AB18</t>
  </si>
  <si>
    <t>row-mbct_pfb6_vddn</t>
  </si>
  <si>
    <t>ACIDO TRANEXAMICO</t>
  </si>
  <si>
    <t>IMMACULE LIFESCIENCES PRIVATE LIMITED</t>
  </si>
  <si>
    <t>1T1003441003101</t>
  </si>
  <si>
    <t>INVIMA 2022M-0017493-R1</t>
  </si>
  <si>
    <t>ACIDO TRANEXAMICO INY 500 MG / 5 ML</t>
  </si>
  <si>
    <t>CAJA PLEGADIZA CON 50 AMPOLLAS DE VIDRIO TIPO I POR 5 ML C/U.</t>
  </si>
  <si>
    <t>AMPOLLA POR 5 ML</t>
  </si>
  <si>
    <t>row-dpez~m8k3.scdn</t>
  </si>
  <si>
    <t>BISOPROPOL FUMARATO</t>
  </si>
  <si>
    <t>MERCK HEALTHCARE KGAA</t>
  </si>
  <si>
    <t>INVIMA 2021M-014655-R3</t>
  </si>
  <si>
    <t>CONCOR® 2.5 MG TABLETAS</t>
  </si>
  <si>
    <t>CAJA X 50 TABLETAS RECUBIERTAS EN FRASCO PEAD</t>
  </si>
  <si>
    <t>TABLETA RECUBIERTE</t>
  </si>
  <si>
    <t>row-zkrw~8cfq.psde</t>
  </si>
  <si>
    <t>YODO USP</t>
  </si>
  <si>
    <t>3M COMPANY</t>
  </si>
  <si>
    <t>INVIMA 2016M-0004865-R1</t>
  </si>
  <si>
    <t>3M DURAPREP® SURGICAL SOLUTION</t>
  </si>
  <si>
    <t>EMPACADO EN APLICADOR DE 57ML EL CUAL ES EMPACADO INDIVIDUALMENTE EN CAJAS</t>
  </si>
  <si>
    <t>KCI COLOMBIA S.A.S</t>
  </si>
  <si>
    <t>% (V/V)</t>
  </si>
  <si>
    <t>0,12</t>
  </si>
  <si>
    <t>row-hyn2.5wrn~6ui7</t>
  </si>
  <si>
    <t>OXIGENO MEDICINAL LIQUIDO</t>
  </si>
  <si>
    <t>OXIGENOS DEL ORIENTE S.A.S</t>
  </si>
  <si>
    <t>1O1033621002113</t>
  </si>
  <si>
    <t>INVIMA 2021M-0020387</t>
  </si>
  <si>
    <t>OXIGENO MEDICINAL LIQUIDO Y GASEOSO</t>
  </si>
  <si>
    <t>1O1033621002113 OXIGENO LIQUIDO (NO MENOS DE 99% EN (VOLUMEN): TERMO EN ACERO CUELLO BLANCO DE CAPACIDAD: 130 M3 CADA M3 DE OXÍGENO LIQUIDO ES EQUIVALENTE 1000 L DE OXÍGENO LIQUIDO.</t>
  </si>
  <si>
    <t>GASEOSO</t>
  </si>
  <si>
    <t>GAS</t>
  </si>
  <si>
    <t>OXIGENO</t>
  </si>
  <si>
    <t>V03AN01</t>
  </si>
  <si>
    <t>row-b4hu~rx6r_5pu5</t>
  </si>
  <si>
    <t>ENOXOPARINA SODICA</t>
  </si>
  <si>
    <t>SHENZHEN TECHDOW PHARMACEUTICAL CO. LTD.</t>
  </si>
  <si>
    <t>INVIMA 2021MB-0016080-R1</t>
  </si>
  <si>
    <t>ENOXAPARINA SODICA JERINGAS PRELLENADAS 60 MG/ 0.6 ML</t>
  </si>
  <si>
    <t>USO INSTITUCIONAL: CAJA PLEGADIZA POR 500 JERINGAS PRELLENADAS DE 0.6 ML</t>
  </si>
  <si>
    <t>row-6rtu.z4dk.7e2i</t>
  </si>
  <si>
    <t>PIRIDOXINA CLORHIDRATO EQUIVALENTE A VITAMINA B6</t>
  </si>
  <si>
    <t>CAJA POR 4 TABLETAS CUBIERTAS EN BLISTER PVC/PVDC/ALUMINIO ENSIN DATOBLISTER POR 4 TABLETAS CUBIERTAS</t>
  </si>
  <si>
    <t>row-cz8k_atn9_en58</t>
  </si>
  <si>
    <t>BOSENTAN MONOHIDRATO EQUIVALENTE A BOSENTAN BASE</t>
  </si>
  <si>
    <t>INVIMA 2022M-0015765-R1</t>
  </si>
  <si>
    <t>BOSENTAN 62.5 MG</t>
  </si>
  <si>
    <t>MUESTRAS MEDICAS:CAJA PLEGADIZA X 60 TABLETAS EN BLISTER X 10 TABLETAS CADA UNO.</t>
  </si>
  <si>
    <t>BOSENTAN</t>
  </si>
  <si>
    <t>62,5</t>
  </si>
  <si>
    <t>C02KX01</t>
  </si>
  <si>
    <t>row-ve2v~sc9g.w76r</t>
  </si>
  <si>
    <t>STREPTOCOCCUS PNEUMONIAE TIPO 4</t>
  </si>
  <si>
    <t>CAJA POR 1 VIAL DE VIDRIO TIPO I CON TAPÓN GRIS DE BROMOBUTILO Y SELLO DE ALUMINIO CON TAPA DE PLASTICO VIOLETA CON 0.5 ML DE SOLUCION INYECTABLE CADA UNO MAS INSERTO.</t>
  </si>
  <si>
    <t>row-ir8w~a4ek_wuee</t>
  </si>
  <si>
    <t>IODIXANOL 652 MG EQUIVALENTE A YODO</t>
  </si>
  <si>
    <t>GE HEALTHCARE COLOMBIA S.A.S.</t>
  </si>
  <si>
    <t>INVIMA 2016M-014797-R2</t>
  </si>
  <si>
    <t>VISIPAQUE 320 MG I /ML</t>
  </si>
  <si>
    <t>CAJA MULTIPACK POR 10 BOTELLAS DE POLIPROPILENO X 100 ML CON TAPON DE BROMOBUTILO (CURADO CON RELLENO DE ARCILLA CALCINADA) + INSERTO</t>
  </si>
  <si>
    <t>GE HEALTHCARE AS</t>
  </si>
  <si>
    <t>IODIXANOL</t>
  </si>
  <si>
    <t>V08AB09</t>
  </si>
  <si>
    <t>row-6awi~e6i4-5bb2</t>
  </si>
  <si>
    <t>DICLOFENACO SODICO</t>
  </si>
  <si>
    <t>PHARMA TRADING COLOMBIA ZF S.A.S</t>
  </si>
  <si>
    <t>1D1036531004104</t>
  </si>
  <si>
    <t>INVIMA 2022M-0004505-R2</t>
  </si>
  <si>
    <t>DICLOFENACO 75 MG / 3 ML SOLUCION INYECTABLE</t>
  </si>
  <si>
    <t>100 AMPOLLAS DE VIDRIO BOROSILICATO TIPO I TRANSPARENTE. ROTULADA CONTENIENDO 3 ML DE SOLUCION INYECTABLE DENTRO O NO DE UN BLISTERPACK DE PAPEL PVC O TERMOFORMADO EMPACADO EN ESTUCHE DE CARTULINA O CAJA DE CARTON.</t>
  </si>
  <si>
    <t>AMPOLLA POR 3 ML</t>
  </si>
  <si>
    <t>LABORATORIO BIOSANO S.A.</t>
  </si>
  <si>
    <t>DICLOFENACO</t>
  </si>
  <si>
    <t>M01AB05</t>
  </si>
  <si>
    <t>row-puwb.y8ex-vict</t>
  </si>
  <si>
    <t>SOLUCIÓN 2: CIANOCOBALAMINA</t>
  </si>
  <si>
    <t>PROCTER &amp; GAMBLE COLOMBIA LTDA</t>
  </si>
  <si>
    <t>INVIMA 2023M-0012878-R2</t>
  </si>
  <si>
    <t>NEUROBION® DC 10000</t>
  </si>
  <si>
    <t>CAJA POR 15 BLISTER CON UNA JERINGA PRELLENADA DE VIDRIO TIPO1 POR 2ML MAS AGUJA PARA INYECCIÓN CADA UNO</t>
  </si>
  <si>
    <t>JERINGA PRELLENADA POR 2 ML.</t>
  </si>
  <si>
    <t>COMPLEJO B</t>
  </si>
  <si>
    <t>A11JA01</t>
  </si>
  <si>
    <t>row-wu9f.rk8h-f2td</t>
  </si>
  <si>
    <t>POLISACÁRIDO MENINGOCÓCICO CONJUGADO CON TOXOIDE DIFTERICO SEROGRUPO C</t>
  </si>
  <si>
    <t>SANOFI PASTEUR INC.</t>
  </si>
  <si>
    <t>2M1039321000101</t>
  </si>
  <si>
    <t>INVIMA 2016MB-0011293-R1</t>
  </si>
  <si>
    <t>MENACTRA®</t>
  </si>
  <si>
    <t>CAJA POR 5 VIALES DE VIDRIO DE BOROSILICATO TIPO I CON TAPÓN DE BUTILO GRIS Y UN SELLO DESPRENDIBLE. CADA VIAL CON UNA DOSIS</t>
  </si>
  <si>
    <t>CADA VIAL QUE CONTIENE UNA DOSIS POR 0.5ML.</t>
  </si>
  <si>
    <t>MENINGOCOCCICOS OTROS ANTIGENOS POLISACARIDOS POLIVALENTES PURIFICADOS</t>
  </si>
  <si>
    <t>J07AH05</t>
  </si>
  <si>
    <t>row-b7xf.dvqx-qyw8</t>
  </si>
  <si>
    <t>INVIMA 2022M-0008723-R1</t>
  </si>
  <si>
    <t>ACETAMINOFEN 500MG+CAFEINA 65MGFORTE</t>
  </si>
  <si>
    <t>CAJA PLEGADIZA POR 6 TABLETAS CUBIERTAS EN BLÍSTER PVC BLANCO - ALUMINIO POR 6 TABLETAS CUBIERTAS.</t>
  </si>
  <si>
    <t>row-cney~fahd.r89k</t>
  </si>
  <si>
    <t>CLINDAMICINA BASE (COMO CLINDAMICINA FOSFATO)</t>
  </si>
  <si>
    <t>LABORATORIOS RETY DE COLOMBIA S.A.S. RETYCOL S.A.S.</t>
  </si>
  <si>
    <t>INVIMA 2022M-0009031-R1</t>
  </si>
  <si>
    <t>ZUDENINA® PLUS GEL</t>
  </si>
  <si>
    <t>MUESTRA MÉDICA: CAJA EN CARTULINA CON TUBO COLAPSIBLE EN ALUMINIO POR 30G</t>
  </si>
  <si>
    <t>ADAPALENO. COMBINACIONES</t>
  </si>
  <si>
    <t>D10AD53</t>
  </si>
  <si>
    <t>row-4sxx~g7er.v3iv</t>
  </si>
  <si>
    <t>CITRATO DE ALVERINA</t>
  </si>
  <si>
    <t>LABORATORIOS BIOPAS S.A</t>
  </si>
  <si>
    <t>INVIMA 2021M-0016945-R1</t>
  </si>
  <si>
    <t>METEOSPASMYL® CAPSULAS BLANDAS</t>
  </si>
  <si>
    <t>MUESTRA MÉDICA: CAJA POR 4 CÁPSULAS EN BLISTER TERMOFORMADO DE PVC/ALUMINIO. 4 CÁPSULAS POR BLISTER</t>
  </si>
  <si>
    <t>LABORATOIRES MAYOLY SPINDLER</t>
  </si>
  <si>
    <t>ALVERINA COMBINACIONES</t>
  </si>
  <si>
    <t>A03AX58</t>
  </si>
  <si>
    <t>row-sr2z.9pxu_qps6</t>
  </si>
  <si>
    <t>PENICILINA G EN FORMA DE PENICILINA BENZATINICA</t>
  </si>
  <si>
    <t>VITALIS S.A.C.I. COMPLEJO SOPO PLANTA 1</t>
  </si>
  <si>
    <t>INVIMA 2020M-011498-R2</t>
  </si>
  <si>
    <t>PENICILINA G BENZATINICA 2.400.000 UI</t>
  </si>
  <si>
    <t>CAJA POR 10 VIALES DE VIDRIO TIPO I INCOLORO. TAPON DE BROMOBUTILO GRIS Y AGRAFE DE ALUMINIO TIPO FLIP OFF CEBRA AMARILLO</t>
  </si>
  <si>
    <t>POLVO ESTERIL PARA RECONSTITUIR A SUSPENSIONINYECTABLE</t>
  </si>
  <si>
    <t>BENCILPENICILINA BENZATINICA</t>
  </si>
  <si>
    <t>J01CE08</t>
  </si>
  <si>
    <t>row-pkst.s5u5~6dy7</t>
  </si>
  <si>
    <t>USO INSTITUCIONAL:CAJA PLEGADIZA CON 3 SACHET LAMINADO CON 100ML DE SOLUCION ORAL SABOR TUTTI FRUTTI</t>
  </si>
  <si>
    <t>0,094</t>
  </si>
  <si>
    <t>row-m2w4~vfwd~22t9</t>
  </si>
  <si>
    <t>INVIMA 2023M-0007830-R2</t>
  </si>
  <si>
    <t>EUTIROX® 88 MCG</t>
  </si>
  <si>
    <t>MUESTRA MÉDICA: CAJA POR 3 TABLETAS EN BLISTER ALU/ALU</t>
  </si>
  <si>
    <t>row-rryx-dqqi-8j9n</t>
  </si>
  <si>
    <t>ENOXAPARINA SODICA 20 MG/0.2 ML</t>
  </si>
  <si>
    <t>1E1032981004115</t>
  </si>
  <si>
    <t>INVIMA 2021MB-0016475-R1</t>
  </si>
  <si>
    <t>ENOXAPARINA SODICA JERINGAS PRELLENADAS 20 MG/0.2ML</t>
  </si>
  <si>
    <t>CAJA POR 500 JERINGAS PRELLENADAS DE VIDRIO TIPO I CON AGUJA FIJA Y TAPÓN DE CAUCHO DE CLOROBUTILOSIN DATODE 0.2 ML CON Y SIN MARCACIÓN EN BLÍSTER (ENOXAPARINA 20MG) DE CADA JERINGA PRELLENADA</t>
  </si>
  <si>
    <t>row-gct9.buj9_895c</t>
  </si>
  <si>
    <t>INSTITUCIONAL: CAJA PORSIN DATO200 TABLETAS EN BLISTER DE PVC TRANSPARENTE/ALUMINIO</t>
  </si>
  <si>
    <t>row-6rnm-rjvd.38tm</t>
  </si>
  <si>
    <t>AMLODIPINO BESILATO 6.935 CORRESPONDE AMLODIPINO BASE</t>
  </si>
  <si>
    <t>SERVIER(IRELAND)INDUSTRIES LTD.</t>
  </si>
  <si>
    <t>INVIMA 2015M-0016191</t>
  </si>
  <si>
    <t>COVERATRIX 10 MG / 2.5 MG / 5 MG COMPRIMIDOS RECUBIERTOS CON PELÍCULA</t>
  </si>
  <si>
    <t>MUESTRA MÉDICA: CAJA CON FRASCO DE POLIPROPILENO POR 10 COMPRIMIDOS RECUBIERTOS CON PELÍCULA</t>
  </si>
  <si>
    <t>COMPRIMIDOS RECUBIERTOS CON PELICULA</t>
  </si>
  <si>
    <t>LES LABORATORIES SERVIER</t>
  </si>
  <si>
    <t>PERINDOPRILO. AMLODIPINO E INDAPAMIDA</t>
  </si>
  <si>
    <t>C09BX01</t>
  </si>
  <si>
    <t>row-6nru_az5m~9tta</t>
  </si>
  <si>
    <t>BILASTINA</t>
  </si>
  <si>
    <t>INVIMA 2025M-0021987</t>
  </si>
  <si>
    <t>NAIRE® 20 MG TABLETA</t>
  </si>
  <si>
    <t>MUESTRA MEDICA: CAJA CON 1 BLÍSTER DE ALUMINIO / ALUMINIO X 10 (10 UNIDADES)</t>
  </si>
  <si>
    <t>R06AX29</t>
  </si>
  <si>
    <t>row-s7p2~yj69_6cxb</t>
  </si>
  <si>
    <t>ACICLOVIR</t>
  </si>
  <si>
    <t>PHARMETIQUE S.A.</t>
  </si>
  <si>
    <t>INVIMA 2022M-0011342-R2</t>
  </si>
  <si>
    <t>ACICLOVIR 5% CREMA TOPICA</t>
  </si>
  <si>
    <t>CAJA POR UN TUBO COLAPSIBLE BLANCO EN MDPE/AL-FOIL. POR 20 G.</t>
  </si>
  <si>
    <t>D06BB03</t>
  </si>
  <si>
    <t>row-pgpe_rt5h~hyya</t>
  </si>
  <si>
    <t>VIDRIO TÉCNICO DE COLOMBIA S.A. VITECO S.A.</t>
  </si>
  <si>
    <t>row-eu5s.6cis.a3hq</t>
  </si>
  <si>
    <t>IPCA LABORATORIES LIMITED SUCURSAL COLOMBIA</t>
  </si>
  <si>
    <t>INVIMA 2019M-0018694</t>
  </si>
  <si>
    <t>IPCA ZITRAM</t>
  </si>
  <si>
    <t>CAJA POR 15 TABLETAS RECUBIERTAS EN BLISTER PVDC/ALUMINIO</t>
  </si>
  <si>
    <t>TRAMADOL COMBINACIONES</t>
  </si>
  <si>
    <t>37,5</t>
  </si>
  <si>
    <t>N02AX52</t>
  </si>
  <si>
    <t>row-ag5d-9iw6~agk7</t>
  </si>
  <si>
    <t>LACTATO DE SODIO</t>
  </si>
  <si>
    <t>INVIMA 2020M-007581-R3</t>
  </si>
  <si>
    <t>DIANEAL PD-2 CON DEXTROSA AL 4.25% SOLUCION PARA DIALISIS PERITONEAL</t>
  </si>
  <si>
    <t>BOLSA PLASTICA DE PVC GRADO MEDICO Y SISTEMA ULTRABAG POR 2500 ML..CON BOLSA EXTERNA DE PEAD.</t>
  </si>
  <si>
    <t>100 ML.</t>
  </si>
  <si>
    <t>SOLUCION ESTERIL PARA DIÁLISIS PERITONEAL</t>
  </si>
  <si>
    <t>SOLUCIONES ISOTONICAS</t>
  </si>
  <si>
    <t>B05DA99</t>
  </si>
  <si>
    <t>INTRAPERITONEAL</t>
  </si>
  <si>
    <t>row-igz6~a4q2-4bkd</t>
  </si>
  <si>
    <t>C.I FARMACAPSULAS S.A.S. PLANTA Nº. 4</t>
  </si>
  <si>
    <t>INVIMA 2015M-0016719</t>
  </si>
  <si>
    <t>CONGESTEX® CAPSULAS</t>
  </si>
  <si>
    <t>MUESTRA MEDICA: CAJA O PORTABLISTER POR 2 CÁPSULAS EN BLISTER PVC/TE/PVDC TRANSPARENTE INCOLORO/FOIL ALUMINIO. BLISTER POR 2 CÁPSULAS.</t>
  </si>
  <si>
    <t>CAPSULAS</t>
  </si>
  <si>
    <t>row-tuh3_mdgk-is7c</t>
  </si>
  <si>
    <t>OXIGENO MEDICINAL</t>
  </si>
  <si>
    <t>BT BIOTECNICA S.A.S.</t>
  </si>
  <si>
    <t>INVIMA 2024M-0021606</t>
  </si>
  <si>
    <t>OXIGENO MEDICINAL 93% V/V</t>
  </si>
  <si>
    <t>CILINDRO COLOR BLANCO PARA GAS OXIDANTE EN ACERO. POR 0.5 M3 DE OXÍGENO GASEOSO MEDICINAL AL 93%V/V. CON VÁLVULA CGA540 EN BRONCE + TERMOENCOGIBLE PARA VÁLVULA CGA540.</t>
  </si>
  <si>
    <t>CILINDRO METÁLICO CONTIENE OXIGENO</t>
  </si>
  <si>
    <t>BIOTECNICA S.A.S</t>
  </si>
  <si>
    <t>%</t>
  </si>
  <si>
    <t>F</t>
  </si>
  <si>
    <t>row-59ej-j6ee-m9ut</t>
  </si>
  <si>
    <t>SILDENAFILO CITRATO 140.476 MGEQUIVALENTE A SILDENAFILO BASE</t>
  </si>
  <si>
    <t>INVIMA 2022M-0000308-R3</t>
  </si>
  <si>
    <t>SILDENAFILO TABLETAS RECUBIERTAS X 100 MG.</t>
  </si>
  <si>
    <t>CAJA PLEGADIZASIN DATOPOR 2 TABLETA EN BLISTER DE PVC TRANSPARENTE/ALUMINIO.</t>
  </si>
  <si>
    <t>SILDENAFIL</t>
  </si>
  <si>
    <t>G04BE03</t>
  </si>
  <si>
    <t>row-454p_wmp4~tq6s</t>
  </si>
  <si>
    <t>ESOMEPRAZOL MAGNESICO TRIHIDRATO EQUIVALENTE A ESOMEPRAZOL</t>
  </si>
  <si>
    <t>INVIMA 2023M-0012621-R2</t>
  </si>
  <si>
    <t>ESOMED®20 MG CAPSULAS</t>
  </si>
  <si>
    <t>CAJA POR 10 CAPSULAS EN BLISTER PVC AMBAR/ALUMINIO EN SOBRE POUCH CON SILICA DESECANTE.</t>
  </si>
  <si>
    <t>row-8h4d-hshg-vmyn</t>
  </si>
  <si>
    <t>CAJA X 50 AMPOLLAS DE VIDRIO TIPO I TRANSPARENTE X 5 ML</t>
  </si>
  <si>
    <t>row-tynr_wstm.q78r</t>
  </si>
  <si>
    <t>MUESTRA MEDICA: PLEGADIZASIN DATOXSIN DATO3SIN DATOSOBRESSIN DATOLAMINADOSSIN DATO(BOPP +ALUMINIO + RESINA DE SELLE) X 15 G CADA UNO</t>
  </si>
  <si>
    <t>row-icpk-n5k9-mk7j</t>
  </si>
  <si>
    <t>CITARABINA</t>
  </si>
  <si>
    <t>NAPROD LIFE SCIENCES PVT. LTD. - PLANTA DE PRODUCTOS ONCOLÓGICOS</t>
  </si>
  <si>
    <t>INVIMA 2015M-0015611</t>
  </si>
  <si>
    <t>CITARABINA INYECTABLE 500 MG/5 ML</t>
  </si>
  <si>
    <t>CAJA X 1 FRASCO VIAL DE VIDRIO TIPO I INCOLORO X 5 ML DE SOLUCIÓN INYECTABLE. TAPÓN DE CAUCHO (BROMOBUTILO) GRIS. AGRAFE DE ALUMINIO CON BOTÓN VERDE.</t>
  </si>
  <si>
    <t>VIAL X 5 ML DE SOLUCIÓN INYECTABLE</t>
  </si>
  <si>
    <t>ROPSOHN THERAPEUTICS S.A.S.</t>
  </si>
  <si>
    <t>L01BC01</t>
  </si>
  <si>
    <t>row-35pj_g83t.5s6h</t>
  </si>
  <si>
    <t>ATORVASTATINA CÁLCICA HIDRATO(86.596 MG) EQUIVALENTE A ATORVASTATINA BASE (80 MG)</t>
  </si>
  <si>
    <t>INVIMA 2021M-0014228-R1</t>
  </si>
  <si>
    <t>ATORVASTATINA 80 MG TABLETAS RECUBIERTAS</t>
  </si>
  <si>
    <t>CAJA POR 10 TABLETAS RECUBIERTAS EN BLISTER PVC TRANSPARENTE/ALUMINIO</t>
  </si>
  <si>
    <t>row-f7nm~r2uv.vib8</t>
  </si>
  <si>
    <t>PALIPERIDONA (CAPA DE FARMACO 2)</t>
  </si>
  <si>
    <t>JANSSEN CILAG S.A.</t>
  </si>
  <si>
    <t>1P1043171000102</t>
  </si>
  <si>
    <t>INVIMA 2023M-0007545-R1</t>
  </si>
  <si>
    <t>INVEGA® TABLETAS DE LIBERACION PROLONGADA DE 9 MG</t>
  </si>
  <si>
    <t>1P1043171000102 PALIPERIDONA 9.0000 MG TABLETAS DE LIBERACION MODIFICADA ORAL (INVEGA) TABLETA 1.0000U / CAJA X 28 TABLETAS DE LIBERACIÓN PROLONGADA EN BLÍSTER DE POLIAMIDA ORIENTADA (OPA)-ALUMINIO-PVC/ALUMINIO A PRUEBA DE NIÑOS (CR).</t>
  </si>
  <si>
    <t>PALIPERIDONA</t>
  </si>
  <si>
    <t>6,3</t>
  </si>
  <si>
    <t>N05AX13</t>
  </si>
  <si>
    <t>row-z3a4.p2z8.cqdr</t>
  </si>
  <si>
    <t>HIOSCINA BUTILBROMURO</t>
  </si>
  <si>
    <t>INVIMA 2019M-13550-R2</t>
  </si>
  <si>
    <t>BUTILBROMURO HIOSCINA 20 MG</t>
  </si>
  <si>
    <t>CAJA POR 1 AMPOLLAS AMBAR POR 1ML. VIDRIO TIPO I.</t>
  </si>
  <si>
    <t>AMPOLLA POR 1 ML</t>
  </si>
  <si>
    <t>LABORATORIOS RYAN DE COLOMBIA S.EN C.</t>
  </si>
  <si>
    <t>row-xntf-j3yw-khvw</t>
  </si>
  <si>
    <t>HISTIDINA</t>
  </si>
  <si>
    <t>BAXTER S.A.</t>
  </si>
  <si>
    <t>INVIMA 2023M-0012867-R2</t>
  </si>
  <si>
    <t>OLIMEL N9 E</t>
  </si>
  <si>
    <t>M.M:BOLSA DE PLÁSTICO MULTIESTRATIFICADA DE COPOLIMERO POLI-EP / EVA / PCCE CON TRES COMPARTIMENTOS POR 1500 ML</t>
  </si>
  <si>
    <t>CADA 100 ML</t>
  </si>
  <si>
    <t>0,34</t>
  </si>
  <si>
    <t>row-8r3j-3kge_dsyy</t>
  </si>
  <si>
    <t>NEOSTIGMINA METIL SULFATO</t>
  </si>
  <si>
    <t>INVIMA 2022M-0007346-R1</t>
  </si>
  <si>
    <t>NEOSTIGMINA METILSULFATO0.5 MG/MLSOLUCION INYECTABLE.</t>
  </si>
  <si>
    <t>CAJA POR 2SIN DATOAMPOLLAS EN VIDRIO TIPO I. INCOLORA Y PIROGRABADA.</t>
  </si>
  <si>
    <t>AMPOLLA DE 1 ML.</t>
  </si>
  <si>
    <t>NEOSTIGMINA</t>
  </si>
  <si>
    <t>N07AA01</t>
  </si>
  <si>
    <t>row-xd4q~j6ar.jrqv</t>
  </si>
  <si>
    <t>RP287-953</t>
  </si>
  <si>
    <t>GLAXOSMITHKLINE VACCINES S.R.L</t>
  </si>
  <si>
    <t>1M1063041000102</t>
  </si>
  <si>
    <t>INVIMA 2024MBT-0000098</t>
  </si>
  <si>
    <t>BEXSERO VACUNA MENINGOCÓCICA MULTICOMPONENTE DEL GRUPO B SUSPENSIÓN INYECTABLE</t>
  </si>
  <si>
    <t>CAJA X10 JERINGAS PRELLENADAS DE VIDRIO TIPO I CON EMBOLO DE BROMOBUTILO TIPO I Y TAPÓN PROTECTOR GOMA TIPO 8 O TIPO III CON O SIN AGUJAS</t>
  </si>
  <si>
    <t>0.5ML</t>
  </si>
  <si>
    <t>MENINGOCOCO B. VACUNA MULTICOMPONENTE</t>
  </si>
  <si>
    <t>J07AH09</t>
  </si>
  <si>
    <t>row-fph6.f39d~2t75</t>
  </si>
  <si>
    <t>GLUCONATO DE ZINC USP</t>
  </si>
  <si>
    <t>MUESTRA MEDICA:CAJA PLEGADIZA CON 2 SACHET LAMINADO CON 100ML DE SOLUCION ORAL SABOR FRESA</t>
  </si>
  <si>
    <t>0,0061</t>
  </si>
  <si>
    <t>row-yeti.gru2_m28b</t>
  </si>
  <si>
    <t>RIVAROXABAN MICRONIZADO</t>
  </si>
  <si>
    <t>BAYER HEALTHCARE MANUFACTURING S.R.L.</t>
  </si>
  <si>
    <t>INVIMA 2023M-0009024-R1</t>
  </si>
  <si>
    <t>XARELTO® COMPRIMIDOS RECUBIERTOS 10 MG</t>
  </si>
  <si>
    <t>MUESTRA MEDICA:CAJA POR 10 COMPRIMIDOS EN BLÍSTER DE PP/ALUMINIO POR 10 COMPRIMIDOS RECUBIERTOS.</t>
  </si>
  <si>
    <t>COMPRIMIDO RECUBIERTO</t>
  </si>
  <si>
    <t>BAYER A.G.</t>
  </si>
  <si>
    <t>row-hfye-x9pq_5eer</t>
  </si>
  <si>
    <t>FENILEFRINA CLORHIDRATO (MICROGRANULO #1)</t>
  </si>
  <si>
    <t>C.I FARMACAPSULAS S.A.S. - PLANTA Nº. 2</t>
  </si>
  <si>
    <t>2C1015031000100</t>
  </si>
  <si>
    <t>INVIMA 2019M-0018954</t>
  </si>
  <si>
    <t>CONGESTEX MAX ®</t>
  </si>
  <si>
    <t>2C1015031000100CAFEÍNA 30 MG / DESLORATADINA 2.5 MG / FENILEFRINA 20 MG / PARACETAMOL 500 MG CÁPSULAS DE LIBERACIÓN NO MODIFICADA ORAL (CONGESTEX) CÁPSULA 1 UNIDAD. CAJA POR 8 CÁPSULAS EN BLÍSTER (PVC/TE/PVDC TRANSPARENTE INCOLORO / FOIL ALUMINIO) 2 BLÍSTER POR 4 CÁPSULAS.</t>
  </si>
  <si>
    <t>row-m8w8_cuch~vtr8</t>
  </si>
  <si>
    <t>OXALATO DE ESCITALOPRAM (ENANT.S)12.776 MGEQUIVALENTE A ESCITALOPRAM</t>
  </si>
  <si>
    <t>EUROFARMA LABORATORIOS S.A.</t>
  </si>
  <si>
    <t>INVIMA 2014M-0015389</t>
  </si>
  <si>
    <t>KOMENCY 10 MG</t>
  </si>
  <si>
    <t>CAJA PLEGADIZA X 7 TABLETAS RECUBIERTAS EN BLISTER DE ALUMINIO + PVDC CRISTAL INCOLORO</t>
  </si>
  <si>
    <t>ESCITALOPRAM</t>
  </si>
  <si>
    <t>N06AB10</t>
  </si>
  <si>
    <t>row-n8nz.uucw-b4pm</t>
  </si>
  <si>
    <t>LANSOPRAZOL PELLETS 8.5% CON CUBIERTA ENTERICA 352.94 MG EQUIVALENTE A LANSOPRAZOL</t>
  </si>
  <si>
    <t>INVIMA 2010M-0010752</t>
  </si>
  <si>
    <t>UCEPRAZOL 30 MG CAPSULAS DE LIBERACION RETARDADA</t>
  </si>
  <si>
    <t>CAJA X 7 CAPSULAS EN BLISTER PVC/PVDC BLANCO OPACO/ALUMINIO</t>
  </si>
  <si>
    <t>COOPERATIVA NACIONAL DE DROGUISTAS DETALLISTAS - COOPIDROGAS</t>
  </si>
  <si>
    <t>row-8r8s~iz7u_t2ke</t>
  </si>
  <si>
    <t>GUAYACOLATO DE GLICERILO</t>
  </si>
  <si>
    <t>LABORATORIOS INCOBRA S.A.</t>
  </si>
  <si>
    <t>2C1037431000106</t>
  </si>
  <si>
    <t>INVIMA 2021M-0020563</t>
  </si>
  <si>
    <t>TORFAN-EX®</t>
  </si>
  <si>
    <t>IUM 2C1037431000106 CARBOCISTEINA 3000.0 MG/GUAIFENESINA 2000.0 MG JARABE ORAL (TORFAN-EX) FRASCO 35.0ML / CAJA X 1 (CUCHARA DOSIFICADORA)CAJA CON UN FRASCO PET COLOR NATURAL POR 35 ML CON TAPA EN POLIPROPILENO BLANCA + CUCHARA DOSIFICADORA</t>
  </si>
  <si>
    <t>100 ML DE JARABE</t>
  </si>
  <si>
    <t>row-wqtx-m4ep.k9ua</t>
  </si>
  <si>
    <t>INVIMA 2019M-0018763</t>
  </si>
  <si>
    <t>DURAFLEX ADVANCE.</t>
  </si>
  <si>
    <t>CAJA POR 4 CÁPSULAS BLANDAS (BLÍSTER ALUMINIO-PVC/ACLAR TRANSPARENTE)</t>
  </si>
  <si>
    <t>row-33ud-fiak-xqjc</t>
  </si>
  <si>
    <t>DECANOATO DE NANDROLONA</t>
  </si>
  <si>
    <t>ASPENCOLOMBIANA S.A.S</t>
  </si>
  <si>
    <t>INVIMA 2023M-0000015-R3</t>
  </si>
  <si>
    <t>DECA - DURABOLIN® 50 MG</t>
  </si>
  <si>
    <t>MUESTRA MEDICA: CAJA X 2 AMPOLLAS DE VIDRIO TIPO I POR 1 ML.</t>
  </si>
  <si>
    <t>NANDROLONA</t>
  </si>
  <si>
    <t>A14AB01</t>
  </si>
  <si>
    <t>row-jdif-bm2x.z4ey</t>
  </si>
  <si>
    <t>INVIMA 2020M-0010468-R1</t>
  </si>
  <si>
    <t>LOSARTAN / HCT 100/25 MG</t>
  </si>
  <si>
    <t>CAJA POR 20 TABLETAS EN BLISTER PVC/PE/PVDC BLANCO-ALUMINIO EN BLISTER POR 5.</t>
  </si>
  <si>
    <t>row-tx53~qdiv.q3cd</t>
  </si>
  <si>
    <t>3C1063481000100</t>
  </si>
  <si>
    <t>FRASCO DE POLIPROPILENO CLASE IV CON TAPA POR 625 ML CON SABOR A UVA</t>
  </si>
  <si>
    <t>row-m6r6~n3u7~brwd</t>
  </si>
  <si>
    <t>INTERFERON BETA-1A (ADN RECOMBINANTE) 6´000.000 UI</t>
  </si>
  <si>
    <t>VETTER PHARMA-FERTIGUNG GMBH &amp; CO. KG.</t>
  </si>
  <si>
    <t>INVIMA 2019M-0007304-R1</t>
  </si>
  <si>
    <t>AVONEX®INTERFERON BETA-1A JERINGA PRELLENADA</t>
  </si>
  <si>
    <t>CAJA CON JERINGA PRELLENADA POR 0.5 ML DE LA SOLUCION INYECTABLE</t>
  </si>
  <si>
    <t>BIIB COLOMBIA SAS</t>
  </si>
  <si>
    <t>INTERFERON BETA-1A</t>
  </si>
  <si>
    <t>L03AB07</t>
  </si>
  <si>
    <t>row-xmc9-nghe.t8qu</t>
  </si>
  <si>
    <t>GPAX PHARMACEUTICALS PRÍVATE LTD (ANTERIORMENTE CELOGEN GENERICS PVT LTD)</t>
  </si>
  <si>
    <t>INVIMA 2025M-0022013</t>
  </si>
  <si>
    <t>METAGLICOZ® ER 1000MG TABLETAS DE LIBERACIÓN PROLONGADA</t>
  </si>
  <si>
    <t>GENERICO:CAJA PLEGADIZA X 90 TABLETAS DE LIBERACIÓN PROLONGADA EN BLÍSTER ALU/ PVC/PVDC BLÍSTER 10 TABLETAS POR CADA BLÍSTER.</t>
  </si>
  <si>
    <t>TABLETA LIBERACIÓN PROLONGADA</t>
  </si>
  <si>
    <t>row-449i_cvxn-52sf</t>
  </si>
  <si>
    <t>LACTOBACILLUS LB CEPA LÁCTEOL 80 MG DEMEDIODE CULTIVO FERMENTADO*(NEUTRALIZADO)</t>
  </si>
  <si>
    <t>AULEN PHARMA S.A.</t>
  </si>
  <si>
    <t>INVIMA 2018M-0005284-R1</t>
  </si>
  <si>
    <t>LACTEOL FORT 170 MG CAPSULAS</t>
  </si>
  <si>
    <t>CAJA POR 12 CAPSULAS EN 3 SOBRES FOIL DE ALUMINIO / POLIETILENO</t>
  </si>
  <si>
    <t>DSM-FIRMENICH HOUDAN S.A.S</t>
  </si>
  <si>
    <t>LACTICO ACIDO PRODUCTO DE ORGANISMOS</t>
  </si>
  <si>
    <t>A07FA01</t>
  </si>
  <si>
    <t>row-jerd~4v5a.qrbp</t>
  </si>
  <si>
    <t>CAJA PLEGADIZA POR 40 ÓVULOS EN BLISTER PVC/PVDC TRANSPARENTE -ALUMINIO POR 10 ÓVULOS.</t>
  </si>
  <si>
    <t>CLINDAMICINA</t>
  </si>
  <si>
    <t>G01AA10</t>
  </si>
  <si>
    <t>row-pkj7_hmvh.ufjs</t>
  </si>
  <si>
    <t>1D1042451000103</t>
  </si>
  <si>
    <t>MUESTRA MEDICA: CAJA CONTENIENDO UN INYECTOR (JERINGA PRELLENADA DE VIDRIO TIPO I TRASPARENTE + AGUJA) CON 0.5 ML</t>
  </si>
  <si>
    <t>row-wr3m-uanc~39zk</t>
  </si>
  <si>
    <t>OXÍGENO (O2) 19.5-23.5%</t>
  </si>
  <si>
    <t>GASES INDUSTRIALES DE COLOMBIA. S.A. CRYOGAS. S.A.</t>
  </si>
  <si>
    <t>INVIMA 2020M-0010463-R1</t>
  </si>
  <si>
    <t>AIRE SINTETICO MEDICINAL</t>
  </si>
  <si>
    <t>CILINDRO DE ACERO POR 7.0 METROS CUBICOS</t>
  </si>
  <si>
    <t>METRO CÚBICO CONTIENE:AIRE COMPRIMIDO (MEZCLA DE NITRÓGENO Y OXÍGENO)19.5 - 23.5%EN VOLUMEN DE OXÍGENO.</t>
  </si>
  <si>
    <t>GASES INDUSTRIALES DE COLOMBIA S.A. - CRYOGAS S.A.</t>
  </si>
  <si>
    <t>row-iq3w-uch5_hqh6</t>
  </si>
  <si>
    <t>AZITROMICINA DIHIDRATO. EQUIVALENTE A AZITROMICINA BASE</t>
  </si>
  <si>
    <t>INVIMA 2022M-005294-R3</t>
  </si>
  <si>
    <t>AZITROMICINA 500MG.</t>
  </si>
  <si>
    <t>MUESTRA MÉDICA CAJA POR 3 TABLETAS EN BLISTER PVC / ALUMINIO .</t>
  </si>
  <si>
    <t>TABLETACUBIERTA</t>
  </si>
  <si>
    <t>AZITROMICINA</t>
  </si>
  <si>
    <t>J01FA10</t>
  </si>
  <si>
    <t>row-ykqy_ce42-vtxc</t>
  </si>
  <si>
    <t>L-ALANINA</t>
  </si>
  <si>
    <t>INVIMA 2022M-008027-R4</t>
  </si>
  <si>
    <t>INYECCIÓN DE TRAVASOL 10% SIN ELECTROLITOS</t>
  </si>
  <si>
    <t>CAJA DE CARTÓN CON BOLSA PLÁSTICA DE PVC (PLÁSTICO GRADO MÉDICO) DE DOS SALIDAS. CON BOLSA EXTERNA DE ALUMINIO POR 1000 ML.</t>
  </si>
  <si>
    <t>100 ML DE SOLUCION INYECTABLE</t>
  </si>
  <si>
    <t>2,07</t>
  </si>
  <si>
    <t>row-w6zj_jdmb.kgc9</t>
  </si>
  <si>
    <t>USO INSTITUCIONAL: CAJA PLEGADIZA POR 50 JERINGAS PRELLENADAS DE VIDRIO TIPO I CON AGUJA FIJA Y TAPÓN DE CAUCHO DE CLOROBUTILO CON 0.8 ML DE SOLUCIÓNSIN DATOINYECTABLE</t>
  </si>
  <si>
    <t>row-krqw~ptqw-n2xq</t>
  </si>
  <si>
    <t>1D1025651001102</t>
  </si>
  <si>
    <t>CAJA CON 28 TABLETAS DISPERSABLES. 4 BLISTER PVC/PE/PVDC - ALU POR 7 TABLETAS CADA UNO (IUM 1D1025651001102)</t>
  </si>
  <si>
    <t>row-vb7d.czzb~aa4j</t>
  </si>
  <si>
    <t>ACIDO ASCÓRBICO (VITAMINA C)</t>
  </si>
  <si>
    <t>INVIMA 2019M-0003145-R2</t>
  </si>
  <si>
    <t>VITAMINA C SOLUCION INYECTABLE</t>
  </si>
  <si>
    <t>CAJA POR 100 AMPOLLETAS AMBAR DE VIDRIO TIPO ISIN DATOPOR 5MLSIN DATOCON ETIQUETA AUTOADHESIVA</t>
  </si>
  <si>
    <t>AMPOLLETA POR 5 ML</t>
  </si>
  <si>
    <t>LABORATORIOS RYAN DE COLOMBIA S.A.S</t>
  </si>
  <si>
    <t>row-xnny-q7yh_gz28</t>
  </si>
  <si>
    <t>LACOSAMIDA</t>
  </si>
  <si>
    <t>1L1012291002104</t>
  </si>
  <si>
    <t>INVIMA 2019M-0019143</t>
  </si>
  <si>
    <t>LANCOVUL® 50 MG TABLETAS RECUBIERTAS</t>
  </si>
  <si>
    <t>IUM: 1L1012291002104 CAJA DE CARTÓN CONSIN DATO3 BLISTER DE ALUMINIO/ALUMINIO POR 10 TABLETAS RECUBIERTAS CADA UNO</t>
  </si>
  <si>
    <t>TABLETSS RECUBIERTAS</t>
  </si>
  <si>
    <t>HETERO LABS LIMITED UNIT V - BLOCK VB</t>
  </si>
  <si>
    <t>N03AX18</t>
  </si>
  <si>
    <t>row-w3vd.y2eh-spdw</t>
  </si>
  <si>
    <t>INVIMA 2020M-0010456-R1</t>
  </si>
  <si>
    <t>CEUMID® COMPRIMIDOS RECUBIERTOS 1000 MG</t>
  </si>
  <si>
    <t>CAJA POR 20 TABLETAS RECUBIERTAS EN BLÍSTER ALUMINIO Y PVC/PE/PVDC 250/25/120 (TRISTAR ULTRA) TRANSPARENTE E INCOLORO EN CAJA DE CARTULINA</t>
  </si>
  <si>
    <t>row-gvws-8rpk-mh5j</t>
  </si>
  <si>
    <t>RSM-EXP20200019609</t>
  </si>
  <si>
    <t>ACETAMINOFEN 325 MG + NAPROXENO 220MG</t>
  </si>
  <si>
    <t>CAJA POR 40 CÁPSULAS BLANDAS BLISTER PVDC/FOIL ALUMINIO POR 10 CÁSPULAS CADA UNO</t>
  </si>
  <si>
    <t>FABRICAR Y EXPORTAR</t>
  </si>
  <si>
    <t>row-nhja-6nwm_m8fm</t>
  </si>
  <si>
    <t>USO INSTITUCIONAL: CAJA X 231 CÁPSULAS EN BLISTER OPA/AL/PVC-ALUMINIO.</t>
  </si>
  <si>
    <t>row-mwfk-mefh-hhyd</t>
  </si>
  <si>
    <t>PERINDOPRIL ARGININA</t>
  </si>
  <si>
    <t>LABORATORIOS SERVIER DE COLOMBIA S.A.S.</t>
  </si>
  <si>
    <t>INVIMA 2009M-0010209</t>
  </si>
  <si>
    <t>BI PRETERAX ® 5.0 MG</t>
  </si>
  <si>
    <t>MUESTRA MÉDICA:CAJA DE CARTÓN POR UN FRASCO CON 10 COMPRIMIDOS CON CUBIERTA PELICULAR</t>
  </si>
  <si>
    <t>CADA TABLETA CUBIERTA CON PELICULA</t>
  </si>
  <si>
    <t>LES LABORATORIES SERVIER INDUSTRIE</t>
  </si>
  <si>
    <t>PERINDOPRIL Y DIURETICOS</t>
  </si>
  <si>
    <t>C09BA04</t>
  </si>
  <si>
    <t>row-fnka.56mq_74d6</t>
  </si>
  <si>
    <t>PIPERACILINA SODICA4.180 GRAMOS EQUIVALENTES A PIPELACILINA BASE</t>
  </si>
  <si>
    <t>VITALIS S.A. C.I. PLANTA 1</t>
  </si>
  <si>
    <t>INVIMA 2022M-0006639-R2</t>
  </si>
  <si>
    <t>PIPERACILINA 4G + TAZOBACTAM 0.5G POLVO ESTERIL PARA RECONSTITUIR A SOLUCION INYECTABLE</t>
  </si>
  <si>
    <t>CAJA PLEGADIZA CON 10 FRASCOS AMPOLLA EN VIDRIO TIPO II INCOLORO POR 4.5 G C/U.</t>
  </si>
  <si>
    <t>FRASCO AMPOLLA</t>
  </si>
  <si>
    <t>row-bzyz~4rzi-z63z</t>
  </si>
  <si>
    <t>1L1029911000101</t>
  </si>
  <si>
    <t>INVIMA 2020M-0019737</t>
  </si>
  <si>
    <t>LANGENIX® 30MG CAPSULAS DE LIBERACIÓN RETARDADA</t>
  </si>
  <si>
    <t>1L1029911000101 -CAJA PLEGADIZA X 1 BLISTER EN ALU-ALU. X 7 CAPSULAS</t>
  </si>
  <si>
    <t>CÁPSULAS DE LIBERACIÓN RETARDADA</t>
  </si>
  <si>
    <t>row-7tf2.rivd-qu6p</t>
  </si>
  <si>
    <t>2C1031461000103</t>
  </si>
  <si>
    <t>INVIMA 2019M-0019414</t>
  </si>
  <si>
    <t>ADVIL® GRIPA MAX</t>
  </si>
  <si>
    <t>PORTABLÍSTER CON BLISTER DE ALUMINIO /STARFLEX (PVC/TE/PVDC) X 4 CÁPSULAS BLANDAS (1 BLÍSTER X 4 CÁPSULAS).</t>
  </si>
  <si>
    <t>IBUPROFENO. DEXTROMETORFANO BROMHIDRATO. FENILEFRINA CLORHIDRATO. CLORFENIRAMINA MALEATO</t>
  </si>
  <si>
    <t>R05XX29</t>
  </si>
  <si>
    <t>row-ysfx.2qhb_3v7c</t>
  </si>
  <si>
    <t>ACETATO DE SODIO TRIHIDRATADO (CORRESPONDIENTE A ACETATO DE SODIO 3.4G)</t>
  </si>
  <si>
    <t>INVIMA 2015M-0015753</t>
  </si>
  <si>
    <t>SMOFKABIVEN® PERIFERICO EMULSION PARA INFUSION</t>
  </si>
  <si>
    <t>BOLSA TRICAMERAL EN EXCEL X 1448ML (456ML SLN.AA 10%+ELECTROLITOS - 788ML SLN.GLUCOSA 13% - 204ML LIPIDOS 20%)</t>
  </si>
  <si>
    <t>1000ML DE SOLUCIÓN</t>
  </si>
  <si>
    <t>5,62</t>
  </si>
  <si>
    <t>PARENTERAL</t>
  </si>
  <si>
    <t>row-z9hd_h8uv~gyqq</t>
  </si>
  <si>
    <t>L-LISINA MONOHIDRATO EQUIVALENTE A L-LISINA</t>
  </si>
  <si>
    <t>FRASCO DE VIDRIO TIPO II POR 125 ML SELLADO CON UN TAPON DE MATERIAL ELASTOMERICO.</t>
  </si>
  <si>
    <t>1,1</t>
  </si>
  <si>
    <t>row-s2jb.msc4.8nzq</t>
  </si>
  <si>
    <t>SIMETICONA EN POLVO DC 65% EQUIVALENTE A DIMETICONA (SIMETICONA 60%-70% - DIOXIDO DE SILICIO 30%-40%)</t>
  </si>
  <si>
    <t>2B1032391000103</t>
  </si>
  <si>
    <t>INVIMA 2016M-0017223</t>
  </si>
  <si>
    <t>DICETEL® DUO</t>
  </si>
  <si>
    <t>CAJA POR 24 TABLETAS RECUBIERTAS EN BLISTER DE ALUMINIO-ALUMINIO (POLAMIDA-OPA. FOIL DE ALUMINIO. FILM DE PVC) MAS PAPEL ALUMINIO EN CAJA DE CARTÓN.</t>
  </si>
  <si>
    <t>SILICONAS</t>
  </si>
  <si>
    <t>A03AX13</t>
  </si>
  <si>
    <t>row-2py3~fr9u-ep9e</t>
  </si>
  <si>
    <t>INVIMA 2022M-0007808-R2</t>
  </si>
  <si>
    <t>RUMONAL ® TABLETAS 15 MG</t>
  </si>
  <si>
    <t>BLISTERSIN DATOPVC/PVDC POR 4 TABLETAS EN BOLSA SACHET Y CAJA PLEGADIZA</t>
  </si>
  <si>
    <t>row-qdrr.sv7g.2y6y</t>
  </si>
  <si>
    <t>VITAMINA A PALMITATO (EQUIVALENTE A 50000 UI)</t>
  </si>
  <si>
    <t>INVIMA 2021M-010670-R4</t>
  </si>
  <si>
    <t>LIFERTRON E CAPSULA BLANDA.</t>
  </si>
  <si>
    <t>CAJA CARTÓN POR 4 CAPSULAS EN BLISTER PVC/ALUMINIO POR 10 CAPSULAS.</t>
  </si>
  <si>
    <t>RETINOL ( VIT A)</t>
  </si>
  <si>
    <t>29,41</t>
  </si>
  <si>
    <t>A11CA01</t>
  </si>
  <si>
    <t>row-bu4t_3gi9-89rx</t>
  </si>
  <si>
    <t>CLORURO DE CALCIO DIHIDRATO</t>
  </si>
  <si>
    <t>INVIMA 2021M-0010001-R1</t>
  </si>
  <si>
    <t>ISOFUNDIN® SOLUCION INYECTABLE</t>
  </si>
  <si>
    <t>BOLSA ECOVAC POR 500 ML</t>
  </si>
  <si>
    <t>ELECTROLITOS</t>
  </si>
  <si>
    <t>0,03675</t>
  </si>
  <si>
    <t>B05BB01</t>
  </si>
  <si>
    <t>row-5ypd~9rg2~3e4s</t>
  </si>
  <si>
    <t>POLIETILENGLICOL 3350</t>
  </si>
  <si>
    <t>INVIMA 2022M-0015270-R1</t>
  </si>
  <si>
    <t>FARMALAX 3350 POLVO</t>
  </si>
  <si>
    <t>CAJA POR 50 SOBRES LAMINADO PAPEL / ALUMINIO / PE.</t>
  </si>
  <si>
    <t>100 G DE POLVO</t>
  </si>
  <si>
    <t>MACROGOL</t>
  </si>
  <si>
    <t>A06AD15</t>
  </si>
  <si>
    <t>row-swzs.2z6m.x4nh</t>
  </si>
  <si>
    <t>MONTELUKAST SODICO 10.4 MG EQUIVALENTE A MONTELUKAST</t>
  </si>
  <si>
    <t>INVIMA 2022M-007542-R2</t>
  </si>
  <si>
    <t>SINGULAIR® 10 MG</t>
  </si>
  <si>
    <t>CAJA POR 30 TABLETAS EN BLÍSTER OPA/ALUMINIO/PVC/ALUMINIO</t>
  </si>
  <si>
    <t>TABLETA.</t>
  </si>
  <si>
    <t>row-6jn2~qdhj-aj5b</t>
  </si>
  <si>
    <t>CAFEINA ANHIDRA.</t>
  </si>
  <si>
    <t>PLANTA DE PRODUCCION DE MEDICAMENTOS ESENCIALES Y AFINES- FACULTAD DE CIENCIAS FARMACÉUTICA Y ALIMENTARIAS DE LA UNIVERSIDAD DE ANTIOQUIA.</t>
  </si>
  <si>
    <t>INVIMA 2021M-0020514</t>
  </si>
  <si>
    <t>BALANCEFORTE</t>
  </si>
  <si>
    <t>MUESTRA MÉDICA: CAFEINA 65 MG/PARACETAMOL 325 MG TABLETAS DE LIBERACION NO MODIFICADA ORAL (BALANCE FORTE) TABLETA 1U / CAJA X 10 /CAJA PLEGADIZA POR 90 TABLETAS EN BLÍSTER PVC TRANSPARENTE/ALUMINIO (9 BLÍSTER POR 10 TABLETAS)</t>
  </si>
  <si>
    <t>BALANCE PHARMA S.A.S.</t>
  </si>
  <si>
    <t>row-upv5.cren~gyg5</t>
  </si>
  <si>
    <t>METRONIDAZOL BASE MICRONIZADO</t>
  </si>
  <si>
    <t>ARBOFARMA S.A.S.</t>
  </si>
  <si>
    <t>INVIMA 2016M-0006798-R1</t>
  </si>
  <si>
    <t>MIKIUM CREMA VAGINAL</t>
  </si>
  <si>
    <t>TUBO COLAPSIBLE DE ALUMINIO CON CAPA DE RECUBRIMIENTO INTERIOR XSIN DATO40 G. DE PRODUCTO. EMPACADO EN CAJA EN CARTULINA PLEGABLE</t>
  </si>
  <si>
    <t>100 G.</t>
  </si>
  <si>
    <t>CREMA VAGINAL</t>
  </si>
  <si>
    <t>METRONIDAZOL</t>
  </si>
  <si>
    <t>G01AF01</t>
  </si>
  <si>
    <t>row-2keu~nmuc_8uzc</t>
  </si>
  <si>
    <t>610 MG DE ACIDO ASCORBICO EN MICROGRANULOS. EQUIVALENTE AACIDO ASCORBICO (VITAMINA C)500 MG. COMPOSICION DE LOS MICROGRANULOS: ACIDO ASCORBICO 500MG. AZUCAR 52.4993 MG.GOMA LACA36.5363 MG. ACIDO TARTARICO 11.8534 MG. TALCO 9.1109 MG. ALCOHOL ETILICO 128.0000 MG (SE EVAPORA DURANTE EL PROCESO)</t>
  </si>
  <si>
    <t>INVIMA 2023M-0011329-R2</t>
  </si>
  <si>
    <t>LEMOVIT®C</t>
  </si>
  <si>
    <t>CAJA POR 40 CAPSULAS DURAS EN BLISTER DE ALUMINIO/PVDC AMBAR POR 10 CAPSULAS</t>
  </si>
  <si>
    <t>-</t>
  </si>
  <si>
    <t>row-gjgx_2rra.sdyz</t>
  </si>
  <si>
    <t>INVIMA 2023M-0012599-R2</t>
  </si>
  <si>
    <t>ESOMED 40 MGCAPSULAS</t>
  </si>
  <si>
    <t>USO INSTITUCIONAL-PROHIBIDA SU VENTA: CAJA POR 60 CAPSULAS EN BLISTER PVC AMBAR/ALUMINIO EN SOBRE POUCH CON SILICA DESECANTE</t>
  </si>
  <si>
    <t>row-pkqa~b8qa~b57s</t>
  </si>
  <si>
    <t>LIDOCAÍNA CLORHIDRATO</t>
  </si>
  <si>
    <t>LUSOMEDICAMENTA - SOCIEDADE TÉCNICA FARMACÊUTICA S.A</t>
  </si>
  <si>
    <t>INVIMA 2023M-0018086-R1</t>
  </si>
  <si>
    <t>MEBUCAINA® FORTE</t>
  </si>
  <si>
    <t>MUESTRA MÉDICA: CAJA POR 10 TABLETAS EN BLISTER PVC/PE/PVDC/ALUMINIO POR 10 TABLETAS CADA BLÍSTER</t>
  </si>
  <si>
    <t>STADA ARZNEIMITTEL AKTIENGESELLSCHAFT</t>
  </si>
  <si>
    <t>LIDOCAINA COMBINACIONES</t>
  </si>
  <si>
    <t>N01BB52</t>
  </si>
  <si>
    <t>row-pkwq_38pj-jjp7</t>
  </si>
  <si>
    <t>MONOHIDRATO DE BOSUTINIB EQUIVALENTEBOSUTINIB</t>
  </si>
  <si>
    <t>EXCELLA GMBH &amp; CO. KG</t>
  </si>
  <si>
    <t>1B1000661000105</t>
  </si>
  <si>
    <t>INVIMA 2023M-0018068-R1</t>
  </si>
  <si>
    <t>BOSULIF® 500 MG TABLETAS RECUBIERTAS.</t>
  </si>
  <si>
    <t>BOSUTINIB 500.0000 MG TABLETAS DE LIBERACION NO MODIFICADA ORAL (BOSULIF) TABLETA 1.0000U / CAJA X 30</t>
  </si>
  <si>
    <t>BOSUTINIB</t>
  </si>
  <si>
    <t>L01XE14</t>
  </si>
  <si>
    <t>row-uzsp.63p6_vkhf</t>
  </si>
  <si>
    <t>FENTANILO CITRATO 0.7900MG EQUIVALENTE A FENTANILO BASE</t>
  </si>
  <si>
    <t>INVIMA 2020M-0002104-R2</t>
  </si>
  <si>
    <t>FENTANILO SOLUCION INYECTABLE 0.5 MG/ 10 ML</t>
  </si>
  <si>
    <t>USO INSTITUCIONAL: CAJA POR 5 AMPOLLAS DE 10 ML C/U EN VIDRIO BOROSILICATO TIPO I TRANSPARENTE DENTRO DE UN BLISTERPACK DE PAPEL PVC O TERMOFORMADO.</t>
  </si>
  <si>
    <t>AMPOLLA CON SOLUCIÓN INYECTABLE</t>
  </si>
  <si>
    <t>FENTANYL</t>
  </si>
  <si>
    <t>N01AH01</t>
  </si>
  <si>
    <t>row-7r69.ibgz.tdjz</t>
  </si>
  <si>
    <t>SULFAMETOXAZOL</t>
  </si>
  <si>
    <t>GENMED S.A.S.</t>
  </si>
  <si>
    <t>INVIMA 2016M-002201-R2</t>
  </si>
  <si>
    <t>TRIMETOPRIMA SULFA F160/800</t>
  </si>
  <si>
    <t>CAJA POR 10 TABLETAS EN BLISTER PVC TRANSPARENTE / ALUMINIO.SIN DATO( MUESTRA MÉDICA)</t>
  </si>
  <si>
    <t>SULFAMETOXAZOL Y TRIMETOPRIM</t>
  </si>
  <si>
    <t>J01EE01</t>
  </si>
  <si>
    <t>row-ih77_cxsm-e9xm</t>
  </si>
  <si>
    <t>CAJA X 10 TABLETAS RECUBIERTAS EN BLISTERSIN DATOPVC TRANSPARENTE/ ALU</t>
  </si>
  <si>
    <t>row-z8na_hkv9_6ge7</t>
  </si>
  <si>
    <t>BICARBONATO DE SODIO USP</t>
  </si>
  <si>
    <t>INVIMA 2019M-001684-R4</t>
  </si>
  <si>
    <t>BICARBONATO DE SODIO 1 MEQ / ML</t>
  </si>
  <si>
    <t>CAJA DE CARTON POR 100 AMPOLLAS DE VIDRIO BLANCO TIPO I Y PIROGRABADO NARANJA POR 10 ML DE SOLUCIÓN.</t>
  </si>
  <si>
    <t>AMPOLLA DE 10 ML.</t>
  </si>
  <si>
    <t>g.</t>
  </si>
  <si>
    <t>SODIO BICARBONATO</t>
  </si>
  <si>
    <t>0,8401</t>
  </si>
  <si>
    <t>B05XA02</t>
  </si>
  <si>
    <t>row-yekx~3vsm-53kz</t>
  </si>
  <si>
    <t>OMEPRAZOL MICROGRANULOS 85.9 MG/G (EQUIVALENTE A 20.00MG DE OMEPRAZOL)</t>
  </si>
  <si>
    <t>INVIMA 2022M-0012665-R2</t>
  </si>
  <si>
    <t>OMEPRAZOL20MG CAPSULA DURA</t>
  </si>
  <si>
    <t>CAJA POR 14 CAPSULAS DURAS EN EMPAQUESIN DATOINDIVIDUAL TIPO BLISTER ALU/PVDC. POR 7 CAPSULAS DURAS CADA UNO.</t>
  </si>
  <si>
    <t>OMEPRAZOL</t>
  </si>
  <si>
    <t>232,8</t>
  </si>
  <si>
    <t>A02BC01</t>
  </si>
  <si>
    <t>row-srgr-h8vc~d63e</t>
  </si>
  <si>
    <t>SISTEMAS MEDICOS S.A.S</t>
  </si>
  <si>
    <t>SCANLUX VIAL DE VIDRIO TIPO II CON TAPÓN DE GOMA. SELLO DE ALUMINIO Y TAPA PLÁSTICA ABATIBLE POR 200 ML. CADA ML CONTIENE 612 MG DE IOPAMIDOL (EQUIVALENTE A 300 MG DE IODO POR ML).</t>
  </si>
  <si>
    <t>row-ejfs~cxb4.5wj3</t>
  </si>
  <si>
    <t>MUESTRA MÉDICA: FRASCO DE POLIPROPILENO CLASE IV USP CON TAPA AZUL DE POLIPROPILENO POR 625 ML CON SABOR A MORA AZUL</t>
  </si>
  <si>
    <t>row-8ric_6y4j-xnmq</t>
  </si>
  <si>
    <t>NISTATINA (EQUIVALENTE A 10 MILLONNES DE U.I.)</t>
  </si>
  <si>
    <t>INVIMA 2021M-0009454-R1</t>
  </si>
  <si>
    <t>INSTACALM CREMA</t>
  </si>
  <si>
    <t>CAJA CON 1 TUBO COLAPSIBLE DE POLIETILENO DE MEDIA DENSIDAD Y PEBD CON ADHESIVO. CON TAPA Y SELLO DE SEGURIDAD. POR 60 G. DE CREMA.</t>
  </si>
  <si>
    <t>100 G. DE CREMA</t>
  </si>
  <si>
    <t>row-cwdm~deek.swdx</t>
  </si>
  <si>
    <t>TAMSULOSINA CLORHIDRATO</t>
  </si>
  <si>
    <t>INVIMA 2016M-0016775</t>
  </si>
  <si>
    <t>TAMSECOX 0.4 MG CAPSULA DE LIBERACIÓN MODIFICADA</t>
  </si>
  <si>
    <t>GENÉRICO: CAJA POR 300 CÁPSULAS EN BLÍSTER PVDC/TE/PVC INCOLORO / FOIL ALUMINIO. CADA BLÍSTER POR 15 CÁPSULAS.</t>
  </si>
  <si>
    <t>CAPSULA DE LIBERACION MODIFICADA</t>
  </si>
  <si>
    <t>TAMSULOSINA</t>
  </si>
  <si>
    <t>0,4</t>
  </si>
  <si>
    <t>G04CA02</t>
  </si>
  <si>
    <t>row-xshe_qquv.isdg</t>
  </si>
  <si>
    <t>CAPECITABINA</t>
  </si>
  <si>
    <t>INVIMA 2016M-0017065</t>
  </si>
  <si>
    <t>CAPIIBINE 500 MG TABLETAS</t>
  </si>
  <si>
    <t>90 TABLETAS CAJA X 9 BLISTER (CADA BLISTER CON 10 TABLETAS)- MUESTRA MEDICASIN DATOCOMERCIAL</t>
  </si>
  <si>
    <t>DR REDDY´S LABORATORIES LIMITED</t>
  </si>
  <si>
    <t>L01BC06</t>
  </si>
  <si>
    <t>row-wse6~vwm5~p67g</t>
  </si>
  <si>
    <t>SECNIDAZOL</t>
  </si>
  <si>
    <t>INVIMA 2020M-0003401-R2</t>
  </si>
  <si>
    <t>BIANOS® 750 MG</t>
  </si>
  <si>
    <t>MUESTRA MÉDICA: CAJA X 1 FRASCO PET ÁMBAR X 7.5 G DE POLVO PARA RECONSTITUIR A 18 ML DE SUSPENSIÓN ORAL.</t>
  </si>
  <si>
    <t>CADA 41.1667 G DE POLVOPARA RECONSTITUIRA100 ML</t>
  </si>
  <si>
    <t>P01AB07</t>
  </si>
  <si>
    <t>7,5</t>
  </si>
  <si>
    <t>row-c9qe-n42n.7fwq</t>
  </si>
  <si>
    <t>INVIMA 2013M-0014679</t>
  </si>
  <si>
    <t>PEDIASOL® 60 CON ZINC</t>
  </si>
  <si>
    <t>-FRASCO CUADRADO EN POLIETILENO DE ALTA DENSIDAD CON TAPA PLANA. BANDA DE SEGURIDAD Y LINNER POR 500 ML SABOR CEREZA.</t>
  </si>
  <si>
    <t>CADA 100ML DE SOLUCIÓN</t>
  </si>
  <si>
    <t>BIOFLUIDOS &amp; FARMA S.A.S.</t>
  </si>
  <si>
    <t>0,1757</t>
  </si>
  <si>
    <t>row-as9m.jppc-fusy</t>
  </si>
  <si>
    <t>INVIMA 2023M-0013443-R2</t>
  </si>
  <si>
    <t>LYRICA ® 25 MG CAPSULAS</t>
  </si>
  <si>
    <t>CAJA POR 10 CÁPSULAS EN BLISTER DE PVC- ALUMINIO</t>
  </si>
  <si>
    <t>ASPEN COLOMBIANA S.A.S</t>
  </si>
  <si>
    <t>row-9znx.jqw8.8ank</t>
  </si>
  <si>
    <t>VALACICLOVIR CLORHIDRATO 556 MG EQUIVALENTE A VALACICLOVIR</t>
  </si>
  <si>
    <t>INVIMA 2016M-0016738</t>
  </si>
  <si>
    <t>HETVAL 500 MG</t>
  </si>
  <si>
    <t>CAJA X 30 TABLETAS RECUBIERTAS EN FRASCO DE HDPE BLANCO</t>
  </si>
  <si>
    <t>VALACICLOVIR</t>
  </si>
  <si>
    <t>J05AB11</t>
  </si>
  <si>
    <t>row-w2i6.nrgt_98et</t>
  </si>
  <si>
    <t>ARTICAINA</t>
  </si>
  <si>
    <t>PRODUCTORA Y COMERCIALIZADORA ODONTOLOGICANEW STETIC S.A.</t>
  </si>
  <si>
    <t>INVIMA 2009M-0009586</t>
  </si>
  <si>
    <t>ARTHEEK(R) ARTICAINA AL 4% CON EPINEFRINA 1:100.000</t>
  </si>
  <si>
    <t>MUESTRA MEDICA: CARTÓN CON MUESTRA POR 2 CÁRPULES DE VIDRIO TIPO I. CADA CÁRPUL CONTIENE 1.8 ML</t>
  </si>
  <si>
    <t>1 ML DE SOLUCIÓN INYECTABLE</t>
  </si>
  <si>
    <t>EPINEFRINA</t>
  </si>
  <si>
    <t>A01AD01</t>
  </si>
  <si>
    <t>DENTAL</t>
  </si>
  <si>
    <t>row-xgjs-5m3b_zyfq</t>
  </si>
  <si>
    <t>AMLODIPINO BESILATO 13.87010 MG. EQUIVALENTES A AMLODIPINO BASE</t>
  </si>
  <si>
    <t>INVIMA 2023M-0013159-R2</t>
  </si>
  <si>
    <t>VARTERAL NF ® 320 MG / 10 MG</t>
  </si>
  <si>
    <t>MUESTRA MÉDICA: CAJA POR 2 CÁPSULAS BLANDAS. EN BLÍSTER ALUMINIO/ALUMINIO POR 2 CÁPSULAS BLANDAS.</t>
  </si>
  <si>
    <t>VALSARTÁN Y AMLODIPINO</t>
  </si>
  <si>
    <t>C09DB01</t>
  </si>
  <si>
    <t>row-un2e~et3g_viq4</t>
  </si>
  <si>
    <t>PAMOATO DE PIRANTEL (EQUIVALENTE A 250 MG DE PIRANTEL BASE)</t>
  </si>
  <si>
    <t>INVIMA 2019M-13477-R2</t>
  </si>
  <si>
    <t>PIRANTEL TABLETAS X 250 MG</t>
  </si>
  <si>
    <t>CAJA POR 600 TABLETAS EN BLISTER PVC AMBAR/ALUMINIO.</t>
  </si>
  <si>
    <t>PIRANTEL</t>
  </si>
  <si>
    <t>P02CC01</t>
  </si>
  <si>
    <t>row-5pvd~zjgu_znww</t>
  </si>
  <si>
    <t>SOLIFENACINA SUCCINATO</t>
  </si>
  <si>
    <t>CIPLA COLOMBIA S.A.S.</t>
  </si>
  <si>
    <t>1S1012431001102</t>
  </si>
  <si>
    <t>INVIMA 2024M-0021369</t>
  </si>
  <si>
    <t>CELEFEN® 10 MG</t>
  </si>
  <si>
    <t>CAJA PLEGADIZASIN DATOPOR 3 BLISTER ALU/ALU (OPA-ALU-PVC) POR 10 TABLETAS</t>
  </si>
  <si>
    <t>CIPLA LIMITED</t>
  </si>
  <si>
    <t>SOLIFENACINA</t>
  </si>
  <si>
    <t>G04BD08</t>
  </si>
  <si>
    <t>row-cb3j-mrwz-mhwv</t>
  </si>
  <si>
    <t>DABIGATRAN ETEXILATO MESILATO 172.960MG EQUIVALENTE DABIGATRAN ETEXILATO</t>
  </si>
  <si>
    <t>INVIMA 2024M-0021324</t>
  </si>
  <si>
    <t>DAGITRAN® 150 MG CAPSULAS DURAS</t>
  </si>
  <si>
    <t>1D1014341003103 DABIGATRAN 75.0000 MG CAPSULAS DE LIBERACION NO MODIFICADA ORAL (DABITRIN) CAPSULA 1.0000U / FRASCO X 60</t>
  </si>
  <si>
    <t>row-twk7~ttkn.s7ky</t>
  </si>
  <si>
    <t>1F1044981000105</t>
  </si>
  <si>
    <t>INVIMA 2025M-0013900-R1</t>
  </si>
  <si>
    <t>FOLIC PREVENT TABLETAS</t>
  </si>
  <si>
    <t>MUESTRA MÉDICA: CAJA POR 30 TABLETAS MINIPACK EN BLISTER DE PVC/ALUMINIO POR 30 TABLETAS.</t>
  </si>
  <si>
    <t>row-92mv~m2qc~gcbc</t>
  </si>
  <si>
    <t>OLOPATADINA CLORHIDRATO 2.2 MG EQUIVALENTE A OLOPATADINA BASE</t>
  </si>
  <si>
    <t>LABORATORIOS OTICOFF S.A.S.</t>
  </si>
  <si>
    <t>1O1015891017103</t>
  </si>
  <si>
    <t>INVIMA 2017M-0017652</t>
  </si>
  <si>
    <t>OLODINA PF®</t>
  </si>
  <si>
    <t>IUM 1O1015891017103: OLOPATADINA 2.0000 MG OTRAS SOLUCIONES OFTALMICA (OLODINA PF) FRASCO 5.0000ML / CAJA X 6. FRASCO EN POLIETILENO DE BAJA DENSIDAD POR 5 ML BLANCO. CON BOQUILLA PROVISTA DE UNA VÁLVULA DE SILICONA DE COLOR AZUL Y TAPA DE POLIETILENO DE ALTA DENSIDAD DE COLOR BLANCO. EN CAJA PLEGADIZA POR UNIDAD. CONTENIDA EN CAJA DISPLAY POR 6 UNIDADES.</t>
  </si>
  <si>
    <t>CADA ML</t>
  </si>
  <si>
    <t>ESPECIALIDADES OFTALMOLOGICAS S.A.</t>
  </si>
  <si>
    <t>OLOPATADINA</t>
  </si>
  <si>
    <t>S01GX09</t>
  </si>
  <si>
    <t>row-f6cu.heiv.emtg</t>
  </si>
  <si>
    <t>LEVOTIROXINA SODICA PENTAHIDRATADA0.084 MG EQUIVALENTE A LEVOTIROXINA SODICA</t>
  </si>
  <si>
    <t>RSM-EXP20250021922</t>
  </si>
  <si>
    <t>LEVOTIROXINA SÓDICA 75 MCG</t>
  </si>
  <si>
    <t>NO APLICA PRODUCTO EXPORTACION</t>
  </si>
  <si>
    <t>CAPSULAS BLANDA</t>
  </si>
  <si>
    <t>row-eqtk_k48g~kz73</t>
  </si>
  <si>
    <t>PELLETS DE ESOMEPRAZOL: ESOMEPRAZOL MAGNESICO TRIHIDRATADOMICROGRANULOSEQUIVALENTE AESOMEPRAZOL BASE</t>
  </si>
  <si>
    <t>METROCHEM API PRIVATE LIMITED (FABRICANTE DE LOS PELLETS)</t>
  </si>
  <si>
    <t>INVIMA 2019M-0002766-R2</t>
  </si>
  <si>
    <t>ESOPRAX ® 20MG CAPSULAS</t>
  </si>
  <si>
    <t>MARCA: CAJA POR 266 CÁPSULAS EN BLISTER OPA/ AL/ PVC - ALUMINIO COLOR GRIS OPACO. CADA BLISTER POR 7 BLISTER CADA UNO</t>
  </si>
  <si>
    <t>CAPSULA DE GELATINA</t>
  </si>
  <si>
    <t>row-22rs~7ci9.kvwk</t>
  </si>
  <si>
    <t>10.4 MG DE MONTELUKAST SODICO EQUIVALENTE A MONTELUKAST</t>
  </si>
  <si>
    <t>GENVEON ILAC SANAYI VETICARET A.S.</t>
  </si>
  <si>
    <t>INVIMA 2021M-0013144-R1</t>
  </si>
  <si>
    <t>KASTAMON 10 MG TABLETAS RECUBIERTAS</t>
  </si>
  <si>
    <t>MUESTRA MÉDICA: CAJA POR 10 TABLETAS - BLISTER</t>
  </si>
  <si>
    <t>row-agb3~5p43_7nz6</t>
  </si>
  <si>
    <t>DEXIBUPROFENO</t>
  </si>
  <si>
    <t>CAJA POR 100 TABLETAS RECUBIERTAS EN BLISTER DE ALUMINIO-PVC/PVDC TRANSPARENTE POR 10 TABLETAS C/U.</t>
  </si>
  <si>
    <t>row-4fad~q73a~ryn4</t>
  </si>
  <si>
    <t>BROMURO DE ROCURONIO</t>
  </si>
  <si>
    <t>ASPIRO PHARMA LIMITED</t>
  </si>
  <si>
    <t>INVIMA 2024M-0021519</t>
  </si>
  <si>
    <t>ROCUNIUM® 10MG/ML SOLUCIÓN INYECTABLE</t>
  </si>
  <si>
    <t>CAJA PLEGADIZA X 20 VIALES DE VIDRIO TUBULAR TRANSPARENTE TIPO I CON TAPÓN DE CAUCHO GRIS Y SELLO FLIP-OFF COLOR NARANJA CON 5 ML DE SOLUCIÓN INYECTABLE.SIN DATO</t>
  </si>
  <si>
    <t>ROCURONIO BROMURO</t>
  </si>
  <si>
    <t>M03AC09</t>
  </si>
  <si>
    <t>row-zswy.n4w3.btu6</t>
  </si>
  <si>
    <t>HIDROCODONA BITARTRATO</t>
  </si>
  <si>
    <t>2H1005971003107</t>
  </si>
  <si>
    <t>INVIMA 2023M-0018042-R1</t>
  </si>
  <si>
    <t>SINALGEN FORTE® 7.5/325 TABLETAS</t>
  </si>
  <si>
    <t>M.MEDICA: IUM 2H1005971003107 HIDROCODONA 7.5000 MG/PARACETAMOL 325.0000 MG TABLETAS DE LIBERACION NO MODIFICADA ORAL (SINALGEN FORTE) TABLETA 1.0000U/CAJA X 10 / CAJA PLEGADIZA POR 10 TABLETAS EN BLÍSTER ALUMINIO/PVC-PVDC TRANSPARENTE</t>
  </si>
  <si>
    <t>TABLETA COLOR BLANCO</t>
  </si>
  <si>
    <t>row-9hvq.52zc_5mhn</t>
  </si>
  <si>
    <t>LISINA CLORHIDRATO 3.98 G EQUIVALENTE A LISINA</t>
  </si>
  <si>
    <t>row-jiuf.3yha-ffhz</t>
  </si>
  <si>
    <t>DIPIRONA (METAMIZOL SODICO MONOHIDRATO)</t>
  </si>
  <si>
    <t>SANOFI-AVENTIS DE MEXICO S.A. DE C.V.</t>
  </si>
  <si>
    <t>1M1009211003104</t>
  </si>
  <si>
    <t>INVIMA 2020M-001717-R4</t>
  </si>
  <si>
    <t>NOVALGINA TABLETAS</t>
  </si>
  <si>
    <t>MUESTRA MÉDICA: CAJA POR 10 TABLETAS EN 1 BLÍSTER DE PVC VERDE CON FOIL DE ALUMINIO IMPRESO</t>
  </si>
  <si>
    <t>OPELLA HEALTHCARE COLOMBIA S.A.S</t>
  </si>
  <si>
    <t>row-fkjd_marh~9gxf</t>
  </si>
  <si>
    <t>CARBONATO DE CALCIO PRECIPITADO LIVIANO EQUIVALENTE A 300.00MG DE ION CALCIO</t>
  </si>
  <si>
    <t>INVIMA 2019M-0001645-R2</t>
  </si>
  <si>
    <t>KIDCAL ® SUSPENSION</t>
  </si>
  <si>
    <t>MUESTRA MEDICA: FRASCO EN VIDRIO AMBAR TIPO III CON TAPA BLANCA EN POLIPROPILENO EN ESTUCHE DE CARTULINA POR 30ML CON COPA DOSIFICADORA.SABOR TUTTI FRUTI</t>
  </si>
  <si>
    <t>row-kwsf~n363-9yi9</t>
  </si>
  <si>
    <t>OMEPRAZOL PELLETS 8.5% (EQUIVALENTE ADE OMEPRAZOL BASE)</t>
  </si>
  <si>
    <t>KOLA PHARMA PRIVATE. LTD</t>
  </si>
  <si>
    <t>INVIMA 2021M-0000200-R2</t>
  </si>
  <si>
    <t>PROZIDEXCAPSULAS</t>
  </si>
  <si>
    <t>CAJA PORSIN DATO30 CAPSULAS EN BLISTER PVC BLANCO / ALUMINIO POR 15 CAPSULAS C/U .</t>
  </si>
  <si>
    <t>row-rjfe_yfyn.5qum</t>
  </si>
  <si>
    <t>CADA MILILITRO CONTIENE : 10.91 MG DE INSULINA GLARGINAQUE CORRESPONDENA 300 U DE INSULINA GLARGINA.</t>
  </si>
  <si>
    <t>SANOFI-AVENTIS DEUTSCHLAND GMBH</t>
  </si>
  <si>
    <t>INVIMA 2015MBT-0016708</t>
  </si>
  <si>
    <t>TOUJEO®</t>
  </si>
  <si>
    <t>5 LAPICERAS / PLUMAS X 450 UNIDADES /1.5ML</t>
  </si>
  <si>
    <t>CADA 1 ML DE SOLUCION PARA INYECCION.</t>
  </si>
  <si>
    <t>INSULINA GLARGINA</t>
  </si>
  <si>
    <t>A10AE04</t>
  </si>
  <si>
    <t>row-466s-hiw8.tdba</t>
  </si>
  <si>
    <t>LINCOMICINA CLORHIDRATOEQUIVALENTE A LINCOMICINA BASE</t>
  </si>
  <si>
    <t>FAREVA VILLARICA S.A.S.</t>
  </si>
  <si>
    <t>INVIMA 2022M-006040-R3</t>
  </si>
  <si>
    <t>LINCOMICINA MK 600 MG/2ML INYECTABLE</t>
  </si>
  <si>
    <t>AMPOLLA DE VIDRIO POR 2 ML. CAJA POR 1 AMPOLLA</t>
  </si>
  <si>
    <t>2 ML DE SOLUCIÓN</t>
  </si>
  <si>
    <t>TECNOQUÍMICAS S.A.</t>
  </si>
  <si>
    <t>row-xr79-kdcw~ehrm</t>
  </si>
  <si>
    <t>STREPTOCOCCUS PNEUMONIAE TIPO 6B</t>
  </si>
  <si>
    <t>CAJA POR 1 VIAL DE VIDRIO TIPO I CON TAPÓN GRIS DE BROMOBUTILO Y SELLO DE ALUMINIO CON TAPA DE PLASTICO VIOLETA CON 5 DOSIS DE SOLUCION INYECTABLE CADA UNO MAS INSERTO</t>
  </si>
  <si>
    <t>row-v7tf-9j23~r6wy</t>
  </si>
  <si>
    <t>INVIMA 2023M-0013600-R2</t>
  </si>
  <si>
    <t>GYNOPLUS OVULOS</t>
  </si>
  <si>
    <t>MUESTRA MEDICA: CAJA PLEGADIZA POR 3 OVULOS EN FOIL DE ALUMINIO/PVC.</t>
  </si>
  <si>
    <t>row-s865~ggee~is89</t>
  </si>
  <si>
    <t>CEFALEXINA MONOHIDRATO EQUIVALENTE A CEFALEXINA BASE</t>
  </si>
  <si>
    <t>INVIMA 2019M-14116-R2</t>
  </si>
  <si>
    <t>CEFALEXINA SUSPENSION 250 MG./ 5ML.</t>
  </si>
  <si>
    <t>FRASCO VIDRIO AMBAR CON 25.52 G DE POLVO PARA RECONSTITUIR A 60 ML CON TAPA PLASTICA(250 MG/5ML)</t>
  </si>
  <si>
    <t>100ML DE SOLUCION RECONSTITUIDA</t>
  </si>
  <si>
    <t>CEFALEXINA</t>
  </si>
  <si>
    <t>J01DB01</t>
  </si>
  <si>
    <t>25,52</t>
  </si>
  <si>
    <t>row-2wnq~gkwv.wsch</t>
  </si>
  <si>
    <t>1R1018331007109</t>
  </si>
  <si>
    <t>INVIMA 2023M-0020881</t>
  </si>
  <si>
    <t>RIFAXIMINA 200 MG TABLETAS RECUBIERTAS</t>
  </si>
  <si>
    <t>1R1018331007109RIFAXIMINA 200.0000 MG TABLETAS DE LIBERACION NO MODIFICADA ORAL (LABORATORIOS ECAR) TABLETA 1.0000U / CAJA X 84. CAJA POR 84 TABLETAS RECUBIERTAS EN 12 BLÍSTER PVC/PVDC /ALUMINIO. CADA BLÍSTER POR 7 TABLETAS RECUBIERTAS CADA UNO.</t>
  </si>
  <si>
    <t>row-jhhi-7tbs.r6ah</t>
  </si>
  <si>
    <t>ACIDO ASCORBICO 260MG +ASCORBATO DE SODIO 290MGEQUIVALENTES A VITAMINA C</t>
  </si>
  <si>
    <t>INVIMA 2016M- 0007923-R3</t>
  </si>
  <si>
    <t>CEBION®500MG TABLETAS MASTICABLES</t>
  </si>
  <si>
    <t>2 SOBRES DE ALUMINIO CON 24 TABLETAS CONTENIENDO 3 FOIL POR 4 TABLETASSIN DATOCADA SOBRE</t>
  </si>
  <si>
    <t>row-6q44~jy97_4tt9</t>
  </si>
  <si>
    <t>KVP PHARMA + VETERINAR PRODUKTE GMBH</t>
  </si>
  <si>
    <t>INVIMA 2019M-007048-R3</t>
  </si>
  <si>
    <t>CANESTEN SOLUCION TOPICA</t>
  </si>
  <si>
    <t>CAJA CON FRASCO EN POLIETILENO POR 30 ML.</t>
  </si>
  <si>
    <t>100 ML DESOLUCIÓNTÓPICA</t>
  </si>
  <si>
    <t>BAYER S.A.</t>
  </si>
  <si>
    <t>D01AC01</t>
  </si>
  <si>
    <t>row-ik68-c9bf_d95e</t>
  </si>
  <si>
    <t>DULOXETINA MICROGRANULOS AL 17% EQUIVALENTE A DULOXETINA BASE</t>
  </si>
  <si>
    <t>1D1002451009100</t>
  </si>
  <si>
    <t>INVIMA 2023M-0013608-R1</t>
  </si>
  <si>
    <t>DUXETINA® 30 MG CÁPSULAS DE LIBERACIÓN RETARDADA</t>
  </si>
  <si>
    <t>1D1002451009100. DULOXETINA 30 MG CAPSULAS DE LIBERACION MODIFICADA ORAL (DUXETINA) CAPSULA 1 U / CAJA X 15. CAJA POR 15 CÁPSULAS DE LIBERACION RETARDADA EN BLÍSTER ALUMINIO/PVC-PCTFE-PVC.</t>
  </si>
  <si>
    <t>CAPSULA CON CUBIERTA ENTERICA</t>
  </si>
  <si>
    <t>DULOXETINA</t>
  </si>
  <si>
    <t>N06AX21</t>
  </si>
  <si>
    <t>row-v78g_gnq5~vrmp</t>
  </si>
  <si>
    <t>INSTITUCIONAL: CAJA POR 329 TABLETAS EN BLISTER DE OPA/ALU/PVC-ALUMINIO.</t>
  </si>
  <si>
    <t>row-cv38~7ibx~abzd</t>
  </si>
  <si>
    <t>CAJA POR 20 AMPOLLAS DE VIDRIO TIPO I. COLOR AMBAR X 1 ML</t>
  </si>
  <si>
    <t>row-mfm9.24p4.qaj6</t>
  </si>
  <si>
    <t>CONDROITINA SULFATO SÓDICO</t>
  </si>
  <si>
    <t>INVIMA 2022M-0009371-R1</t>
  </si>
  <si>
    <t>GLUCOSAMINA + CONDROITINA POLVO</t>
  </si>
  <si>
    <t>CAJA PLEGADIZA CON 4 SOBRES EN ALUMINIO POR 4.9 G DE POLVO C/U.</t>
  </si>
  <si>
    <t>SOBRE POR 4.9 G DE POLVO</t>
  </si>
  <si>
    <t>row-knwz_uvfn-pwkd</t>
  </si>
  <si>
    <t>AGUA ESTERIL PARA INYECCIÓN</t>
  </si>
  <si>
    <t>VITALIS S.A. C.I. PLANTA 8</t>
  </si>
  <si>
    <t>INVIMA 2022M-011987-R2</t>
  </si>
  <si>
    <t>CAJA PLEGADIZA POR 1 AMPOLLA DE VIDRIO TIPO I POR 1 ML.</t>
  </si>
  <si>
    <t>AGUA ESTERIL</t>
  </si>
  <si>
    <t>V07ABX1</t>
  </si>
  <si>
    <t>row-g2cs_4sgh-aerq</t>
  </si>
  <si>
    <t>CAJA POR 25 AMPOLLAS DE VIDRIO TIPO I. COLOR AMBAR X 1 ML</t>
  </si>
  <si>
    <t>row-hq5w_suh8_zhgw</t>
  </si>
  <si>
    <t>IMATINIB MESILATO (FORMA BETA)478 MG</t>
  </si>
  <si>
    <t>INVIMA 2014M-0015450</t>
  </si>
  <si>
    <t>IMATERO®</t>
  </si>
  <si>
    <t>CAJA PLEGADIZA POR 3 BLISTER EN ALU/ALU POR 10 TABLETAS (30 TABLETAS RECUBIERTAS).</t>
  </si>
  <si>
    <t>IMATINIB</t>
  </si>
  <si>
    <t>L01XE01</t>
  </si>
  <si>
    <t>row-23i6.iagj_rra9</t>
  </si>
  <si>
    <t>CETIRIZINA DICLORHIDRATO MICROGRANULOS (6.37%)(EQUIVALENTE A 5 MG DE CETIRIZINA DICLORHIDRATO</t>
  </si>
  <si>
    <t>OSMOPHARM S.A</t>
  </si>
  <si>
    <t>INVIMA 2009M-0008721</t>
  </si>
  <si>
    <t>ALERCET D</t>
  </si>
  <si>
    <t>CAJA POR 2 CAPSULAS DURAS ENSIN DATOBLISTER PVDC/ALUMINIO</t>
  </si>
  <si>
    <t>FENILEFRINA</t>
  </si>
  <si>
    <t>78,5</t>
  </si>
  <si>
    <t>C01CA06</t>
  </si>
  <si>
    <t>row-dbwg_262p~9dss</t>
  </si>
  <si>
    <t>L-ARGININA</t>
  </si>
  <si>
    <t>BOLSA BIOFINE TRICAMERAL POR 1206 ML.</t>
  </si>
  <si>
    <t>6,1</t>
  </si>
  <si>
    <t>row-f4k8_j6yy~qijw</t>
  </si>
  <si>
    <t>ÓXIDO DE ZINC</t>
  </si>
  <si>
    <t>MUESTRA MEDICASIN DATOEN TUBO COLAPSIBLE DE ALUMINIO. TAPA PLASTICA DE POLIETILENOSIN DATOPOR 10SIN DATOG.</t>
  </si>
  <si>
    <t>18,5</t>
  </si>
  <si>
    <t>row-zbx7~ehji-rk3q</t>
  </si>
  <si>
    <t>METOPROLOL SUCCINATO 44.6644 MG EQUIVALENTE A METOPROLOL TARTRATO</t>
  </si>
  <si>
    <t>INVIMA 2025M-0021828</t>
  </si>
  <si>
    <t>METOPROLOL SUCCINATO EQUIVALENTE A 50 MG DE METOPROLOL TARTRATO</t>
  </si>
  <si>
    <t>MUESTRA MÉDICA: CAJA PLEGADIZA POR 10 TABLETAS DE LIBERACIÓN PROLONGADA EN BLÍSTER PVC/PVDC TRANSPARENTE - ALUMINIO POR 10 TABLETAS.</t>
  </si>
  <si>
    <t>TABLETA DE LIBERACIÓN PROLONGADA</t>
  </si>
  <si>
    <t>row-45ky-4fyp-n2ck</t>
  </si>
  <si>
    <t>FOSAPREPITANT DIMEGLUMINA 245.3 MG EQUIVALENTE A FOSAPREPITANT</t>
  </si>
  <si>
    <t>1F1026401000100</t>
  </si>
  <si>
    <t>INVIMA 2019M-0018852</t>
  </si>
  <si>
    <t>FOSEMRED 150 MG/VIAL</t>
  </si>
  <si>
    <t>COMERCIAL: CAJA POR 1 VIAL DE VIDRIO TRANSPARENTE TIPO I CON TAPÓN GRIS DE BROMOBUTILO Y SELLO DE ALUMINIO FLIP OFF ROJO. (IUM 1F1026401000100 )</t>
  </si>
  <si>
    <t>POLVO LIOFILIZADO PARA RECONSTITUIR A SOLUCIÓN INYECTABLE</t>
  </si>
  <si>
    <t>APREPITANT</t>
  </si>
  <si>
    <t>A04AD12</t>
  </si>
  <si>
    <t>row-45xi-pajz-stqt</t>
  </si>
  <si>
    <t>PARACETAMOL (COMO PARACETAMOL DC AL 90 %361 MG) COMPOSICION PARACETAMOL DC: PARACETAMOL 90%. ALMIDON PREGELATINIZADO 7.87 %. POVIDONA 0.5 %. ALMIDON GLICOLATO DE SODIO 1%. METILPARABENO 0.1%. PROPILPARABENO 0.03 %. ACIDO ESTEARICO 0.5 %</t>
  </si>
  <si>
    <t>FARMACÉUTICA PARAGUAYA S.A.</t>
  </si>
  <si>
    <t>2P1001451017102</t>
  </si>
  <si>
    <t>INVIMA 2023M-0004949-R2</t>
  </si>
  <si>
    <t>TOLMUS® COMPRIMIDOS</t>
  </si>
  <si>
    <t>CAJA PLEGADIZA DE CARTULINA CONTENIENDO 20 COMPRIMIDOS EN BLISTER DE PVC-PVDCSIN DATOCRISTAL INCOLORO + UV/ ALUMINIO</t>
  </si>
  <si>
    <t>row-jk52-hspc~dcwg</t>
  </si>
  <si>
    <t>CARVEDILOL</t>
  </si>
  <si>
    <t>GENFAR DESARROLLO Y MANUFACTURA S.A.</t>
  </si>
  <si>
    <t>INVIMA 2022M-0006841-R2</t>
  </si>
  <si>
    <t>CARVEDILOL25 MG TABLETAS.</t>
  </si>
  <si>
    <t>CAJA PLEGADIZA POR 500 TABLETAS EN BLISTER PVC-PVDC/ ALUMINIO BLANCO.</t>
  </si>
  <si>
    <t>C07AG02</t>
  </si>
  <si>
    <t>row-ykkd~2v6d_y43f</t>
  </si>
  <si>
    <t>POLISACARIDO DE NEISSERIA MENINGITIDISGRUPO W-135*</t>
  </si>
  <si>
    <t>INVIMA 2023MB-0015084-R1</t>
  </si>
  <si>
    <t>NIMENRIX®</t>
  </si>
  <si>
    <t>10 VIALES DE VIDRIO TIPO I CON TAPÓN DE GOMA DE BUTILO CON POLVO LIOFILIZADO QUE CONTIENE UNA DOSIS POR VIAL Y 10 AMPOLLAS QUE CONTIENEN 0.5 ML DE SOLVENTE. SIN AGUJAS.</t>
  </si>
  <si>
    <t>DOSIS DE 0.5 ML (DESPUÉS DE RECONSTITUIDO EL POLVO LIOFILIZADO)</t>
  </si>
  <si>
    <t>MENINGOCOCO A.C.Y.W-135. ANTÍGENO CONJUGADO TETRAVALENTE. CONSTITUÍDO POR POLISACÁRIDOS PURIFICADOS</t>
  </si>
  <si>
    <t>J07AH08</t>
  </si>
  <si>
    <t>row-b4xx.b8yr_w25h</t>
  </si>
  <si>
    <t>L-TRIPTÓFANO</t>
  </si>
  <si>
    <t>row-rqsd~xch4-wshs</t>
  </si>
  <si>
    <t>DEXAMETASONA SODIO FOSFATO. EQUIVALENTE A DEXAMETASONA BASE</t>
  </si>
  <si>
    <t>INVIMA 2021M-010674-R2</t>
  </si>
  <si>
    <t>DUO-DECADRON SUSPENSION INYECTABLE POR 2ML</t>
  </si>
  <si>
    <t>CAJA POR 4 JERINGAS PRELLENADA POR 2 ML CADA UNA. CON LAS SIGUIENTES AGUJAS: AGUJA ESTÉRIL 21 G 1 1/2 ´´ Y AGUJA ESTÉRIL 25 G 1´´</t>
  </si>
  <si>
    <t>AMPOLLA DE2ML</t>
  </si>
  <si>
    <t>INTRALESIONAL</t>
  </si>
  <si>
    <t>row-ampi_dti4-qiwr</t>
  </si>
  <si>
    <t>ACIDO ACETILSALICILICO</t>
  </si>
  <si>
    <t>INVIMA 2015M-000122-R2</t>
  </si>
  <si>
    <t>CARDIOASPIRINA 100 MG TABLETA CUBIERTA ENTERICA</t>
  </si>
  <si>
    <t>CAJA X 30 TABLETAS CON CUBIERTA ENTERICA BLISTER ALU/PVC/PDVC</t>
  </si>
  <si>
    <t>TABLETA CON CUBIERTA ENTERICA</t>
  </si>
  <si>
    <t>ACETILSALICILICO ACIDO</t>
  </si>
  <si>
    <t>B01AC06</t>
  </si>
  <si>
    <t>row-m6wf.8uzi-cuzm</t>
  </si>
  <si>
    <t>OXIGENO GASEOSO MEDICINAL 99.5 % DE PUREZA. (CADA M3.DE OXIGENO GASEOSO COMPRIMIDO EN CILINDRO DE ALTA PRESIÓN EQUIVALE A 1000 L DE OXIGENO GASEOSO. CADA LITRO DE OXIGENO LIQUIDO ALMACENADO EN CONTENEDORES CRIOGÉNICOS. EQUIVALE A 861 LITROS DE OXIGENO GA</t>
  </si>
  <si>
    <t>GASES INDUSTRIALES DE COLOMBIA S.A. - CRYOGAS S.A</t>
  </si>
  <si>
    <t>1O1044511000130</t>
  </si>
  <si>
    <t>INVIMA 2021M-006368-R4</t>
  </si>
  <si>
    <t>OXIGENO MEDICINAL O2</t>
  </si>
  <si>
    <t>GAS (COLOR DEL CILINDRO BLANCO) CILINDRO EN ACERO POR 6.379 METROS CÚBICOS (M3)</t>
  </si>
  <si>
    <t>CILINDRO DE 7 METROS CUBICOS</t>
  </si>
  <si>
    <t>GASES INDUSTRIALES DE COLOMBIA S.A. CRYOGAS S.A.</t>
  </si>
  <si>
    <t>m3</t>
  </si>
  <si>
    <t>6,5</t>
  </si>
  <si>
    <t>row-qh62-das6-hjge</t>
  </si>
  <si>
    <t>AMLODIPINO BESILATO EQUIVALENTE A AMLODIPINO</t>
  </si>
  <si>
    <t>EGIS PHARMACEUTICAL PLC</t>
  </si>
  <si>
    <t>INVIMA 2023M-0014354-R2</t>
  </si>
  <si>
    <t>CONCOR ® AM 5 MG / 10 MG</t>
  </si>
  <si>
    <t>CAJA POR 60 TABLETAS EN BLISTER ALU/ALU</t>
  </si>
  <si>
    <t>row-hpye_naj2~vmdk</t>
  </si>
  <si>
    <t>PFIZERS.A. DE C.V.</t>
  </si>
  <si>
    <t>MUESTRA MÉDICA CAJA POR 50 TABLETAS EN SISTEMA BLISTER PVC/ALUMINIO. CADA BLISTER POR 10 TABLETAS.</t>
  </si>
  <si>
    <t>row-5dcw~z4wj~jkqk</t>
  </si>
  <si>
    <t>ESPIRONOLACTONA USP</t>
  </si>
  <si>
    <t>INVIMA 2022M-0007331-R2</t>
  </si>
  <si>
    <t>ESPIRONOLACTONA100 MG TABLETAS.</t>
  </si>
  <si>
    <t>CAJA PLEGADIZA POR 20 TABLETAS. BLISTER EN PVDC/PVC/ALUMINIO POR 10 TABLETAS.</t>
  </si>
  <si>
    <t>ESPIRONOLACTONA</t>
  </si>
  <si>
    <t>C03DA01</t>
  </si>
  <si>
    <t>row-9wht.gkkx-4bg2</t>
  </si>
  <si>
    <t>INVIMA 2017M-0005365-R1</t>
  </si>
  <si>
    <t>TIROXIN ® 50 MCG</t>
  </si>
  <si>
    <t>USO INSTITUCIONAL: CAJA X 80 TABLETAS PVC/PVDC AMBAR-ALUMINIO</t>
  </si>
  <si>
    <t>LABORATORIOSSIEGFRIED S.A.S</t>
  </si>
  <si>
    <t>row-8sm3~vqtw~vurv</t>
  </si>
  <si>
    <t>INVIMA 2023M-0021074</t>
  </si>
  <si>
    <t>MOXICLAN® 400 MG /57 MG / 5 ML</t>
  </si>
  <si>
    <t>CAJA CON FRASCO DE VIDRIO AMBAR TIPO III X 100 ML - INCLUYE JERINGA. MUESTRA MEDICA</t>
  </si>
  <si>
    <t>19.43G DE POLVO PARA RECONSTITUIR A 100ML DE SUSPENSIÓN ORAL</t>
  </si>
  <si>
    <t>1,14</t>
  </si>
  <si>
    <t>row-2r44-yawh~bvgm</t>
  </si>
  <si>
    <t>VORTIOXETINA BROMHIDRATO EQUIVALENTE A 20 MG DE BASE</t>
  </si>
  <si>
    <t>MEGA LABS S.A.</t>
  </si>
  <si>
    <t>1V1012461002100</t>
  </si>
  <si>
    <t>INVIMA 2025M-0021751</t>
  </si>
  <si>
    <t>ACSODIX® 20 TABLETAS RECUBIERTAS</t>
  </si>
  <si>
    <t>CAJA X30 TABLETAS RECUBIERTAS EN BLÍSTER DE ALUMINIO/PVC-PVDC INCOLORO (2 BLÍSTERES X 15 TABLETAS RECUBIERTAS C/U)</t>
  </si>
  <si>
    <t>VORTIOXETINA</t>
  </si>
  <si>
    <t>25,42</t>
  </si>
  <si>
    <t>N06AX26</t>
  </si>
  <si>
    <t>row-tccd-4748_mm4h</t>
  </si>
  <si>
    <t>HIGH NUTRITION COMPANY S.A.S.</t>
  </si>
  <si>
    <t>2C1031151001121</t>
  </si>
  <si>
    <t>IUM 2C1031151001121: CAJA POR 100 CÁPSULAS BLANDAS EN BLÍSTER PVC-PVDC TRANSPARENTE/ALUMINIO POR 2 CÁPSULAS. CONTIENE 50 BLÍSTER.</t>
  </si>
  <si>
    <t>row-f4df~5fez-bfrn</t>
  </si>
  <si>
    <t>20.84 MG DE ROSUVASTATINA CALCICA. EQUIVALENTE A ROSUVASTATINA BASE</t>
  </si>
  <si>
    <t>INVIMA 2023M-0013774-R2</t>
  </si>
  <si>
    <t>ROSUVINA LEGRAND® E 10/20</t>
  </si>
  <si>
    <t>CAJA PLEGADIZA X 30 TABLETAS EN BLISTER PVC/PVDC/ALUMINIO Y BOLSA SACHET</t>
  </si>
  <si>
    <t>row-5tza_eumy~5zc7</t>
  </si>
  <si>
    <t>ATORVASTATINA CÁLCICA TRIHIDRATO EQUIVALENTE AATORVASTATINA BASE</t>
  </si>
  <si>
    <t>1A1005381010101</t>
  </si>
  <si>
    <t>INVIMA 2023M-0011630-R2</t>
  </si>
  <si>
    <t>ESTATLEN®40 MG TABLETAS</t>
  </si>
  <si>
    <t>MUESTRA MEDICA: CAJA POR 4 TABLETAS CUBIERTAS EN BLISTER DE ALUMINIO/PVC/PVDC POR 4 TABLETAS CUBIERTAS CADA BLISTER. EN SU DENOMINACIÓN MARCARIA.ALUMINIO/PVDC</t>
  </si>
  <si>
    <t>row-8zkd-47nr-yc9p</t>
  </si>
  <si>
    <t>BETAMETASONA FOSFATO DISODICO5.263 MG EQUIVALENTE A BETAMETASONA BASE</t>
  </si>
  <si>
    <t>INVIMA 2021M-0003527-R2</t>
  </si>
  <si>
    <t>BETAMETASONA INYECTABLEX 4 MG / ML</t>
  </si>
  <si>
    <t>CAJA POR 1 AMPOLLA VIDRIO TIPO I</t>
  </si>
  <si>
    <t>AMPOLLA POR 1ML</t>
  </si>
  <si>
    <t>H02AB01</t>
  </si>
  <si>
    <t>row-uec8_jsfj~59vz</t>
  </si>
  <si>
    <t>INVIMA 2021M-0016416-R1</t>
  </si>
  <si>
    <t>ESCITALOPRAM 20 MG TABLETAS</t>
  </si>
  <si>
    <t>CAJA PLEGADIZA POR 15 TABLETAS RECUBIERTAS POR 3 BLISTER POR 5 TABLETAS EN ALUMINIO + PVC/PVDC INCOLORO</t>
  </si>
  <si>
    <t>row-n7re.fyg3-bjfb</t>
  </si>
  <si>
    <t>LOSARTÁN POTÁSICO 50.00 MG EQUIVALENTE A LOSARTÁN</t>
  </si>
  <si>
    <t>INVIMA 2018M-0012788-R1</t>
  </si>
  <si>
    <t>COZAAR® XQ 50 MG/5MG TABLETAS RECUBIERTAS</t>
  </si>
  <si>
    <t>CAJA POR 30 TABLETAS RECIBIERTAS EN BLISTER PVC/ALUMINIO/NYLON</t>
  </si>
  <si>
    <t>45,8</t>
  </si>
  <si>
    <t>row-ighs_bqjd_2cqq</t>
  </si>
  <si>
    <t>INVIMA 2022M-0017859-R1</t>
  </si>
  <si>
    <t>ETOART ® 120 MG TABLETA RECUBIERTA.</t>
  </si>
  <si>
    <t>MUESTRA MEDICA: CAJA PLEGADIZA CON 1 BLISTER FOIL /ALU-ALU/SIN DATOPOR 2 TABLETAS RECUBIERTAS.</t>
  </si>
  <si>
    <t>ADEXA PHARMA S.A.S</t>
  </si>
  <si>
    <t>row-iuj8~dgu9~7h3s</t>
  </si>
  <si>
    <t>FENILEFRINA HIDROCLORURO</t>
  </si>
  <si>
    <t>HC CLOVER PRODUCTOS Y SERVICIOS. S.L.</t>
  </si>
  <si>
    <t>INVIMA 2025M-0021944</t>
  </si>
  <si>
    <t>GIFARIL®</t>
  </si>
  <si>
    <t>CAJA X 6 CÁPSULAS BLANDAS. 1 BLÍSTER EN PVC/PVDC TRANSPARENTE /ALUMINIO X 6 CÁPSULAS BLANDAS.</t>
  </si>
  <si>
    <t>row-rb4n~7zzg.4yzb</t>
  </si>
  <si>
    <t>L-ISOLEUCINA</t>
  </si>
  <si>
    <t>MUESTRA MÉDICA: BOLSA BIOFINE TRICAMERAL TRANSPARENTE POR 2463 ML.</t>
  </si>
  <si>
    <t>row-ekz3_866m.pep3</t>
  </si>
  <si>
    <t>POLISACARIDO CAPSULAR PURIFICADO DE MENINGOCOCO SEROGRUPO C</t>
  </si>
  <si>
    <t>INSTITUTO FINLAY DE VACUNAS</t>
  </si>
  <si>
    <t>INVIMA 2019M-011972-R3</t>
  </si>
  <si>
    <t>VA- MENGOC - BC®</t>
  </si>
  <si>
    <t>CAJA CON GRADILLA X 10 VIALES X 10 DOSIS (0.5 ML)</t>
  </si>
  <si>
    <t>DOSIS(0.5ML)</t>
  </si>
  <si>
    <t>µg</t>
  </si>
  <si>
    <t>MENINGOCOCO ANTIGENOS BIVALENTES POLISACARIDOS PURIFICADOS</t>
  </si>
  <si>
    <t>J07AH03</t>
  </si>
  <si>
    <t>row-c6uu-tj7t_m37e</t>
  </si>
  <si>
    <t>VITAMINA A ACETATO TIPO 500EQUIVALENTE A VITAMINA A</t>
  </si>
  <si>
    <t>CAJA CON UN FRASCO EN PEAD. CON TAPA EN PP Y LINNER POR INDUCCION. POR 120 TABLETAS</t>
  </si>
  <si>
    <t>row-wyab_sjzf-xbex</t>
  </si>
  <si>
    <t>POLIETILENGLICOL 400 NF</t>
  </si>
  <si>
    <t>LABORATORIOS ALCON DE COLOMBIA S.A</t>
  </si>
  <si>
    <t>INVIMA 2014M-0002655-R1</t>
  </si>
  <si>
    <t>SYSTANE GOTAS LUBRICANTES OCULARES</t>
  </si>
  <si>
    <t>MUESTRA MEDICA: CAJA DE CARTON CON UN FRASCO GOTERO DE POLIETILENO DE BAJA DENSIDADSIN DATOPOR 2. 5 ML CON TAPA EN POLIPROPILENO CON BANDA DE SEGURIDAD</t>
  </si>
  <si>
    <t>CADA ML CONTIENE</t>
  </si>
  <si>
    <t>ALCON LABORATORIES INC.</t>
  </si>
  <si>
    <t>row-q4a7-67n6.4wfy</t>
  </si>
  <si>
    <t>L-SERINA</t>
  </si>
  <si>
    <t>MUESTRA MÉDICA: BOLSA TRICAMERAL EN BIOFINE POR 1206 ML.</t>
  </si>
  <si>
    <t>row-pzpm.j6xr~7pds</t>
  </si>
  <si>
    <t>HEPARINOIDE</t>
  </si>
  <si>
    <t>FARMACOL CHINOIN S.A.S..</t>
  </si>
  <si>
    <t>INVIMA 2008 M-011596 R1</t>
  </si>
  <si>
    <t>VASOTON GEL.</t>
  </si>
  <si>
    <t>MUESTRA MEDICA EN CAJA POR UN TUBO COLAPSIBLE DE PEBD CON TAPA DE PP POR 10 G</t>
  </si>
  <si>
    <t>100 G</t>
  </si>
  <si>
    <t>HEPARINOIDE COMBINACIONES</t>
  </si>
  <si>
    <t>0,3</t>
  </si>
  <si>
    <t>C05BA51</t>
  </si>
  <si>
    <t>row-iy25-3gqz.rm37</t>
  </si>
  <si>
    <t>MEROPENEM TRIHIDRATO1141 MG EQUIVALENTE A MEROPENEM ANHIDRO</t>
  </si>
  <si>
    <t>EUGIA PHARMA SPECIALITIES LIMITED</t>
  </si>
  <si>
    <t>1M1003691009100</t>
  </si>
  <si>
    <t>INVIMA 2021M-0016293-R1</t>
  </si>
  <si>
    <t>MEROGRAM® 1000MG</t>
  </si>
  <si>
    <t>CAJA POR UN FRASCO TUBULAR VIAL DE VIDRIO TIPO I DE 40 ML CON TAPON DE BROMOBUTILO Y AGRAFE DE ALUMINIO Y TAPA FLIP-OFF CONTIENDO 1000 MG DE MEROPENEM + INSERTO</t>
  </si>
  <si>
    <t>MEROPENEM</t>
  </si>
  <si>
    <t>J01DH02</t>
  </si>
  <si>
    <t>row-yrjr_9j72~rwkw</t>
  </si>
  <si>
    <t>ASCORBATO DE SODIO 560 MG EQUIVALENTE A ACIDO ASCORBICO</t>
  </si>
  <si>
    <t>INVIMA 2022M-0017962-R1</t>
  </si>
  <si>
    <t>VITAMINA C</t>
  </si>
  <si>
    <t>MUESTRA MEDICA: CAJA POR 10 CAPSULAS BLANDAS EN BLISTER PVC/PVDC TRANSPARENTE/FOIL ALUMINIO POR 10 CAPSULAS</t>
  </si>
  <si>
    <t>CAPSULAS BLANDAS</t>
  </si>
  <si>
    <t>row-778a.6e48.c5tj</t>
  </si>
  <si>
    <t>CAJA POR 10 JERINGAS PRELLENADAS DE VIDRIO TIPO I CON UNA AGUJA FIJA Y TAPÓN DE CAUCHO DE CLOROBUTILO 0.2ML CON UN DISPOSITIVO DE SEGURIDAD. INSERTO E INSTRUCTIVO DE USO. CON Y SIN MARCACIÓN EN BLÍSTER (ENOXAPARINA 20MG) DE CADA JERINGA PRELLENADA</t>
  </si>
  <si>
    <t>row-axpx.9376_ivm8</t>
  </si>
  <si>
    <t>LAMOTRIGINA</t>
  </si>
  <si>
    <t>DELPHARMA POZNAN S.A.</t>
  </si>
  <si>
    <t>INVIMA2014M-0002638-R1</t>
  </si>
  <si>
    <t>LAMICTAL ® 50 MG TABLETAS DISPERSABLES.</t>
  </si>
  <si>
    <t>CAJA 30 TABLETAS DISPERSABLES POR UN BLISTER (PVC/PVDC/AL)</t>
  </si>
  <si>
    <t>N03AX09</t>
  </si>
  <si>
    <t>row-6nkg_mt2d-ptp4</t>
  </si>
  <si>
    <t>ATORVASTATINA CALCIO TRIHIDRATO (FORMA CRISTALINA I) EQUIVALENTE A ATORVASTATINA</t>
  </si>
  <si>
    <t>VIATRIS PHARMACEUTICALS LLC</t>
  </si>
  <si>
    <t>INVIMA 2019M-0002537-R2</t>
  </si>
  <si>
    <t>LIPITOR®80 MG TABLETAS</t>
  </si>
  <si>
    <t>CAJA POR 90 TABLETAS EN 9 BLÍSTER DE ALUMINIO/ALUMINIO (ALUMINIO PA / ALUMINIO / PVC -2.4 MM) POR 10 TABLETAS</t>
  </si>
  <si>
    <t>row-7mvd.j5y3-vupb</t>
  </si>
  <si>
    <t>CARBONATO DE CALCIO 1500 MG EQUIVALENTEACALCIO</t>
  </si>
  <si>
    <t>INVIMA 2020M-0013166-R1</t>
  </si>
  <si>
    <t>OROCAL TABLETAS MASTICABLES 1500MG</t>
  </si>
  <si>
    <t>MUESTRA MÉDICA CAJA POR 10 TABLETAS EN BLISTER PVC/ALU X 10 TABLETAS</t>
  </si>
  <si>
    <t>LABORATORIOS LEBRIUT S.A.S.</t>
  </si>
  <si>
    <t>CALCIO CARBONATO</t>
  </si>
  <si>
    <t>A12AA04</t>
  </si>
  <si>
    <t>row-y3mu~z8w9.jaid</t>
  </si>
  <si>
    <t>EVEROLIMUS</t>
  </si>
  <si>
    <t>INVIMA 2025M-0021859</t>
  </si>
  <si>
    <t>ZEOXTRED 5MG TABLETAS</t>
  </si>
  <si>
    <t>CAJA PLEGADIZA CON 90 TABLETAS EN 9 BLÍSTER HDPE/PE/ALUMINIO DE 10 TABLETAS</t>
  </si>
  <si>
    <t>L01XE10</t>
  </si>
  <si>
    <t>row-f8ku-trqv.235j</t>
  </si>
  <si>
    <t>IRBESARTÁN</t>
  </si>
  <si>
    <t>1I1031011003101</t>
  </si>
  <si>
    <t>INVIMA 2022M-0020849</t>
  </si>
  <si>
    <t>IRBETT® 150 MG TABLETAS</t>
  </si>
  <si>
    <t>1I1031011003101. IRBESARTAN 150 MG TABLETAS DE LIBERACION NO MODIFICADA ORAL (IRBETT) TABLETA 1 U / CAJA X 14. CAJA POR 14 TABLETAS EN BLÍSTER DE PVC / PVDC TRANSPARENTE - ALUMINIO.</t>
  </si>
  <si>
    <t>row-myjm-suuv.3yrn</t>
  </si>
  <si>
    <t>TRIOXIDO DE ARSENICO</t>
  </si>
  <si>
    <t>PHEBRA PTY LTD</t>
  </si>
  <si>
    <t>1A1006851003100</t>
  </si>
  <si>
    <t>INVIMA 2020M-0019895</t>
  </si>
  <si>
    <t>PHENASEN®</t>
  </si>
  <si>
    <t>1A1006851003100 - CAJA PLEGADIZA QUE CONTIENE 10 VIALES DE VIDRIO CLARO TIPO I TAPÓN DE CAUCHOSIN DATOY SELLO DE ALUMINIO FLIP-OFF</t>
  </si>
  <si>
    <t>VIAL DE 10 ML</t>
  </si>
  <si>
    <t>ARSENICO TRIOXIDO</t>
  </si>
  <si>
    <t>L01XX27</t>
  </si>
  <si>
    <t>row-rq82~2xy8_nn7h</t>
  </si>
  <si>
    <t>CINITAPRIDA TARTRATO ÁCIDO 1.37 MGEQUIVALENTE A CINITAPRIDA</t>
  </si>
  <si>
    <t>INVIMA 2023M-0018107-R1</t>
  </si>
  <si>
    <t>ROGASTRIL® PLUS TABLETAS MASTICABLES</t>
  </si>
  <si>
    <t>CAJA X 30 TABLETAS MASTICABLES EN 3 BLISTER DE ALU/PVC ACLAR</t>
  </si>
  <si>
    <t>TABLETAMASTICABLE</t>
  </si>
  <si>
    <t>SIMETICONA. COMBINACIONES</t>
  </si>
  <si>
    <t>A03AX51</t>
  </si>
  <si>
    <t>row-w5fn.jhrd~gtaq</t>
  </si>
  <si>
    <t>RIVASTIGMINA BASE PARA LIBERAR 9.5MG / 24 HORAS</t>
  </si>
  <si>
    <t>1R1042141001101</t>
  </si>
  <si>
    <t>INVIMA 2025M-0021965</t>
  </si>
  <si>
    <t>ASTIGMIN® NF 9.5MG / 24H PARCHE TRANSDERMICO</t>
  </si>
  <si>
    <t>CAJA POR 3 SACHETS MULTILAMINADO (PAPEL/PET/PE/ALUMINIO/LASPOLD). CADA SACHET CONTINE UN (1) PARCHE TRANSDÉRMICO.</t>
  </si>
  <si>
    <t>PARCHE TRANSDERMICO</t>
  </si>
  <si>
    <t>SISTEMA TRANSDÉRMICO DE LIBERACIÓN PROLONGADA (PARCHE)</t>
  </si>
  <si>
    <t>RIVASTIGMINA</t>
  </si>
  <si>
    <t>12,8</t>
  </si>
  <si>
    <t>N06DA03</t>
  </si>
  <si>
    <t>TRANSDERMAL</t>
  </si>
  <si>
    <t>row-fa2g_bprk-aanr</t>
  </si>
  <si>
    <t>LEVOCETIRIZINA DICLORHIDRATO</t>
  </si>
  <si>
    <t>INVIMA 2021M-0020164</t>
  </si>
  <si>
    <t>BREATHEZY - L</t>
  </si>
  <si>
    <t>PRESENTACIÓN GENÉRICA: CAJA POR 30 TABLETAS RECUBIERTAS: 3 BLÍSTER POR 10 TABLETAS RECUBIERTAS.</t>
  </si>
  <si>
    <t>CADA TABLETA RECUBIERTA CONTIENE</t>
  </si>
  <si>
    <t>MONTELUKAST. COMBINACIONES</t>
  </si>
  <si>
    <t>R03DC53</t>
  </si>
  <si>
    <t>row-cenu.bxbd_yi37</t>
  </si>
  <si>
    <t>CAFEINA ANHIDRA</t>
  </si>
  <si>
    <t>2C1031421001100</t>
  </si>
  <si>
    <t>INVIMA 2019M-0019462</t>
  </si>
  <si>
    <t>FOLTRIP ®</t>
  </si>
  <si>
    <t>CAJA PLEGADIZA CON 1 BLISTER EN ALUMINIO /PVDC POR 4 CAPSULAS BLANDAS</t>
  </si>
  <si>
    <t>row-tmeh-8rrx~nmpg</t>
  </si>
  <si>
    <t>CRISABOROL</t>
  </si>
  <si>
    <t>PHARMACIA &amp; UPJOHN COMPANY</t>
  </si>
  <si>
    <t>INVIMA 2023M-0021049</t>
  </si>
  <si>
    <t>STAQUIS® 2% UNGUENTO</t>
  </si>
  <si>
    <t>- DOS (2) TUBOS MULTILAMINADOS (PE/PE/EAA/ALU/EAA/LMDPE) POR 2.5 G. CON CABEZA EN PEAD Y TAPA EN PP EN CAJA PLEGADIZA.</t>
  </si>
  <si>
    <t>100 G DE UNGUENTO</t>
  </si>
  <si>
    <t>CRISABOROLE</t>
  </si>
  <si>
    <t>D11AH06</t>
  </si>
  <si>
    <t>row-5ybw.n5hs.xy4b</t>
  </si>
  <si>
    <t>IFOSFAMIDA</t>
  </si>
  <si>
    <t>LABORATORIOS KEMEX S.A.</t>
  </si>
  <si>
    <t>INVIMA 2014M-0015046</t>
  </si>
  <si>
    <t>IFOSFAMIDA 1 G</t>
  </si>
  <si>
    <t>CAJA X 1 FRASCO VIAL DE VIDRIO TIPO I. AMBAR POR 1G</t>
  </si>
  <si>
    <t>BLAU FARMACEUTICA COLOMBIA S.A.S</t>
  </si>
  <si>
    <t>L01AA06</t>
  </si>
  <si>
    <t>row-sznc~389t_azra</t>
  </si>
  <si>
    <t>POLISACÁRIDO MENINGOCÓCICO CONJUGADO CON TOXOIDE DIFTERICO SEROGRUPO A</t>
  </si>
  <si>
    <t>SANOFI AVENTIS DE COLOMBIA S.A</t>
  </si>
  <si>
    <t>CAJ A POR UN VIAL DE VIDRIO TRANSPARENTE DE BOROSILICATO TIPO I CON TAPON DE BUTILO DE 13 MM Y SELLO DESPRENDIBLE. POR UNA DOSIS</t>
  </si>
  <si>
    <t>row-7nsm~yjwx.iueu</t>
  </si>
  <si>
    <t>GATIFLOXACINA SESQUIHIDRATO EQUIVALENTE A GATIFLOXACINA ANHIDRA</t>
  </si>
  <si>
    <t>ALLERGAN PRODUTOS FARMACEUTICOS LTDA</t>
  </si>
  <si>
    <t>INVIMA 2019M-0013743-R1</t>
  </si>
  <si>
    <t>ZYMAXID®</t>
  </si>
  <si>
    <t>CAJA POR FRASCO GOTERO EN PEBD X 5 ML</t>
  </si>
  <si>
    <t>ABBVIE INC</t>
  </si>
  <si>
    <t>GATIFLOXACINO</t>
  </si>
  <si>
    <t>S01AE06</t>
  </si>
  <si>
    <t>row-ga4e~wx5s_vdkc</t>
  </si>
  <si>
    <t>IODIXANOL 550 MG EQUIVALENTE A YODO</t>
  </si>
  <si>
    <t>GE HEALTHCARE COLOMBIA S.A.S</t>
  </si>
  <si>
    <t>INVIMA 2016M-014798-R2</t>
  </si>
  <si>
    <t>VISIPAQUE 270MG I /ML</t>
  </si>
  <si>
    <t>MUESTRA MÉDICA: CAJA MULTIPACK POR 10 BOTELLAS DE POLIPROPILENO X 50 ML CON TAPON DE BROMOBUTILO FORMULACIÓN 1 (CURADO CON RELLENO DE ARCILLA CALCINADA) + INSERTO</t>
  </si>
  <si>
    <t>row-5vei.6m4p~w9mx</t>
  </si>
  <si>
    <t>BOLSA DE PLÁSTICO MULTIESTRATIFICADA DE COPOLIMERO POLI-EP / EVA / PCCESIN DATOCON TRES COMPARTIMENTOSSIN DATOPOR 1500 ML</t>
  </si>
  <si>
    <t>0,224</t>
  </si>
  <si>
    <t>row-tkfv~696k~99jn</t>
  </si>
  <si>
    <t>DICLOFENACO COLESTIRAMINA 140 MG EQUIVALENTE A DICLOFENACO SODICO</t>
  </si>
  <si>
    <t>INVIMA 2015M-0002733 R1</t>
  </si>
  <si>
    <t>PRO LERTUS® 140 MG</t>
  </si>
  <si>
    <t>CAJA X 10SIN DATOCÁPSULAS DE LIBERACIÓN PROLONGADA EN BLISTER ALU/PVC-PVDC INCOLORO</t>
  </si>
  <si>
    <t>CÁPSULA DE LIBERACIÓN PROLONGADA</t>
  </si>
  <si>
    <t>FARMACEUTICA PARAGUAYA S.A.</t>
  </si>
  <si>
    <t>row-xg5t-aa7m.iywb</t>
  </si>
  <si>
    <t>TRIPTOFANO</t>
  </si>
  <si>
    <t>CAJA X 5 BOLSAS (CADA BOLSA PLÁSTICA FLEXIBLE CON TRES COMPARTIMENTOS X 2500 ML) + INSERTO.</t>
  </si>
  <si>
    <t>0,8</t>
  </si>
  <si>
    <t>row-fknv_ptmy~3uzn</t>
  </si>
  <si>
    <t>OXIGENOS DE COLOMBIA LTDA PLANTA (T 100)</t>
  </si>
  <si>
    <t>1O1046901000109</t>
  </si>
  <si>
    <t>CILINDRO X 3.5 METROS CUBICOS</t>
  </si>
  <si>
    <t>row-tt7k-tbv8_q3c6</t>
  </si>
  <si>
    <t>ACETAMINOFÉN</t>
  </si>
  <si>
    <t>2C1022161001103</t>
  </si>
  <si>
    <t>INVIMA 2022M-0020625</t>
  </si>
  <si>
    <t>ACETAMINOFEN 500 MG + CAFEINA 65 MG FORTE TABLETAS RECUBIERTAS</t>
  </si>
  <si>
    <t>2C1022161001103. CAFEINA 65 MG/PARACETAMOL 500 MG TABLETAS DE LIBERACION NO MODIFICADA ORAL (CLARIPACK) TABLETA 1 U / CAJA X 10. CAJA POR 10 TABLETAS RECUBIERTAS EN 1 BLISTER PVC-PVDC TRANSPARENTE/ALUMINIO POR 10 TABLETAS RECUBIERTAS.</t>
  </si>
  <si>
    <t>row-b5g7-5aeb_ipe8</t>
  </si>
  <si>
    <t>NICOTINAMIDA (NIACINAMIDA)</t>
  </si>
  <si>
    <t>INVIMA 2022M-13986-R2</t>
  </si>
  <si>
    <t>HEMOCYTON ELIXIR</t>
  </si>
  <si>
    <t>FRASCO DE VIDRIO AMBAR TIPO III POR 340 ML</t>
  </si>
  <si>
    <t>100ML</t>
  </si>
  <si>
    <t>ELIXIR</t>
  </si>
  <si>
    <t>MULTIVITAMINAS MAS HIERRO</t>
  </si>
  <si>
    <t>111,3</t>
  </si>
  <si>
    <t>A11AA01</t>
  </si>
  <si>
    <t>row-26vm~9gfm_eq54</t>
  </si>
  <si>
    <t>BUTILBROMURO DE HIOSCINA</t>
  </si>
  <si>
    <t>GONHER FARMACEUTICA LTDA.</t>
  </si>
  <si>
    <t>INVIMA 2021M-0011203-R2</t>
  </si>
  <si>
    <t>COLESPAS® 10 MG</t>
  </si>
  <si>
    <t>USO INSTITUCIONAL: CAJA X 250 TABLETAS RECUBIERTAS. EN BLÍSTER PVC INCOLORO TRANSPARENTE / ALUMINIO POR 10 TABLETAS RECUBIERTAS CADA UNO.</t>
  </si>
  <si>
    <t>LABQUIFAR LTDA.</t>
  </si>
  <si>
    <t>row-3qxa-eyx3.cidw</t>
  </si>
  <si>
    <t>MONTELUKAST SODICO 4.16 MG EQUIVALENTE A MONTELUKAST</t>
  </si>
  <si>
    <t>INVIMA 2022M-0014304-R1</t>
  </si>
  <si>
    <t>AIROMED®4 MGTABLETAS MASTICABLES</t>
  </si>
  <si>
    <t>CAJA POR 20 TABLETAS MASTICABLES. EN BLÍSTER OPA-ALUMINIO-PVC / FOIL ALUMINIO POR 10 TABLETAS MASTICABLES CADA UNO.</t>
  </si>
  <si>
    <t>row-ffnb_9mza.ivuv</t>
  </si>
  <si>
    <t>LABORATORIOS LEGRAND S.A</t>
  </si>
  <si>
    <t>INVIMA 2023M-0013671-R2</t>
  </si>
  <si>
    <t>CARDIK® 320</t>
  </si>
  <si>
    <t>USO INSTITUCIONAL: CAJA XSIN DATO420 TABLETAS EN BLISTER DE OPA/AL/PVC-ALUMINIO</t>
  </si>
  <si>
    <t>row-kv2u~xzru.tt3t</t>
  </si>
  <si>
    <t>CAMARA 3: EMULSION LIPIDICA (SMOFLIPID 20%) :ACEITE DE SOYA REFINADO</t>
  </si>
  <si>
    <t>11,4</t>
  </si>
  <si>
    <t>row-7fiq-ig7g.jk8v</t>
  </si>
  <si>
    <t>ZOLPIDEM HEMITARTRATO</t>
  </si>
  <si>
    <t>INVIMA 2025M-0021988</t>
  </si>
  <si>
    <t>ZOLNOX® 10MG</t>
  </si>
  <si>
    <t>CAJA PLEGADIZA POR 1 BLÍSTER ALUMINIO PVC/ACLAR TRANSPARENTE POR 7 TABLETAS</t>
  </si>
  <si>
    <t>ZOLPIDEM</t>
  </si>
  <si>
    <t>N05CF02</t>
  </si>
  <si>
    <t>row-qtd8-csec-wipf</t>
  </si>
  <si>
    <t>CLINDAMICINA FOSFATO(EQUIVALENTE A ACLINDAMICINA BASE )</t>
  </si>
  <si>
    <t>INVIMA 2021M-0010798-R1</t>
  </si>
  <si>
    <t>VAGYLIN</t>
  </si>
  <si>
    <t>TUBO LAMINADO EP2612CN DE 20 G IMPRESO O CON ETIQUETA.</t>
  </si>
  <si>
    <t>NATURALMENTE NF SAS</t>
  </si>
  <si>
    <t>2,4</t>
  </si>
  <si>
    <t>row-muqw.3cpx-snwd</t>
  </si>
  <si>
    <t>MUESTRA MEDICA: CAJA POR 5 TABLETAS CUBIERTAS EN BLISTER ALUMINIO-ALUMINIO POR 5 TABLETAS CUBIERTAS.</t>
  </si>
  <si>
    <t>row-ucmq-qba6~sk63</t>
  </si>
  <si>
    <t>GLICINA</t>
  </si>
  <si>
    <t>INVIMA 2020M-0002693-R2</t>
  </si>
  <si>
    <t>AMINOVEN INFANT 10%</t>
  </si>
  <si>
    <t>FRASCO DE VIDRIO TIPO II INCOLORO POR 1000 ML</t>
  </si>
  <si>
    <t>FRESENIUS KABI DEUTSCHLAND GMBH</t>
  </si>
  <si>
    <t>4,15</t>
  </si>
  <si>
    <t>row-n556~3h2k~ttay</t>
  </si>
  <si>
    <t>NADROPARINA CÁLCICA</t>
  </si>
  <si>
    <t>ASPEN NOTRE DAME DE BONDEVILLE</t>
  </si>
  <si>
    <t>INVIMA 2020M-007194-R2</t>
  </si>
  <si>
    <t>FRAXIPARINE 0.4 ML</t>
  </si>
  <si>
    <t>CAJA POR 2 JERINGAS DE VIDRIO TIPO I PRELLENADAS CON 0.4 ML DE DE SOLUCION INYECTABLESIN DATO. MUESTRA MEDICA</t>
  </si>
  <si>
    <t>ASPEN LABS S.A. DE C.V..</t>
  </si>
  <si>
    <t>NADROPARINA</t>
  </si>
  <si>
    <t>B01AB06</t>
  </si>
  <si>
    <t>INTRAVASCULAR EN HEMODIÁLISIS</t>
  </si>
  <si>
    <t>row-mj55-4sb2_dhut</t>
  </si>
  <si>
    <t>POLISACÁRIDO MENINGOCÓCICO CONJUGADO CON TOXOIDE DIFTERICO SEROGRUPO Y</t>
  </si>
  <si>
    <t>SANOFI PASTEUR S.A.</t>
  </si>
  <si>
    <t>row-uguu~gfec-66fv</t>
  </si>
  <si>
    <t>FRASCO DE VIDRIO TIPO II INCOLORO POR 250 ML</t>
  </si>
  <si>
    <t>9,3</t>
  </si>
  <si>
    <t>row-x55e_6q4r~qfs6</t>
  </si>
  <si>
    <t>52.80 MG BUPIVACAINA CLORHIDRATO MONOHIDRATO EQUIVALENTE ABUPIVACAINA CLORHIDRATO</t>
  </si>
  <si>
    <t>ROPSOHN LABORATORIOSS.A.S. (PLANTA INYECTABLES)</t>
  </si>
  <si>
    <t>INVIMA 2018M-012592-R3</t>
  </si>
  <si>
    <t>BUPIVACAINA 0.5 % EPINEFRINA 1:200.000 AMPOLLAS</t>
  </si>
  <si>
    <t>USO INSTITUCIONAL CAJA POR 24 AMPOULEPACK EN PEBD POR 10 ML.</t>
  </si>
  <si>
    <t>AMPOULEPACK</t>
  </si>
  <si>
    <t>ROPSOHN LABORATORIOS S.A.S</t>
  </si>
  <si>
    <t>BUPIVACAINA COMBINACIONES</t>
  </si>
  <si>
    <t>N01BB51</t>
  </si>
  <si>
    <t>EPIDURAL</t>
  </si>
  <si>
    <t>row-4wxz-r8qj-kpbz</t>
  </si>
  <si>
    <t>CAJA PLEGADIZA POR 5 SACHERT LAMINADO PORSIN DATO100 ML C/U DE SOLUCIÓN ORAL SABOR COCO</t>
  </si>
  <si>
    <t>row-s6ff_ipwf-j7pr</t>
  </si>
  <si>
    <t>MUESTRA MÉDICA: FRASCO DE POLIPROPILENO CLASE IV USP CON TAPA AZUL DE POLIPROPILENO POR 625 ML CON SABOR A DURAZNO.</t>
  </si>
  <si>
    <t>0,041</t>
  </si>
  <si>
    <t>row-5p2i.qf3r-ig64</t>
  </si>
  <si>
    <t>SIMVASTATINA</t>
  </si>
  <si>
    <t>INVIMA 2019M-0003407-R2</t>
  </si>
  <si>
    <t>SIMVASTATINA 40 MG</t>
  </si>
  <si>
    <t>CAJA POR 20 TABLETAS RECUBIERTAS EN BLISTER ALUMINIO PVC-PVDC POR 10 TABLETAS RECUBIERTAS</t>
  </si>
  <si>
    <t>C10AA01</t>
  </si>
  <si>
    <t>row-3bk9~bpue~67k4</t>
  </si>
  <si>
    <t>GABAPENTIN</t>
  </si>
  <si>
    <t>1G1003471001100</t>
  </si>
  <si>
    <t>INVIMA 2020M-0010350-R1</t>
  </si>
  <si>
    <t>NEURONTIN 400 MG CAPSULAS</t>
  </si>
  <si>
    <t>CAJA DE CARTÓN POR 30 CAPSULAS DE GELATINA DURA EN BLISTER PVC-PVDC/ALUMINIO</t>
  </si>
  <si>
    <t>N03AX12</t>
  </si>
  <si>
    <t>row-mkm5~gjx5_5wdv</t>
  </si>
  <si>
    <t>TALAZOPARIB TOSYLATO 0.363 EQUIVALENTE A TALAZOPARIB BASE</t>
  </si>
  <si>
    <t>1T1038271000106</t>
  </si>
  <si>
    <t>INVIMA 2023M-0020987</t>
  </si>
  <si>
    <t>TALZENNA® 0.25 MG CÁPSULAS</t>
  </si>
  <si>
    <t>MUESTRA MÉDICA:1T1038271000106: TALAZOPARIB 0.2500 MG CAPSULAS DE LIBERACION NO MODIFICADA ORAL (TALZENNA) CAPSULA 1.0000U / CAJA X 50 (NA). CAJA CON UN FRASCO EN POLIETILENO DE ALTA DENSIDAD (HDPE) Y TAPA EN POLIPROPILENO (PP) X 50 CÁPSULAS</t>
  </si>
  <si>
    <t>TALAZOPARIB</t>
  </si>
  <si>
    <t>0,25</t>
  </si>
  <si>
    <t>L01XK04</t>
  </si>
  <si>
    <t>row-6pkz_977i-37kn</t>
  </si>
  <si>
    <t>TAMOXIFENO CITRATO EQUIVALENTE A TAMOXIFENO BASE</t>
  </si>
  <si>
    <t>ASOFARMA DE MEXICO S.A. DE C.V.</t>
  </si>
  <si>
    <t>INVIMA 2010 M-011234 R2</t>
  </si>
  <si>
    <t>TAXUS® 20 MG COMPRIMIDOS</t>
  </si>
  <si>
    <t>CAJA DE CARTÓN PLEGADIZA POR 10 BLISTER X 10 COMPRIMIDOS CADA UNO. BLISTER ALUMINIO/PVC/PVDC COLOR BLANCO</t>
  </si>
  <si>
    <t>TABLETA (COMPRIMIDO)</t>
  </si>
  <si>
    <t>ASOFARMA S.A. DE C.V.</t>
  </si>
  <si>
    <t>TAMOXIFENO</t>
  </si>
  <si>
    <t>L02BA01</t>
  </si>
  <si>
    <t>row-32iy~wdhe-qu6h</t>
  </si>
  <si>
    <t>INVIMA 2019M-0009637-R1</t>
  </si>
  <si>
    <t>IBUPROFAR ® 2% SUSPENSION</t>
  </si>
  <si>
    <t>FRASCO PET AMBAR POR 120 ML.</t>
  </si>
  <si>
    <t>FARMACOOP</t>
  </si>
  <si>
    <t>row-uh53_bd5j_j6uu</t>
  </si>
  <si>
    <t>IMATINIB MESILATO 477.88MG EQUIVALENTE A IMATINIB</t>
  </si>
  <si>
    <t>ICLOS URUGUAY S.A.</t>
  </si>
  <si>
    <t>INVIMA 2012M-0013618</t>
  </si>
  <si>
    <t>MATINAC ® 400</t>
  </si>
  <si>
    <t>MUESTRA MÉDICA: CAJA POR 30 TABLETAS RECUBIERTAS EN BLÍSTER ALUMINIO - PVC/ ACLAR.</t>
  </si>
  <si>
    <t>row-zb5b_xybs~gtre</t>
  </si>
  <si>
    <t>INVIMA 2022M-0014820-R1</t>
  </si>
  <si>
    <t>LANZOR® 30 MG CÁPSULA</t>
  </si>
  <si>
    <t>USO INSTITUCIONAL: CAJA X 200 CÁPSULAS EN BLISTER STARFLEX / FOILSIN DATOALUMINIO BLISTER PORSIN DATO10SIN DATOCÁPSULAS.</t>
  </si>
  <si>
    <t>row-9k2c_7bd3~6j3b</t>
  </si>
  <si>
    <t>ROSUVASTATINA CALCICAEQUIVALENTE A ROSUVASTATINA BASE</t>
  </si>
  <si>
    <t>INVIMA 2015M-0011514-R1</t>
  </si>
  <si>
    <t>ROSUCOL® 20 MG TABLETA RECUBIERTA</t>
  </si>
  <si>
    <t>CAJA POR 4 TABLETAS EN BLISTER ALUMINIO/PVDC TRANSPARENTE</t>
  </si>
  <si>
    <t>row-7ipa_ehsq_dacy</t>
  </si>
  <si>
    <t>FRACCIÓN FLAVONOIDE PURIFICADA Y MICRONIZADA (CORRESPONDIENDO A DIOSMINA: 90%900 MG FLAVONOIDES EXPRESADOS EN HESPERIDINA: 10% 100 MG)</t>
  </si>
  <si>
    <t>UNITHER LIQUID MANUFACTURING</t>
  </si>
  <si>
    <t>INVIMA 2021M-0016408-R1</t>
  </si>
  <si>
    <t>DAFLON® 1000MG. SUSPENSIÓN ORAL</t>
  </si>
  <si>
    <t>CAJA X100 SACHETS DE 10 MLSIN DATOCADA UNO</t>
  </si>
  <si>
    <t>SACHET DE 10ML</t>
  </si>
  <si>
    <t>LES LABORATOIRES SERVIER</t>
  </si>
  <si>
    <t>DIOSMIN COMBINACIONES</t>
  </si>
  <si>
    <t>C05CA53</t>
  </si>
  <si>
    <t>row-34ij~ama8.4i6r</t>
  </si>
  <si>
    <t>CANDESARTAN CILEXETIL</t>
  </si>
  <si>
    <t>INVIMA 2022M-0009243-R1</t>
  </si>
  <si>
    <t>CANDEPREX® 16 MG TABLETAS</t>
  </si>
  <si>
    <t>MUESTRA MÉDICA: CAJA POR 30 TABLETAS EN BLÍSTER ALUMINIO - PVC/PVDCSIN DATOBLANCO</t>
  </si>
  <si>
    <t>CANDESARTAN</t>
  </si>
  <si>
    <t>C09CA06</t>
  </si>
  <si>
    <t>row-w2x5.gt6r_sv3s</t>
  </si>
  <si>
    <t>BOLSA DE PLÁSTICO MULTIESTRATIFICADA DE COPOLIMERO POLI-EP / EVA / PCCESIN DATOCON TRES COMPARTIMENTOSSIN DATOPOR 1000 ML</t>
  </si>
  <si>
    <t>0,395</t>
  </si>
  <si>
    <t>row-gfhy_adi6_5nc5</t>
  </si>
  <si>
    <t>MARCA: CAJA POR 14 CAPSULAS EN BLÍSTER DE PVC/PVDC/ALUMINIO EN BOLSA SACHET.</t>
  </si>
  <si>
    <t>row-sz8d.7zsc.crk6</t>
  </si>
  <si>
    <t>L-HISTIDINA</t>
  </si>
  <si>
    <t>MUESTRA MÉDICA: BOLSA BIOFINE TRICAMERAL TRANSPARENTE POR 1477 ML.</t>
  </si>
  <si>
    <t>1,5</t>
  </si>
  <si>
    <t>row-zqy6-peg3.gjjq</t>
  </si>
  <si>
    <t>INVIMA 2016M-0004690-R1</t>
  </si>
  <si>
    <t>IRBETT 300TABLETAS</t>
  </si>
  <si>
    <t>CAJA POR 16 TABLETAS EN BLISTER PVC/ALUMINIO</t>
  </si>
  <si>
    <t>row-icgq-kj7b-qrud</t>
  </si>
  <si>
    <t>ACEITE DE OLIVA REFINADO + ACEITE DE SOYA REFINADO</t>
  </si>
  <si>
    <t>3A1034011000102</t>
  </si>
  <si>
    <t>INVIMA 2020M-0019953</t>
  </si>
  <si>
    <t>OLIMELN12E</t>
  </si>
  <si>
    <t>BOLSA MULTICAPA PLÁSTICA TRANSPARENTE CON TRES COMPARTIMENTOS POR 1500 ML CON SOBREBOLSA PLÁSTICA TRANSPARENTE QUE CONTIENE UN ABSORBENTE DE OXÍGENO (SACHET PLÁSTICO TRANSPARENTE CONTENIENDO PRINCIPALMENTE ÓXIDO DE HIERRO).</t>
  </si>
  <si>
    <t>ML DE EMULSION INYECTABLE</t>
  </si>
  <si>
    <t>row-777y.23c7-97mx</t>
  </si>
  <si>
    <t>1B1000661000100</t>
  </si>
  <si>
    <t>BOSUTINIB 500.0000 MG TABLETAS DE LIBERACION NO MODIFICADA ORAL (BOSULIF) TABLETA 1.0000U / CAJA X 14</t>
  </si>
  <si>
    <t>row-tmb8-j2ak.zap7</t>
  </si>
  <si>
    <t>INVIMA 2023M-0007832-R2</t>
  </si>
  <si>
    <t>EUTIROX® 137 MCG</t>
  </si>
  <si>
    <t>CAJA POR 5 TABLETAS..</t>
  </si>
  <si>
    <t>row-jjsr_jtie.dutu</t>
  </si>
  <si>
    <t>FRASCO DE POLIPROPILENO CLASE IV CON TAPA POR 625 ML CON SABOR A FRESA-KIWI</t>
  </si>
  <si>
    <t>row-jgkp-dmtp_7333</t>
  </si>
  <si>
    <t>ACIDO ASCORBICO RECUBIERTO</t>
  </si>
  <si>
    <t>BOLSA X 1020 TABLETAS EN SOBRE LAMINADO DE PAPEL/ ALUMINIO / POLIETILENO POR 12 TABLETAS CADA UNO.</t>
  </si>
  <si>
    <t>row-n7h4~8ma5.69gs</t>
  </si>
  <si>
    <t>INVIMA 2019M-010642-R3</t>
  </si>
  <si>
    <t>EUTIROX® 100 MCG TABLETAS</t>
  </si>
  <si>
    <t>CAJA POR 30 TABLETAS EN BLISTER ALUMINIO/ALUMINIO</t>
  </si>
  <si>
    <t>0,1</t>
  </si>
  <si>
    <t>row-s3wg.x45r~uu92</t>
  </si>
  <si>
    <t>QUIBI S.A</t>
  </si>
  <si>
    <t>INVIMA 2020M-0014417-R1</t>
  </si>
  <si>
    <t>PEDIASOL® 30</t>
  </si>
  <si>
    <t>FRASCO DE POLIETILENO DE ALTA DENSIDAD (PEAD) POR 500 ML. LINNER Y TAPA PULL PUSH ROJA CON SOBRE TAPA. SABOR CEREZA</t>
  </si>
  <si>
    <t>100 ML DE SOLUCIÓN</t>
  </si>
  <si>
    <t>row-iid7.fvjf~kv9m</t>
  </si>
  <si>
    <t>BETAMETASONA DIPROPIONATO 6.43 MG EQUIVALENTE A BETAMETASONA BASE</t>
  </si>
  <si>
    <t>ORGANON HEIST</t>
  </si>
  <si>
    <t>INVIMA 2017M-004735-R2</t>
  </si>
  <si>
    <t>DIPROFOS®INYECTABLE</t>
  </si>
  <si>
    <t>CAJA POR 1 AMPOLLA DE VIDRIO POR 1 ML</t>
  </si>
  <si>
    <t>row-4xay_gerr-3vyd</t>
  </si>
  <si>
    <t>INVIMA 2013M-0014637</t>
  </si>
  <si>
    <t>BEZART H®150 / 12.5</t>
  </si>
  <si>
    <t>CAJA POR 14 TABLETAS EN BLISTER DE PVDC/ALU</t>
  </si>
  <si>
    <t>IRBESARTAN Y DIURETICOS</t>
  </si>
  <si>
    <t>C09DA04</t>
  </si>
  <si>
    <t>row-kmhx.va7x.c5ji</t>
  </si>
  <si>
    <t>CLOROQUINA FOSFATO 241.9 MG EQUIVALENTE A CLOROQUINA</t>
  </si>
  <si>
    <t>PLANTA DE PRODUCCIÓN DE MEDICAMENTOS ESENCIALES Y AFINES - FACULTAD DE CIENCIAS FARMACÉUTICAS Y ALIMENTARIAS - UNIVERSIDAD DE ANTIOQUIA</t>
  </si>
  <si>
    <t>INVIMA 2025M-0022020</t>
  </si>
  <si>
    <t>CLOROQUINA TABLETAS 150 MG</t>
  </si>
  <si>
    <t>CAJA PLEGADIZA X 100 TABLETAS. 10 BLISTER (PVC TRANSPARENTE CON ALUMINIO). BLISTER X 10 TABLETAS</t>
  </si>
  <si>
    <t>CADA TABLETA</t>
  </si>
  <si>
    <t>CLOROQUINA</t>
  </si>
  <si>
    <t>P01BA01</t>
  </si>
  <si>
    <t>row-9gbf-krvi-cqx3</t>
  </si>
  <si>
    <t>CAJA POR 50 TABLETAS RECUBIERTAS EN BLISTER ALU/ALU</t>
  </si>
  <si>
    <t>row-5y8v-7szt~sjgy</t>
  </si>
  <si>
    <t>RIVASTIGMINA BASE PARA LIBERAR 13.3MG / 24 HORAS</t>
  </si>
  <si>
    <t>LUYE PHARMA AG</t>
  </si>
  <si>
    <t>1R1042151001113</t>
  </si>
  <si>
    <t>INVIMA 2025M-0021994</t>
  </si>
  <si>
    <t>ASTIGMIN® NF 13.3MG / 24H PARCHE TRANSDERMICO</t>
  </si>
  <si>
    <t>CAJA POR 60 SACHETS MULTILAMINADO (PAPEL/PET/PE/ALUMINIO/LASPOLD). CADA SACHET CONTIENE UN (1) PARCHE TRANSDÉRMICO. MUESTRA MÉDICA.</t>
  </si>
  <si>
    <t>PARCHE TRANSDÉRMICO</t>
  </si>
  <si>
    <t>19,2</t>
  </si>
  <si>
    <t>row-432m~79w6-4d86</t>
  </si>
  <si>
    <t>MUESTRA MÉDICA: CAJA PLEGADIZA POR 30 ÓVULOS EN BLISTER PVC/PVDC TRANSPARENTE -ALUMINIO POR 5 ÓVULOS.</t>
  </si>
  <si>
    <t>row-iyis_mhxx-3yie</t>
  </si>
  <si>
    <t>A. MENARINI LATIN AMERICA SLU</t>
  </si>
  <si>
    <t>2D1038131000100</t>
  </si>
  <si>
    <t>INVIMA 2021M-0020414</t>
  </si>
  <si>
    <t>SKUDEXA®TABLETAS RECUBIERTAS</t>
  </si>
  <si>
    <t>2D1038131000100 DEXKETOPROFENO 25 MG/TRAMADOL 75 MG TABLETAS DE LIBERACION NO MODIFICADA ORAL (SKUDEXA) TABLETASIN DATOSIN DATO 1 U / CAJA X 2 TABLETAS RECUBIERTAS EN BLÍSTER ALU/ALU</t>
  </si>
  <si>
    <t>DEXKETROPOFENO /TRAMADOL</t>
  </si>
  <si>
    <t>N02AJ14</t>
  </si>
  <si>
    <t>row-sags-pa7n-785q</t>
  </si>
  <si>
    <t>BUDESONIDA MICRONIZADA</t>
  </si>
  <si>
    <t>ASTRAZENECA COLOMBIA S.A.S</t>
  </si>
  <si>
    <t>2B1063421000101</t>
  </si>
  <si>
    <t>INVIMA 2024M-0021557</t>
  </si>
  <si>
    <t>BREZTRI® AEROSPHERE</t>
  </si>
  <si>
    <t>M.MÉDICA: INHALADOR EN ALUMINIO CON DISPOSITIVOS MEDIDOR DE DOSIS CONTENIENDO 120 DOSIS</t>
  </si>
  <si>
    <t>DOSIS DE SUSPENSIÓN PARA INHALACIÓN</t>
  </si>
  <si>
    <t>SUSPENSION PARA INHALACION</t>
  </si>
  <si>
    <t>FORMOTEROL. BROMURO DE GLICOPIRRONIO Y BUDESONIDA</t>
  </si>
  <si>
    <t>R03AL11</t>
  </si>
  <si>
    <t>row-rug9~hkwy.ca5i</t>
  </si>
  <si>
    <t>ACETAMINOFEN COMPRESSO PAP 87 S (CADA 100 G CONTIENE: ACETAMINOFEN 87G. ALMIDON PREGELATINIZADO 7.6 G. POLIVINILPIRROLIDONA K-30 1.4 G. ÁCIDO ESTEÁRICO 1 G. CROSCARMELOSA SÓDICA 3 G ) EQUIVALENTE A ACETAMINOFEN</t>
  </si>
  <si>
    <t>INVIMA 2017M-0017664</t>
  </si>
  <si>
    <t>FENALGEX</t>
  </si>
  <si>
    <t>CAJA POR 100 TABLETAS EN BLISTER PVC/PVDC/ALU POR 5 TABLETAS CADA UNO.</t>
  </si>
  <si>
    <t>row-g3s9~g3yu.6btv</t>
  </si>
  <si>
    <t>DEXKETOPROFENO TROMETAMOL EQUIVALENTE A DEXKETOPROFENO</t>
  </si>
  <si>
    <t>1D1043261000108</t>
  </si>
  <si>
    <t>INVIMA 2023M-0016834-R1</t>
  </si>
  <si>
    <t>KETESSE®50 MG/2 ML INYECTABLE</t>
  </si>
  <si>
    <t>CAJA POR 50 AMPOLLAS DE VIDRIO ÁMBAR TIPO I CON 2 ML DE SOLUCIÓN TRANSPARENTE INCOLORASIN DATOCON ETIQUETA AUTOADHESIVA Y EN CUNA PLÁSTICA DE PVC</t>
  </si>
  <si>
    <t>MENARINI INTERNATIONAL OPERATIONS</t>
  </si>
  <si>
    <t>row-xfus~hmhi_w8sy</t>
  </si>
  <si>
    <t>GLUCONATO DE CLORHEXIDINA</t>
  </si>
  <si>
    <t>ELECTROQUIMICA WEST S.A.</t>
  </si>
  <si>
    <t>INVIMA 2019M-012898-R2</t>
  </si>
  <si>
    <t>WESCOHEX®</t>
  </si>
  <si>
    <t>FRASCO DE POLIETILENO CON TAPA DE POLIETILENO BLANCA POR 3785 ML. DE SOLUCION.</t>
  </si>
  <si>
    <t>100 ML. DE SOLUCION</t>
  </si>
  <si>
    <t>CLORHEXIDINA</t>
  </si>
  <si>
    <t>D08AC02</t>
  </si>
  <si>
    <t>row-ts56-ucmm.wuxq</t>
  </si>
  <si>
    <t>FLUOXETINA CLORHIDRATO EQUIVALENTE A FLUOXETINA BASE</t>
  </si>
  <si>
    <t>INVIMA 2017M-012120-R3</t>
  </si>
  <si>
    <t>PRAGMATEN® 20 MG CAPSULAS</t>
  </si>
  <si>
    <t>GENERICOSIN DATO CAJA POR 2 CÁPSULAS EN EN BLISTER ALUMINIO / PVC TRANSPARENTE</t>
  </si>
  <si>
    <t>FLUOXETINA</t>
  </si>
  <si>
    <t>N06AB03</t>
  </si>
  <si>
    <t>row-3be5-urx7.8hzm</t>
  </si>
  <si>
    <t>BAXTER S.A</t>
  </si>
  <si>
    <t>3A1034011000101</t>
  </si>
  <si>
    <t>BOLSA MULTICAPA PLÁSTICA TRANSPARENTE CON TRES COMPARTIMENTOS POR 1000 ML CON SOBREBOLSA PLÁSTICA TRANSPARENTE QUE CONTIENE UN ABSORBENTE DE OXÍGENO (SACHET PLÁSTICO TRANSPARENTE CONTENIENDO PRINCIPALMENTE ÓXIDO DE HIERRO).</t>
  </si>
  <si>
    <t>4,53</t>
  </si>
  <si>
    <t>row-hcnf-wjz8-pm98</t>
  </si>
  <si>
    <t>CABERGOLINA</t>
  </si>
  <si>
    <t>1C1038331001111</t>
  </si>
  <si>
    <t>INVIMA 2022M-0017283-R1</t>
  </si>
  <si>
    <t>CABERGOLINA 0.5 MG</t>
  </si>
  <si>
    <t>1C1038331001111: CABERGOLINA 0.5000 MG TABLETAS DE LIBERACION NO MODIFICADA ORAL (MK) TABLETA 1.0000U / CAJA X 200.  CAJA PLEGADIZA POR 200 TABLETAS EN BLISTER ALU-ALU POR 10 TABLETAS CADA UNO</t>
  </si>
  <si>
    <t>G02CB03</t>
  </si>
  <si>
    <t>row-4s3b~vana.q69s</t>
  </si>
  <si>
    <t>DEXAMETASONA ACETATO. EQUIVALENTE A DEXAMETASONA BASE</t>
  </si>
  <si>
    <t>AMPOLLA DE2 ML.</t>
  </si>
  <si>
    <t>row-44qq~jiyj~dmsk</t>
  </si>
  <si>
    <t>INVIMA 2019M-0014060-R1</t>
  </si>
  <si>
    <t>IBUFLASH UF®</t>
  </si>
  <si>
    <t>CAJA POR 36SIN DATOCÁPSULAS BLANDAS EN BLISTER PVC/PVDC - ALUMINIO POR 2 CÁPSULAS BLANDAS</t>
  </si>
  <si>
    <t>row-34ce.mmvp~n4br</t>
  </si>
  <si>
    <t>INVIMA 2017M-0017815</t>
  </si>
  <si>
    <t>FLUNAZOL®</t>
  </si>
  <si>
    <t>CAJA PLEGADIZA CON 2 BLISTER PVDC /ALUMINIO POR 4 TABLETAS RECUBIERTAS C/U.</t>
  </si>
  <si>
    <t>row-duc9~rpfe_rdpc</t>
  </si>
  <si>
    <t>44.5 MG DE ESOMEPRAZOL MAGNESICO TRIHIDRATO. EQUIVALENTE A ESOMEPRAZOL BASE</t>
  </si>
  <si>
    <t>INVIMA 2023M-0015130-R2</t>
  </si>
  <si>
    <t>ESOMEPRAZOL 40 MG</t>
  </si>
  <si>
    <t>CAJA POR 100 TABLETAS CON CUBIERTA ENTÉRICA. EN EMPAQUE INDIVIDUAL BLÍSTER ALUMINIO/ALUMINIO X 25 TABLETAS CON CUBIERTA ENTÉRICA CADA UNO.</t>
  </si>
  <si>
    <t>row-8grv.nj7s_4dxx</t>
  </si>
  <si>
    <t>METROCHEM APIPVT LTD</t>
  </si>
  <si>
    <t>USO INSTITUCIONAL: CAJA X 112 CÁPSULAS EN BLISTER OPA/AL/PVC-ALUMINIO.</t>
  </si>
  <si>
    <t>row-zs2j_hfkx.ttws</t>
  </si>
  <si>
    <t>AMLODIPINO BESILATO 14.0 MG EQUIVALENTE AAMLODIPINO BASE</t>
  </si>
  <si>
    <t>INVIMA 2023M-0016714-R1</t>
  </si>
  <si>
    <t>IRBEPREX A® 300/10 MG TABLETAS</t>
  </si>
  <si>
    <t>MUESTRA MEDICA: CAJA POR 10 TABLETAS EN BLISTER ALUMINIO- PVC/PVDC BLANCO</t>
  </si>
  <si>
    <t>IRBESARTAN Y AMLODIPINO</t>
  </si>
  <si>
    <t>C09DB05</t>
  </si>
  <si>
    <t>row-su6h-5rzj-w8pr</t>
  </si>
  <si>
    <t>SOLUCIÓN 1:TIAMINA CLORHIDRATO</t>
  </si>
  <si>
    <t>row-nfaj_7hpw.zpfv</t>
  </si>
  <si>
    <t>INVIMA 2017M-0017827</t>
  </si>
  <si>
    <t>DISPAX ® CAPSULAS DURAS CON CONTENIDO LIQUIDO</t>
  </si>
  <si>
    <t>USO INSTITUCIONAL: CAJA POR 120 CÁPSULAS DURAS CON CONTENIDO LÍQUIDO EN BLÍSTER (OPA/AL/PVC COLD FORMING BLÍSTER ALUMINIUM FOIL) / FOIL DE ALUMINIO. 30 BLÍSTER POR 4 CÁPSULAS DURAS CON CONTENIDO LÍQUIDO CADA UNO</t>
  </si>
  <si>
    <t>CÁPSULA DURA CON CONTENIDO LÍQUIDO</t>
  </si>
  <si>
    <t>row-ttr7_7yxm_6axu</t>
  </si>
  <si>
    <t>1O1015891017100</t>
  </si>
  <si>
    <t>IUM 1O1015891017100: OLOPATADINA 2.0000 MG OTRAS SOLUCIONES OFTALMICA (OLODINA PF) FRASCO 1.5000ML / CAJA X 1. MUESTRA MÉDICA. FRASCO EN POLIETILENO DE BAJA DENSIDAD POR 1.5 ML BLANCO. CON BOQUILLA PROVISTA DE UNA VÁLVULA DE SILICONA DE COLOR AZUL Y TAPA POLIETILENO DE ALTA DENSIDAD DE COLOR BLANCO. EN CAJA PLEGADIZA POR UNIDAD.</t>
  </si>
  <si>
    <t>row-eevn_63h5_wc8a</t>
  </si>
  <si>
    <t>SAG MANUFACTURING. S.L.U.</t>
  </si>
  <si>
    <t>INVIMA 2025M-0021905</t>
  </si>
  <si>
    <t>CIPDIAPTIN M® 50MG/850MG</t>
  </si>
  <si>
    <t>CAJA POR 28 TABLETAS EN BLÍSTER PVC-PVDC/ALUMINIO POR 14 TABLETAS CADA UNO + INSERTO</t>
  </si>
  <si>
    <t>CIPLA LTD.</t>
  </si>
  <si>
    <t>row-tssc-e84f~c93k</t>
  </si>
  <si>
    <t>HALEON PANAMA S.A.</t>
  </si>
  <si>
    <t>INVIMA 2020M-14137-R2</t>
  </si>
  <si>
    <t>DOLEX® CONTRA LOS SINTOMAS DE LA GRIPA TABLETAS.</t>
  </si>
  <si>
    <t>MUESTRA MÉDICACAJA POR TIRA DE PAPEL /POLIETILENO/ALUMINIO/SURLYN POR 40 TABLETAS.</t>
  </si>
  <si>
    <t>row-wnkt-jgtf.5ng5</t>
  </si>
  <si>
    <t>VITAMINA D3</t>
  </si>
  <si>
    <t>INVIMA 2022M-0017969-R1</t>
  </si>
  <si>
    <t>FARMA D 5000 UI</t>
  </si>
  <si>
    <t>MUESTRA MEDICA: CAJA PLEGADIZA POR 30 CÁPSULAS ENVASADAS EN FRASCO DE PEAD CON TAPA EN PP Y LINER DE ALUMINIO Y PELÍCULA DE POLIÉSTER SELLABLE AL CALOR.</t>
  </si>
  <si>
    <t>ERGOCALCIFEROL</t>
  </si>
  <si>
    <t>A11CC01</t>
  </si>
  <si>
    <t>row-c6uf.ntbt~d68q</t>
  </si>
  <si>
    <t>TRAMADOL HCL</t>
  </si>
  <si>
    <t>INVIMA 2015M-0004424-R1</t>
  </si>
  <si>
    <t>FASTFEN JARABE</t>
  </si>
  <si>
    <t>FRASCOS EN VIDRIO AMBAR POR 60 ML.</t>
  </si>
  <si>
    <t>row-96fp_76je_3hin</t>
  </si>
  <si>
    <t>CAJA PLEGADIZA POR 10 ÓVULOS EN BLISTER PVC/PVDC TRANSPARENTE -ALUMINIO POR 10 ÓVULOS.</t>
  </si>
  <si>
    <t>row-cvax.bfi9_qy35</t>
  </si>
  <si>
    <t>MINITABLETAS ENTERICAS DE FENOFIBRATO DE COLINA: FENOFIBRATO DE COLINA EQUIVALENTE A ACIDO FENOFIBRICO.</t>
  </si>
  <si>
    <t>LABORATORIOS SYNTHESIS S.A.S.</t>
  </si>
  <si>
    <t>INVIMA 2022M-0014122-R2</t>
  </si>
  <si>
    <t>STAFEN® 135 / 20 MG CAPSULA</t>
  </si>
  <si>
    <t>CAJA POR 7 CAPSULAS EN BLISTERSIN DATOALUMINIO/ALU-ALU POR 7 CAPSULAS</t>
  </si>
  <si>
    <t>ACIDO FENOFIBRICO. ROSUVASTATINA</t>
  </si>
  <si>
    <t>C10AB51</t>
  </si>
  <si>
    <t>row-8wvg_4wxp-jgp4</t>
  </si>
  <si>
    <t>INVIMA 2021M-0020069</t>
  </si>
  <si>
    <t>REDUGRIP®</t>
  </si>
  <si>
    <t>2C1031151000111 -CAJA X 80. 8 BLÍSTER X 10 CAP PVC/ PVDC TRANSPARENTE / ALUMINIO. CAJA CARTULINA</t>
  </si>
  <si>
    <t>HIGH PACKING COMPANY S.A.S.</t>
  </si>
  <si>
    <t>row-9jxu-tumh-nnvy</t>
  </si>
  <si>
    <t>CLORHIDRATO TRAMADOL</t>
  </si>
  <si>
    <t>2P1001451014100</t>
  </si>
  <si>
    <t>INVIMA 2023M-0021030</t>
  </si>
  <si>
    <t>ZALEDOR-P® TABLETAS</t>
  </si>
  <si>
    <t>2P1001451014100 PARACETAMOL 325.0000 MG/TRAMADOL 37.5000 MG TABLETAS DE LIBERACION NO MODIFICADA ORAL (ZALEDOR-P) TABLETA 1.0000U / CAJA X 10 (NA). CAJA POR 10 TABLETAS EN BLISTER DE ALUMINIO Y PLASTICO TRANSPARENTE PVC/PVDC.</t>
  </si>
  <si>
    <t>TRAMADOL + ACETEMINOFEN</t>
  </si>
  <si>
    <t>N02AJ13</t>
  </si>
  <si>
    <t>row-mqew_688c.cyne</t>
  </si>
  <si>
    <t>TAZOBACTAM SODICO 536.65MG EQUIVALENTE A TAZOBACTAM</t>
  </si>
  <si>
    <t>LABESFAL - LABORATORIOS ALMIRO S.A.</t>
  </si>
  <si>
    <t>INVIMA 2021M-0017134-R1</t>
  </si>
  <si>
    <t>KABICTAM® POLVO LIOFILIZADO PARA RECONSTITUIR A SOLUCION INYECTABLE</t>
  </si>
  <si>
    <t>MUESTRA MEDICA CAJA CON 10 VIALES DE VIDRIO INCOLORO TIPO II DE 50ML CON TAPON DE GOMA DE CLOROBUTILO CON AGRAFE DE ALUMINIO TIPO FLIP OFF</t>
  </si>
  <si>
    <t>VIAL CON POLVO LIOFILIZADO</t>
  </si>
  <si>
    <t>FRESENIUS KABI PHARMA PORTUGAL LTDA.</t>
  </si>
  <si>
    <t>row-3w7w-hqtw.zsru</t>
  </si>
  <si>
    <t>2C1031391002100</t>
  </si>
  <si>
    <t>INVIMA 2021M-0020292</t>
  </si>
  <si>
    <t>NEXT ®GL NOCHE</t>
  </si>
  <si>
    <t>2C1031391002100CLORFENAMINA 4.0 MG. FENILEFRINA 10.0 MG. PARACETAMOL 500.0 MG POLVOS PARA RECONSTITUIR ORAL (NEXT NOCHE) SOBRE 1 UNIDAD.SIN DATOCAJA PLEGADIZA POR 6 SOBRES (CADA SOBRE POR 6 G DE POLVO GRANULADO). SABOR PANELA - LIMÓN.</t>
  </si>
  <si>
    <t>row-fiz2-955w_vps8</t>
  </si>
  <si>
    <t>CAJA PLEGADIZA POR 7 SACHET LAMINADO POR 100 ML C/U DE SOLUCION ORAL SABOR UVA</t>
  </si>
  <si>
    <t>0,26</t>
  </si>
  <si>
    <t>row-rjj9.d6vh_2e3u</t>
  </si>
  <si>
    <t>NITAZOXANIDA</t>
  </si>
  <si>
    <t>GONHER FARMACÉUTICA LTDA.</t>
  </si>
  <si>
    <t>INVIMA 2019M-0019533</t>
  </si>
  <si>
    <t>FLUPAR 500 MG</t>
  </si>
  <si>
    <t>CAJA PLEGADIZA CON UN BLÍSTER PVC/PVDC/ALUMINIO POR 6 TABLETAS RECUBIERTAS</t>
  </si>
  <si>
    <t>ANGLOPHARMA S.A.</t>
  </si>
  <si>
    <t>P01AX11</t>
  </si>
  <si>
    <t>row-mszd~khwx.de6a</t>
  </si>
  <si>
    <t>INVIMA 2025M-0021900</t>
  </si>
  <si>
    <t>RIVACRIST®RIVAROXABAN 10 MG TABLETAS RECUBIERTAS</t>
  </si>
  <si>
    <t>M.MÉDICA: CAJA CON BLÍSTER PVC/PVDC/ALU X 15 TABLETAS.</t>
  </si>
  <si>
    <t>row-2ar6.u4h5~b7mg</t>
  </si>
  <si>
    <t>TOLTERODINA L- TARTRATO</t>
  </si>
  <si>
    <t>PHARMATHEN INTERNACIONAL S.A</t>
  </si>
  <si>
    <t>INVIMA 2022M-0017868-R1</t>
  </si>
  <si>
    <t>TEROTOL® 2 MG</t>
  </si>
  <si>
    <t>CAJA POR 30 CÁPSULAS DURAS EN EMPAQUE INDIVIDUAL TIPO BLÍSTER PVC/PE/PVDC TRANSPARENTE-FOIL ALUMINIO POR 10 CAPSULAS C/U.</t>
  </si>
  <si>
    <t>CAPSULA DURA DE LIBERACION PROLONGADA</t>
  </si>
  <si>
    <t>TOLTERODINA</t>
  </si>
  <si>
    <t>G04BD07</t>
  </si>
  <si>
    <t>row-ms5e_8d8m~iyq4</t>
  </si>
  <si>
    <t>FRASCO DE POLIPROPILENO CLASE IV CON TAPA POR 625 ML CON SABOR A MARACUYÁ</t>
  </si>
  <si>
    <t>row-wvy9-gcfe~i3sk</t>
  </si>
  <si>
    <t>CLARITROMICINA POLVO</t>
  </si>
  <si>
    <t>COASPHARMA SAS</t>
  </si>
  <si>
    <t>1C1013521006104</t>
  </si>
  <si>
    <t>INVIMA 2022M-0017274-R1</t>
  </si>
  <si>
    <t>REQUELAR® 500 MG</t>
  </si>
  <si>
    <t>CAJA POR 30 TABLETAS RECUBIERTASSIN DATOEN BLISTER PVC TRANSPARENTE/ALUMINIO</t>
  </si>
  <si>
    <t>ANZG LTDA</t>
  </si>
  <si>
    <t>CLARITROMICINA</t>
  </si>
  <si>
    <t>J01FA09</t>
  </si>
  <si>
    <t>row-ranz~af6n~2h26</t>
  </si>
  <si>
    <t>MOMETASONA FUROATO</t>
  </si>
  <si>
    <t>INVIMA 2023M-0006380-R2</t>
  </si>
  <si>
    <t>DERMACORTINE CREMA</t>
  </si>
  <si>
    <t>MUESTRA MÉDICA. CAJA CON UN TUBO COLAPSIBLE TRILAMINADO TIPO EP 2612. CON TRILAMINADO PEBD. CUELLO DEL TUBO DE PEAD. TAPA EN PP BLANCASIN DATOY FOIL DE ALUMINIO POR 3G.</t>
  </si>
  <si>
    <t>100 G DE CREMA.</t>
  </si>
  <si>
    <t>MEGALABS COLOMBIA S.A.S.</t>
  </si>
  <si>
    <t>MOMETASONA</t>
  </si>
  <si>
    <t>D07AC13</t>
  </si>
  <si>
    <t>row-unbu~ktd6-nexf</t>
  </si>
  <si>
    <t>N-BUTIL BROMURO DE HIOSCINA</t>
  </si>
  <si>
    <t>2B1044711000108</t>
  </si>
  <si>
    <t>INVIMA 2022M-0008960-R1</t>
  </si>
  <si>
    <t>ESPASMOBILGRAGEAS</t>
  </si>
  <si>
    <t>MUESTRA MÉDICA: SOBRE POR 2 GRAGEAS</t>
  </si>
  <si>
    <t>GRAGEAS</t>
  </si>
  <si>
    <t>FARMACOL CHINOIN S.A.S</t>
  </si>
  <si>
    <t>row-u4aw~dqfx-9m28</t>
  </si>
  <si>
    <t>RIBOFLAVINA EQUIVALENTE A VITAMINA B2</t>
  </si>
  <si>
    <t>CAJA CON UN FRASCO EN PEAD. CON TAPA EN PP Y LINNER POR INDUCCION. POR 30 TABLETAS</t>
  </si>
  <si>
    <t>row-6x8y_2m5x_k4jf</t>
  </si>
  <si>
    <t>VALINA</t>
  </si>
  <si>
    <t>3A1014771000100</t>
  </si>
  <si>
    <t>INVIMA 2023M-0018699-R1</t>
  </si>
  <si>
    <t>NUMETA G 13% E.</t>
  </si>
  <si>
    <t>BOLSA DE PLÁSTICO POR 300 ML CON 3 COMPARTIMIENTOS (COMPARTIMIENTO DE AMINOÁCIDOS : 160 ML. COMPARTIMIENTO DE SOLUCIÓN DE GLUCOSA: 80 ML. COMPARTIMIENTO DE LA EMULSIÓN LIPÍDICA: 60ML)</t>
  </si>
  <si>
    <t>BOLSA DE 300 ML CONTIENE 3 COMPARTIMIENTOS</t>
  </si>
  <si>
    <t>0,71</t>
  </si>
  <si>
    <t>row-mit3~kkbs-ak3g</t>
  </si>
  <si>
    <t>ACETAMINOFEN GRANULADO DC 90% EQUIVALENTE ACETAMINOFEN BASE</t>
  </si>
  <si>
    <t>GRANULES INDIA LIMITED GAGILLAPUR VILLAGE.OULLBUL. MANDAL.RANGE REDDY DIST. 5000043. AP</t>
  </si>
  <si>
    <t>2H1005971005106</t>
  </si>
  <si>
    <t>INVIMA 2021M-0016560-R1</t>
  </si>
  <si>
    <t>DOLOFF® 7.5-325 TABLETAS RECUBIERTAS.</t>
  </si>
  <si>
    <t>IUM 2H1005971005106 HIDROCODONA 7.5000 MG / PARACETAMOL 325.0000 MG TABLETAS DE LIBERACION NO MODIFICADA ORAL (DOLOFF) TABLETA 1.0000 U / CAJA X 90. CAJA PLEGADIZA POR 90 TABLETAS RECUBIERTAS EN BLÍSTER POR 10 TABLETAS RECUBIERTAS PVC / PVDC TRANSPARENTE / ALUMINIO.</t>
  </si>
  <si>
    <t>TABLETAS RECUBIERTAS.</t>
  </si>
  <si>
    <t>HIDROCODONA Y PARACETAMOL</t>
  </si>
  <si>
    <t>N02AJ22</t>
  </si>
  <si>
    <t>row-zxs9~da7j_pe7m</t>
  </si>
  <si>
    <t>OXIBUTININA CLORHIDRATO</t>
  </si>
  <si>
    <t>ADIUM S.A.S</t>
  </si>
  <si>
    <t>INVIMA 2016M-14437-R2</t>
  </si>
  <si>
    <t>MUTUM CR® 10 MG</t>
  </si>
  <si>
    <t>CAJAS CON 60 TABLETAS EN BLISTERES DE ALUMINIO-ALUMINIO POR 10 TABLETAS CADA BLISTER.</t>
  </si>
  <si>
    <t>COMPRIMIDO RECUBIERTO DE LIBERACIÓN PROLONGADA</t>
  </si>
  <si>
    <t>LABORATORIOS ELEA PHOENIX S.A.</t>
  </si>
  <si>
    <t>OXIBUTININA</t>
  </si>
  <si>
    <t>G04BD04</t>
  </si>
  <si>
    <t>row-i9zq_tuc4-73kr</t>
  </si>
  <si>
    <t>TECNOFARTQS.A.S</t>
  </si>
  <si>
    <t>INVIMA 2022M-0004285-R2</t>
  </si>
  <si>
    <t>BONFIEST PLUS®</t>
  </si>
  <si>
    <t>CAJA PLEGADIZA POR 3 SOBRES DE ALUMINIO - ALUMINIO POR 5.1 G CADA SOBRE.</t>
  </si>
  <si>
    <t>SOBRE CON 5.1 G DE PRODUCTO</t>
  </si>
  <si>
    <t>GRANULOS EFERVESCENTES</t>
  </si>
  <si>
    <t>ACETILSALICILICO AACIDO COMBINACIONES EXCLUYENDO SICOLEPTICOS</t>
  </si>
  <si>
    <t>0,065</t>
  </si>
  <si>
    <t>N02BA51</t>
  </si>
  <si>
    <t>row-sj34.kmcj.e9fj</t>
  </si>
  <si>
    <t>AZITROMICINA DIHIDRATO 59.4 G EQUIVALENTE A AZITROMICINA BASE</t>
  </si>
  <si>
    <t>INVIMA 2015M-0016069</t>
  </si>
  <si>
    <t>ORAZIT SUSPENSIÓN</t>
  </si>
  <si>
    <t>PRESENTACION DE MARCA ORAZIT: CAJA POR UN FRASCO PEAD NATURAL+ CUCHARA DOSIFICADORA X 15 ML.</t>
  </si>
  <si>
    <t>100 ML DE SUSPENSIÓN RECONSTITUIDA</t>
  </si>
  <si>
    <t>GLOBAL INTERNATIONAL MEDECINE S.A.S.</t>
  </si>
  <si>
    <t>row-hgrr.mmup.npxd</t>
  </si>
  <si>
    <t>MONTELUKAST MONOSODICO 5.1876 MG ( EQUIVALENTE A MONTELUKAST ACIDO LIBRE)</t>
  </si>
  <si>
    <t>INVIMA 2020M-0003589-R2</t>
  </si>
  <si>
    <t>XALAR 5 MG TABLETA MASTICABLE</t>
  </si>
  <si>
    <t>CAJA X 2TABLETAS MASTICABLES EN BLISTER ALU/ALU INDIVIDUAL EN BLISTER POR 2 TABLETAS.</t>
  </si>
  <si>
    <t>row-vhk6-3fvt_9a58</t>
  </si>
  <si>
    <t>BROMHEXINA CLORHIDRATO</t>
  </si>
  <si>
    <t>2B1013291005102</t>
  </si>
  <si>
    <t>INVIMA 2019M-0019155</t>
  </si>
  <si>
    <t>BRONCODEX®</t>
  </si>
  <si>
    <t>2B1013291005102. MUESTRA MÉDICA: CAJA PLEGADIZA POR UN FRASCO PET ÁMBAR CON TAPA DE SEGURIDAD BLANCA EN POLIPROPILENO NO. 28 MM POR 120 ML CON COPA DOSIFICADORA + INSERTO.</t>
  </si>
  <si>
    <t>GRUINFACOL S.A.</t>
  </si>
  <si>
    <t>0,08</t>
  </si>
  <si>
    <t>row-ed98-4sve.7ztu</t>
  </si>
  <si>
    <t>OMEPRAZOL 25% PELLETS EQUIVALENTES A OMEPRAZOL</t>
  </si>
  <si>
    <t>PRODUCTO TERMINADO: TECNOQUIMICAS S.A</t>
  </si>
  <si>
    <t>1O1011111000102</t>
  </si>
  <si>
    <t>INVIMA 2023M-0018140-R1</t>
  </si>
  <si>
    <t>OMEPRAZOL 40 MG</t>
  </si>
  <si>
    <t>1O1011111000102 CAJA PLEGADIZA POR 300 CÁPSULAS EN BLÍSTER ALU - ALU POR 30 CÁPSULAS CADA UNO.</t>
  </si>
  <si>
    <t>row-h5yz_9rch.6xar</t>
  </si>
  <si>
    <t>CAJA POR 3 AMPOLLAS DE VIDRIO AMBAR TIPO I CON 2 ML DE SOLUCION TRANSPARENTE E INCOLORA</t>
  </si>
  <si>
    <t>row-7p2x~dbpv_5czy</t>
  </si>
  <si>
    <t>INVIMA 2022M-0014634-R1</t>
  </si>
  <si>
    <t>IBUPROFENO 800 MG</t>
  </si>
  <si>
    <t>CAJA X 5SIN DATOCÁPSULAS BLANDAS EN BLISTER PVC / PVDC / ALUMINIO</t>
  </si>
  <si>
    <t>row-h7pa-yz95_vhdy</t>
  </si>
  <si>
    <t>INVIMA 2021M-0016783-R1</t>
  </si>
  <si>
    <t>ACIZAN® 1000MG TABLETAS RECUBIERTAS</t>
  </si>
  <si>
    <t>MUESTRASIN DATOMÉDICA: CAJA PLEGADIZA POR 30 TABLETAS RECUBIERTAS EN BLISTER PVC/PVDC/PVC-ALU POR 10 UNIDADESSIN DATOCADA BLISTER.</t>
  </si>
  <si>
    <t>row-sax6~ydjj-4btw</t>
  </si>
  <si>
    <t>ACIDOS GRASOS OMEGA 3</t>
  </si>
  <si>
    <t>row-y4y9-9yhv-p8g4</t>
  </si>
  <si>
    <t>LEVONORGESTREL</t>
  </si>
  <si>
    <t>INVIMA 2017M-0017722</t>
  </si>
  <si>
    <t>SINOIMPLANT®</t>
  </si>
  <si>
    <t>CAJA DE CARTÓN POR 10 JUEGOS DE SINOIMPLANT. CADA JUEGO EN BOLSA TERMOSELLADA QUE CONTIENE 2 VARILLAS DE SINOIMPLANT.</t>
  </si>
  <si>
    <t>CADA IMPLANTE</t>
  </si>
  <si>
    <t>IMPLANTE</t>
  </si>
  <si>
    <t>G03AC03</t>
  </si>
  <si>
    <t>row-d3c4.uj43-cng2</t>
  </si>
  <si>
    <t>VALACICLOVIR CLORHIDRATO HIDRATO EQUIVALENTE VALACICLOVIR BASE</t>
  </si>
  <si>
    <t>INVIMA 2020M-0016323-R1</t>
  </si>
  <si>
    <t>VALACICLOVIR 1 G</t>
  </si>
  <si>
    <t>MUESTRAS MÉDICAS: CAJA PLEGADIZA X 20 TABLETAS EN BLISTER PVC/PVDC- ALUMINIO X 5 TABLETAS.</t>
  </si>
  <si>
    <t>row-5e5j_b72n.fv9c</t>
  </si>
  <si>
    <t>POMALIDOMIDA</t>
  </si>
  <si>
    <t>INVIMA 2025M-0021941</t>
  </si>
  <si>
    <t>IMUPAMID® 4 MG CÁPSULAS</t>
  </si>
  <si>
    <t>MUESTRA MÉDICA GENERICA: CAJA CON TRES BLISTER OPA/ALUMINIO FOIL/PVC CON 7 CAPSULAS CADA UNO.</t>
  </si>
  <si>
    <t>CÁPSULAS</t>
  </si>
  <si>
    <t>L04AX06</t>
  </si>
  <si>
    <t>row-d2pk~ew8h_umzq</t>
  </si>
  <si>
    <t>DL-ALFATOCOFERIL ACETATO / VITAMINA E SINTETICA EQUIVALENTE A VITAMINA E 400 UI</t>
  </si>
  <si>
    <t>INVIMA 2018M-0012855-R1</t>
  </si>
  <si>
    <t>VITAMINA E</t>
  </si>
  <si>
    <t>CAJASIN DATOCONSIN DATOFRASCO PEAD AMBAR CON TAPA DE PPSIN DATOPOR 30 CAPSULAS BLANDAS</t>
  </si>
  <si>
    <t>TOCOFEROL (VIT E)</t>
  </si>
  <si>
    <t>A11HA03</t>
  </si>
  <si>
    <t>row-8yg9~cvnk.asqe</t>
  </si>
  <si>
    <t>MALEATO DE CLORFENIRAMINA</t>
  </si>
  <si>
    <t>MUESTRA MÉDICA:CAJA POR TIRA DE PAPEL /POLIETILENO/ALUMINIO/SURLYN POR 60 TABLETAS.</t>
  </si>
  <si>
    <t>row-zrhp-68i4-k2p7</t>
  </si>
  <si>
    <t>OXICODONA CLORHIDRATO</t>
  </si>
  <si>
    <t>INVIMA 2023M-0006056-R2</t>
  </si>
  <si>
    <t>SENIDOL ®</t>
  </si>
  <si>
    <t>CAJA CON BLISTER DE PVC TRANSPARENTE Y ALUMINIO POR: 50 TABLETAS</t>
  </si>
  <si>
    <t>OXICODONA PARACETAMOL</t>
  </si>
  <si>
    <t>N02AJ17</t>
  </si>
  <si>
    <t>row-kith-zxc6-xehh</t>
  </si>
  <si>
    <t>MICROGRANULOS DE RECUBRIMIENTO ENTERICO AL 17% (100% POTENCIA) CON DULOXETINA CLORHIDRATO 33.667MG EQUIVALENTE A DULOXETINA BASE.</t>
  </si>
  <si>
    <t>INVIMA 2022M-0011884-R2</t>
  </si>
  <si>
    <t>DULOXETINA 30MG CAPSULAS</t>
  </si>
  <si>
    <t>CAJA POR 7 CAPSULAS DE LIBERACION RETARDADA EN BLISTER DE ALU-ALU (COLFORM OPA/ALU/PVC) POR 7 CAPSULAS DE LIBERACION RETARDADA CADA UNO.</t>
  </si>
  <si>
    <t>row-n5yj~jpii_jxat</t>
  </si>
  <si>
    <t>MIFEPRISTONA</t>
  </si>
  <si>
    <t>NAARI PHARMA PRIVATE LIMITED</t>
  </si>
  <si>
    <t>1M1029471001101</t>
  </si>
  <si>
    <t>INVIMA 2024M-0021364</t>
  </si>
  <si>
    <t>MIFEPRISTONA 200 MG</t>
  </si>
  <si>
    <t>CAJA DE CARTÓN CONTENIENDO 1 BLISTER DE PVC / ALUMINIO ÁMBAR CON 1 TABLETA + INSERTO (CAJA X 1 TABLETA)</t>
  </si>
  <si>
    <t>DKT COLOMBIA S.A.S.</t>
  </si>
  <si>
    <t>G03XB01</t>
  </si>
  <si>
    <t>row-gc82.zjvk-u3f3</t>
  </si>
  <si>
    <t>CAJA PLEGADIZA POR 11 SOBRES LAMINADOS (BOPP+ ALUMINIO + RESINA DE SELLE) POR 15 GRAMOS CADA UNO</t>
  </si>
  <si>
    <t>row-auj4-r9ex.r3re</t>
  </si>
  <si>
    <t>INVIMA 2021M-0016905-R1</t>
  </si>
  <si>
    <t>TAFLAX® GRIP</t>
  </si>
  <si>
    <t>BLISTER POR 10 CÁPSULAS EN CAJAS PLEGADIZA POR 1 BLISTER PVC/PVDC TRANSPARENTE - AL</t>
  </si>
  <si>
    <t>row-qe6x.h629_nibh</t>
  </si>
  <si>
    <t>INVIMA 2020M-0010492-R1</t>
  </si>
  <si>
    <t>CARVEDILOL 12.5 MG TABLETAS</t>
  </si>
  <si>
    <t>CAJA PLEGADIZA POR 500 TABLETAS EN BLISTER PVC-PVDC/ ALUMINIO BLANCO</t>
  </si>
  <si>
    <t>row-943f-xfa2.pwjr</t>
  </si>
  <si>
    <t>PROCAPS S.A</t>
  </si>
  <si>
    <t>INVIMA 2023M-0013037-R2</t>
  </si>
  <si>
    <t>VARTERAL HCT NF® 160/10/12.5</t>
  </si>
  <si>
    <t>MUESTRA MEDICA: CAJA POR 5 TABLETAS RECUBIERTAS EN EMPAQUE INDIVIDUAL TIPO BLISTER ALUMINIO/ALUMINIO POR 5 TABLETAS C/U.</t>
  </si>
  <si>
    <t>row-xfu5_kg7z-4w9i</t>
  </si>
  <si>
    <t>ACETAMINOFEN DC 90% EQUIVALENTE A ACETAMINOFEN</t>
  </si>
  <si>
    <t>INVIMA 2016M-0017470</t>
  </si>
  <si>
    <t>ALGIMIDE® NF</t>
  </si>
  <si>
    <t>MUESTRA MÉDICA: CAJA X 2 TABLETAS EN BLISTER PVC/ALUMINIO</t>
  </si>
  <si>
    <t>row-fw3y~xkg2-a2mw</t>
  </si>
  <si>
    <t>VANCOMICINA CLORHIDRATO EQUIVALENTE A VANCOMINA</t>
  </si>
  <si>
    <t>INVIMA 2010M-0010494</t>
  </si>
  <si>
    <t>VANCOMICINA CLORHIDRATO PARA INYECCION 500 MG/VIAL.</t>
  </si>
  <si>
    <t>CAJA POR 25 VIALES DE VIDRIO TIPO I CONTENIENDO CADA UNO 500 MG DESIN DATOVANCOMICINA CLORHIDRATO POLVO LIOFILIZADO</t>
  </si>
  <si>
    <t>CADA VIAL</t>
  </si>
  <si>
    <t>COMERCIAL MEDICA S.A.S.</t>
  </si>
  <si>
    <t>row-imhc~bbui-vx67</t>
  </si>
  <si>
    <t>2C1051231000104</t>
  </si>
  <si>
    <t>INVIMA 2021M-0016653-R1</t>
  </si>
  <si>
    <t>PAX FORTE®</t>
  </si>
  <si>
    <t>CAJASIN DATOXSIN DATO1SIN DATOFRASCOSIN DATOPASTILLERO DE POLIETILENO DESIN DATOALTASIN DATODENSIDAD DE COLORSIN DATOBLANCO CON TAPASIN DATOBLANCA CONSIN DATOLINNER DE ALUMINIO PORSIN DATO16SIN DATOCÁPSULAS BLANDAS.</t>
  </si>
  <si>
    <t>row-46ut_rw8a_qqy8</t>
  </si>
  <si>
    <t>FRASCO DE POLIPROPILENO CLASE IV CON TAPA POR 625 ML CON SABOR HORCHATA</t>
  </si>
  <si>
    <t>row-jynt.kt5i~gzzy</t>
  </si>
  <si>
    <t>CITICOLINA SODICA 522.5 MG EQUIVALENTE A CITICOLINA BASE</t>
  </si>
  <si>
    <t>ROEMMERS S.A.I.C.F.</t>
  </si>
  <si>
    <t>INVIMA 2017M-000038-R4</t>
  </si>
  <si>
    <t>COMPLEGEL NF AMPOLLAS</t>
  </si>
  <si>
    <t>CAJA POR 1 AMPOLLA DE 2 ML. EN VIDRIO TIPO I ÁMBAR.</t>
  </si>
  <si>
    <t>AMPOLLA DE2 ML</t>
  </si>
  <si>
    <t>CITICOLINA</t>
  </si>
  <si>
    <t>N06BX06</t>
  </si>
  <si>
    <t>row-ihkm-5y8q-kpug</t>
  </si>
  <si>
    <t>2P1001451014108</t>
  </si>
  <si>
    <t>MUESTRA MEDICA: 2P1001451014108 PARACETAMOL 325.0000 MG/TRAMADOL 37.5000 MG TABLETAS DE LIBERACION NO MODIFICADA ORAL (ZALEDOR-P) TABLETA 1.0000U / CAJA X 10 (NA)..SIN DATOCAJA POR 10 TABLETAS EN BLISTER DE ALUMINIO Y PLASTICO TRANSPARENTE PVC/PVDC.</t>
  </si>
  <si>
    <t>row-fus9_r6vs~9b62</t>
  </si>
  <si>
    <t>JANSSEN CILAG MANUFACTURING LLC</t>
  </si>
  <si>
    <t>INVIMA 2023M-0007546-R1</t>
  </si>
  <si>
    <t>INVEGA® TABLETAS DE LIBERACION PROLONGADA 6 MG</t>
  </si>
  <si>
    <t>CAJA CONTENIENDO 21 TABLETAS DE LIBERACION PROLONGADA EN BLISTER PVC-PCTFE/ALUMINIO</t>
  </si>
  <si>
    <t>4,2</t>
  </si>
  <si>
    <t>row-tps9.fczz_8euu</t>
  </si>
  <si>
    <t>INVIMA 2015M-0016587</t>
  </si>
  <si>
    <t>LIDALCLIN</t>
  </si>
  <si>
    <t>CAJA POR 2 OVULO EN BLISTER PVC-PVDC TRANSPARENTE / ALUMINIO POR 1 OVULOS</t>
  </si>
  <si>
    <t>CAPSULA BLANDA VAGINAL</t>
  </si>
  <si>
    <t>CAPSULA VAGINAL</t>
  </si>
  <si>
    <t>GLOBAL INTERNACIONAL MEDICINE S.A.S. - GIMED S.A.S.</t>
  </si>
  <si>
    <t>row-mdvn~iv2b_sk75</t>
  </si>
  <si>
    <t>CARBONATO DE CALCIO</t>
  </si>
  <si>
    <t>INVIMA 2024M-0021268</t>
  </si>
  <si>
    <t>GENOPRAZOL PLUS® SUSPENSIÓN ORAL</t>
  </si>
  <si>
    <t>CAJA PLEGADIZA CON 48SACHETS LAMINADO PET/FOIL/ALUMINIO DE 10 ML</t>
  </si>
  <si>
    <t>100 ML DE SUSPENSIÓN ORAL</t>
  </si>
  <si>
    <t>ACIDO ALGINICO</t>
  </si>
  <si>
    <t>3,25</t>
  </si>
  <si>
    <t>A02BX13</t>
  </si>
  <si>
    <t>row-pnjy-cikr_t3yg</t>
  </si>
  <si>
    <t>PAROXETINA CLORHIDRATO HEMIHIDRATO (EQUIVALENTE A PAROXETINA BASE)</t>
  </si>
  <si>
    <t>DELPHARM POZNAN S.A</t>
  </si>
  <si>
    <t>INVIMA 2021M-010026 R2</t>
  </si>
  <si>
    <t>SEROXAT® 20 MG TABLETAS.</t>
  </si>
  <si>
    <t>CAJA POR 30 TABLETAS EN BLÍSTER DE PVC/AL/PAPEL + INSERTO</t>
  </si>
  <si>
    <t>row-avtp~x6ex.6ynd</t>
  </si>
  <si>
    <t>LISINOPRIL DIHIDRATO 21.76 MG EQUIVALENTES ALISINOPRIL</t>
  </si>
  <si>
    <t>INVIMA 2019M-0019187</t>
  </si>
  <si>
    <t>ALISINORM PLUS 20 MG/ 10 MG TABLETAS</t>
  </si>
  <si>
    <t>MUESTRA MÉDICA BLISTER EN PVC/PE/PVDC ALUMINIO POR 10 TABLETAS. CAJA POR 15 TABLETAS</t>
  </si>
  <si>
    <t>LISINOPRIL</t>
  </si>
  <si>
    <t>C09AA03</t>
  </si>
  <si>
    <t>row-ftn8-8b8n_nw9b</t>
  </si>
  <si>
    <t>MUESTRA MÉDICA: CAJA POR 28 TABLETAS RECUBIERTAS EN BLÍSTER TRANSPARENTE ACLAR / ALU</t>
  </si>
  <si>
    <t>row-34aj~hn5w_i6ms</t>
  </si>
  <si>
    <t>1F1002991014104</t>
  </si>
  <si>
    <t>INVIMA 2023M-0008813-R1</t>
  </si>
  <si>
    <t>GARMISCH FENTRADOL® 120 MG TABLETAS</t>
  </si>
  <si>
    <t>1F1002991014104. FEXOFENADINA 120 MG TABLETAS DE LIBERACION NO MODIFICADA ORAL (GARMISCH FENTRADOL) TABLETA 1 U / CAJA X 1000. CAJA PLEGADIZA POR 1000 TABLETAS RECUBIERTAS EN BLÍSTER PVDC/ALUMINIO.</t>
  </si>
  <si>
    <t>row-vjjt.tah2.ph94</t>
  </si>
  <si>
    <t>HIOSCINA N BUTIL BROMURO</t>
  </si>
  <si>
    <t>INVIMA 2019M-13557-R2</t>
  </si>
  <si>
    <t>HIOSCINA 20 MG + DIPIRONA 2.5 G</t>
  </si>
  <si>
    <t>CAJA POR 25 AMPOLLAS DE VIDRIO AMBAR TIPO I CON ETIQUETA AUTOADHESIVA PORSIN DATO5 ML C/U</t>
  </si>
  <si>
    <t>5 ML DE SOLUCIÓN INYECTABLE</t>
  </si>
  <si>
    <t>BUTILESCOPOLAMINA Y ANALGESICOS</t>
  </si>
  <si>
    <t>A03DB04</t>
  </si>
  <si>
    <t>row-jbmw-77h8-485j</t>
  </si>
  <si>
    <t>EUROPEAN PHARMA SOLUTIONS S.A.S.</t>
  </si>
  <si>
    <t>INVIMA 2025M-0021773</t>
  </si>
  <si>
    <t>RIVOXVITAE 15MG TABLETAS RECUBIERTAS</t>
  </si>
  <si>
    <t>MUESTRA MÉDICA: CAJA POR 14 TABLETAS RECUBIERTAS EN BLÍSTER DE ALUMINIO-PVC/PE/PVDC</t>
  </si>
  <si>
    <t>row-yjj3-82at_9tce</t>
  </si>
  <si>
    <t>CIFARMA S.A.C</t>
  </si>
  <si>
    <t>INVIMA 2015M- 004602 R-3</t>
  </si>
  <si>
    <t>APRONAX275 MG</t>
  </si>
  <si>
    <t>CAJA X 60 TABLETAS EN BLISTER PVC INCOLORO/ALUMINIO.</t>
  </si>
  <si>
    <t>BAYER CONSUMER CARE A.G.</t>
  </si>
  <si>
    <t>row-7389-ae45-cppq</t>
  </si>
  <si>
    <t>1C1012331000118</t>
  </si>
  <si>
    <t>MUESTRA MEDICA: CAJA POR 10 TABLETAS EN BLÍSTER PVDC/ALUMINIO</t>
  </si>
  <si>
    <t>row-p6ab-r3av_9qpp</t>
  </si>
  <si>
    <t>INVIMA 2020M-0008212-R1</t>
  </si>
  <si>
    <t>HCQS®</t>
  </si>
  <si>
    <t>CAJA POR 20 TABLETAS EN 2 BLÍSTER ALUMINIO/PVC COLOR DURAZNO</t>
  </si>
  <si>
    <t>row-rsj3~hscr~bhtd</t>
  </si>
  <si>
    <t>HIALURONATO DE SODIO</t>
  </si>
  <si>
    <t>INVIMA 2023M-0020986</t>
  </si>
  <si>
    <t>OPTICEL® 0.4% SOLUCIÓN OFTÁLMICA</t>
  </si>
  <si>
    <t>MUESTRA MÉDICA: UN (1) FRASCO GOTERO EN PEBD POR 15 ML CON TAPA BLANCA EN PP Y SUBTAPA TRANSPARENTE EN PEBD EN CAJA PLEGADIZA.</t>
  </si>
  <si>
    <t>1 ML DE SOLUCIÓN OFTÁLMICA</t>
  </si>
  <si>
    <t>HIALURONICO ACIDO</t>
  </si>
  <si>
    <t>S01KA01</t>
  </si>
  <si>
    <t>row-3ej5_89tu.s2e3</t>
  </si>
  <si>
    <t>DANAZOL</t>
  </si>
  <si>
    <t>CIPLA COLOMBIA SAS</t>
  </si>
  <si>
    <t>INVIMA 2010 M-13969 R1</t>
  </si>
  <si>
    <t>CIPLADANOGEN® 200 MG CAPSULAS</t>
  </si>
  <si>
    <t>CAJA DE CARTON POR 10 CAPSULAS EN BLISTER DE PVC/ALUMINIO</t>
  </si>
  <si>
    <t>CIPLA LTD.. VERNA. SALCETTE.GOA</t>
  </si>
  <si>
    <t>G03XA01</t>
  </si>
  <si>
    <t>row-4gx9-da3h~knxe</t>
  </si>
  <si>
    <t>CAJA X 54 CÁPSULAS EN 6 BLISTERS POR 9 PVC/PEP/PVDC - ALUMINIO</t>
  </si>
  <si>
    <t>0,2</t>
  </si>
  <si>
    <t>row-gde3.vdtd_7uka</t>
  </si>
  <si>
    <t>INVIMA 2024M-0021237</t>
  </si>
  <si>
    <t>ESPIRONOLACTONA 25 MG TABLETA RECUBIERTA</t>
  </si>
  <si>
    <t>MUESTRA MEDICA: CAJA PLEGADIZA CON 100 TABLETAS RECUBIERTAS EN BLISTER ALUMINIO + PVC /PVDC /AMBAR</t>
  </si>
  <si>
    <t>row-dyvi_p2wu.h4pn</t>
  </si>
  <si>
    <t>FENTANILO CITRATO0.79 EQUIVALENTE A FENTANILO A</t>
  </si>
  <si>
    <t>LABORATORIOS SANDERSON S.A.</t>
  </si>
  <si>
    <t>1F1002671013100</t>
  </si>
  <si>
    <t>INVIMA 2021M-13741-R2</t>
  </si>
  <si>
    <t>FENTANILO 0.5 MG / 10 ML SOLUCION INYECTABLE</t>
  </si>
  <si>
    <t>CAJA X 20 AMPOLLAS DE 10 ML EN BLISTER- PACK FENTANILO 0.0500 MG OTRAS SOLUCIONES INTRAMUSCULAR INTRAVENOSA (FRESENIUS KABI) AMPOLLA 10.0000ML / CAJA X 20/</t>
  </si>
  <si>
    <t>AMPOLLA DE 10 ML</t>
  </si>
  <si>
    <t>row-hxqj-yds8~xfre</t>
  </si>
  <si>
    <t>USO INSTITUCIONAL: CAJA POR 100 TABLETAS EN BLISTER PVC/PVDC/ALU POR 10 TABLETAS CADA UNO</t>
  </si>
  <si>
    <t>row-twyv~pxxn.cjer</t>
  </si>
  <si>
    <t>1T1001671018100</t>
  </si>
  <si>
    <t>INVIMA 2020M-0019941</t>
  </si>
  <si>
    <t>TADAVITAE® 20 MG TABLETAS RECUBIERTAS</t>
  </si>
  <si>
    <t>1T1001671018100 CAJA CON 14 TABLETAS RECUBIERTAS EN 2 BLÌSTER PVC/PCTFE/PVC/ALUMINIO POR 7 TABLETAS RECUBIERTAS CADA UNO.</t>
  </si>
  <si>
    <t>row-4dgv~4rgs.sen8</t>
  </si>
  <si>
    <t>VITAMINA B6 (PIRIDOXINA CLORHIDRATO)</t>
  </si>
  <si>
    <t>INVIMA 2013M-0014162</t>
  </si>
  <si>
    <t>COMPLEJO B SOLUCION INYECTABLE X 2 ML</t>
  </si>
  <si>
    <t>CAJA POR 300SIN DATOAMPOLLAS DE VIDRIO TIPO ISIN DATOAMBAR DE 2ML</t>
  </si>
  <si>
    <t>CADA 2 ML</t>
  </si>
  <si>
    <t>row-vsiu_hyg6.e9u3</t>
  </si>
  <si>
    <t>INVIMA 2015M-0004304-R1</t>
  </si>
  <si>
    <t>PEDIASOL 45</t>
  </si>
  <si>
    <t>FRASCO DE POLIETILENO DE ALTA DENSIDAD X 250 ML FRAMBUEZA</t>
  </si>
  <si>
    <t>CADA 100 ML DE SOLUCIÓN</t>
  </si>
  <si>
    <t>57,3</t>
  </si>
  <si>
    <t>row-p6f6~2wx4.zcyf</t>
  </si>
  <si>
    <t>ÁCIDO ASCÓRBICO</t>
  </si>
  <si>
    <t>INVIMA 2015M-0003721-R1</t>
  </si>
  <si>
    <t>VICITRA®500 MG</t>
  </si>
  <si>
    <t>VICITRASIN DATOMUESTRA MÉDICA: CAJA Y PORTABLISTER POR 2 CÁPSULASSIN DATOEN BLISTER PVC ÁMBAR / ALUMINIO POR 2 CÁPSULAS CADA UNO.</t>
  </si>
  <si>
    <t>row-5j3q-ce2g~usq7</t>
  </si>
  <si>
    <t>CAJA MULTIPACK POR 10 BOTELLAS DE POLIPROPILENO X 100 ML CON TAPON DE CLOROBUTILO + INSERTO</t>
  </si>
  <si>
    <t>row-ih6s-239a-3fmq</t>
  </si>
  <si>
    <t>CLORURO DE MAGNESIO HEXAHIDRATADO USP</t>
  </si>
  <si>
    <t>5,08</t>
  </si>
  <si>
    <t>row-nw62-2ma5~h3mc</t>
  </si>
  <si>
    <t>ACETATO DE SODIO TRIHIDRATO</t>
  </si>
  <si>
    <t>INVIMA 2017M-0012585-R1</t>
  </si>
  <si>
    <t>GELOFUSINE® ISO 4%</t>
  </si>
  <si>
    <t>CAJA POR 10 FRASCOS DE PEBD POR 500 ML CADA UNO</t>
  </si>
  <si>
    <t>AGENTES GELATINAS</t>
  </si>
  <si>
    <t>1,63</t>
  </si>
  <si>
    <t>B05AA06</t>
  </si>
  <si>
    <t>row-hten-vw8z-ii9j</t>
  </si>
  <si>
    <t>DL-ALFATOCOFERIL ACETATO/VITAMINA E SINTETICA (EQUIVALENTE A100UI DE VITAMINA E)</t>
  </si>
  <si>
    <t>INVIMA 2019M-004704-R4</t>
  </si>
  <si>
    <t>VITAMINA E100 U.I.</t>
  </si>
  <si>
    <t>FRASCO PASTILLERO PEAD BLANCO + TAPA BLANCA PEMD TIPO FLIP TOP X 150 CAPSULAS BLANDAS.</t>
  </si>
  <si>
    <t>row-njae.qhtz-p8xi</t>
  </si>
  <si>
    <t>CAJA POR 300 AMPOLLAS DE VIDRIO TIPO I. COLOR AMBAR X 1 ML</t>
  </si>
  <si>
    <t>row-fq4x~uhaz-8u35</t>
  </si>
  <si>
    <t>INVIMA 2017M-0005916-R1</t>
  </si>
  <si>
    <t>CAJA POR 200 TABLETAS EN BLISTER PVC/ PVDC TRANSPARENTE / ALUMINIO POR 10 TABLETAS C/U</t>
  </si>
  <si>
    <t>row-vjkz_4vit.2yvs</t>
  </si>
  <si>
    <t>COMPRESSO PPY AL 68% EQUIVALENTE AFENAZOPIRIDINA.HCL</t>
  </si>
  <si>
    <t>1F1042751000101</t>
  </si>
  <si>
    <t>INVIMA 2016M-0004435-R1</t>
  </si>
  <si>
    <t>ALMAX NX</t>
  </si>
  <si>
    <t>PRESENTACIÓN COMERCIAL: CAJA X 10 TABLETASSIN DATORECUBIERTASEN BLISTER PVC/ALUMINIO</t>
  </si>
  <si>
    <t>FENAZOPIRIDINA</t>
  </si>
  <si>
    <t>G04BX06</t>
  </si>
  <si>
    <t>row-pq3z_kpar.ed74</t>
  </si>
  <si>
    <t>VITAMINA D3 100000 UI EQUIVALENTE A VITAMINA D3</t>
  </si>
  <si>
    <t>HANDLER</t>
  </si>
  <si>
    <t>INVIMA 2021M-0003599-R2</t>
  </si>
  <si>
    <t>BIOCALCIUM® D POLVO EFERVESCENTE</t>
  </si>
  <si>
    <t>USO INSTITUCIONAL CAJA PLEGADIZA X 1000 SOBRES DE ALUMINIO X 4.44 G DE POLVO EFERVESCENTE CADA UNO.</t>
  </si>
  <si>
    <t>SOBRE POR 4.44 G DE POLVO EFERVESCENTE</t>
  </si>
  <si>
    <t>row-dujp-rx5x-i4nx</t>
  </si>
  <si>
    <t>M.M. FCO. PP. TAPA PUSH PULL DE PP 28 MM. COPA DOSIFICADORA Y FUNDA DE PVC. POR 400 ML DE SOLUCION ORAL SABOR FRESA.</t>
  </si>
  <si>
    <t>row-mjbk_wvv4_saiw</t>
  </si>
  <si>
    <t>USO INSTITUCIONAL:CAJA PLEGADIZA CON 10 SACHET LAMINADO CON 100ML DE SOLUCION ORAL SABOR UVA</t>
  </si>
  <si>
    <t>row-5ast-dh8k~2him</t>
  </si>
  <si>
    <t>NAPROXENO SODICO 241 MG EQUIVALENTE A NAPROXENO BASE</t>
  </si>
  <si>
    <t>INVIMA 2023M-0008693-R2</t>
  </si>
  <si>
    <t>MOVIDOL®</t>
  </si>
  <si>
    <t>CAJA PORSIN DATO60 TABLETAS RECUBIERTAS EN BLISTER PVDC/PE/PVC INCOLORO/ALUMINIO.</t>
  </si>
  <si>
    <t>row-7rzd-aerv-v5r6</t>
  </si>
  <si>
    <t>PRAMIPEXOL DICLORHIDRATO MONOHIDRATO</t>
  </si>
  <si>
    <t>1P1011061002103</t>
  </si>
  <si>
    <t>INVIMA 2021M-0020278</t>
  </si>
  <si>
    <t>PRAMIXOLE ER 3.0 MG TABLETAS DE LIBERACIÓN PROLONGADA</t>
  </si>
  <si>
    <t>CAJA X 100 TABLETAS DE LIBERACIÓN PROLONGADA EN DIEZ BLISTER ALUMINIO/ALUMINIO X 10 TABLETAS DE LIBERACIÓN PROLONGADA CADA UNO.</t>
  </si>
  <si>
    <t>PRAMIPEXOLA</t>
  </si>
  <si>
    <t>N04BC05</t>
  </si>
  <si>
    <t>row-sd2m.a7re.pnjx</t>
  </si>
  <si>
    <t>CAJA POR 6 JERINGAS PRELLENADAS POR 2 ML CON 6 AGUJAS ESTERILES 21G 11/2 ( 0.8 X 40 MM)SIN DATOYSIN DATO6 AGUJASSIN DATOESTÉRILES 25G  1SIN DATO( 0.5 X 25 MM). INCLUYE INSERTO.</t>
  </si>
  <si>
    <t>row-inah_xm5x~iwgx</t>
  </si>
  <si>
    <t>ACETAZOLAMIDA</t>
  </si>
  <si>
    <t>1A1044871000102</t>
  </si>
  <si>
    <t>INVIMA 2023M-0007696-R1</t>
  </si>
  <si>
    <t>VICLEAR®</t>
  </si>
  <si>
    <t>CAJA POR 180 TABLETAS EN BLÍSTER PVC - PVDC TRANSPARENTE / ALUMINIO. BLÍSTER POR 10 TABLETAS.</t>
  </si>
  <si>
    <t>S01EC01</t>
  </si>
  <si>
    <t>row-8i8f_97ab.3ear</t>
  </si>
  <si>
    <t>EMULSIÓN LIPÍDICA: ACEITE DE SOYA REFINADA 60.00 G. TRIGLICÉRIDOS DE CADENA MEDIA 60.00 G. ACEITE DE OLIVA REFINADO 50.00 G. ACEITE DE PESCADO RICO EN ÁCIDOS OMEGA-3 30.00 G.</t>
  </si>
  <si>
    <t>FRESENIUS KABI COLOMBIA S.A.S.</t>
  </si>
  <si>
    <t>INVIMA 2024M-0021485</t>
  </si>
  <si>
    <t>SMOFKABIVEN® EXTRA NITROGEN LIBRE DE ELECTRÓLITOS EMULSIÓN PARA INFUSIÓN</t>
  </si>
  <si>
    <t>BOLSA TRICAMERAL EN BIOFINE POR 506 ML. CAJA POR 6 BOLSAS DE 506 ML.</t>
  </si>
  <si>
    <t>EMULSIÓN PARA INFUSIÓN</t>
  </si>
  <si>
    <t>row-v82t-wb9a_med6</t>
  </si>
  <si>
    <t>ASEPSIS PRODUCTS DE COLOMBIA S.A.S. PROASEPSIS S.A.S</t>
  </si>
  <si>
    <t>INVIMA 2016M-003802-R2</t>
  </si>
  <si>
    <t>IOFOAM JABON QUIRURGICO ESPUMA</t>
  </si>
  <si>
    <t>FRASCO PEADSIN DATOX 60 ML.</t>
  </si>
  <si>
    <t>JABON LIQUIDO</t>
  </si>
  <si>
    <t>row-iupz_vxcg_fevz</t>
  </si>
  <si>
    <t>MUESTRA MEDICA:CAJA PLEGADIZA POR 4 TABLETAS ENSIN DATO BLISTER PVC/PVDC-ALUMINIO MAS BOLSA SACHET</t>
  </si>
  <si>
    <t>row-i8hi.m92h~4snk</t>
  </si>
  <si>
    <t>INVIMA 2016M-0004428-R1</t>
  </si>
  <si>
    <t>NAPROX®2.5%SUSPENSION</t>
  </si>
  <si>
    <t>CAJA DE CARTÓN CON UNSIN DATOFRASCO PET ÁMBAR CON ETIQUETA X 120 ML TAPA PLÁSTICA HOMOPOLÍMEROSIN DATOPROPÍLICOSIN DATO(PP) CON CUCHARA DOSIFICADORA</t>
  </si>
  <si>
    <t>row-swux_k746~b53i</t>
  </si>
  <si>
    <t>CAJA PLEGADIZA POR 500 JERINGAS PRELLENADAS DE 0.4 ML CON DISPOSITIVO DE SEGURIDAD. INSERTO E INSTRUCTIVO DE USO. CON Y SIN MARCACIÓN EN BLÍSTER (ENOXAPARINA 40 MG) DE CADA JERINGA PRELLENADA</t>
  </si>
  <si>
    <t>row-df77-t8fc~ktu3</t>
  </si>
  <si>
    <t>CAJA POR TIRA DE PAPEL/POLIETILENO/ALUMINIO/SURLYN POR 24 TABLETAS.</t>
  </si>
  <si>
    <t>row-9w6b-nwaw-vghi</t>
  </si>
  <si>
    <t>ROSUVASTATINA CÁLCICA. 10.417 MG. EQUIVALENTE A ROSUVASTATINA BASE</t>
  </si>
  <si>
    <t>M/S RA CHEM PHARMA LTD</t>
  </si>
  <si>
    <t>2F1031221001105</t>
  </si>
  <si>
    <t>INVIMA 2022M-0020798</t>
  </si>
  <si>
    <t>ROSUFEN 10-135</t>
  </si>
  <si>
    <t>ACIDO FENOFÍBRICO 135MG/ROSUVASTATINA 10MG CAPSULA DE LIBERACIÓN NO MODIFICADA ORAL (ROSUFEN) CAPSULA /CAJA X 2 CAPSULAS DE GELATINA DURA: 1 BLISTER EN ALUMINIO PLATEADO/ PVC.PVDC BLANCO X 2 CAPSULAS MUESTRA MÉDICA</t>
  </si>
  <si>
    <t>C10BA09</t>
  </si>
  <si>
    <t>row-bnvw.7bvx-i76f</t>
  </si>
  <si>
    <t>INDAPAMIDA</t>
  </si>
  <si>
    <t>INVIMA 2015M-0016471</t>
  </si>
  <si>
    <t>NATRIXAM ® 1.5 MG / 5 MG</t>
  </si>
  <si>
    <t>MUESTRA MEDICA: CAJA POR 10 TABLETAS DE LIBERACION MODIFICADA EN 2 BLISTER ALUMINIO/ALUMINIO</t>
  </si>
  <si>
    <t>CADA TABLETA DE LIBERACION PROLONGADA</t>
  </si>
  <si>
    <t>TABLETA DE LIBERACIÓN MODIFICADA</t>
  </si>
  <si>
    <t>C03BA11</t>
  </si>
  <si>
    <t>row-c3qf_tcdq~z3j2</t>
  </si>
  <si>
    <t>ACETATO DE ALUMINIO HIDRÓXIDO. EQUIVALENTE A ACETATO DE ALUMINIO</t>
  </si>
  <si>
    <t>INVIMA 2022M-0003534-R2</t>
  </si>
  <si>
    <t>ACID-NESS LOCIÓN</t>
  </si>
  <si>
    <t>FRASCO PEAD CON TAPA DE PP POR 400 ML .</t>
  </si>
  <si>
    <t>100 ML DE LOCIÓN</t>
  </si>
  <si>
    <t>LOCION</t>
  </si>
  <si>
    <t>ACETATO DE ALUMINIO</t>
  </si>
  <si>
    <t>0,059</t>
  </si>
  <si>
    <t>D02AX99</t>
  </si>
  <si>
    <t>row-69uu~xwxu~v6c6</t>
  </si>
  <si>
    <t>.-CAJA DISPENSADORA POR 60 CÁPSULAS BLANDAS EN EMPAQUE INDIVIDUAL TIPO BLISTER PVC-PVDC/FOIL ALUMINIO POR 10 CÁPSULAS BLANDAS</t>
  </si>
  <si>
    <t>row-gbmn.cyjs~phuu</t>
  </si>
  <si>
    <t>COASPHARMA S.A.S. PLANTA PALOQUEMAO</t>
  </si>
  <si>
    <t>INVIMA 2023M-0017747-R1</t>
  </si>
  <si>
    <t>GRIPAC 4®</t>
  </si>
  <si>
    <t>CAJA PLEGADIZA CON 1 BLISTER LAMINADO /PET /FOIL / PEBD POR 10 CAPSULAS.</t>
  </si>
  <si>
    <t>row-qm74.2puc~ctk5</t>
  </si>
  <si>
    <t>FENILALANINA</t>
  </si>
  <si>
    <t>CAJA POR 5 BOLSAS PLÁSTICAS DE POLIAMIDA / POLIPROPILENO FLEXIBLE CON TRES COMPARTIMENTOS (SOLUCIÓN AMINOÁCIDOS 500 ML. SOLUCION DE GLUCOSA 500 ML. EMULSION LIPIDICA 250 ML) X 1250 MLSIN DATO+ INSERTO.</t>
  </si>
  <si>
    <t>row-sav5.7vk2_4mpz</t>
  </si>
  <si>
    <t>INVIMA 2023M-0015267-R1</t>
  </si>
  <si>
    <t>CAXETA</t>
  </si>
  <si>
    <t>MUESTRA MÉDICA: CAJA PLEGADIZA POR UN BLISTER ALU-ALU POR 4 TABLETAS RECUBIERTAS CADA UNO</t>
  </si>
  <si>
    <t>SUN PHARMACEUTICAL INDUSTRIES LTD.</t>
  </si>
  <si>
    <t>row-9f2z.x37b~re26</t>
  </si>
  <si>
    <t>BESILATO DE AMLODIPINO 13.889 MG EQUIVALENTE A AMLODIPINO</t>
  </si>
  <si>
    <t>1A1016441003120</t>
  </si>
  <si>
    <t>INVIMA 2023M-004028-R3</t>
  </si>
  <si>
    <t>NORVAS ® 10 MG TABLETAS</t>
  </si>
  <si>
    <t>IUM 1A1016441003120: AMLODIPINO 10.0000 MG TABLETAS DE LIBERACION NO MODIFICADA ORAL (NORVAS) TABLETA 1.0000U / CAJA X 5. MUESTRA MÉDICA. CAJA POR 5 TABLETAS EN BLÍSTER PVC/PVDC OPACO CON FOIL DE ALUMINIO.</t>
  </si>
  <si>
    <t>AMLODIPINO</t>
  </si>
  <si>
    <t>C08CA01</t>
  </si>
  <si>
    <t>row-kbvz~mdde~r6ku</t>
  </si>
  <si>
    <t>INVIMA 2022M-0015839-R1</t>
  </si>
  <si>
    <t>TELMISARTAN 80 MG</t>
  </si>
  <si>
    <t>HOSPITALARIA: CAJA POR 10 TABLETAS EN BLISTER ALUMINIO-ALUMINIO POR 10 TABLETAS + INSERTO .</t>
  </si>
  <si>
    <t>row-6gft_7mhz_2bud</t>
  </si>
  <si>
    <t>FRASCO DE POLIETILENO (PEAD) DE ALTA DENSIDAD X 250 ML SABOR: COCO</t>
  </si>
  <si>
    <t>124,3</t>
  </si>
  <si>
    <t>row-k73s~dy4x~2ytv</t>
  </si>
  <si>
    <t>SERTRALINA CLORHIDRATO EQUIVALENTE A SERTRALINA</t>
  </si>
  <si>
    <t>PFIZER MANUFACTURING DEUTSCHLAND GMBH</t>
  </si>
  <si>
    <t>1S1007101005105</t>
  </si>
  <si>
    <t>INVIMA 2023M-0001579-R3</t>
  </si>
  <si>
    <t>ZOLOF® 100MG</t>
  </si>
  <si>
    <t>CAJA X 30 TABLETAS RECUBIERTAS EN BLISTER DE PVC OPACO / ALUMINIO CON 10 TABLETAS RECUBIERTAS CADA UNO.</t>
  </si>
  <si>
    <t>row-brjm~5d53_bz3e</t>
  </si>
  <si>
    <t>PROPINOX CLORHIDRATO (PARGEVERINA)</t>
  </si>
  <si>
    <t>MEGA LABS S.A</t>
  </si>
  <si>
    <t>INVIMA 2019M-0001049-R2</t>
  </si>
  <si>
    <t>SERTAL® 10 MG COMPRIMIDOS RECUBIERTOS</t>
  </si>
  <si>
    <t>M.MEDICA CAJA X 2 COMPRIMIDOS EN BLISTER DE ALUMINIO - PVC CON INSERTO</t>
  </si>
  <si>
    <t>PROPINOX CLORHIDRATO</t>
  </si>
  <si>
    <t>A03AX52</t>
  </si>
  <si>
    <t>row-ptae.j6yc_eeg4</t>
  </si>
  <si>
    <t>AMLODIPINO BESILATO 13.87 MG EQUIVALENTE A AMLODIPINO</t>
  </si>
  <si>
    <t>NOVARTIS FARMA S.P.A.</t>
  </si>
  <si>
    <t>INVIMA 2023M-0011477-R2</t>
  </si>
  <si>
    <t>EXFORGE® HCT 10/320/25 COMPRIMIDOS RECUBIERTOS CON PELÍCULA</t>
  </si>
  <si>
    <t>CAJA POR 7 TABLETAS CUBIERTAS CON PELÍCULA. EN BLISTER ALUMINIO-(PVC/PVDC)</t>
  </si>
  <si>
    <t>row-tuc4.a4ie~v92x</t>
  </si>
  <si>
    <t>ORLISTAT PELLETS 50% EQUIVALENTES A ORLISTAT</t>
  </si>
  <si>
    <t>BIOCHEM FARMACEUTICA DE COLOMBIAS.A.</t>
  </si>
  <si>
    <t>INVIMA 2017M-0017650</t>
  </si>
  <si>
    <t>LINADEX®</t>
  </si>
  <si>
    <t>MUESTRA MÉDICA: CAJA POR 3 CÁPSULAS EN BLISTER PVC TRANSPARENTE / ALUMINIO.</t>
  </si>
  <si>
    <t>ORLISTAT</t>
  </si>
  <si>
    <t>A08AB01</t>
  </si>
  <si>
    <t>row-w5ua_58h2~r4zs</t>
  </si>
  <si>
    <t>DROSPIRENONA</t>
  </si>
  <si>
    <t>2D1020881002110</t>
  </si>
  <si>
    <t>MUESTRA MÉDICA: CAJA PLEGADIZA CON 24 TABLETAS EN BLÍSTER DE PVC-PVDC/ALUMINIO. CON PORTA BLÍSTER.</t>
  </si>
  <si>
    <t>TABLETA CUBIERTA CON PELÍCULA</t>
  </si>
  <si>
    <t>row-k3kq-ptpa_cbpx</t>
  </si>
  <si>
    <t>MISOPROSTOL 1% EQUIVALENTE AMISOPROSTOL</t>
  </si>
  <si>
    <t>INVIMA 2019M-0011274-R1</t>
  </si>
  <si>
    <t>CYTIL V 50 MCG</t>
  </si>
  <si>
    <t>CAJA POR 200 TABLETAS VAGINALES EN BLÍSTER PVC-PE-PVDC BLANCO/ALUMINIO</t>
  </si>
  <si>
    <t>TABLETA VAGINAL</t>
  </si>
  <si>
    <t>MISOPROSTOL</t>
  </si>
  <si>
    <t>G02AD06</t>
  </si>
  <si>
    <t>row-3yjp-tbhw~vuc6</t>
  </si>
  <si>
    <t>LABORATORIOS COASPHARMA S.A.S - COASPHARMA S.A.S</t>
  </si>
  <si>
    <t>INVIMA 2022M-0014295-R1</t>
  </si>
  <si>
    <t>GUAYACOLATO DE GLICERILO2%</t>
  </si>
  <si>
    <t>CAJA POR 1 FRASCO PET AMBAR POR 120 ML</t>
  </si>
  <si>
    <t>GUAIFENESINA</t>
  </si>
  <si>
    <t>R05CA03</t>
  </si>
  <si>
    <t>row-ezbq.hd3a.ug99</t>
  </si>
  <si>
    <t>-CAJA DISPENSADORA POR 100 CAPSULAS BLANDAS EN EMPAQUE TIPO SOBRE PORTABLISTER BLÍSTER ALUMINIO/PVC ÁMBAR POR 10 CAPSULAS BLANDAS.</t>
  </si>
  <si>
    <t>row-dkis.2bn8_q487</t>
  </si>
  <si>
    <t>INVIMA 2019M-0009710-R1</t>
  </si>
  <si>
    <t>ARAMAX® 2.5/50 MG CAPSULAS</t>
  </si>
  <si>
    <t>MUESTRA MEDICA: CAJA POR 30 CAPSULAS EN BLÍSTER ALUMINIO-PVC/PVDC TRANSPARENTE</t>
  </si>
  <si>
    <t>row-ed5p.zrjd~zbnc</t>
  </si>
  <si>
    <t>ROMOSOZUMAB</t>
  </si>
  <si>
    <t>1R1017551000101</t>
  </si>
  <si>
    <t>INVIMA 2021MBT-0000035</t>
  </si>
  <si>
    <t>EVENITY® 90MG/ML</t>
  </si>
  <si>
    <t>MUESTRA MÉDICA:CAJA POR 2 JERINGAS PRELLENADAS CRYSTAL ZENITH®. CADA UNA CON 105MG DE ROMOSOZUMAB EN 1.17ML DE SOLUCIÓN INYECTABLE (90MG/ML). UNA DOSIS DEL PRODUCTO EQUIVALE A 2 JERINGAS PRELLENADAS (1 DOSIS= 210MG)</t>
  </si>
  <si>
    <t>M05BX06</t>
  </si>
  <si>
    <t>row-mwb5~td4h.8879</t>
  </si>
  <si>
    <t>INVIMA 2020M-0011003-R2</t>
  </si>
  <si>
    <t>DOLONET® 200 MG</t>
  </si>
  <si>
    <t>CAJA DISPENSADORA POR 100 CAPSULAS BLANDAS. ENSIN DATOBLISTER DE PVC/ ALUMINIO POR 2. 4 Y 10SIN DATOCAPSULAS BLANDAS CADA UNO.</t>
  </si>
  <si>
    <t>row-iwmu.uq44.w46e</t>
  </si>
  <si>
    <t>TIZANIDINA CLORHIDRATO EQUIVALENTE A TIZANIDINA</t>
  </si>
  <si>
    <t>INVIMA 2008M-0008584</t>
  </si>
  <si>
    <t>CIMBRAR(R) SR CAPSULA DE LIBERACIÓN PROGRAMADA</t>
  </si>
  <si>
    <t>BLISTER DE ALUMINIO/PVC TRANSPARENTESIN DATOPOR 10 CÁPSULAS DE LIBERACIÓN PROGRAMADA. EN CAJA POR 20 CÁPSULAS DE LIBERACIÓN PROGRAMADA</t>
  </si>
  <si>
    <t>CÁPSULA DE LIBERACIÓN PROGRAMADA</t>
  </si>
  <si>
    <t>EUROETIKA S.A.S</t>
  </si>
  <si>
    <t>TIZANIDINA</t>
  </si>
  <si>
    <t>M03BX02</t>
  </si>
  <si>
    <t>row-832r.gy4f~t5nf</t>
  </si>
  <si>
    <t>MUESTRA MÉDICA: CAJA POR 30 TABLETAS RECUBIERTAS EN BLÍSTER TRANSPARENTE ACLAR / ALU</t>
  </si>
  <si>
    <t>row-62jq.xj8p_r89j</t>
  </si>
  <si>
    <t>AMLODIPINO BESILATO 6.935 MGEQUIVALENTE A AMOLODIPINO</t>
  </si>
  <si>
    <t>2A1016331000106</t>
  </si>
  <si>
    <t>INVIMA 2019M-0018822</t>
  </si>
  <si>
    <t>TELMISARTAN AMLODIPINO 80 MG / 5 MG</t>
  </si>
  <si>
    <t>MUESTRA MEDICA. CAJA PLEGADIZA POR 30 CAPSULAS EN BLISTER ALU/ALU POR 10 CAPSULAS DURAS CADA UNO (IUM 2A1016331000106).</t>
  </si>
  <si>
    <t>TELMISARTAN Y AMLODIPINO</t>
  </si>
  <si>
    <t>C09DB04</t>
  </si>
  <si>
    <t>row-nx8t-ceu8_njxy</t>
  </si>
  <si>
    <t>INVIMA 2015M-0004376-R1</t>
  </si>
  <si>
    <t>IRBETIAZID® 150</t>
  </si>
  <si>
    <t>CAJA POR 28 TABLETAS EN FOIL ALUMINIO / POLIETILENO (POUCH)</t>
  </si>
  <si>
    <t>row-5v5u.m2ec.rv9t</t>
  </si>
  <si>
    <t>2C1031151001102</t>
  </si>
  <si>
    <t>IUM 2C1031151001102: CAJA POR 6 CÁPSULAS BLANDAS EN BLÍSTER PVC-PVDC TRANSPARENTE/ALUMINIO POR 2 CÁPSULAS. CONTIENE 3 BLÍSTER.</t>
  </si>
  <si>
    <t>row-qcjr~2k3x_nyef</t>
  </si>
  <si>
    <t>DEXKETOPROFENO TROMETAMOL 36.90 MG (EQUIVALENTE A DEXKETOPROFENO)</t>
  </si>
  <si>
    <t>2D1038131000106</t>
  </si>
  <si>
    <t>2D1038131000106 DEXKETOPROFENO 25 MG/TRAMADOL 75 MG TABLETAS DE LIBERACION NO MODIFICADA ORAL (SKUDEXA) TABLETA 1 U / CAJA X 50 TABLETAS RECUBIERTAS EN BLÍSTER PVDC/PE/PVC//ALU</t>
  </si>
  <si>
    <t>row-j75n.k2pn.rwkq</t>
  </si>
  <si>
    <t>TRAMETINIB DIMETILSULFÓXIDO</t>
  </si>
  <si>
    <t>INVIMA 2016M-0017317</t>
  </si>
  <si>
    <t>MEKINIST®2 MG TABLETAS RECUBIERTAS</t>
  </si>
  <si>
    <t>MUESTRA MÉDICA CAJA POR UN FRASCO BLANCO EN HDPE CON DESECANTE EN SILICA GEL Y TAPA CHILD RESISTANT POR 30 TABLETAS RECUBIERTAS</t>
  </si>
  <si>
    <t>TRAMETINIB</t>
  </si>
  <si>
    <t>L01XE25</t>
  </si>
  <si>
    <t>row-q7nu.j8ds-bt6m</t>
  </si>
  <si>
    <t>LORATADINA MICROGRÁNULOS. EQUIVALENTE A LORATADINA</t>
  </si>
  <si>
    <t>INVIMA 2023M-0012862-R2</t>
  </si>
  <si>
    <t>LORDINEX® D CAPSULAS</t>
  </si>
  <si>
    <t>MUESTRA MEDICA: CAJA POR 3 CÁPSULAS DURAS EN BLISTER DE PVC/TE/PVDC TRANSPARENTE/FOIL ALUMINIO.SIN DATO1 (UN) BLISTER POR 3 CÁPSULAS DURAS</t>
  </si>
  <si>
    <t>row-hzpe_9hfe_preg</t>
  </si>
  <si>
    <t>INVIMA 2016 M-001048-R2</t>
  </si>
  <si>
    <t>LORATADINA TABLETAS</t>
  </si>
  <si>
    <t>CAJA PORSIN DATO10 TABLETAS. EN BLISTER PVC TRANSPARENTE / ALUMINIO</t>
  </si>
  <si>
    <t>row-mqve_bkeb_niz8</t>
  </si>
  <si>
    <t>DIACEREINA</t>
  </si>
  <si>
    <t>INVIMA 2021M-0013525-R1</t>
  </si>
  <si>
    <t>ARTRIDOX®50 MG CAPSULAS</t>
  </si>
  <si>
    <t>PRESENTACION INSTITUCIONAL: CAJA POR 30 CAPSULAS BLISTER PVC ÁMBAR / ALUMINIO POR 10 CÁPSULAS</t>
  </si>
  <si>
    <t>C.I FARMACAPSULAS S.A.S.</t>
  </si>
  <si>
    <t>M01AX21</t>
  </si>
  <si>
    <t>row-zpzv-jdcw.fa6t</t>
  </si>
  <si>
    <t>ASCORBATO DE SODIO (EQUIVALENTE A 500 MG DE ÁCIDO ASCÓRBICO)</t>
  </si>
  <si>
    <t>INVIMA 2004FE-0003228-R1</t>
  </si>
  <si>
    <t>SUPRAVITAL ANTIOXIDANTE</t>
  </si>
  <si>
    <t>FRASCO PLASTICO PVC POR 60 CAPSULAS.</t>
  </si>
  <si>
    <t>MULTIVITAMINAS Y ELEMENTOS TRAZA</t>
  </si>
  <si>
    <t>562,85</t>
  </si>
  <si>
    <t>A11AA04</t>
  </si>
  <si>
    <t>row-y7k6.fatb.bury</t>
  </si>
  <si>
    <t>BLISTER PVC / ALUMINIO EN CAJA POR 50 BLISTER DE 10 COMPRIMIDOS.</t>
  </si>
  <si>
    <t>row-etqd_an4b_e4sk</t>
  </si>
  <si>
    <t>INVIMA 2013M-0014291</t>
  </si>
  <si>
    <t>DOLORSIN® FEM CAPSULA DURA CON CONTENIDO LIQUIDO</t>
  </si>
  <si>
    <t>CAJA POR 8 CAPSULAS EN BLISTER DE ALUMINIO/PERLALUX STARFLEX TRANSPARENTE.</t>
  </si>
  <si>
    <t>row-ft2j_rb2a.jsq3</t>
  </si>
  <si>
    <t>CLINDAMICINA FOSFATO712.92 MGEQUIVALENTE A CLINDAMICINA BASE</t>
  </si>
  <si>
    <t>INVIMA 2022M-0003196-R2</t>
  </si>
  <si>
    <t>CLINDAMICINA 600 MG / 4 ML SOLUCIÓN INYECTABLE</t>
  </si>
  <si>
    <t>CAJA PLEGADIZA EN CARTULINA POR 500 AMPOLLAS DE VIDRIO TIPO I. TRANSPARENTES Y PIROGRABADAS. CADA UNA X 4 ML</t>
  </si>
  <si>
    <t>AMPOLLA POR 4 ML DE SOLUCIÓN INYECTABLE</t>
  </si>
  <si>
    <t>J01FF01</t>
  </si>
  <si>
    <t>row-q9gk-bivk~986e</t>
  </si>
  <si>
    <t>row-8uyd~2rm5_kk2z</t>
  </si>
  <si>
    <t>CLORHIDRATO DE METFORMINA</t>
  </si>
  <si>
    <t>AIAC INTERNATIONAL PHARMA LLC. CON DOMICILIO EN ARECIBO PUERTO RICO</t>
  </si>
  <si>
    <t>INVIMA 2014M-0015484</t>
  </si>
  <si>
    <t>JANUMET XR 50/1000MG TABLETAS RECUBIERTAS DE LIBERACION PROLONGADA</t>
  </si>
  <si>
    <t>FRASCO DE HDPE PORSIN DATO184 TABLETAS RECUBIERTAS DE LIBERACIÓN PROLONGADA (EL FRASCO INCLUYE UN SOBRE CON SILICA GEL).</t>
  </si>
  <si>
    <t>TABLETA RECUBIERTA DE LIBERACION PROLONGADA</t>
  </si>
  <si>
    <t>row-u9mu_byha_w7cw</t>
  </si>
  <si>
    <t>CLORHIDRATO DE MEBEVERINA</t>
  </si>
  <si>
    <t>INVIMA 2020M-0016582-R1</t>
  </si>
  <si>
    <t>DUSPATALIN® 135 MG TABLETAS RECUBIERTAS</t>
  </si>
  <si>
    <t>MUESTRA MEDICA CAJA CON BLISTER PVC/ALUMINIO X 5 TABLETAS RECUBIERTAS</t>
  </si>
  <si>
    <t>MEBEVERINA</t>
  </si>
  <si>
    <t>A03AA04</t>
  </si>
  <si>
    <t>row-5he2~2pdf_xi79</t>
  </si>
  <si>
    <t>DIVALPROATO SODICO 269.1MG (EQUIVALENTE A ACIDO VALPROICO 250MG)</t>
  </si>
  <si>
    <t>ABBOTT LABORATORIOS DO BRASIL LTDA.</t>
  </si>
  <si>
    <t>INVIMA 2014M-0003327-R1</t>
  </si>
  <si>
    <t>VALCOTE® ER 250 MG</t>
  </si>
  <si>
    <t>ESTUCHE POR 6 TABLETAS EN BLISTER PVC/PE/PCTFE/ALUMINIO.</t>
  </si>
  <si>
    <t>row-kgaf.fqiq-q5yu</t>
  </si>
  <si>
    <t>CAJA CON 1 JERINGAS PRELLENADAS EN BLISTER PVC/PROPALCOTE POR 0.2 ML CON BIOCLICK DE SEGURIDAD.</t>
  </si>
  <si>
    <t>row-ncye-whez-3v8v</t>
  </si>
  <si>
    <t>ALCANFOR</t>
  </si>
  <si>
    <t>PROCTER &amp; GAMBLE COLOMBIA LTDA (P &amp; G COLOMBIA LTDA)</t>
  </si>
  <si>
    <t>INVIMA 2009 M-013296-R1</t>
  </si>
  <si>
    <t>VICK VAPORUB (UNGUENTO)</t>
  </si>
  <si>
    <t>DUOPACK CON CARTÓN Y PLÁSTICO TERMOENCOGIBLE TRANSPARENTE POR 2 FRASCOS POR 50 G CADA UNO</t>
  </si>
  <si>
    <t>100 GR</t>
  </si>
  <si>
    <t>MENTOL. ALCANFOR. EUCALIPTO</t>
  </si>
  <si>
    <t>5,26</t>
  </si>
  <si>
    <t>C01EB02</t>
  </si>
  <si>
    <t>row-ku69.jttw_9qvp</t>
  </si>
  <si>
    <t>IVABRADINA CLORHIDRATO EQUIVALENTE A 5 MG DE IVABRADINA</t>
  </si>
  <si>
    <t>INVIMA 2008M-0008275</t>
  </si>
  <si>
    <t>PROCORALAN5 MG - COMPRIMIDOS RECUBIERTOS</t>
  </si>
  <si>
    <t>CAJA POR 14 TABLETAS EN BLISTER PVC/ALUMINIO.</t>
  </si>
  <si>
    <t>IVABRADINE</t>
  </si>
  <si>
    <t>C01EB17</t>
  </si>
  <si>
    <t>row-zptu_9xp4-cpns</t>
  </si>
  <si>
    <t>L-TREONINA</t>
  </si>
  <si>
    <t>INVIMA 2019M-0001843-R2</t>
  </si>
  <si>
    <t>AMINOVEN 10%</t>
  </si>
  <si>
    <t>FRASCO DE VIDRIO INCOLORO TIPO II POR 500 ML.</t>
  </si>
  <si>
    <t>FRESENIUS KABIDEUTSCHLAND GMBH</t>
  </si>
  <si>
    <t>4,4</t>
  </si>
  <si>
    <t>row-awep-4nqw_p42p</t>
  </si>
  <si>
    <t>INVIMA 2015M-0016679</t>
  </si>
  <si>
    <t>LIDAL®</t>
  </si>
  <si>
    <t>CAJA POR 20 ÓVULOS EN BLISTER PVC-PVDC TRANSPARENTE/ALU X 5 ÓVULOS</t>
  </si>
  <si>
    <t>GLOBAL INTERNATIONAL MEDICINE S.A.S. - GIMED S.A.S.</t>
  </si>
  <si>
    <t>row-utwn_3diw-a7vx</t>
  </si>
  <si>
    <t>SEVELAMERO CARBONATO ANHIDRO</t>
  </si>
  <si>
    <t>INVIMA 2023M-0016597-R1</t>
  </si>
  <si>
    <t>RANLAT ®</t>
  </si>
  <si>
    <t>CAJA POR 30 TABLETAS RECUBIERTAS EN BLISTER DE ALUMINIO Y PVC -ACLAR 300/02</t>
  </si>
  <si>
    <t>SEVELAMER</t>
  </si>
  <si>
    <t>V03AE02</t>
  </si>
  <si>
    <t>row-arkd.6ua7~qit8</t>
  </si>
  <si>
    <t>BENDAMUSTINA CLORHIDRATO</t>
  </si>
  <si>
    <t>XINETIX PHARMA S.A.S.</t>
  </si>
  <si>
    <t>INVIMA 2019M-0018851</t>
  </si>
  <si>
    <t>LEUKUSTIM® 100 MG POLVO LIOFILIZADO</t>
  </si>
  <si>
    <t>CAJA PLEGADIZA CON UN VIAL DE VIDRIO TIPO I ÁMBAR. TAPÓN DE BROMOBUTILO GRIS. CIERRE DE ALUMINIO Y FLIP-OFF</t>
  </si>
  <si>
    <t>BENDAMUSTINE</t>
  </si>
  <si>
    <t>L01AA09</t>
  </si>
  <si>
    <t>row-uwpc-w69z_ajji</t>
  </si>
  <si>
    <t>AMIODARONA CLORHIDRATO</t>
  </si>
  <si>
    <t>1A1014821000102</t>
  </si>
  <si>
    <t>INVIMA 2023M-0020942</t>
  </si>
  <si>
    <t>AMIODARONA CLORHIDRATO SOLUCIÓN INYECTABLE 150 MG / 3 ML</t>
  </si>
  <si>
    <t>1A1014821000102 AMIODARONA 50.0000 MG OTRAS SOLUCIONES INTRAVENOSA (RYAN) AMPOLLA 3.0000ML / CAJA X 50. CAJA PLEGADIZA CON 50 AMPOLLAS DE VIDRIO INCOLORO TIPO I POR 3 ML CADA UNA + INSERTO.</t>
  </si>
  <si>
    <t>CADA AMPOLLA POR 3 ML CONTIENE</t>
  </si>
  <si>
    <t>AMIODARONA</t>
  </si>
  <si>
    <t>C01BD01</t>
  </si>
  <si>
    <t>row-zrxz-95tn.6ic2</t>
  </si>
  <si>
    <t>row-bnwm.pezb_jkpn</t>
  </si>
  <si>
    <t>MEROPENEM TRIHIDRATO EQUIVALENTE A MEROPENEM BASE</t>
  </si>
  <si>
    <t>VITALIS S.A.C.I. PLANTA 6</t>
  </si>
  <si>
    <t>1M1003751004101</t>
  </si>
  <si>
    <t>INVIMA 2021M-0020015</t>
  </si>
  <si>
    <t>ACUS® 500</t>
  </si>
  <si>
    <t>1M1003751004101 CAJA POR DIEZ (10) VIALES DE VIDRIO TIPO I TRANSPARENTE CON TAPÓN DE BROMOBUTILO Y AGRAFE DE ALUMINIO /FLIP OFF AZUL OSCURO.</t>
  </si>
  <si>
    <t>row-r5rv_24c3.efp6</t>
  </si>
  <si>
    <t>2H1005971004100</t>
  </si>
  <si>
    <t>INVIMA 2023M-0018366-R1</t>
  </si>
  <si>
    <t>DOLIREN® 7.5</t>
  </si>
  <si>
    <t>2H1005971004100. HIDROCODONA 7.5000 MG/PARACETAMOL 325.0000 MG TABLETAS DE LIBERACION NO MODIFICADA ORAL (DOLIREN) TABLETA 1.0000U / CAJA X 30. (CAJA X 30 TABLETAS RECUBIERTAS EN 3 BLISTER ALU/ALU (OPA-ALUMINIO-PVC) MAS PAPEL ALUMINIO X 10 TABLETAS RECUBIERTAS C/U).</t>
  </si>
  <si>
    <t>row-77ep_ikt6~zy3k</t>
  </si>
  <si>
    <t>NEOMICINA SULFATO (COMO BASE)</t>
  </si>
  <si>
    <t>OPHARM LTDA</t>
  </si>
  <si>
    <t>2D1008211007100</t>
  </si>
  <si>
    <t>INVIMA 2021M-0010925-R1</t>
  </si>
  <si>
    <t>TRIVISIOL SOLUCION OFTALMICA</t>
  </si>
  <si>
    <t>CAJA X 10 FRASCOS GOTEROS PLASTICOS EN PEBD CON SUBTAPA Y TAPA DE SEGURIDAD EN PEAD POR 5 ML</t>
  </si>
  <si>
    <t>1 ML DE SOLUCION</t>
  </si>
  <si>
    <t>BD FARMA S.A.S.</t>
  </si>
  <si>
    <t>ANTIBIOTICOS EN COMBINACION CON OTROS F RMACOS</t>
  </si>
  <si>
    <t>3,5</t>
  </si>
  <si>
    <t>S01AA20</t>
  </si>
  <si>
    <t>row-rfx5~fbad.c4un</t>
  </si>
  <si>
    <t>JGB S.A.</t>
  </si>
  <si>
    <t>INVIMA 2021M-0014051-R1</t>
  </si>
  <si>
    <t>BRONQUISOL FORTE</t>
  </si>
  <si>
    <t>FRASCO EN PET (POLIETILENTERAFTALATO) AMBAR POR 118 ML CON TAPA EN POLIPROPILENO.</t>
  </si>
  <si>
    <t>TOS SUPRESORES Y EXPECTORANTES</t>
  </si>
  <si>
    <t>R05FB02</t>
  </si>
  <si>
    <t>row-s8dz~ansm-9djp</t>
  </si>
  <si>
    <t>USO INSTITUCIONAL: CAJA PLEGADIZA POR 20 JERINGAS PRELLENADAS DE 0.4 ML</t>
  </si>
  <si>
    <t>row-kqva-4zr7~te6v</t>
  </si>
  <si>
    <t>INVIMA 2016M-0017187</t>
  </si>
  <si>
    <t>DABIX® 160/25 MG TABLETAS</t>
  </si>
  <si>
    <t>MUESTRA MÉDICA: CAJA PLEGADIZA POR 5 TABLETAS RECUBIERTAS EN BLÍSTER LAMINADO DE ALU/ALU.</t>
  </si>
  <si>
    <t>row-xfhv.ghaq_7gu8</t>
  </si>
  <si>
    <t>MUESTRA MEDICA:CAJA PLEGADIZA CON 3 SACHET LAMINADO CON 100ML DE SOLUCION ORAL SABOR CEREZA</t>
  </si>
  <si>
    <t>row-xhdx-5v46_3mj4</t>
  </si>
  <si>
    <t>MUESTRA MEDICA: CAJA POR 10 FRASCOS DE VIDRIO TIPO II INCOLORO POR 500ML</t>
  </si>
  <si>
    <t>4,76</t>
  </si>
  <si>
    <t>row-pa82-64jz_3mqb</t>
  </si>
  <si>
    <t>LOPERAMIDA CLORHIDRATO</t>
  </si>
  <si>
    <t>INVIMA 2021M-0013528-R1</t>
  </si>
  <si>
    <t>LOPERAMIDA CLORHIDRATO2MG</t>
  </si>
  <si>
    <t>CAJA PLEGADIZA POR 900 COMPRIMIDOS EN BLISTER DE PVC-PVDC TRANSPARENTE</t>
  </si>
  <si>
    <t>LOPERAMIDA</t>
  </si>
  <si>
    <t>A07DA03</t>
  </si>
  <si>
    <t>row-ence~5j7m-9ydd</t>
  </si>
  <si>
    <t>SITAGLIPTINA FOSFATO MONOHIDRATADO 128.5 EQUIVALENTE A 100 DE SITAGLIPTINA BASE</t>
  </si>
  <si>
    <t>ORGANON PHARMA (UK) LIMITED</t>
  </si>
  <si>
    <t>INVIMA 2019M-0006868-R1</t>
  </si>
  <si>
    <t>JANUVIA® 100MG</t>
  </si>
  <si>
    <t>MUESTRA MÉDICA - CAJA POR 28 TABLETAS RECUBIERTAS EN BLISTER PVDC/PE/PVC</t>
  </si>
  <si>
    <t>row-828j-n5g5.7xn3</t>
  </si>
  <si>
    <t>CAJA POR 4 TABLETAS SABOR CEREZA EN FOIL ALUMINIO/ALUMINIO BLANCO.</t>
  </si>
  <si>
    <t>row-zhfc_s6pa-5bz5</t>
  </si>
  <si>
    <t>QUIMICA PATRIC LTDA.</t>
  </si>
  <si>
    <t>INVIMA 2018M-0008532-R1</t>
  </si>
  <si>
    <t>CETIRRINOL D CAPSULAS</t>
  </si>
  <si>
    <t>CAJA POR 10 CAPSULAS EN BLISTER PVC/ALUMINIO</t>
  </si>
  <si>
    <t>PSEUDOEFEDRINA COMBINACIONES</t>
  </si>
  <si>
    <t>R01BA52</t>
  </si>
  <si>
    <t>row-5dgg-3rdx_jgvz</t>
  </si>
  <si>
    <t>METOPROLOL SUCCINATO 23.75 MG EQUIVALENTE A METOPROLOL TARTRATO</t>
  </si>
  <si>
    <t>ASTRAZENECA AB</t>
  </si>
  <si>
    <t>INVIMA 2021M-0002062-R2</t>
  </si>
  <si>
    <t>BETALOC ZOK® 25 MG</t>
  </si>
  <si>
    <t>CAJA POR 10 TABLETAS EN BLÍSTER DE PVC/ALUMINIO</t>
  </si>
  <si>
    <t>row-a4ie.w8uy-ayqa</t>
  </si>
  <si>
    <t>RECKITT BENCKISER HEALTHCARE INTERNATIONAL LIMITED</t>
  </si>
  <si>
    <t>INVIMA 2010M-0010778</t>
  </si>
  <si>
    <t>GAVISCON® LIQUIDO SACHET SUSPENSION ORAL</t>
  </si>
  <si>
    <t>MUESTRA MÉDICA: CAJA POR 10 SACHET DE POLIÉSTER / ALUMINIO Y POLIETILENO DE 10 ML</t>
  </si>
  <si>
    <t>SACHET 10 ML</t>
  </si>
  <si>
    <t>RB (HEALTH) COLOMBIA S.A.S</t>
  </si>
  <si>
    <t>ANTIACIDOS CON BICARBONATO DE SODIO</t>
  </si>
  <si>
    <t>A02AH99</t>
  </si>
  <si>
    <t>row-eamj.xrfj-r57u</t>
  </si>
  <si>
    <t>ENCORAFENIB</t>
  </si>
  <si>
    <t>INVIMA 2025M-0021820</t>
  </si>
  <si>
    <t>BRAFTOVI® 75 MG CÁPSULAS</t>
  </si>
  <si>
    <t>M. MÉDICA: CAJA POR 42 CÁPSULAS EN BLÍSTER PUSH DE POLIAMIDA/ALUMINIO/PVC/ALUMINIO</t>
  </si>
  <si>
    <t>L01EC03</t>
  </si>
  <si>
    <t>row-u58u~iq74~9dyb</t>
  </si>
  <si>
    <t>KETOTIFENO FUMARATO EQUIVALENTE A KETOTIFENO BASE</t>
  </si>
  <si>
    <t>1K1011281002100</t>
  </si>
  <si>
    <t>INVIMA 2022M-0004910-R2</t>
  </si>
  <si>
    <t>KETOTIFENO 1MG/5ML JARABE</t>
  </si>
  <si>
    <t>KETOTIFENO 0.2500 MG OTRAS SOLUCIONES ORAL (PENTACOOP) FRASCO 120.0000ML / FRASCO X 1. FRASCO DE POLIETILENTEREFTALATO PET ÁMBAR CON TAPA DE POLIPROPILENO COLOR BLANCA Y ETIQUETAS AUTOADHESIVA EN PROPALCOTE DE SEGURIDAD X 120ML</t>
  </si>
  <si>
    <t>100 ML DE SOLUCIÓN (ORAL)</t>
  </si>
  <si>
    <t>PENTACOOP S.A.</t>
  </si>
  <si>
    <t>KETOTIFENO</t>
  </si>
  <si>
    <t>R06AX17</t>
  </si>
  <si>
    <t>row-86w4_b2wn~dqyn</t>
  </si>
  <si>
    <t>AMPOLLA DE VIDRIO X 500 ML. VIDRIO TIPO II TRANSPARENTE. TAPÓN</t>
  </si>
  <si>
    <t>0,048</t>
  </si>
  <si>
    <t>row-bxau_7d5s_rsgf</t>
  </si>
  <si>
    <t>ATORVASTATINA CALCICA TRIHIDRATO. EQUIVALENTE A ATORVASTATINA</t>
  </si>
  <si>
    <t>INVIMA 2019M-0013058-R1</t>
  </si>
  <si>
    <t>ATORVASTATINA 40 MG TABLETA RECUBIERTA</t>
  </si>
  <si>
    <t>CCAJA DE CARTÓN POR 2 TABLETAS RECUBIERTAS EN 1 BLÍSTER ALU/ALU MAS PAPEL DE ALUMINIO POR 2 TABLETAS.</t>
  </si>
  <si>
    <t>row-kh76.x5e8-nk4d</t>
  </si>
  <si>
    <t>USO INSTITUCIONAL: CAJA PLEGADIZA POR 20 TABLETAS EN BLISTER POR 10 TABLETAS EN PVC/PVDC TRANSPARENTE/ ALUMINIO.</t>
  </si>
  <si>
    <t>row-mjhk.cdah_inpw</t>
  </si>
  <si>
    <t>DEWARD LIBERATOR X 60 L.</t>
  </si>
  <si>
    <t>row-bgqi-eg8r.s6ir</t>
  </si>
  <si>
    <t>INVIMA 2017M-0011969-R1</t>
  </si>
  <si>
    <t>NADOREX ® JARABE</t>
  </si>
  <si>
    <t>CAJA PLEGADIZA DE CARTÓN QUE CONTIENE FRASCO BLANCO EN PEAD CONSIN DATOTAPA BLANCA EN PP YSIN DATOCOPASIN DATOCOLOR NATURAL EN PP POR 60 ML.</t>
  </si>
  <si>
    <t>CADA 100ML (150MG /5ML) DE JARABE</t>
  </si>
  <si>
    <t>LABORATORIOS BEST S.A.</t>
  </si>
  <si>
    <t>row-2rvg.w6qg-uv7k</t>
  </si>
  <si>
    <t>METOCARBAMOL</t>
  </si>
  <si>
    <t>2I1016221001104</t>
  </si>
  <si>
    <t>INVIMA 2024M-0021407</t>
  </si>
  <si>
    <t>RELNEX® TABLETAS RECUBIERTAS</t>
  </si>
  <si>
    <t>CAJA PLEGADIZA CON 100 TABLETAS ENSIN DATO10 BLISTER PVC-PVDC BLANCO/ALUMINIO PORSIN DATO10 TABLETAS</t>
  </si>
  <si>
    <t>row-ufdx_yrfd-8xq5</t>
  </si>
  <si>
    <t>DICLOFENACO DIETILAMINA 1.16 G EQUIVALENTE ADICLOFENACO SÓDICO</t>
  </si>
  <si>
    <t>HALEON CH SARL</t>
  </si>
  <si>
    <t>1D1003681022100</t>
  </si>
  <si>
    <t>INVIMA 2023M-011124-R3</t>
  </si>
  <si>
    <t>VOLTAREN EMULGEL</t>
  </si>
  <si>
    <t>CAJA POR 1 TUBO DE 100 G LAMINADO EN POLIETILENO DE BAJA DENSIDAD / ALUMINIO / POLIETILENO DE ALTA DENSIDAD</t>
  </si>
  <si>
    <t>DICLOFENAC</t>
  </si>
  <si>
    <t>M02AA15</t>
  </si>
  <si>
    <t>row-mj4f_gubt_96mr</t>
  </si>
  <si>
    <t>CAJA POR 28 TABLETAS EN BLÍSTER DE OPA/AL/PVC-ALUMINIO.</t>
  </si>
  <si>
    <t>row-3bxs_evym_f7y7</t>
  </si>
  <si>
    <t>CLORHEXIDINA DIGLUCONATO</t>
  </si>
  <si>
    <t>ALMED GMBH</t>
  </si>
  <si>
    <t>INVIMA 2020M-0014348-R1</t>
  </si>
  <si>
    <t>INSTILLAGEL®</t>
  </si>
  <si>
    <t>CAJA POR 12 JERINGAS PRELLENADAS EN POLIPROPILENO Y TAPÓN DEL EMBOLO EN CLOROBUTILO POR 6 ML.</t>
  </si>
  <si>
    <t>POR CADA 100 G DE GEL</t>
  </si>
  <si>
    <t>FARCO-PHARMA GMBH</t>
  </si>
  <si>
    <t>row-z3tj.ipqw-9zy2</t>
  </si>
  <si>
    <t>CEFUROXIMA SODICA EQUIVALENTE A CEFUROXIMA</t>
  </si>
  <si>
    <t>1C1032751000102</t>
  </si>
  <si>
    <t>INVIMA 2020M-0019763</t>
  </si>
  <si>
    <t>CEFOME® 750 MG POLVO ESTERIL PARA RECONSTITUIR</t>
  </si>
  <si>
    <t>1C1032751000102: CAJA PLEGADIZA POR UN FRASCO VIAL DE VIDRIO TIPO I POR 750 MG CON TAPÓN DE CAUCHO Y AGRAFE+1AMPOLLA EN PEBD X 10 ML CON AGUA ESTÉRIL+INSERTO</t>
  </si>
  <si>
    <t>CEFUROXIMA</t>
  </si>
  <si>
    <t>J01DC02</t>
  </si>
  <si>
    <t>row-xubx.if6w-b8un</t>
  </si>
  <si>
    <t>IINVIMA 2023M-007582-R4</t>
  </si>
  <si>
    <t>DIANEAL PD- 2 CON DEXTROSAAL 2.5%</t>
  </si>
  <si>
    <t>BOLSAS PLÁSTICAS PVC GRADO MÉDICO X 1000ML. CON BOLSA EXTERNA EN PEAD</t>
  </si>
  <si>
    <t>row-p724.xpm7_tnx3</t>
  </si>
  <si>
    <t>MUESTRA MÉDICA: CAJA PLEGADIZA POR 4 SACHERT LAMINADO PORSIN DATO100 ML C/U DE SOLUCIÓN ORAL SABOR COCO .</t>
  </si>
  <si>
    <t>row-p3ps~vjsj.pr5x</t>
  </si>
  <si>
    <t>FINGOLIMOD HCL 0.56 MG EQUIVALENTE A FINGOLIMOB</t>
  </si>
  <si>
    <t>1F1006001019103</t>
  </si>
  <si>
    <t>INVIMA 2023M-0012592-R2</t>
  </si>
  <si>
    <t>GILENYA ® 0.5 MG CAPSULA DURA</t>
  </si>
  <si>
    <t>MUESTRA MÉDICA: CAJA POR 7 CÁPSULAS EN BLISTER PVC/PVDC X 7 CÁPSULAS C/U</t>
  </si>
  <si>
    <t>FINGOLIMOD</t>
  </si>
  <si>
    <t>L04AA27</t>
  </si>
  <si>
    <t>row-w7va_nbu2~rhfv</t>
  </si>
  <si>
    <t>INVIMA 2020M-015336-R3</t>
  </si>
  <si>
    <t>NULYTELY POLVO PARA RECONSTITUIR</t>
  </si>
  <si>
    <t>MUESTRA MÉDICA: CAJA DE CARTÓN POR 10 SOBRES DE POLIETILENO CON 110.1 G DEL PRODUCTO SABOR LIMA-LIMÓN.</t>
  </si>
  <si>
    <t>SOBRE DE PPR A SOLUCIÓN ORAL DE 109.6 G</t>
  </si>
  <si>
    <t>MACROGOL COMBINACIONES</t>
  </si>
  <si>
    <t>2,8</t>
  </si>
  <si>
    <t>A06AD65</t>
  </si>
  <si>
    <t>row-cx9w_u75j-427i</t>
  </si>
  <si>
    <t>LACTULOSA( 66-67 %)EQUIVALENTE A LACTULOSA</t>
  </si>
  <si>
    <t>INVIMA 2021M-0016378-R1</t>
  </si>
  <si>
    <t>CONSTILAX® 66. 7% SOLUCION ORAL</t>
  </si>
  <si>
    <t>FRASCOSIN DATODESIN DATOPEAD BLANCO PORSIN DATO240SIN DATOMLSIN DATOCON TAPA DE POLIPROPILENO BLANCA.</t>
  </si>
  <si>
    <t>100 MLDE SOLUCIÓN</t>
  </si>
  <si>
    <t>LACTULOSA</t>
  </si>
  <si>
    <t>66,7</t>
  </si>
  <si>
    <t>A06AD11</t>
  </si>
  <si>
    <t>row-e3x2-mqu2~5p5k</t>
  </si>
  <si>
    <t>1T1010871001105</t>
  </si>
  <si>
    <t>INVIMA 2019M-0019273</t>
  </si>
  <si>
    <t>TEMIFORCE® 80 MG TABLETAS</t>
  </si>
  <si>
    <t>IUM: T1010871001105SIN DATOMUESTRA MEDICA: CAJA POR 6 TABLETAS EN BLÍSTER ALUMINIO /ALUMINIO</t>
  </si>
  <si>
    <t>row-tfsx~sp6n-qb62</t>
  </si>
  <si>
    <t>BESILATO DE AMLODIPINO 6.944 MG EQUIVALENTE A AMLOPINO BASE</t>
  </si>
  <si>
    <t>1A1011901007105</t>
  </si>
  <si>
    <t>INVIMA 2023M-003001- R3</t>
  </si>
  <si>
    <t>NORVAS® TABLETAS 5 MG</t>
  </si>
  <si>
    <t>IUM 1A1011901007105: AMLODIPINO 5.0000 MG TABLETAS DE LIBERACION NO MODIFICADA ORAL (NORVAS) TABLETA 1.0000U / CAJA X 14. CAJA POR 14 TABLETAS EN BLÍSTER PVC/PVDC/ALUMINIO</t>
  </si>
  <si>
    <t>row-ett2.efnd~4cwu</t>
  </si>
  <si>
    <t>INVIMA 2023M-0018272-R1</t>
  </si>
  <si>
    <t>LEVODRINE® 5 MG TABLETAS</t>
  </si>
  <si>
    <t>CAJA POR 30 TABLETAS EN BLÍSTER PVC TRANSPARENTE INCOLORO/FOIL ALUMINIO. 3 BLÍSTER POR 10 TABLETAS.</t>
  </si>
  <si>
    <t>LEVOCETIRIZINA</t>
  </si>
  <si>
    <t>R06AE09</t>
  </si>
  <si>
    <t>row-9q4j_9drg~5kdj</t>
  </si>
  <si>
    <t>1F1000601004103</t>
  </si>
  <si>
    <t>INVIMA 2020M-0013430-R1</t>
  </si>
  <si>
    <t>FLUCONAZOL CAPSULAS 200MG</t>
  </si>
  <si>
    <t>CAJA POR 300SIN DATOCAPSULAS EN BLISTER PVC/PVDC TRANSPARENTE-ALUMINIO POR 10 CAPSULAS.</t>
  </si>
  <si>
    <t>row-6zg8_pigu_69qe</t>
  </si>
  <si>
    <t>LABORATORIOS DEMAC LTDA.</t>
  </si>
  <si>
    <t>2A1028081005101</t>
  </si>
  <si>
    <t>INVIMA 2021M-0020205</t>
  </si>
  <si>
    <t>GASTRALGIN REFLU®</t>
  </si>
  <si>
    <t>CAJA POR 30 SACHETSSIN DATOEN POLIETILENO TERFTALATO - ADHESIVO - FOIL ALUMINIO - POLIETILENO DE BAJA DENSIDAD COEXTRUIDO POR 10 ML CADA SACHET IUM TERCER NIVEL 2A1028081005101</t>
  </si>
  <si>
    <t>2,13</t>
  </si>
  <si>
    <t>A02AB10</t>
  </si>
  <si>
    <t>row-pixm.ntjz_hcmg</t>
  </si>
  <si>
    <t>TAURINA</t>
  </si>
  <si>
    <t>INVIMA 2021M-0015636-R1</t>
  </si>
  <si>
    <t>NUMETA® G 19% E</t>
  </si>
  <si>
    <t>BOLSA DE PLÁSTICO CO-EXTRUIDO X 1000 ML (CON SOBREBOLSA). CON TRES (3) COMPARTIMIENTOS (SOLUCIÓN DE AMINOÁCIDOS Y ELECTROLITOS: 392 ML. SOLUCIÓN DE GLUCOSA: 383 ML. EMULSIÓN LIPÍDICA: 225 ML.)</t>
  </si>
  <si>
    <t>BOLSA DE 1000 ML CON 3 COMPARTIMIENTOS</t>
  </si>
  <si>
    <t>0,14</t>
  </si>
  <si>
    <t>row-ykid~tssa~9sxg</t>
  </si>
  <si>
    <t>INVIMA 2019M-13514- R2</t>
  </si>
  <si>
    <t>AMDIPIN H® 10 MG</t>
  </si>
  <si>
    <t>CAJA POR 5 TABLETAS EN BLISTER ALUMINIO / ALUMINIO</t>
  </si>
  <si>
    <t>HIDROCLOROTIAZIDA Y AGENTES AHORRADORES DE POTASIO</t>
  </si>
  <si>
    <t>C03EA01</t>
  </si>
  <si>
    <t>row-v4q7~vnxv.zif8</t>
  </si>
  <si>
    <t>VENLAFAXINA CLORHIDRATO 84.85 MG EQUIVALENTE A VENLAFAXINA</t>
  </si>
  <si>
    <t>INVIMA 2019M-0012110-R1</t>
  </si>
  <si>
    <t>VENLAFAXINA 75 MG</t>
  </si>
  <si>
    <t>MUESTRA MEDICA CAJA PLEGADIZA PORSIN DATO7 TABLETAS DE LIBERACIÓN PROLONGADA EN BLÍSTER DE PVC / ALUMINIO POR 7 TABLETAS DE LIBERACIÓN PROLONGADA</t>
  </si>
  <si>
    <t>TECNOQUIMICAS S.A. (PLANTA YUMBO)</t>
  </si>
  <si>
    <t>row-jvhn_crxe_zcdn</t>
  </si>
  <si>
    <t>GLUCONATO DE CLORHEXIDINA AL 20%</t>
  </si>
  <si>
    <t>INVIMA 2021M-0016758-R1</t>
  </si>
  <si>
    <t>WESCOHEX ® JABÓN 2%</t>
  </si>
  <si>
    <t>FRASCO BLANCO CON TAPA ROSCA EN PEAD POR 3785 ML</t>
  </si>
  <si>
    <t>100 ML DE JABÓN</t>
  </si>
  <si>
    <t>row-ij5y_97bp~vsim</t>
  </si>
  <si>
    <t>1-CAFEINA ANHIDRA</t>
  </si>
  <si>
    <t>2C1024881012110</t>
  </si>
  <si>
    <t>INVIMA 2025M-0021930</t>
  </si>
  <si>
    <t>DOLOFEN-E ® TABLETA RECUBIERTA</t>
  </si>
  <si>
    <t>CAJA PLEGADIZA CON 6 BLISTER PVDC FOIL ALUMINIO POR 10 TABLETAS RECUEBIERTAS C/U</t>
  </si>
  <si>
    <t>row-b29p.nzzg.gsfr</t>
  </si>
  <si>
    <t>INVIMA 2015M-0004030-R1</t>
  </si>
  <si>
    <t>NOXPIRIN®PLUS CAPSULAS</t>
  </si>
  <si>
    <t>FOIL TRILAMINADO DE POLIETILENO / ALUMINIO /POLIESTER EN CAJA POR 12 CAPSULAS</t>
  </si>
  <si>
    <t>row-5as9_pqj2.ip9s</t>
  </si>
  <si>
    <t>INVIMA 2020M-0013331-R1</t>
  </si>
  <si>
    <t>NOXPIRIN CALIENTE NOCHE</t>
  </si>
  <si>
    <t>ESTUCHE POR 5 CAJAS POR 3 SOBRES DE ALUMINIO /POLIÉSTER / COEXTRUIDO/PEBD POR 10G CADA UNO.</t>
  </si>
  <si>
    <t>row-jaqq.qs2q_iku9</t>
  </si>
  <si>
    <t>MEZCLA DEMEROPENEM TRIHIDRATO Y CARBONATO DE SODIOEQUIVALENTE A MEROPENEM</t>
  </si>
  <si>
    <t>INVIMA 2020M-0010488-R1</t>
  </si>
  <si>
    <t>MEROPENEM 500 MG</t>
  </si>
  <si>
    <t>CAJA POR UN FRASCO VIAL TRANSPARENTE DE 20 ML Y AGRAFE FLIP OFF GRIS</t>
  </si>
  <si>
    <t>row-yddh-qwki_tmus</t>
  </si>
  <si>
    <t>RIVASTIGMINA CON UNA LIBERACION NOMINAL DE 9.5MG/24 HORAS</t>
  </si>
  <si>
    <t>INVIMA 2015M-0016461</t>
  </si>
  <si>
    <t>ASTIGMIN 9.5 MG/24H</t>
  </si>
  <si>
    <t>-CAJA CON 3 SACHET TERMOSELLADOS DE PAPEL/ PET/ ALUMINIO / POLIAMIDA (LAS POL D) CONTENIENDO 3 PARCHES TRANSDÉRMICOS.</t>
  </si>
  <si>
    <t>SISTEMAS DE LIBERACION</t>
  </si>
  <si>
    <t>row-btyn-d5s9_dwq3</t>
  </si>
  <si>
    <t>ABBVIE IRELAND NL BV</t>
  </si>
  <si>
    <t>INVIMA 2019M-0001709-R2</t>
  </si>
  <si>
    <t>SYNTHROID® 100 MCG TABLETAS</t>
  </si>
  <si>
    <t>MUESTRA MEDICA: CAJA POR 10 TABLETAS EN BLISTERSIN DATOALUMINIO / ALUMINIO POR 10 TABLETAS CADA BLISTER</t>
  </si>
  <si>
    <t>row-w9am~umbj-ar3m</t>
  </si>
  <si>
    <t>ACETATO DE ICATIBANT EQUIVALENTE A ICATIBANT</t>
  </si>
  <si>
    <t>VETTER PHARMA-FERTIGUNG GMBH &amp; CO. KG</t>
  </si>
  <si>
    <t>INVIMA 2019M-0013975-R1</t>
  </si>
  <si>
    <t>FIRAZYR®</t>
  </si>
  <si>
    <t>INSTITUCIONAL: 3 JERINGAS PRELLENADAS DE VIDRIO TIPO I POR 3 ML. CON TAPON EMBOLO GRIS DE BROMOBUTILO RECUBIERTO CON POLIMERO DE FLUOROCARBONO Y 3 AGUJAS HIPODERMICAS</t>
  </si>
  <si>
    <t>TAKEDA COLOMBIA S.A.S</t>
  </si>
  <si>
    <t>ICATIBANT</t>
  </si>
  <si>
    <t>B06AC02</t>
  </si>
  <si>
    <t>row-y8sf_384m.sxvw</t>
  </si>
  <si>
    <t>row-qa2z~haqi_u56c</t>
  </si>
  <si>
    <t>FLUBENDAZOLMICRONIZADO</t>
  </si>
  <si>
    <t>COASPHARMA S.A.S. (ANTES FARMACOOP) PLANTA PALOQUEMAO</t>
  </si>
  <si>
    <t>INVIMA 2019M-0012694-R1</t>
  </si>
  <si>
    <t>DECAFLUSAN® 500 MG TABLETAS</t>
  </si>
  <si>
    <t>CAJA X 2 TABLETAS EN BLISTER FOIL Y PVC DE ALUMINIO ATÓXICO.</t>
  </si>
  <si>
    <t>INVERSIONES COMERFAR LTDA.</t>
  </si>
  <si>
    <t>FLUBENDAZOL</t>
  </si>
  <si>
    <t>P02CA05</t>
  </si>
  <si>
    <t>row-2a2s-bcrb_5jhk</t>
  </si>
  <si>
    <t>ETANERCEPT</t>
  </si>
  <si>
    <t>PFIZER MANUFACTURING BELGIUM NV</t>
  </si>
  <si>
    <t>INVIMA 2018MBT-0007375-R1</t>
  </si>
  <si>
    <t>ENBREL® 50 MG SOLUCION PARA INYECCION</t>
  </si>
  <si>
    <t>MUESTRA MÉDICA: CAJA PLEGABLE DE CARTÓN CON 1 BANDEJA PLÁSTICA CON 2 AUTOINYECTORES MYCLICK Y CADA AUTOINYECTOR CON UNA TORUNDA DE ALCOHOL (CADA AUTOINYECTOR ESTÁ COMPUESTO POR EL DISPOSITIVO DE APLICACIÓN Y POR UNA JERINGA PRELLENADA EN VIDRIO TIPO I CON</t>
  </si>
  <si>
    <t>L04AB01</t>
  </si>
  <si>
    <t>row-ng9u-ae4k-4p3p</t>
  </si>
  <si>
    <t>1R1042141001115</t>
  </si>
  <si>
    <t>CAJA POR 100 SACHETS MULTILAMINADO (PAPEL/PET/PE/ALUMINIO/LASPOLD). CADA SACHET CONTINE UN (1) PARCHE TRANSDÉRMICO. MUESTRA MÉDICA</t>
  </si>
  <si>
    <t>row-2b9a-d3rk.rwhy</t>
  </si>
  <si>
    <t>CICLOBENZAPRINA CLORHIDRATO</t>
  </si>
  <si>
    <t>INVIMA 2021M-0011785-R2</t>
  </si>
  <si>
    <t>TENSODOX® 10 MG TABLETA RECUBIERTA</t>
  </si>
  <si>
    <t>MUESTRASIN DATOMÉDICA: CAJASIN DATOXSIN DATO2SIN DATOTABLETASSIN DATORECUBIERTAS EN BLISTER PVC/ TRANSPARENTE/ALUMINIOSIN DATO PORSIN DATO2SIN DATOTABLETAS</t>
  </si>
  <si>
    <t>CICLOBENZAPRINA</t>
  </si>
  <si>
    <t>M03BX08</t>
  </si>
  <si>
    <t>row-522f~jb4v.7cym</t>
  </si>
  <si>
    <t>3A1026651000100</t>
  </si>
  <si>
    <t>INVIMA 2018M-0018566</t>
  </si>
  <si>
    <t>VINATAL DHA CAPSULA DE GELATINA BLANDA</t>
  </si>
  <si>
    <t>3A1026651000100:CAJA POR 60 CAPSULAS DE GELATINA BLANDA EN BLÍSTER POR 10 CAPSULAS.</t>
  </si>
  <si>
    <t>10,5</t>
  </si>
  <si>
    <t>row-ktcz_8cft-gajq</t>
  </si>
  <si>
    <t>EZETIMIBA (SCH 58235) MICRONIZADO</t>
  </si>
  <si>
    <t>ORGANON COLOMBIA S.A.S</t>
  </si>
  <si>
    <t>INVIMA 2023M-0002492-R3</t>
  </si>
  <si>
    <t>ZETIA® TABLETAS.</t>
  </si>
  <si>
    <t>CAJA POR 90 TABLETAS EN BLISTER ACLAR - PVC/ALUMINIO POR 10 TABLETAS CADA BLISTER</t>
  </si>
  <si>
    <t>C10AX09</t>
  </si>
  <si>
    <t>row-8xe3~if26.msz8</t>
  </si>
  <si>
    <t>GLUCOSA MONOHIDRATADA EQUIVALENTE A 1.618GDE GLUCOSA ANHIDRA</t>
  </si>
  <si>
    <t>INVIMA 2021M-0017049-R1</t>
  </si>
  <si>
    <t>PEDIALYTE® ACTIVE 30 MEQ.</t>
  </si>
  <si>
    <t>PRESENTACIÓN COMERCIAL: FRASCO PLÁSTICO PEAD POR 500ML. CIERRE FOIL DE ALUMINIO. TAPA DE POLIETILENO DE ALTA DENSIDAD. SABOR CEREZA</t>
  </si>
  <si>
    <t>1,78</t>
  </si>
  <si>
    <t>row-6m2h.bbu8.2drv</t>
  </si>
  <si>
    <t>INVIMA 2021M-009160-R3</t>
  </si>
  <si>
    <t>TRIMETOPRIM SULFA SUSPENSION</t>
  </si>
  <si>
    <t>FRASCO PET AMBAR POR 60 ML TAPA PLASTICA</t>
  </si>
  <si>
    <t>100 ML DE SUSPENSION ORAL</t>
  </si>
  <si>
    <t>row-fcvr_pyur_27pe</t>
  </si>
  <si>
    <t>AMPICILINA SODICA EUIVALENTE AMPICILINA BASE</t>
  </si>
  <si>
    <t>PHARMA TRADING COLOMBIA ZF SAS</t>
  </si>
  <si>
    <t>INVIMA 2020M-0014363-R1</t>
  </si>
  <si>
    <t>AMPICILINA 0.5 G. POLVO PARA RECONSTITUIR A SOLUCION INYECTABLE</t>
  </si>
  <si>
    <t>USO INSTITUCIONAL:CAJA PLEGADIZA XSIN DATO50 VIALES DE VIDRIO TRANSPARENTE CON TAPON DE CAUCHO. TAPA PLÁSTICA Y AGRAFE DE AL</t>
  </si>
  <si>
    <t>POR CADA VIAL</t>
  </si>
  <si>
    <t>NORTH CHINA PHARMACEUTICAL CO LTD</t>
  </si>
  <si>
    <t>AMPICILINA</t>
  </si>
  <si>
    <t>J01CA01</t>
  </si>
  <si>
    <t>row-bj42_k4j6.tncj</t>
  </si>
  <si>
    <t>1E1032981004102</t>
  </si>
  <si>
    <t>CAJA POR 3 JERINGAS PRELLENADAS DE VIDRIO TIPO I CON UNA AGUJA FIJA Y TAPÓN DE CAUCHO DE CLOROBUTILOSIN DATODE 0.2 ML CON Y SIN MARCACIÓN EN BLÍSTER (ENOXAPARINA 20MG) DE CADA JERINGA PRELLENADA</t>
  </si>
  <si>
    <t>row-2kay_r2r9-4x2g</t>
  </si>
  <si>
    <t>SULFAMETIZOL</t>
  </si>
  <si>
    <t>INVIMA 2021M-0016412-R1</t>
  </si>
  <si>
    <t>S*ORIPOL FORTE®.</t>
  </si>
  <si>
    <t>MUESTRA MÉDICA: ESTUCHE DE CARTÓN X 10SIN DATOCÁPSULAS EN BLISTER DE PAPEL ALUMINIO Y PVC TRASPARENTE X 10 CÁPSULAS CADA UNO.</t>
  </si>
  <si>
    <t>J01EB02</t>
  </si>
  <si>
    <t>row-ep33.43ek~deia</t>
  </si>
  <si>
    <t>OPELLA HEALTHCARE COLOMBIA S.A.S.</t>
  </si>
  <si>
    <t>INVIMA 2019M-000559-R4</t>
  </si>
  <si>
    <t>BUSCAPINA® AMPOLLAS</t>
  </si>
  <si>
    <t>CAJA POR 6 AMPOLLAS EN VIDRIO TIPO I DE 1 ML CADA UNA.</t>
  </si>
  <si>
    <t>row-4rue_bnmn-jihi</t>
  </si>
  <si>
    <t>CAJA PLEGADIZA POR 3 SACHET LAMINADO POR 100 MLSIN DATOC/U DE SOLUCION ORAL SABOR CEREZA</t>
  </si>
  <si>
    <t>row-ju9h.2qd7-w5ha</t>
  </si>
  <si>
    <t>INVIMA 2016M-0010986-R1</t>
  </si>
  <si>
    <t>AFINITOR® 5 MG TABLETAS</t>
  </si>
  <si>
    <t>USO INSTITUCIONAL:CAJA POR 30 TABLETAS.3 BLISTERSIN DATOPA/ALU/PVC POR 10 TABLETAS CADA UNO.</t>
  </si>
  <si>
    <t>NOVARTISPHARMAA.G.</t>
  </si>
  <si>
    <t>row-9g45.vexf~q6hy</t>
  </si>
  <si>
    <t>AMLODIPINO BESILATO</t>
  </si>
  <si>
    <t>INVIMA 2016M-0016825</t>
  </si>
  <si>
    <t>COVERATRIX® 10 MG. / 2.5 MG. / 10 MG</t>
  </si>
  <si>
    <t>CAJA CON UN FRASCO DE POLIPROPILENO PROVISTO DE UN DISPENSADOR DE PEBD Y TAPON DE PEBD CONTENIENDO UN DESECANTE POR 60 COMPRIMIDOS RECUBIERTOS CON PELÍCULA.</t>
  </si>
  <si>
    <t>COMPRIMIDO RECUBIERTO CON PELICULA</t>
  </si>
  <si>
    <t>row-3xd3_jdy2~6wkm</t>
  </si>
  <si>
    <t>TAPENTADOL CLORHIDRATO 58.24MG EQUIVALENTE A TAPENTADOL BASE</t>
  </si>
  <si>
    <t>FARMACEUTICI FORMENTI S.P.A.</t>
  </si>
  <si>
    <t>INVIMA 2023M-0014502-R2</t>
  </si>
  <si>
    <t>PALEXIS ® 50 MG.</t>
  </si>
  <si>
    <t>CAJA POR 28 TABLETAS EN BLISTER PVC/PVDC/ALUMINIO BLANCO OPACO.</t>
  </si>
  <si>
    <t>TABLETA CON PELICULA</t>
  </si>
  <si>
    <t>TAPENTADOL</t>
  </si>
  <si>
    <t>N02AX06</t>
  </si>
  <si>
    <t>row-tf5e_4762-hcbn</t>
  </si>
  <si>
    <t>BOLSA TRICAMERAL EN BIOFINE POR 1448ML. CAJA QUE CONTIENE 4 BOLSAS X 1448ML</t>
  </si>
  <si>
    <t>row-3wha.vr3g.pg72</t>
  </si>
  <si>
    <t>USO INSTITUCIONAL-PROHIBIDA SU VENTA: CAJA POR 900 CAPSULAS EN BLISTER PVC AMBAR/ALUMINIO EN SOBRE POUCH CON SILICA DESECANTE</t>
  </si>
  <si>
    <t>row-pwj2-mdw4-guey</t>
  </si>
  <si>
    <t>CEFADROXILO MONOHIDRATO 5.355 G EQUIVALENTE A CEFDROXILO BASE</t>
  </si>
  <si>
    <t>SYNTOFARMA S.A. (PLANTA DE CEFALOSPORINICOS)</t>
  </si>
  <si>
    <t>INVIMA 2021M-0014229-R1</t>
  </si>
  <si>
    <t>FAZOTEC®</t>
  </si>
  <si>
    <t>USO INSTITUCIONAL: FRASCO X 35.14 G DE POLVO PARA RECONSTITUIR A 80ML + COPA DOSIFICADORA</t>
  </si>
  <si>
    <t>43.92G DE POLVO PARA RECONSTITUIR A 100ML DE SUSPENSION</t>
  </si>
  <si>
    <t>CEFADROXIL</t>
  </si>
  <si>
    <t>J01DB05</t>
  </si>
  <si>
    <t>row-24wh-5ef5.itk9</t>
  </si>
  <si>
    <t>INVIMA 2015M-0015862</t>
  </si>
  <si>
    <t>G-MET G-TAB® 1000 MG</t>
  </si>
  <si>
    <t>MUESTRA MÉDICA: CAJA X 10 TABLETAS RECUBIERTAS. EN BLÍSTER ALUMINIO/PVC-PVDC TRANSPARENTE POR 10 TABLETAS RECUBIERTAS.</t>
  </si>
  <si>
    <t>row-gpwt_mstw-raqg</t>
  </si>
  <si>
    <t>1B1030541002110</t>
  </si>
  <si>
    <t>MUESTRA MEDICA: CAJA POR 14 TABLETAS EN BLISTER PVC/PVDC/ALUMINIO</t>
  </si>
  <si>
    <t>row-74e3~abz3-9usn</t>
  </si>
  <si>
    <t>INVIMA 2023M-0007435-R2</t>
  </si>
  <si>
    <t>HIDROCORTISONA 1% CREMA</t>
  </si>
  <si>
    <t>CAJA PLEGADIZASIN DATOENSIN DATOCARTULINA CON TUBOSIN DATOCOLAPSIBLE LAMINADOSIN DATOYSIN DATOTAPA DE POLIPROPILENOSIN DATOXSIN DATO15 G.</t>
  </si>
  <si>
    <t>100G DE CREMA</t>
  </si>
  <si>
    <t>row-52x6_rssa~bj2w</t>
  </si>
  <si>
    <t>BLISTER PVC / ALUMINIO EN CAJA POR 1 BLISTER DE 5 COMPRIMIDOS.</t>
  </si>
  <si>
    <t>row-w75x.m3t9~8e6e</t>
  </si>
  <si>
    <t>INVIMA 2023M-0004948-R2</t>
  </si>
  <si>
    <t>FERITREX® 500 MG TABLETAS</t>
  </si>
  <si>
    <t>ESTUCHE POR 1 TABLETA EN BLISTER DE ALUMINIO IMPRESO Y PVC TRANSPARENTE POR 1 TABLETA.</t>
  </si>
  <si>
    <t>row-h99q~q8ed.g64r</t>
  </si>
  <si>
    <t>MONTELUKAST SODICO EQUIVALENTE A MONTELUKAST BASE</t>
  </si>
  <si>
    <t>INVIMA 2013M-0002301-R1</t>
  </si>
  <si>
    <t>CERROKAST® 5 MG TABLETAS MASTICABLES</t>
  </si>
  <si>
    <t>MUESTRA MÉDICA: BLÍSTER ALU/ALU POLIAMIDA/ALU + FOIL BLÍSTER X 4 TABLETAS EN CAJA PLEGADIZA.</t>
  </si>
  <si>
    <t>row-sr9n-ajsk_5d7v</t>
  </si>
  <si>
    <t>2C1015031000104</t>
  </si>
  <si>
    <t>2C1015031000104CAFEÍNA 30 MG / DESLORATADINA 2.5 MG / FENILEFRINA 20 MG / PARACETAMOL 500 MG CÁPSULAS DE LIBERACIÓN NO MODIFICADA ORAL (CONGESTEX) CÁPSULA 1 UNIDAD. CAJA POR 1 CÁPSULA EN BLÍSTER (PVC/TE/PVDC TRANSPARENTE INCOLORO / FOIL ALUMINIO) 1 BLÍSTER POR 1 CÁPSULA.</t>
  </si>
  <si>
    <t>row-f8kv_pk6g_45ii</t>
  </si>
  <si>
    <t>BETAHISTINADICLORURO</t>
  </si>
  <si>
    <t>INVIMA 2023M-011607-R2</t>
  </si>
  <si>
    <t>VERUM TABLETAS 8 MG</t>
  </si>
  <si>
    <t>MUESTRA MEDICA: CAJA POR 30 TABLETAS EN BLISTER PVC-PE-PVDC/ALUMINIO.</t>
  </si>
  <si>
    <t>BETAHISTINA</t>
  </si>
  <si>
    <t>N07CA01</t>
  </si>
  <si>
    <t>row-sq4k_fpx6-qnmn</t>
  </si>
  <si>
    <t>INVIMA 2021M-0014208-R1</t>
  </si>
  <si>
    <t>APRONAX® LIQUID-GELS</t>
  </si>
  <si>
    <t>MUESTRA MEDICA: CAJA POR 3 CÁPSULAS EN BLISTER PVC-ALUMINIO-FILL ACLARSIN DATO(BLISTER POR 3 CÁPSULAS).</t>
  </si>
  <si>
    <t>row-rpkd.iux7_5kmy</t>
  </si>
  <si>
    <t>LABORATORIOS BUSSIE S.A.</t>
  </si>
  <si>
    <t>INVIMA 2022M-0004913-R2</t>
  </si>
  <si>
    <t>NITAZOFIN® 500 MG TABLETAS RECUBIERTAS</t>
  </si>
  <si>
    <t>CAJA POR 3 TABLETAS RECUBIERTAS EN BLISTER DE PVC/PE/PVDC Y FOIL DE ALUMINIO</t>
  </si>
  <si>
    <t>CADA TABLETA CONTIENE:</t>
  </si>
  <si>
    <t>row-5jhw~t9ra-i37v</t>
  </si>
  <si>
    <t>IBUPROFENO LISINATO</t>
  </si>
  <si>
    <t>INVIMA 2020M-013531-R3</t>
  </si>
  <si>
    <t>DIANTAL TABLETAS RECUBIERTAS 400 MG</t>
  </si>
  <si>
    <t>MUESTRA MÉDICA: CAJA DE CARTULINA POR 30 TABLETAS RECUBIERTAS EN BLÍSTER DE PVC-PVDC/ALUMINIO (BLÍSTER POR 10 O POR 15 TABLETAS RECUBIERTAS)</t>
  </si>
  <si>
    <t>row-fxp9_h8p2~yw4q</t>
  </si>
  <si>
    <t>1C1008571016104</t>
  </si>
  <si>
    <t>CAJA X 50 TABLETAS RECUBIERTAS EN BLISTER PVC TRANSPARENTE/ALU</t>
  </si>
  <si>
    <t>row-sg9a~gd2e-8ijy</t>
  </si>
  <si>
    <t>ETINIL ESTRADIOL</t>
  </si>
  <si>
    <t>INVIMA 2018M-0009470-R1</t>
  </si>
  <si>
    <t>BELLAFACE®</t>
  </si>
  <si>
    <t>MUESTRA MEDICA: CAJA POR 2 BLÍSTER PVC INCOLORO/ ALUMINIO POR 28 TABLETAS RECUBIERTAS (21 CON PRINCIPIO ACTIVO Y 7 PLACEBO) CADA BLÍSTER.</t>
  </si>
  <si>
    <t>DIENOGEST Y ETINILESTRADIOL</t>
  </si>
  <si>
    <t>G03AA16</t>
  </si>
  <si>
    <t>row-dupw.8dqb~5u2h</t>
  </si>
  <si>
    <t>ETINILESTRADIOL</t>
  </si>
  <si>
    <t>GEDEON RICHTER COLOMBIA S.A.S.</t>
  </si>
  <si>
    <t>INVIMA 2022M-0017218-R1</t>
  </si>
  <si>
    <t>SIBILLA® 2 MG/0.03 MG COMPRIMIDOS RECUBIERTOS.</t>
  </si>
  <si>
    <t>USO INSTITUCIONAL: CAJA PLEGADIZA X 126 COMPRIMIDOS RECUBIERTOS CON 6 BLISTER X 21</t>
  </si>
  <si>
    <t>GEDEON RICHTER PLC</t>
  </si>
  <si>
    <t>row-57xf~ii6p-3jpi</t>
  </si>
  <si>
    <t>TIOCOLCHICOSIDO</t>
  </si>
  <si>
    <t>INVIMA 2015M-0016464</t>
  </si>
  <si>
    <t>MOVIPREN® ULTRA TABLETAS RECUBIERTAS</t>
  </si>
  <si>
    <t>CAJA X 15 TABLETAS EN BLISTER PVC/PVDC/ALUMINIO</t>
  </si>
  <si>
    <t>TIOCOLCHICOSIDA</t>
  </si>
  <si>
    <t>M03BX05</t>
  </si>
  <si>
    <t>row-6kte.2p4b_498g</t>
  </si>
  <si>
    <t>OXIDO DE ZINC EQUIVALENTE A 7.5 MG/5 ML. DEION ZINC</t>
  </si>
  <si>
    <t>FRASCO EN VIDRIO AMBAR TIPO III CON TAPA BLANCA EN POLIPROPILENO EN ESTUCHE DE CARTULINA POR 90ML CON COPA DOSIFICADORA.SABOR FRESA.</t>
  </si>
  <si>
    <t>100 MLDE SUSPENSIÓN</t>
  </si>
  <si>
    <t>0,18666</t>
  </si>
  <si>
    <t>row-bwue-xgsk.wr3k</t>
  </si>
  <si>
    <t>CAJA POR 100 CÀPSULAS EN BLISTER ALUMINIO/PVC TRASPARENTE POR 10 CAPSULAS</t>
  </si>
  <si>
    <t>row-fv7p_4jc3_xph5</t>
  </si>
  <si>
    <t>NEOMICINA SULFATO</t>
  </si>
  <si>
    <t>2D1008211000100</t>
  </si>
  <si>
    <t>INVIMA 2019M-0018692</t>
  </si>
  <si>
    <t>TREEVER- OFT SOLUCION OFTALMICA</t>
  </si>
  <si>
    <t>IUM: 2D1008211000100 CAJA POR 1 FRASCO DE PEBD COLOR BLANCO CON SUBTAPA GOTERO DE PEBD COLOR NATURAL Y TAPA DE PP POR 5 ML CON O SIN CAJA PLEGADIZA DE CARTÓN.</t>
  </si>
  <si>
    <t>CADA ML DE SOLUCION OFTALMICA ESTERIL</t>
  </si>
  <si>
    <t>DEXAMETASONA Y ANTIINFECCIOSOS</t>
  </si>
  <si>
    <t>S01CA01</t>
  </si>
  <si>
    <t>row-3idn-vpvp.wjqk</t>
  </si>
  <si>
    <t>LEVOSULPIRIDA</t>
  </si>
  <si>
    <t>LABORATORIOS ROWE SRL</t>
  </si>
  <si>
    <t>INVIMA 2021M-0010143-R1</t>
  </si>
  <si>
    <t>-------------------------------------GARMISCH SULPRID 25 MG TABLETAS</t>
  </si>
  <si>
    <t>MUESTRA MÉDICA: CAJA PLEGADIZA POR 10 COMPRIMIDOS EN BLISTER DE ALUMINIO/PVDC-PVC TRANSPARENTE</t>
  </si>
  <si>
    <t>N05AL07</t>
  </si>
  <si>
    <t>row-n86e~5tw4_j4a2</t>
  </si>
  <si>
    <t>ESTUCHE CON TUBO COLAPSIBLE EN ALUMINIO POR 40G MÁS 7 APLICADORES DESECHABLES MÁS INSERTO (INSTRUCTIVO DE USO).</t>
  </si>
  <si>
    <t>row-z583~ryzz.jn3u</t>
  </si>
  <si>
    <t>EMIFARMA S.A. DE C.V.</t>
  </si>
  <si>
    <t>CAJA DE CARTÓNSIN DATOPOR 4 SOBRES DE POLIETILENO CON 109.6 G DEL PRODUCTO SABOR NATURAL.</t>
  </si>
  <si>
    <t>row-py5q_48mn_edfb</t>
  </si>
  <si>
    <t>CIPROFLOXACINO</t>
  </si>
  <si>
    <t>INVIMA 2019M-013358-R2</t>
  </si>
  <si>
    <t>OTOSEC</t>
  </si>
  <si>
    <t>MUESTRA MEDICA: CAJA DE CARTÓN CON UN FRASCO GOTERO DE PEBD. SUBTAPA DE PEBD Y TAPA BLANCA DE PP. POR 10 ML. DE SOLUCIÓN.</t>
  </si>
  <si>
    <t>SOLUCION OTICA</t>
  </si>
  <si>
    <t>S03AA07</t>
  </si>
  <si>
    <t>OTICO AURICULAR</t>
  </si>
  <si>
    <t>row-mdh3_behn-kaqk</t>
  </si>
  <si>
    <t>FINERENONA MICRONIZADO</t>
  </si>
  <si>
    <t>1F1039721000101</t>
  </si>
  <si>
    <t>INVIMA 2024M-0021607</t>
  </si>
  <si>
    <t>FIRIALTA® 20MG TABLETAS RECUBIERTAS</t>
  </si>
  <si>
    <t>M. MÉDICA: CAJA CON 14 TABLETAS RECUBIERTAS (1 BLÍSTER CON 14 TABLETAS C/U) EN BLÍSTER AL/PVC/PVDC</t>
  </si>
  <si>
    <t>row-bf4u-5fz8_88ai</t>
  </si>
  <si>
    <t>OXÍGENO</t>
  </si>
  <si>
    <t>OXYGENAMOS S.A.S</t>
  </si>
  <si>
    <t>INVIMA 2025M-0021730</t>
  </si>
  <si>
    <t>CILINDRO COLOR BLANCO - ACERO PARA GAS OXIDANTE. EN ALUMINIO. POR 4.0 M3 DE OXÍGENO GASEOSO MEDICINAL AL 93%V/V. CON VÁLVULA CGA870 EN BRONCE CROMADA CON LLAVE INTEGRADA + TERMOENCOGIBLE DE PVC PARA VÁLVULA CGA870</t>
  </si>
  <si>
    <t>CILINDRO METALICO CONTIENE OXÍGENO</t>
  </si>
  <si>
    <t>row-4gsi.bspy_f4i6</t>
  </si>
  <si>
    <t>ACETATO DE LISINA 0.632 G EQUIVALENTE A LISINA</t>
  </si>
  <si>
    <t>0,448</t>
  </si>
  <si>
    <t>row-ayka_yqw4_am5s</t>
  </si>
  <si>
    <t>VITAMINA D3 SECA TIPOP 100 CWS 4 MG ( 10MCG COLECALCIFEROL EQUIVALENTE A VITAMINA D3)</t>
  </si>
  <si>
    <t>HALEON (SUZHOU) PHARMACEUTICAL CO LTD</t>
  </si>
  <si>
    <t>INVIMA 2023M-0015048-R1</t>
  </si>
  <si>
    <t>CALTRATE® PLUSM</t>
  </si>
  <si>
    <t>MUESTRA MEDICA: CAJA CON FRASCO HDPE POR 120 TABLETAS CON TAPA PP Y LINER (PET/ AL/ PE)</t>
  </si>
  <si>
    <t>HALEON COLOMBIA S.A.S.</t>
  </si>
  <si>
    <t>row-yx6b.vrkw-rh42</t>
  </si>
  <si>
    <t>FRASCO DE PP CON MOLDEADO HEXAGONAL Y CIERRE FLIP-TOP DE PP 28 MM Y FUNDA DE PET. POR 400 ML DE SOLUCIÓN ORAL SABOR A MANZANA.</t>
  </si>
  <si>
    <t>row-xtzi_t5xg_fwii</t>
  </si>
  <si>
    <t>1P1003981006104</t>
  </si>
  <si>
    <t>INVIMA 2021M-0020210</t>
  </si>
  <si>
    <t>NERVIGABA 150 MG CAPSULAS</t>
  </si>
  <si>
    <t>CAJA PLEGADIZASIN DATOCON 30 CAPSULAS EN BLÍSTER DE ALU/ALU POLIAMIDA/PVC CADA BLÍSTER CONTIENE 10 CAPSULAS</t>
  </si>
  <si>
    <t>row-qsdq~473f.isq4</t>
  </si>
  <si>
    <t>ETONOGESTREL</t>
  </si>
  <si>
    <t>INVIMA 2023M-0021053</t>
  </si>
  <si>
    <t>MICROGYNON RING</t>
  </si>
  <si>
    <t>CAJA POR 1 ANILLO VAGINAL EN SOBRE DE AL/PET/POLY GRIS(FLOWPACK)</t>
  </si>
  <si>
    <t>ANILLO VAGINAL</t>
  </si>
  <si>
    <t>PROGESTÁGENO+ESTRÓGENO</t>
  </si>
  <si>
    <t>G02BB01</t>
  </si>
  <si>
    <t>row-3yp8_dnen_ddby</t>
  </si>
  <si>
    <t>BETAMETASONA FOSFATO DISODICO USP APIRÓGENO (10.526 MG) EQUIVALENTE A BETAMETASONA BASE</t>
  </si>
  <si>
    <t>INVIMA 2021M-0003519-R2</t>
  </si>
  <si>
    <t>BETAMETASONA INYECTABLE X 8 MG/ 2 ML</t>
  </si>
  <si>
    <t>CAJA POR 200 AMPOLLAS DE VIDRIO TRANSPARENTE TIPO I CON ARO DE COLOR NEGRO.</t>
  </si>
  <si>
    <t>AMPOLLA DE DOS (2)ML</t>
  </si>
  <si>
    <t>row-gwmp-3sj5-3ijy</t>
  </si>
  <si>
    <t>PREGABALINA 165 MG</t>
  </si>
  <si>
    <t>MSN LABORATORIES PRIVATED LIMITED</t>
  </si>
  <si>
    <t>INVIMA 2024M-0021636</t>
  </si>
  <si>
    <t>LEGABIN® CR 165 MG</t>
  </si>
  <si>
    <t>M.MÉDICA CAJA PLEGADIZA POR 10 TABLETAS:1 BLÍSTER ALU/ALU X 10 TABLETAS C/U.</t>
  </si>
  <si>
    <t>CADA TABLETA DE LIBERACION CONTROLADA CONTIENE</t>
  </si>
  <si>
    <t>row-r2nu.35ga-sn9u</t>
  </si>
  <si>
    <t>CAJA POR 3 AMPOLLAS DE VIDRIO TRANSPARENTE TIPO I CON ARO DE COLOR NEGRO.</t>
  </si>
  <si>
    <t>row-bh7i-iev4~mvav</t>
  </si>
  <si>
    <t>MACLEODS PHARMACEUTICALS LTD</t>
  </si>
  <si>
    <t>1S1012421002102</t>
  </si>
  <si>
    <t>INVIMA 2022M-0020691</t>
  </si>
  <si>
    <t>SOLIPLEX® 5MG TABLETAS RECUBIERTAS</t>
  </si>
  <si>
    <t>1S1012421002102 CAJA POR 60 TABLETAS EN BLÍSTER PVC TRANSPARENTE/ALU. SOLIFENACINA 5.0000 MG TABLETAS DE LIBERACION NO MODIFICADA ORAL (SOLIPLEX) TABLETA 1.0000U / CAJA X 60</t>
  </si>
  <si>
    <t>row-tbab-bheh.rwze</t>
  </si>
  <si>
    <t>PROPIONATO DE FLUTICASONA EQUIVALENTE A 50 MCG POR DOSIS</t>
  </si>
  <si>
    <t>INVIMA 2017M-015087-R2</t>
  </si>
  <si>
    <t>FLIXOTIDE®50 MCG.</t>
  </si>
  <si>
    <t>CAJA CON CARTUCHO INHALADOR POR 120 DOSIS DE ALEACION DE ALUMINIO Y CUBIERTA INTERNA DE PTFE Y PES SELLADO CON UNA VALVULA MEDIDORA DE POLIPROPILENO FIJADA A UN ACTUADOR DE HOMOPOLIMERO DE POLIPROPILENO INCORPORANDO UN ORIFICIO ATOMIZADOR Y UNA TAPA</t>
  </si>
  <si>
    <t>100 G DE SUSPENSION PARA INHALACION</t>
  </si>
  <si>
    <t>% (W/W)</t>
  </si>
  <si>
    <t>FLUTICASONA</t>
  </si>
  <si>
    <t>0,083</t>
  </si>
  <si>
    <t>R03BA05</t>
  </si>
  <si>
    <t>row-nmug_qbfh~wmab</t>
  </si>
  <si>
    <t>USO INSTITUCIONAL: CAJA PLEGADIZA POR 300 JERINGAS PRELLENADAS DE VIDRIO TIPO I CON AGUJA FIJA Y TAPÓN DE CAUCHO DE CLOROBUTILOSIN DATOCON 0.8 ML DE SOLUCIÓN INYECTABLE</t>
  </si>
  <si>
    <t>row-ywtu.e497.rniy</t>
  </si>
  <si>
    <t>ALPHA PHARMA COLOMBIA S.A.S</t>
  </si>
  <si>
    <t>INVIMA 2020M-0015642-R1</t>
  </si>
  <si>
    <t>ALVIRET ®400 MG</t>
  </si>
  <si>
    <t>MUESTRA MEDICA: CAJA CON FRASCO COLOR BLANCO OPACO EN HDPE Y TAPA DE POLIPROPILENO COLOR BLANCO OPACO CONTENIENDO 100 TABLETAS.</t>
  </si>
  <si>
    <t>row-wf8d_pgtf-pb9w</t>
  </si>
  <si>
    <t>0,64</t>
  </si>
  <si>
    <t>row-575d.xqra-xwtk</t>
  </si>
  <si>
    <t>CAJA POR 5 CAPSULAS BLANDAS EN BLISTER PVC-PVDC TRANSPARENTE / ALUMINIO</t>
  </si>
  <si>
    <t>row-9f4f-knwf-kped</t>
  </si>
  <si>
    <t>SULFATO DE MANGANESO MONOHIDRATO (EXCESO 10%)</t>
  </si>
  <si>
    <t>CAJA X 210 SOBRES (LAMINADO BOPP/ALUMINIO/PE) DE 5 G DE PRODUCTO.</t>
  </si>
  <si>
    <t>1,8</t>
  </si>
  <si>
    <t>row-phi6_5ze6-crrd</t>
  </si>
  <si>
    <t>CAJA POR 5 FRASCOS VIALESSIN DATOTRANSPARENTESSIN DATODE 20 ML Y AGRAFE FLIP OFF GRIS</t>
  </si>
  <si>
    <t>row-c8sd_vep4-8y8y</t>
  </si>
  <si>
    <t>ACETAMINOFEN COMPAP WSE95% EQUIVALENTE A ACETAMINOFEN</t>
  </si>
  <si>
    <t>PLEGADIZASIN DATOXSIN DATO36SIN DATOSOBRESSIN DATOLAMINADOSSIN DATO(BOPP +ALUMINIO + RESINA DE SELLE) X 15 GSIN DATOCADA UNO</t>
  </si>
  <si>
    <t>row-j4rr-gsr7~tqz7</t>
  </si>
  <si>
    <t>NOVARTIS FARMA S.P.A</t>
  </si>
  <si>
    <t>INVIMA 2023M-014952-R3</t>
  </si>
  <si>
    <t>DIOVAN® HCT 160 MG/12.5 MG COMPRIMIDOS RECUBIERTOS</t>
  </si>
  <si>
    <t>BLISTER PVC/PE/PVDC/ALUMINIO POR 280 EN CAJA</t>
  </si>
  <si>
    <t>row-b4hi_qunc_3ffj</t>
  </si>
  <si>
    <t>SUCCINATO DE DESVENLAFAXINA MONOHIDRATO 151.77MG EQUIVALENTE A DESVENLAFAXINA</t>
  </si>
  <si>
    <t>INVIMA 2019M-0009532-R1</t>
  </si>
  <si>
    <t>PRISTIQ® 100 MG TABLETAS DE LIBERACION PROLONGADA</t>
  </si>
  <si>
    <t>CAJA POR 100 TABLETAS DE LIBERACION PROLONGADA EN BLISTER PVC/ACLAR/ALUMINIO (MUESTRA MEDICA)</t>
  </si>
  <si>
    <t>CADA TABLETA DE LIBERACIÓN PROLONGADA CONTIENE:</t>
  </si>
  <si>
    <t>DESVENLAFAXINA</t>
  </si>
  <si>
    <t>N06AX23</t>
  </si>
  <si>
    <t>row-7z3t~a4h3~a6vv</t>
  </si>
  <si>
    <t>MUESTRA MÉDICA: (MARCA): CAJA POR 2 CAPSULAS EN BLÍSTER DE PVC/PVDC/ALUMINIO EN BOLSA SACHET.</t>
  </si>
  <si>
    <t>row-2mwu~j64q_4fdb</t>
  </si>
  <si>
    <t>FRASCO EN PP CILÍNDRICO. TAPA PUSH PULL EN PP 28MM. MAS COPA DOSIFICADORA Y FUNDA EN DE POLIÉSTER POR 400ML DE SOLUCIÓN ORAL EN SABOR CEREZA.</t>
  </si>
  <si>
    <t>row-7pu4~i6ic_kz7d</t>
  </si>
  <si>
    <t>2A1042991001136</t>
  </si>
  <si>
    <t>INVIMA 2023M-0017399-R1</t>
  </si>
  <si>
    <t>MILPAX®NF</t>
  </si>
  <si>
    <t>CAJA PLEGADIZA POR 28 SOBRES EN P-601 (POLIÉSTER-ALUMINIO-POLIETILENO) POR 10 ML</t>
  </si>
  <si>
    <t>0,267</t>
  </si>
  <si>
    <t>row-g889.g4ec_7ka5</t>
  </si>
  <si>
    <t>BETAHISTINA DICLORHIDRATO</t>
  </si>
  <si>
    <t>INVIMA 2014M-0015502</t>
  </si>
  <si>
    <t>HISTIVERT ® 24MG</t>
  </si>
  <si>
    <t>MUESTRA MEDICA: CAJA POR 15 TABLETAS: 1 BLISTER DE ALUMINIO PVDC CRISTAL INCOLORO POR 15 TABLETAS</t>
  </si>
  <si>
    <t>row-4zbz-xts7-t94d</t>
  </si>
  <si>
    <t>INVIMA 2020M-0016294-R1</t>
  </si>
  <si>
    <t>MYECORT 4 MG TABLETAS</t>
  </si>
  <si>
    <t>CAJA POR 20 TABLETAS EN BLISTER ALUMINIO / PVDC BLANCO POR 10 TABLETAS CADA UNO</t>
  </si>
  <si>
    <t>GENYX S.A.S.</t>
  </si>
  <si>
    <t>row-ybhw-ptje_c84s</t>
  </si>
  <si>
    <t>INVIMA 2022M-0015804-R1</t>
  </si>
  <si>
    <t>ALERFAST 120 MG</t>
  </si>
  <si>
    <t>USO INSTITUCIONAL: CAJA PLEGADIZA POR 40 TABLETAS EN BLISTER PVC/PVDC-ALUMINIO POR 5 TABLETAS.</t>
  </si>
  <si>
    <t>row-8n8r.w4sq_rxys</t>
  </si>
  <si>
    <t>INVIMA 2021M-0020004</t>
  </si>
  <si>
    <t>LEVOCETIRIZINA DICLORHIDRATO 5 MG</t>
  </si>
  <si>
    <t>MUESTRA MEDICA: CAJA PLEGADIZA CON 1 BLISTER EN PVC/PE/PVDC -ALUMINIO POR 10 TABLETAS RECUBIERTAS</t>
  </si>
  <si>
    <t>row-ipqf_8e73_qnx5</t>
  </si>
  <si>
    <t>INVIMA 2017M-0012378-R1</t>
  </si>
  <si>
    <t>FLUCONAZOL 150 MG</t>
  </si>
  <si>
    <t>CAJA POR 1 BLISTER ALUMINIO -PVC/PVDC TRANSPARENTESIN DATOPOR 1 CAPSULA.</t>
  </si>
  <si>
    <t>row-sqvj.2g4i.7pjs</t>
  </si>
  <si>
    <t>CAJA POR 25 CAPSULAS BLANDAS EN BLISTER PVC-PVDC TRANSPARENTE / ALUMINIO</t>
  </si>
  <si>
    <t>row-fux9.bnhk~wjzq</t>
  </si>
  <si>
    <t>POLISACARIDO DE NEISSERIA MENINGITIDIS GRUPO Y **CONJUGADOS CON PROTEÍNA TRANSPORTADORA DE TOXOIDE TETÁNICO 44 MCG</t>
  </si>
  <si>
    <t>PFIZER MANUFACTURING BELGIUM N.V.</t>
  </si>
  <si>
    <t>row-6j5t_nkqz~yskf</t>
  </si>
  <si>
    <t>SUCCINATO DE DESVENLAFAXINA MONOHIDRATO EQUIVALENTE A DESVENLAFAXINA</t>
  </si>
  <si>
    <t>INVIMA 2024M-0021513</t>
  </si>
  <si>
    <t>DESVENLAFAXINA 100 MG</t>
  </si>
  <si>
    <t>CAJA X 28 TABLETAS DE LIBERACIÓN PROLONGADA EN BLÍSTER ALUMINIO PVC PVDC TRANSPARENTE</t>
  </si>
  <si>
    <t>row-nh5p.abgg~iqh9</t>
  </si>
  <si>
    <t>QUETIAPINA FUMARATO EQUIVALENTE A QUETIAPINA</t>
  </si>
  <si>
    <t>PHARMATHEN INTERNATIONAL S.A.</t>
  </si>
  <si>
    <t>INVIMA 2025M-0021993</t>
  </si>
  <si>
    <t>KETIAN® XR 50 MG</t>
  </si>
  <si>
    <t>CAJA POR 90 TABLETAS DE LIBERACIÓN PROLONGADA EN UN EMPAQUE INDIVIDUAL TIPO BLÍSTER PVC/-PCTFE (POLIVINILCLORURO - POLICLOROTRIFLUORETILENO) BLANCO OPACO/FOIL DE ALUMINIO POR 10 TABLETAS DE LIBERACIÓN PROLONGADA CADA UNO.</t>
  </si>
  <si>
    <t>TABLETAS DE LIBERACIÓN PROLONGADA</t>
  </si>
  <si>
    <t>QUETIAPINA</t>
  </si>
  <si>
    <t>N05AH04</t>
  </si>
  <si>
    <t>row-h6nb_x6zt.gg72</t>
  </si>
  <si>
    <t>ASCORBATO DE SODIO(EQUIVALENTE A 70.0MG DEVITAMINA C)</t>
  </si>
  <si>
    <t>INVIMA 2015M-0010993-R1</t>
  </si>
  <si>
    <t>GESTAVIT DHA</t>
  </si>
  <si>
    <t>CAJA X 20 CAPSULAS BLANDAS CON CUBIERTA ENTERICA EN 2SIN DATOBLISTER AL/PVDC X 10 CAPSULAS C/U</t>
  </si>
  <si>
    <t>CÁPSULA BLANDA DE GELATINA CON CUBIERTA ENTÉRICA</t>
  </si>
  <si>
    <t>row-77qg_ide4~za2u</t>
  </si>
  <si>
    <t>USO INSTITUCIONAL: CAJA PLEGADIZA POR 7 JERINGAS PRELLENADAS DE VIDRIO TIPO I CON A AGUJA FIJA Y TAPÓN DE CAUCHO DE CLOROBUTILO CONSIN DATO0.8 ML DE SOLUCIÓN INYECTABLE</t>
  </si>
  <si>
    <t>row-a84x.8y86-mc2b</t>
  </si>
  <si>
    <t>TIGECICLINA</t>
  </si>
  <si>
    <t>INVIMA 2021M-0004889-R2</t>
  </si>
  <si>
    <t>TYGACIL® INYECTABLE 50 MG VIAL</t>
  </si>
  <si>
    <t>MUESTRA MÉDICA: CAJA PLEGADIZA X 1 FRASCO VIAL EN VIDRIO CLARO TIPO I DE 5 ML. CON 50MG. DE TIGECICLINA CADA UNO.</t>
  </si>
  <si>
    <t>FRASCO-AMPOLLA</t>
  </si>
  <si>
    <t>J01AA12</t>
  </si>
  <si>
    <t>row-5bfm_8kyn.kxj5</t>
  </si>
  <si>
    <t>BORTEZOMIB</t>
  </si>
  <si>
    <t>LABORATORIO QUIMICO FARMACÉUTICO BERGAMO LTDA</t>
  </si>
  <si>
    <t>INVIMA 2024M-0021696</t>
  </si>
  <si>
    <t>BORTEZOMIB 3.5 MG</t>
  </si>
  <si>
    <t>M.M: CAJA CON UN FRASCO VIAL DE VIDRIO TIPO I. INCOLORO. CON TAPÓN DE GOMA DE BROMOBUTILO Y PRECINTO DE ALUMINIO CON CÁPSULA FLIP OFF</t>
  </si>
  <si>
    <t>L01XX32</t>
  </si>
  <si>
    <t>row-qnqr~98vt-vddw</t>
  </si>
  <si>
    <t>AMLODIPINOBESILATOEQUIVALENTEA10MG DE AMLODIPINO.</t>
  </si>
  <si>
    <t>INVIMA 2022M-0013412-R2</t>
  </si>
  <si>
    <t>CANDAM® 10/16 MG TABLETAS</t>
  </si>
  <si>
    <t>MUESTRA MÉDICA: CAJA DE CARTULINA POR 4 TABLETAS EN BLÍSTER ALUMINIO/ALUMINO MÁS PAPEL ALUMINIO</t>
  </si>
  <si>
    <t>13,87</t>
  </si>
  <si>
    <t>row-i5xg.ne8i.tymn</t>
  </si>
  <si>
    <t>TEMOZOLOMIDA</t>
  </si>
  <si>
    <t>1T1014521003100</t>
  </si>
  <si>
    <t>INVIMA 2024M-0021338</t>
  </si>
  <si>
    <t>MOZOLA® 20MG CAPSULA</t>
  </si>
  <si>
    <t>FRASCO DE VIDRIO TIPO III COLORSIN DATOÁMBAR CON TAPA EN POLIPROPILENO COLOR BLANCO POR 5 CÁPSULAS</t>
  </si>
  <si>
    <t>L01AX03</t>
  </si>
  <si>
    <t>row-9gzu~fsnb-d72w</t>
  </si>
  <si>
    <t>DOXAZOSINA MESILATO EQUIVALENTE A DOXAZOSINA</t>
  </si>
  <si>
    <t>INVIMA 2019M-0009608-R1</t>
  </si>
  <si>
    <t>CARDURAN® XL 4 MG</t>
  </si>
  <si>
    <t>CAJA POR 96 TABLETAS EN BLISTER PVC/ALU/PA/ALU CON REVESTIDO VINIL - ACRIL POR 4 TABLETAS</t>
  </si>
  <si>
    <t>CADA TABLETA DE LIBERACIÓN PROLONGADA</t>
  </si>
  <si>
    <t>DOXAZOSINA</t>
  </si>
  <si>
    <t>C02CA04</t>
  </si>
  <si>
    <t>row-35j9_sj6g-55xn</t>
  </si>
  <si>
    <t>AMLODIPINO BESILATO6.935 MG EQUIVALENTE A AMLODIPINO BASE</t>
  </si>
  <si>
    <t>row-ni49_wfpz~55nx</t>
  </si>
  <si>
    <t>EXCESO 1.0%</t>
  </si>
  <si>
    <t>2C1046061000123</t>
  </si>
  <si>
    <t>MUESTRA MÉDICA: CAJA POR 6 EN FOIL POR 6 CÁPSULAS.</t>
  </si>
  <si>
    <t>row-znu3~tgav-94jc</t>
  </si>
  <si>
    <t>CAJA POR 60 TABLETAS RECUBIERTAS EN BLISTER DE ALUMINIO-PVC/PVDC TRANSPARENTE POR 6 TABLETAS C/U.</t>
  </si>
  <si>
    <t>row-ga4q-swrg.5qm2</t>
  </si>
  <si>
    <t>CAJA PLEGADIZA CON 1 BLISTER PVC/ PVDC / ALUMINIO POR 10 TABLETAS RECUBIERTAS.</t>
  </si>
  <si>
    <t>row-dw2q~538e_nidt</t>
  </si>
  <si>
    <t>CISATRACURIO BESILATO EQUIVALENTE A CISATRACURIO BASE</t>
  </si>
  <si>
    <t>INVIMA 2023M-0018390-R1</t>
  </si>
  <si>
    <t>TRACURION® 10 MG/ 5 ML SOLUCIÓN INYECTABLE</t>
  </si>
  <si>
    <t>CAJA POR 10 AMPOLLA DE VIDRIO TIPO I. TRANSPARENTE POR 5 ML CADA UNA.</t>
  </si>
  <si>
    <t>VIAL DE 5 ML</t>
  </si>
  <si>
    <t>CISATRACURIO</t>
  </si>
  <si>
    <t>M03AC11</t>
  </si>
  <si>
    <t>row-vee5.juxv-szyp</t>
  </si>
  <si>
    <t>VITAMINA D3 (1´000.000 UI/G) 2 MG EQUIVALENTE A</t>
  </si>
  <si>
    <t>C.I. FARMACAPSULAS S.A.S. - PLANTA 4</t>
  </si>
  <si>
    <t>1C1016411003113</t>
  </si>
  <si>
    <t>INVIMA 2023M-0021107</t>
  </si>
  <si>
    <t>DENSIMET® VITAMINA D32000 U.I CAPSULAS DURAS CON CONTENIDO LIQUIDO</t>
  </si>
  <si>
    <t>MUESTRA MÉDICA: CAJA CON 10 CÁPSULAS CCL EN BLÍSTER OPA/AL/PVC - ALUMINIO (1 BLÍSTER POR 10 CÁPSULAS O 2 BLÍSTER POR 5 CÁPSULAS)</t>
  </si>
  <si>
    <t>COLECALCIFEROL</t>
  </si>
  <si>
    <t>A11CC05</t>
  </si>
  <si>
    <t>row-ecjv-ygtp-spe8</t>
  </si>
  <si>
    <t>1M1005041005107</t>
  </si>
  <si>
    <t>INVIMA 2022M-0020697</t>
  </si>
  <si>
    <t>MEMANVITAE® 10MG</t>
  </si>
  <si>
    <t>1M1005041005107 MEMANTINA 10.0000 MG TABLETAS DE LIBERACION NO MODIFICADA ORAL (MEMANVITAE) TABLETA 1.0000U / CAJA X 14. CAJA POR BLÍSTER AL-PVC/PCTFE/PVC POR 14 TABLETAS (BLÍSTER POR 7 TABLETAS)</t>
  </si>
  <si>
    <t>row-vsdv~dsg2_cskw</t>
  </si>
  <si>
    <t>REYOUNG PHARMACEUTICAL CO. LTD. CHINA</t>
  </si>
  <si>
    <t>CAJA POR 28 TABLETAS RECUBIERTAS X 4 BLISTER PVC/ALUMINIOX 7 TABLETAS RECUBIERTAS</t>
  </si>
  <si>
    <t>row-25af-f53k_zcjv</t>
  </si>
  <si>
    <t>SIMETICONA 315 MG EQUIVALENTES A DIMETICONA</t>
  </si>
  <si>
    <t>USO INSTITUCIONAL PROHIBIDA SU VENTA: CAJA POR 48 CÁPSULAS DURAS CON CONTENIDO LÍQUIDO EN BLÍSTER (OPA/AL/PVC COLD FORMING BLÍSTER ALUMINIUM FOIL) / FOIL DE ALUMINIO. 12 BLÍSTER POR 4 CÁPSULAS DURAS CON CONTENIDO LÍQUIDO CADA UNO</t>
  </si>
  <si>
    <t>row-tgmk~e8qx~qndq</t>
  </si>
  <si>
    <t>INVIMA 2016M-0011154-R1</t>
  </si>
  <si>
    <t>DESLODEX D JARABE</t>
  </si>
  <si>
    <t>CAJA CON 1 FRASCO PET AMBAR POR 60 ML</t>
  </si>
  <si>
    <t>R01BA03</t>
  </si>
  <si>
    <t>row-pnwp.emgb~wrt2</t>
  </si>
  <si>
    <t>ROSUVASTATINA CALCICA EQUIVALENTE A ROSUVASTATINA</t>
  </si>
  <si>
    <t>LABORATORIOS EUROFARMA S.A</t>
  </si>
  <si>
    <t>1R1016211007103</t>
  </si>
  <si>
    <t>INVIMA 2020M-0019924</t>
  </si>
  <si>
    <t>RUSTATINA 10 MG TABLETA RECUBIERTA</t>
  </si>
  <si>
    <t>COMERCIAL: CAJA PLEGADIZA POR 90 TABLETAS RECUBIERTAS EN BLISTER ALUMINIO/ALUMINIO. (IUM 1R1016211007103).</t>
  </si>
  <si>
    <t>row-mjyk.69gw-zjy9</t>
  </si>
  <si>
    <t>CAJA POR 300 CÁPSULAS EN BLISTER PVDC/TE/PVC INCOLORO/ FOIL ALUMINIO. BLISTER POR 15 CÁPSULAS</t>
  </si>
  <si>
    <t>row-2e8u_dyjc_zy6c</t>
  </si>
  <si>
    <t>FRASCOSIN DATODE PPOLIPROPILENO CLASE IVSIN DATOUSP CON TAPA AZUL DE POLIPROPILENO POR 300 ML CON SABOR A NARANJA-MANDARINA</t>
  </si>
  <si>
    <t>0,012</t>
  </si>
  <si>
    <t>row-hucr-62tq~2c8s</t>
  </si>
  <si>
    <t>HYDROXYPROPYL CELULOSA</t>
  </si>
  <si>
    <t>row-9pce.cr56_yg3u</t>
  </si>
  <si>
    <t>INVIMA 2015M-0016592</t>
  </si>
  <si>
    <t>LEGRIP PLUS</t>
  </si>
  <si>
    <t>CAJA POR 20 CAPSULAS BLANDAS EN BLISTER PVC-PVDC TRANSPARENTE/ ALUMINIO</t>
  </si>
  <si>
    <t>row-85ar~97i3-waiy</t>
  </si>
  <si>
    <t>INVIMA 2018M-0012839-R1</t>
  </si>
  <si>
    <t>TAFLAX® 300 MG TABLETAS RECUBIERTAS</t>
  </si>
  <si>
    <t>CAJA POR 100 TABLETAS POR 10 BLISTER POR 10 TABLETAS</t>
  </si>
  <si>
    <t>M01AE14</t>
  </si>
  <si>
    <t>row-e4g5.56en~cq2f</t>
  </si>
  <si>
    <t>INVIMA 2009 M-12744 R1</t>
  </si>
  <si>
    <t>FUNEX 200 MG CAPSULAS</t>
  </si>
  <si>
    <t>GENERICO: CAJA POR 2 CÁPSULA EN BLISTER PVC /ALUMINIO</t>
  </si>
  <si>
    <t>row-3kfk~gfbh-j9mb</t>
  </si>
  <si>
    <t>INVIMA 2020M-0000903-R2</t>
  </si>
  <si>
    <t>HIOSCINA N-BUTIL BROMURO + DIPIRONA</t>
  </si>
  <si>
    <t>USO INSTITUCIONAL:CAJA POR 1 AMPOLLA POR 5 ML.</t>
  </si>
  <si>
    <t>row-g68t-p4xq-8z5d</t>
  </si>
  <si>
    <t>ÁCIDO CLAVULANICO. EQUIVALENTE A CLAVULANATO DE POTASIO</t>
  </si>
  <si>
    <t>2A1003601002102</t>
  </si>
  <si>
    <t>INVIMA 2019M-0019121</t>
  </si>
  <si>
    <t>AMOXICILINA + CLAVULANATO DE POTASIO 400 + 57 MG / 5 ML POLVO PARA RECONSTIUTIR A SUSPENSIÓN ORAL</t>
  </si>
  <si>
    <t>2A1003601002102. CAJA PLEGADIZA POR UN FRASCO DE VIDRIO ÁMBAR TIPO III POR 70 ML CON TAPA BLANCA EN POLIPROPILENO NO. 28 MM CON JERINGA DOSIFICADORA DE 10 ML.</t>
  </si>
  <si>
    <t>5 ML DE SUSPENSIÓN RECONSTITUIDA</t>
  </si>
  <si>
    <t>row-g69h~aecy.nvcw</t>
  </si>
  <si>
    <t>ESOMEPRAZOL MAGNÉSICO TRIHIDRATO 44.5 MG EQUIVALENTE A ESOMEPRAZOL BASE</t>
  </si>
  <si>
    <t>INVIMA 2023M-0015016-R2</t>
  </si>
  <si>
    <t>EZOLIUM® 40 MG</t>
  </si>
  <si>
    <t>CAJA POR 90 CÁPSULAS DURAS. EN BLÍSTER ALU-ALU / ALUMINIO X 10 CÁPSULAS CADA UNO.</t>
  </si>
  <si>
    <t>row-ep4a-yqhd.dz52</t>
  </si>
  <si>
    <t>INVIMA 2020M-0003267-R2</t>
  </si>
  <si>
    <t>CELECTAN® TABLETAS RECUBIERTAS</t>
  </si>
  <si>
    <t>MUESTRA MEDICA: CAJA DE CARTÓN CON UN BLÍSTER DE ALUMINIO/ALUMINIO POR 6 TABLETAS RECUBIERTAS.</t>
  </si>
  <si>
    <t>row-jmyr.4ubr_eexh</t>
  </si>
  <si>
    <t>MUESTRA MÉDICA: CAJA POR 50 TABLETAS RECUBIERTAS EN BLÍSTER PVC/ACLAR 200 TRANSPARENTE INCOLORO/ALUMINIO.</t>
  </si>
  <si>
    <t>row-jmzp.4hh8-pgxp</t>
  </si>
  <si>
    <t>USO INSTITUCIONAL: CAJA PLEGADIZA POR 10 SACHET LAMINADO CON 100 ML C/U DE SOLUCION ORAL SABOR COCO</t>
  </si>
  <si>
    <t>1,35</t>
  </si>
  <si>
    <t>row-nhnj.nqdi~3h5w</t>
  </si>
  <si>
    <t>MEGLUMINA EQUIVALENTE A MEGLUMINA DIATRIZOATO (YODO ORGÁNICAMENTE ENLAZADO 367MG/ML)</t>
  </si>
  <si>
    <t>LIEBEL-FLARSHEIM COMPANY LLC</t>
  </si>
  <si>
    <t>INVIMA 2019M-011174-R2</t>
  </si>
  <si>
    <t>MD- GASTROVIEW® (MEDIO DE CONTRASTE PARA RADIOGRAFIA)</t>
  </si>
  <si>
    <t>12 FRASCOS DE VIDRIO AMBAR TIPO III POR 240ML</t>
  </si>
  <si>
    <t>ML DE SOLUCIÓN ORAL</t>
  </si>
  <si>
    <t>LIEBEL - FLARSHEIM COMPANY LLC</t>
  </si>
  <si>
    <t>COMBINACIONES MEDIOS DE CONTRASTE PARA RAYOS X DE ALTA OSMOLARIDAD</t>
  </si>
  <si>
    <t>V08AA99</t>
  </si>
  <si>
    <t>row-38df~dnu2_4knz</t>
  </si>
  <si>
    <t>B. BRAUN MEDICAL PERÚ S.A. JR..LOS CLAVELES S/N URB. LAS PRADERAS DE LURIN. CIUDAD LURIN - LIMA PERU</t>
  </si>
  <si>
    <t>INVIMA 2020M-0011660-R2</t>
  </si>
  <si>
    <t>SOLUCION DE RINGER CON LACTATO</t>
  </si>
  <si>
    <t>FRASCO PEBD ECOFLAC® PLUS X 500 ML</t>
  </si>
  <si>
    <t>ELECTROLITOS COMBINACIONES</t>
  </si>
  <si>
    <t>B05XA30</t>
  </si>
  <si>
    <t>row-8ac3-tkrp-e9z7</t>
  </si>
  <si>
    <t>CAJA POR 50 AMPOLLAS DE VIDRIO TIPO I. COLOR AMBAR X 1 ML</t>
  </si>
  <si>
    <t>row-9ush.eh3t-ae4u</t>
  </si>
  <si>
    <t>FAES FARMA PORTUGAL S.A.</t>
  </si>
  <si>
    <t>INVIMA 2022M-0017743-R1</t>
  </si>
  <si>
    <t>DEMTRIS® UNGUENTO</t>
  </si>
  <si>
    <t>MUESTRA MEDICA: CAJA DE CARTON CON TUBO DE ALUMINIO Y TAPA DE PP POR 30G.</t>
  </si>
  <si>
    <t>CADA GRAMO DE UNGUENTO CONTIENE:</t>
  </si>
  <si>
    <t>FAES FARMA S.A.</t>
  </si>
  <si>
    <t>TRIAMCINOLONA</t>
  </si>
  <si>
    <t>A01AC01</t>
  </si>
  <si>
    <t>row-xji2~82vn~ta9m</t>
  </si>
  <si>
    <t>DIOSMECTITA</t>
  </si>
  <si>
    <t>1D1026711002106</t>
  </si>
  <si>
    <t>INVIMA 2022M-0020808</t>
  </si>
  <si>
    <t>FULREST®</t>
  </si>
  <si>
    <t>CAJA PLEGADIZA DISPENSADORA CONSIN DATO80 SOBRES EN LAMINADO PROLAM 200 (PAPEL POUCH/FOIL ALUMINIO/POLIETILENO EXTRUIDO LDPE) DE 3.32 GRAMOS CADA UNO / DIOSMECTITA 3.0000 G POLVOS PARA RECONSTITUIR ORAL (FULREST) SOBRE 1.0000U / CAJA X 80</t>
  </si>
  <si>
    <t>CADA SOBRE DE POLVO PARA RECONSTITUIR A SOLUCIÓN ORAL</t>
  </si>
  <si>
    <t>A07BC05</t>
  </si>
  <si>
    <t>row-637g~zpe4_urn6</t>
  </si>
  <si>
    <t>FRASCO DE POLIPROPILENO CLASE IV CON TAPA POR 625 ML CON SABOR A MANZANA</t>
  </si>
  <si>
    <t>row-92du_cy2t-9w6y</t>
  </si>
  <si>
    <t>ACETAMINOFEN COMPRESION DIRECTA AL 90% EQUIVALENTE AACETAMINOFEN</t>
  </si>
  <si>
    <t>1P1008851010101</t>
  </si>
  <si>
    <t>INVIMA 2020M-0019810</t>
  </si>
  <si>
    <t>PUNZADOL®</t>
  </si>
  <si>
    <t>1P1008851010101 CAJA POR 100 TABLETAS EN 10 BLÍSTERS DE PVC TRANSPARENTE/ALUMINIO POR 10 TABLETAS CADA UNO.</t>
  </si>
  <si>
    <t>MEDISEG LABORATORIES S.A.S.</t>
  </si>
  <si>
    <t>row-4pdu~u72p.zvbe</t>
  </si>
  <si>
    <t>LEVOTIROXINA SÓDICA</t>
  </si>
  <si>
    <t>INVIMA 2023M-0007334-R2</t>
  </si>
  <si>
    <t>LEVOTIROXINA SODICA 100 MCG</t>
  </si>
  <si>
    <t>CAJA POR 30 TABLETAS EN BLÍSTER. ALUMINIO/ALUMINIO. POR 15 TABLETAS CADA BLÍSTER.</t>
  </si>
  <si>
    <t>row-w27f.2wks~7grs</t>
  </si>
  <si>
    <t>SILDENAFILO CITRATO 70.24 MG EQUIVALENTES A SILDENAFILO</t>
  </si>
  <si>
    <t>FAREVA VILLA RICA S.A.S</t>
  </si>
  <si>
    <t>INVIMA 2019M-0019185</t>
  </si>
  <si>
    <t>SILDENAFILO 50 MG TABLETA RECUBIERTA</t>
  </si>
  <si>
    <t>CAJA PLEGADIZA X 10 TABLETA RECUBIERTA EN BLISTER DE PVC/ALUMINIO X 2 TAB</t>
  </si>
  <si>
    <t>LABORATORIO PROFESIONAL FARMACÉUTICO S.A.S. - LABORATORIOS LAPROFF S.A.S.</t>
  </si>
  <si>
    <t>row-qgcz_8tgf-xpbh</t>
  </si>
  <si>
    <t>INVIMA 2021M-015000-R3</t>
  </si>
  <si>
    <t>ACETAMINOFENCONCAFEINA TABLETAS.</t>
  </si>
  <si>
    <t>CAJA CARTULINA POR 100 TABLETAS EN BLISTER PVC/ALUMINIO POR 10 TABLETAS C/U.</t>
  </si>
  <si>
    <t>row-wmf7~4s4f.cx23</t>
  </si>
  <si>
    <t>CAFEINA ANHIDRA USP 100%</t>
  </si>
  <si>
    <t>2C1012731003101</t>
  </si>
  <si>
    <t>INVIMA 2020M-0010159-R1</t>
  </si>
  <si>
    <t>MIGRINON® TABLETAS RECUBIERTAS</t>
  </si>
  <si>
    <t>CAJA DISPENSADORASIN DATOSIN DATOX 100 TABLETASSIN DATORECUBIERTAS CONSIN DATOESTUCHESIN DATO BLISTER PVC/PVDC/ALUMINIOSIN DATOPOR 10SIN DATOTABLETAS</t>
  </si>
  <si>
    <t>TABLETA CUBIERTA CON PELÍCULA (TABLETA RECUBIERTA)</t>
  </si>
  <si>
    <t>row-8esg_mq73.yjrm</t>
  </si>
  <si>
    <t>1C1001651009100</t>
  </si>
  <si>
    <t>INVIMA 2022M-0020713</t>
  </si>
  <si>
    <t>KAPIXA®500 MG TABLETAS RECUBIERTAS</t>
  </si>
  <si>
    <t>1C1001651009100 CAPECITABINA 500SIN DATOMG TABLETAS DE LIBERACION NO MODIFICADA ORAL (KAPIXA) TABLETA 1 U / CAJA X 10 - CAJA PLEGADIZA CON UN BLISTER ALU-PVC/PVDC X 10 TABLETAS</t>
  </si>
  <si>
    <t>row-3ypg.2dfy~iqmu</t>
  </si>
  <si>
    <t>INVIMA 2013M-0014117</t>
  </si>
  <si>
    <t>DORMEX ®100 MG</t>
  </si>
  <si>
    <t>M.MEDICA: CAJA Y PORTA BLISTER X 2 CÁPSULAS ENSIN DATOBLISTERSIN DATOPVDC TRANSPARENTE / FOIL ALUMINIO</t>
  </si>
  <si>
    <t>row-jh2n.nc6y.fi3p</t>
  </si>
  <si>
    <t>CAJA PORSIN DATO60 CAPSULAS EN FOIL ALUMINIO</t>
  </si>
  <si>
    <t>row-tqu3_itpu-dnsi</t>
  </si>
  <si>
    <t>MUESTRA MEDICA SABOR NARANJA: FOIL DE ALUMINIO POR 2 TABLETAS MASTICABLES CON Y SIN CAJA.</t>
  </si>
  <si>
    <t>row-m662-pxzm-ccz3</t>
  </si>
  <si>
    <t>TOLTERODINA TARTRATO</t>
  </si>
  <si>
    <t>MACLEODS PHARMACEUTICALS LIMITED</t>
  </si>
  <si>
    <t>1T1018151002102</t>
  </si>
  <si>
    <t>INVIMA 2019M-0019115</t>
  </si>
  <si>
    <t>TOXTREX 4 MG CÁPSULAS DE LIBERACIÓN EXTENDIDA</t>
  </si>
  <si>
    <t>1T1018151002102: CAJA POR 30 CÁPSULAS DE LIBERACIÓN PROLONGADA EN TRES BLISTER ALU/ALU POR 10 CÁPSULAS CADA UNO.</t>
  </si>
  <si>
    <t>CAPSULA DE LIBERACION PRIOLONGADA</t>
  </si>
  <si>
    <t>row-xsue.nraa-ghx8</t>
  </si>
  <si>
    <t>3A1044061000100</t>
  </si>
  <si>
    <t>INVIMA 2022M-014839-R3</t>
  </si>
  <si>
    <t>TRAVASOL PLUS 15% LIBRE DE BISULFITO</t>
  </si>
  <si>
    <t>BOLSA PLASTICA VIAFLEX (PVC GRADO MEDICO) CON BOLSA EXTERNA DE ALUMINIO POR 500 ML</t>
  </si>
  <si>
    <t>SOLUCION</t>
  </si>
  <si>
    <t>row-tkux.qirm.wcyg</t>
  </si>
  <si>
    <t>L-TRIPTOFANO</t>
  </si>
  <si>
    <t>row-3665_eh5n.spbp</t>
  </si>
  <si>
    <t>ARIPIPRAZOL</t>
  </si>
  <si>
    <t>1A1026991000102</t>
  </si>
  <si>
    <t>INVIMA 2021M-0020099</t>
  </si>
  <si>
    <t>ARIVITAE® 15MGTABLETAS</t>
  </si>
  <si>
    <t>IUM:1A1026991000102: CAJA CONSIN DATO8 BLISTER PA/ALU/PVC CON FOIL DE ALUMINIO POR 56 TABLETAS</t>
  </si>
  <si>
    <t>N05AX12</t>
  </si>
  <si>
    <t>row-qvb8.hqsk.v2vp</t>
  </si>
  <si>
    <t>OLOPATADINA CLORHIDRATO 2.216MG( EQUIVALENTE A OLOPATADINA BASE)</t>
  </si>
  <si>
    <t>1O1015891016101</t>
  </si>
  <si>
    <t>INVIMA 2023M-0014735-R1</t>
  </si>
  <si>
    <t>OFTALMOTRIALER®SOLUCION OFTALMICA</t>
  </si>
  <si>
    <t>MUESTRA MEDICA FRASCO GOTERO DE PEBD SERIGRAFIADO POR 5 ML. CON TAPA GOTERO DE SEGURIDAD EN POLIPROPILENO Y SUBTAPA GOTERO EN PEBD Y TAPA ROSCA CON ANILLO DE SEGURIDAD. EN CAJA DE CARTULINA IMPRESA.</t>
  </si>
  <si>
    <t>1 ML DE SOLUCION OFTALMICA</t>
  </si>
  <si>
    <t>row-96ba-q3kq-7fxi</t>
  </si>
  <si>
    <t>FENILEFRINA CLORHIDRATO MICROGRANULOS (20%)(EQUIVALEN A 15 MG DE FENILEFRINA CLORHIDRATO)</t>
  </si>
  <si>
    <t>CAJA POR 2 CAPSULAS DURAS ENSIN DATOBLISTER ALUMINIO/FILL ACLAR</t>
  </si>
  <si>
    <t>row-b8js.s4fi.wmzi</t>
  </si>
  <si>
    <t>CAJA POR 20SIN DATOFRASCOS AMPOLLA CONSIN DATO4.5SIN DATOG DE POLVO ESTÉRILSIN DATOPARA RECONSTIUIR A 50 ML CON 20SIN DATOML DE AGUA PARA INYECCIÓN OSIN DATO NACLSIN DATOALSIN DATO0.9%</t>
  </si>
  <si>
    <t>row-9vy8~fxa6~b9d9</t>
  </si>
  <si>
    <t>2C1011421001102</t>
  </si>
  <si>
    <t>2C1011421001102: CAJA PLEGADIZA POR 30 TABLETAS EN BLISTER PVC/PE/PVDC-ALUMINIO POR 10 TABLETAS MAS INSERTO</t>
  </si>
  <si>
    <t>row-b2hj-b8us.fb6m</t>
  </si>
  <si>
    <t>*PARACETAMOL (90%)DE COMPRESION DIRECTA</t>
  </si>
  <si>
    <t>2P1001451014106</t>
  </si>
  <si>
    <t>2P1001451014106 PARACETAMOL 325.0000 MG/TRAMADOL 37.5000 MG TABLETAS DE LIBERACION NO MODIFICADA ORAL (ZALEDOR-P) TABLETA 1.0000U / CAJA X 100 (NA). CAJA POR 100 TABLETAS EN BLISTER DE ALUMINIO Y PLASTICO TRANSPARENTE PVC/PVDC.</t>
  </si>
  <si>
    <t>row-eg5z-jjkj.rja9</t>
  </si>
  <si>
    <t>VICITRA USO INSTITUCIONAL: CAJA X 100 CÁPSULAS EN BLISTER PVC ÁMBAR / ALUMINIO POR 10 CÁPSULAS CADA UNO.</t>
  </si>
  <si>
    <t>row-mzrh_3xci_as8p</t>
  </si>
  <si>
    <t>INVIMA 2019M-13597-R2</t>
  </si>
  <si>
    <t>CALCIBON D® 315 MG</t>
  </si>
  <si>
    <t>FRASCO DE POLIETILENO DE ALTA DENSIDAD POR 15 TABLETAS.</t>
  </si>
  <si>
    <t>MULTIVITAMINAS Y CALCIO</t>
  </si>
  <si>
    <t>A11AA02</t>
  </si>
  <si>
    <t>row-9uhg-sm3u.y6hs</t>
  </si>
  <si>
    <t>GUSELKUMAB</t>
  </si>
  <si>
    <t>CILAG AG</t>
  </si>
  <si>
    <t>1G1031121000100</t>
  </si>
  <si>
    <t>INVIMA 2019M-0019302</t>
  </si>
  <si>
    <t>TREMFYA®</t>
  </si>
  <si>
    <t>CAJA DE CARTON X 1 JERINGA DE VIDRIO TIPO I. DE 1 ML CON AGUJA FIJA DE CALIBRE 27 X 1/2 DE PULGADA. EMBOLO DE BROMOBUTILO. ENSAMBLADA EN SISTEMA DE ADMINISTRACION CON PROTECTOR DE AGUJA PASIVO</t>
  </si>
  <si>
    <t>L04AC16</t>
  </si>
  <si>
    <t>row-uymt~cixu~zqpg</t>
  </si>
  <si>
    <t>COLECALCIFEROL O VIT D</t>
  </si>
  <si>
    <t>row-zcfz-u9rt~h9vp</t>
  </si>
  <si>
    <t>DEXMEDETOMIDINA CLORHIDRATO EQUIVALENTE A DEXMEDETOMIDINA</t>
  </si>
  <si>
    <t>BAXTER HEALTHCARE CORPORATION</t>
  </si>
  <si>
    <t>1D1034671000100</t>
  </si>
  <si>
    <t>INVIMA 2021M-0020401</t>
  </si>
  <si>
    <t>1D1034671000100 - DEXMEDETOMIDINA 0.004 MG OTRAS SOLUCIONES INTRAVENOSA (BAXTER) BOLSA 100 ML / CAJA X 12CAJA POR 12 BOLSAS TRANSPARENTES X 100 ML CONFORMADA POR 2 VSC (CAJITAS DE CARTULINA) UNIDAS POR UNA ETIQUETA ADHESIVA DUAL (CADA VSC CONTIENE 6 BOLSAS). LAS BOLSAS SON DE LLDPE//PVDC//NYLON//LLDPE.</t>
  </si>
  <si>
    <t>row-vcc9_a87s.6fyn</t>
  </si>
  <si>
    <t>CLORFENIRAMINA MALEATO</t>
  </si>
  <si>
    <t>RSM-EXP20200010922-R1</t>
  </si>
  <si>
    <t>TYPIREC ANTIGRIPAL</t>
  </si>
  <si>
    <t>CAJA POR 150 CAPSULAS BLANDAS EN BLÍSTER EMPAQUE INDIVIDUAL TIPO BLÍSTER ALUMINIO-PVC/PVDC POR 10 CAPSULAS</t>
  </si>
  <si>
    <t>row-cm2j_62f2~5sw6</t>
  </si>
  <si>
    <t>NOSCH LABS PVT LIMITED</t>
  </si>
  <si>
    <t>CAJA X 60 CAPSULAS EN EMPAQUE INDIVIDUAL EN BLÍSTER ALUMINIO/ALUMINIO POR 10 CAPSULAS</t>
  </si>
  <si>
    <t>row-fqm2~mk4c-crmm</t>
  </si>
  <si>
    <t>IBUPROFENO USP</t>
  </si>
  <si>
    <t>CAJA X 36 CÁPSULAS BLANDAS EN EMPAQUE INDIVIDUAL TIPO BLISTER FILL-ACLAR POR 4 CÁPSULAS BLANDAS CADA UNO.</t>
  </si>
  <si>
    <t>row-yt8d.yfc5_bkjr</t>
  </si>
  <si>
    <t>GLUCOSA MONOHIDRATO (EQUIVALENTE A GLUCOSA ANHIDRA)</t>
  </si>
  <si>
    <t>INVIMA 2019M-0007579-R1</t>
  </si>
  <si>
    <t>SOLUCION DX-5.</t>
  </si>
  <si>
    <t>FRASCO EN PEBD POR 100 ML</t>
  </si>
  <si>
    <t>GLUCOSA</t>
  </si>
  <si>
    <t>B05CX01</t>
  </si>
  <si>
    <t>row-yfbr-wpkn-zuve</t>
  </si>
  <si>
    <t>CONDROITINA SULFATO SODICA</t>
  </si>
  <si>
    <t>INVIMA 2008M-0008295</t>
  </si>
  <si>
    <t>GLUCOSAMINA/CONDROITINA GLUCOSAMINA SULFATO 750MG CONDROITINA SULFATO 600MG</t>
  </si>
  <si>
    <t>ENVASE POR 90SIN DATOCAPSULAS EN PET AZUL DE 120 ML CON TAPA ROSCA BLANCA EN PP CON BANDA DE SEGURIDAD</t>
  </si>
  <si>
    <t>GLUCOSAMINA</t>
  </si>
  <si>
    <t>M01AX05</t>
  </si>
  <si>
    <t>row-hpe3_tt4c-79p8</t>
  </si>
  <si>
    <t>CAJA PORSIN DATO5SIN DATOAMPOLLAS EN VIDRIO TRANSPARENTE TIPO I POR 1 ML. CON ARO AMARILLO.</t>
  </si>
  <si>
    <t>row-hpgi-jdiy~kged</t>
  </si>
  <si>
    <t>GLICLAZIDA</t>
  </si>
  <si>
    <t>LES LABORATOIRES SERVIER INDUSTRIE</t>
  </si>
  <si>
    <t>1G1057071000116</t>
  </si>
  <si>
    <t>INVIMA 2017M-0012105-R1</t>
  </si>
  <si>
    <t>DIAMICRON MR 60 MG</t>
  </si>
  <si>
    <t>MUESTRA MÉDICA: CAJA POR 10 TABLETAS EN BLISTER DE PVC TRANSPARENTE/ALUMINIO.</t>
  </si>
  <si>
    <t>TABLETA RANURADA DE LIBERACION PROLONGADA</t>
  </si>
  <si>
    <t>GLICAZIDA</t>
  </si>
  <si>
    <t>A10BB09</t>
  </si>
  <si>
    <t>row-v9du.tb73.zuqt</t>
  </si>
  <si>
    <t>ESTRADIOL HEMIHIDRATO EQUIVALENTE A ESTRADIOL</t>
  </si>
  <si>
    <t>INVIMA 2021M-0004603-R2</t>
  </si>
  <si>
    <t>FEMOSTON® CONTI</t>
  </si>
  <si>
    <t>MUESTRA MEDICA: CAJA X 14 TABLETAS RECUBIERTAS - BLISTER PVC/ALUMINIO</t>
  </si>
  <si>
    <t>ESTRADIOL COMBINACIONES</t>
  </si>
  <si>
    <t>G03CA53</t>
  </si>
  <si>
    <t>row-a2su_uimr-nqpv</t>
  </si>
  <si>
    <t>FRASCO DE VIDRIO TIPO II INCOLORO POR 100 ML</t>
  </si>
  <si>
    <t>2,01</t>
  </si>
  <si>
    <t>row-7mvj.uj9j.8w6m</t>
  </si>
  <si>
    <t>CAJA POR 180 TABLETAS EN BLÍSTER PVC TRANSPARENTE / ALUMINIO. BLÍSTER POR 10 TABLETAS.</t>
  </si>
  <si>
    <t>row-yig3.k24t_fgkf</t>
  </si>
  <si>
    <t>TRAZODONA CLORHIDRATO</t>
  </si>
  <si>
    <t>AZIENDE CHIMICHE RIUNITE ANGELLINI FRANCESCO ACRAF. S.P.A.</t>
  </si>
  <si>
    <t>INVIMA 2010 M-013708 R1</t>
  </si>
  <si>
    <t>TRITTICO A.C 150</t>
  </si>
  <si>
    <t>- CAJA POR 100 TABLETAS DE LIBERACIÓN PROLONGADA EN BLÍSTER PVC/ALUMINIO</t>
  </si>
  <si>
    <t>TABLETA DE LIBERACION SOSTENIDA</t>
  </si>
  <si>
    <t>AZIENDE CHIMICHE RIUNITE ANGELLINI FRANCESCO A.C.R.A.F. S.P.A</t>
  </si>
  <si>
    <t>TRAZODONA</t>
  </si>
  <si>
    <t>N06AX05</t>
  </si>
  <si>
    <t>row-zdqm-t42z_4gnt</t>
  </si>
  <si>
    <t>INVIMA 2023M-0013038-R2</t>
  </si>
  <si>
    <t>VARTERAL HCT® 160/5/12.5</t>
  </si>
  <si>
    <t>CAJA POR 60 TABLETAS RECUBIERTAS EN EMPAQUE INDIVIDUALSIN DATOTIPO BLISTER ALU/PVC -PVDC POR 30 TBL RECUBIERTAS C/U</t>
  </si>
  <si>
    <t>row-3fmw.8f9p.z4tv</t>
  </si>
  <si>
    <t>MOXIFLOXACINA CLORHIDRATO EQUIVALENTE A MOXIFLOXACINABASE</t>
  </si>
  <si>
    <t>INVIMA 2022M-0012968-R2</t>
  </si>
  <si>
    <t>OFTAMOXD ®</t>
  </si>
  <si>
    <t>MUESTRA MÉDICA: CAJA PLEGADIZA CON FRASCOSIN DATOGOTERO X 5SIN DATOML . FRASCO YSIN DATOGOTERO EN PEBD. TAPA EN PP</t>
  </si>
  <si>
    <t>1 MILILITRO (1 ML EQUIVALE A 25 GOTAS)</t>
  </si>
  <si>
    <t>S03CA01</t>
  </si>
  <si>
    <t>row-sqbn~whpj_sqe6</t>
  </si>
  <si>
    <t>INVIMA 2021M-0007655-R1</t>
  </si>
  <si>
    <t>YAXIBELLE®</t>
  </si>
  <si>
    <t>MUESTRA MÉDICA: CAJA POR 3 BLÍSTER ALUMINIO / PVC INCOLORO POR 28 TABLETAS RECUBIERTAS (24 TABLETAS RECUBIERTAS ACTIVAS + 4 TABLETAS RECUBIERTAS PLACEBO) CADA UNO</t>
  </si>
  <si>
    <t>row-dfy9_5dvy-c9vc</t>
  </si>
  <si>
    <t>ACIDO CITRICO</t>
  </si>
  <si>
    <t>INVIMA 2022M-0014024-R1</t>
  </si>
  <si>
    <t>ALKA - SELTZER® TABLETAS</t>
  </si>
  <si>
    <t>CAJA DE CARTÓN X 60 TABLETAS EN SOBRE PAPEL/POLIETILENO/ALUMINIO/SURLY X 2</t>
  </si>
  <si>
    <t>1 TABLETA EFERVESCENTE</t>
  </si>
  <si>
    <t>TABLETA EFERVESCENTE</t>
  </si>
  <si>
    <t>BAYER HEALTHCARE LLC</t>
  </si>
  <si>
    <t>row-wuk2-3aeq-4ea8</t>
  </si>
  <si>
    <t>FRASCO PLÁSTICO (PEAD) 500 ML. CIERRE FOIL DE ALUMINIO.TAPA DE POLIETILENO DE ALTA DENSIDAD. SABOR MANZANA</t>
  </si>
  <si>
    <t>row-acid~2igf~4fzu</t>
  </si>
  <si>
    <t>GABAPENTINA</t>
  </si>
  <si>
    <t>INVIMA 2023M-0000551-R3</t>
  </si>
  <si>
    <t>KAPTIN® 300</t>
  </si>
  <si>
    <t>CAJAS POR 4 CÁPSULAS EN BLISTER DE PVC/PVDC- ALUMINIO.</t>
  </si>
  <si>
    <t>row-qzyr~iyu8-9biw</t>
  </si>
  <si>
    <t>BAYER BITTERFELD GMBH</t>
  </si>
  <si>
    <t>INVIMA 2025M-0021931</t>
  </si>
  <si>
    <t>APRONAX® PRO</t>
  </si>
  <si>
    <t>CAJASIN DATOPOR 4 TABLETAS EN SACHET DE ALUMINIO /POLIESTER IMPRESO -MUESTRA MEDICA</t>
  </si>
  <si>
    <t>row-bt7g.bjqb-7pb2</t>
  </si>
  <si>
    <t>MSD INTERNATIONAL GMBH</t>
  </si>
  <si>
    <t>CAJA POR 14 TABLETAS EN BLISTER ACLAR - PVC/ALUMINIO POR 7 TABLETAS CADA BLISTER</t>
  </si>
  <si>
    <t>row-mndq~z5mc-hxs7</t>
  </si>
  <si>
    <t>OXIGENOS DE COLOMBIA LTDA CARTAGENA</t>
  </si>
  <si>
    <t>INVIMA 2021M-008367-R4</t>
  </si>
  <si>
    <t>OXIGENO LIQUIDO ENSIN DATOTANQUES CRIOGÉNICOS INTERIOR EN ACERO INOXIDABLE CONSIN DATOCAPACIDAD DE 500M3SIN DATOHASTA 50000 M3 DE OXIGENO LIQUIDO (NO MENOS DE 99.0% EN VOLUMEN)</t>
  </si>
  <si>
    <t>M3(METROS CUBICOS)</t>
  </si>
  <si>
    <t>OXIGENOS DE COLOMBIA LTDA. - OXICOL LTDA</t>
  </si>
  <si>
    <t>row-2pcq-5t47~bnqm</t>
  </si>
  <si>
    <t>1E1004991004104</t>
  </si>
  <si>
    <t>INVIMA 2019M-0018896</t>
  </si>
  <si>
    <t>TORROX ®90 MG TABLETAS RECUBIERTAS.</t>
  </si>
  <si>
    <t>IUM 1E1004991004104 MUESTRA MEDICA :CAJA PLEGADIZA CON 3 BLÍSTER ALUMINIO/ALUMINIO POR 10 TABLETAS RECUBIERTAS CADA UNO.</t>
  </si>
  <si>
    <t>TABLETAS RECUBIETRTAS</t>
  </si>
  <si>
    <t>row-d8gy.9vk8.sqis</t>
  </si>
  <si>
    <t>FLUORURO DE SODIO (EQUIVALENTE A 90.5 MCG DE FLÚOR)</t>
  </si>
  <si>
    <t>INVIMA 2014FE-0003289-R1</t>
  </si>
  <si>
    <t>SUPRAVITAL PLUS</t>
  </si>
  <si>
    <t>CAJA PLEGADIZA POR 30 CÁPSULAS BLANDAS DE GELATINA EN BLISTER ALUMINIO / PVC TRANSPARENTE. CADA BLISTER POR 10 CÁPSULAS BLANDAS DE GELATINA.</t>
  </si>
  <si>
    <t>row-4j5h-rrdc~yhhi</t>
  </si>
  <si>
    <t>TAPENTADOL CLORHIDRATO 174.73 EQUIVALENTE A TAPENTADOL BASE</t>
  </si>
  <si>
    <t>INVIMA 2023M-0014481-R2</t>
  </si>
  <si>
    <t>PALEXIS® RETARD 150 MG</t>
  </si>
  <si>
    <t>CAJA CONSIN DATO30 TABLETAS EN BLISTER DE PVC/PVDC/PAPEL/PET/ALU</t>
  </si>
  <si>
    <t>GRUNENTHAL GMBH.</t>
  </si>
  <si>
    <t>row-y64d-6pbn.qkma</t>
  </si>
  <si>
    <t>- SEIS (6) TUBOS MULTILAMINADOS (PE/PE/EAA/ALU/EAA/LMDPE) POR 2.5 G. CON CABEZA EN PEAD Y TAPA EN PP EN CAJA PLEGADIZA.</t>
  </si>
  <si>
    <t>row-k2id.yiec-q2w7</t>
  </si>
  <si>
    <t>ÁCIDO TIOCTICO</t>
  </si>
  <si>
    <t>INVIMA 2023M-0017306-R1</t>
  </si>
  <si>
    <t>LIPOTIC®</t>
  </si>
  <si>
    <t>CAJA POR 20 TABLETAS RECUBIERTAS. EN BLÍSTER FILL ACLAR TRANSPARENTE/ALUMINIO POR 10 TABLETAS RECUBIERTAS CADA UNO.</t>
  </si>
  <si>
    <t>TIOCTICO  ACIDO</t>
  </si>
  <si>
    <t>A16AX01</t>
  </si>
  <si>
    <t>row-z4vb-xb4v~dzx8</t>
  </si>
  <si>
    <t>INVIMA 2022M-0015195-R1</t>
  </si>
  <si>
    <t>TADALAFILO 5 MG</t>
  </si>
  <si>
    <t>PRESENTACIÓN INSTITUCIONAL: CAJA PLEGADIZA POR 2 TABLETAS EN BLISTER DE ALUMINIO PVC/ACLAR POR 2 TABLETAS</t>
  </si>
  <si>
    <t>row-y7at~zv72~sbpr</t>
  </si>
  <si>
    <t>MAGALDRATO AL 10%</t>
  </si>
  <si>
    <t>INVIMA 2021M-0016241-R1</t>
  </si>
  <si>
    <t>RIOPAN GEL MAGALDRATO/DIMETICONA</t>
  </si>
  <si>
    <t>MUESTRA MEDICA: CAJA DE 20 SOBRES POR 10 ML</t>
  </si>
  <si>
    <t>100 ML GEL</t>
  </si>
  <si>
    <t>GEL ORAL</t>
  </si>
  <si>
    <t>TECNOFARMA COLOMBIA S.A.S.</t>
  </si>
  <si>
    <t>MAGALDRATO Y ANTIFLATULENTOS</t>
  </si>
  <si>
    <t>A02AF01</t>
  </si>
  <si>
    <t>row-xytn_mixk~4pw9</t>
  </si>
  <si>
    <t>MICOFENOLATO DE MOFETILO</t>
  </si>
  <si>
    <t>CONCORD BIOTECH LIMITED</t>
  </si>
  <si>
    <t>INVIMA 2025M-0021792</t>
  </si>
  <si>
    <t>ZAVIA® 250 MG</t>
  </si>
  <si>
    <t>M.M. CAJA PLEGADIZA CON 3 BLISTER EN ALU/ALU POR 10 CAPSULAS C/U</t>
  </si>
  <si>
    <t>AVALON PHARMACEUTICAL S.A</t>
  </si>
  <si>
    <t>MICOFENOLICO  ACIDO</t>
  </si>
  <si>
    <t>L04AA06</t>
  </si>
  <si>
    <t>row-zmhy_9wrs.3b7g</t>
  </si>
  <si>
    <t>PALMITATO DE PALIPERIDONA 234 MG EQUIVALENTE A PALIPERIDONA</t>
  </si>
  <si>
    <t>JANSSEN PHARMACEUTICA N.V</t>
  </si>
  <si>
    <t>1P1045201000100</t>
  </si>
  <si>
    <t>INVIMA 2016M-0011737-R1</t>
  </si>
  <si>
    <t>INVEGA SUSTENNA ® SUSPENSION DE LIBERACION PROLONGADA DE 150 MG</t>
  </si>
  <si>
    <t>CAJA CON JERINGASIN DATOPRELLENADA POR 1.5 ML EN COPOLIMERO DE OLEFINA (COC) + DOS AGUJAS DE SEGURIDAD.</t>
  </si>
  <si>
    <t>JERINGA PRELLENADA POR 1.5 ML</t>
  </si>
  <si>
    <t>row-u3fn-99wq_vpa4</t>
  </si>
  <si>
    <t>ACETAMINOFEN GRANULADO DC 90% (ACETAMINOFEN 90% YEXCIPIENTES (ALMIDON PREGELATINIZADO. POVIDONA K-30 Y ACIDO ESTEARICO 10%)</t>
  </si>
  <si>
    <t>INVIMA 2021M-0016050-R1</t>
  </si>
  <si>
    <t>DOLOFF®5-325 TABLETAS</t>
  </si>
  <si>
    <t>CAJA X 90 TABLETAS EN BLISTER DE PVC/PVDC - ALUMINIO X 10 TABLETAS CADA UNO.</t>
  </si>
  <si>
    <t>row-tr66~6ydn-gymg</t>
  </si>
  <si>
    <t>INVIMA 2023M-014871-R3</t>
  </si>
  <si>
    <t>CLARIGRIP® TABLETAS.</t>
  </si>
  <si>
    <t>MUESTRA MEDICA CAJA X 3TABLETAS</t>
  </si>
  <si>
    <t>row-v3i5-e2yk~s2jf</t>
  </si>
  <si>
    <t>ALCOHOL ETILICO</t>
  </si>
  <si>
    <t>TERUMO COLOMBIA ANDINA SAS</t>
  </si>
  <si>
    <t>1A1034271000102</t>
  </si>
  <si>
    <t>INVIMA 2020M-0019946</t>
  </si>
  <si>
    <t>PURELL® ADVANCED HAND SANITIZER GEL</t>
  </si>
  <si>
    <t>1A1034271000102 CAJA X 250 BOTELLAS DE PET TRANSPARENTE X 30 ML CON TAPA ABATIBLE DE POLIPROPILENO TRANSPARENTE O BLANCA Y SELLO DE INDUCCION PLATEADO/BLANCO HECHO DE PELICULA DE PET. ESPUMA DE POLIOLEFINA. PAPEL DE ALUMINIO Y PELICULA DE PET TERMOSELLABLE</t>
  </si>
  <si>
    <t>CADA 100 G DE GEL ANTISÉPTICO CONTIENEN</t>
  </si>
  <si>
    <t>GOJO INDUSTRIES INC</t>
  </si>
  <si>
    <t>% w/w</t>
  </si>
  <si>
    <t>row-42m8-g98u-uc7x</t>
  </si>
  <si>
    <t>PROPOFOL</t>
  </si>
  <si>
    <t>SERANEST PHARMA LTDA.</t>
  </si>
  <si>
    <t>INVIMA 2020M-0015652-R1</t>
  </si>
  <si>
    <t>SERAFOL 1%</t>
  </si>
  <si>
    <t>CAJA PLEGADIZA POR 5 VIALESSIN DATODE VIDRIO TIPO I INCOLORO POR 20ML CADA VIAL (200 MG / 20 ML)</t>
  </si>
  <si>
    <t>POR CADA ML</t>
  </si>
  <si>
    <t>N01AX10</t>
  </si>
  <si>
    <t>row-zz3c_a4k5~j8kk</t>
  </si>
  <si>
    <t>CICLOSPORINA</t>
  </si>
  <si>
    <t>ALLERGAN SALES LLC.</t>
  </si>
  <si>
    <t>INVIMA 2019M-0002897-R2</t>
  </si>
  <si>
    <t>RESTASIS® EMULSIÓN OFTÁLMICA</t>
  </si>
  <si>
    <t>MUESTRA MÉDICA: CAJA X 5 VIALES UNIDOSIS EN PEBD INCOLORO POR 0.4 ML CADA UNO. CON ETIQUETA IMPRESA. EN BANDEJA DE PP.</t>
  </si>
  <si>
    <t>VIAL X 0.4 ML DE EMULSIÓN OFTÁLMICA</t>
  </si>
  <si>
    <t>EMULSIÓN</t>
  </si>
  <si>
    <t>L04AD01</t>
  </si>
  <si>
    <t>row-dkg8.dmip.bhbq</t>
  </si>
  <si>
    <t>2,2</t>
  </si>
  <si>
    <t>row-k654.96w6-9w4z</t>
  </si>
  <si>
    <t>3A1044091000100</t>
  </si>
  <si>
    <t>FRASCO DE VIDRIO TIPO II POR 100 ML SELLADO CON UN TAPON DE MATERIAL ELASTOMERICO.</t>
  </si>
  <si>
    <t>row-bttx_nk36~8idr</t>
  </si>
  <si>
    <t>STREPTOCOCCUS PNEUMONIAE TIPO 20</t>
  </si>
  <si>
    <t>CAJA POR 10 JERINGAS PRELLENADAS DE VIDRIO TIPO I CON 0.5 ML DE SOLUCION INYECTABLE CADA UNA MAS INSERTO.</t>
  </si>
  <si>
    <t>row-949u_sa4a.4z2d</t>
  </si>
  <si>
    <t>CETIRIZINA CLORHIDRATO</t>
  </si>
  <si>
    <t>INVIMA 2020M-0010510-R1</t>
  </si>
  <si>
    <t>DIMETAPP® GRIPA CÁPSULAS</t>
  </si>
  <si>
    <t>MUESTRA MÉDICA: CAJA X 100 CÁPSULAS CON 25 BLÍSTER DE ALUMINIO/PVC TRANSPARENTE POR 4 CÁPSULAS BLANCA-PÚRPURA CADA UNO.</t>
  </si>
  <si>
    <t>CÁPSALA DURA</t>
  </si>
  <si>
    <t>row-qz89_wyyy-5u4q</t>
  </si>
  <si>
    <t>CAJA POR 1 AMPOLLA AMBAR X 5 ML</t>
  </si>
  <si>
    <t>row-syn5~nth7_bgtq</t>
  </si>
  <si>
    <t>GLUCOSA: GLUCOSA MONOHIDRATO (EQUIVALENTE A GLUCOSA 420 G) 462.00 G.</t>
  </si>
  <si>
    <t>MUESTRA MEDICA: BOLSA TRICAMERAL EN BIOFINE POR 2531 ML</t>
  </si>
  <si>
    <t>row-j8e7.brn2_keud</t>
  </si>
  <si>
    <t>METAMIZOL SODICO (DIPIRONA)</t>
  </si>
  <si>
    <t>TAKEDA PHARMA LTDA</t>
  </si>
  <si>
    <t>INVIMA 2021M-003797-R4</t>
  </si>
  <si>
    <t>NEOSALDINA® GOTAS</t>
  </si>
  <si>
    <t>CAJA PLEGADIZA CON FRASCO BLANCO PET POR 30 ML.</t>
  </si>
  <si>
    <t>row-q59f_h9q6~imwr</t>
  </si>
  <si>
    <t>SACUBITRILO SÓDICO (EQUIVALENTE A 97 MG DE SACUBITRILO)</t>
  </si>
  <si>
    <t>2S1061901000102</t>
  </si>
  <si>
    <t>INVIMA 2024M-0021536</t>
  </si>
  <si>
    <t>TEROVAN® 200</t>
  </si>
  <si>
    <t>M. MÉDICA: CAJA CON 10 TABLETAS RECUBIERTAS EN BLÍSTER ALUMINIO / PVC - PCTFE INCOLORO BLÍSTER X 10 TABLETAS</t>
  </si>
  <si>
    <t>ASOFARMA S.A.I. Y C.</t>
  </si>
  <si>
    <t>row-cz5q.zqci.wk6e</t>
  </si>
  <si>
    <t>DALTEPARINA SODICA (ANTIFACTOR XA)</t>
  </si>
  <si>
    <t>1D1047671000101</t>
  </si>
  <si>
    <t>INVIMA 2021MB-13887 R2</t>
  </si>
  <si>
    <t>FRAGMIN® 2500 UI SOLUCION INYECTABLE</t>
  </si>
  <si>
    <t>CAJA PLEGADIZA POR 1 JERINGA PRELLENADA DE VIDRIO TIPO I CON TAPÓN POR 0.2ML DE SOLUCIÓN INYECTABLE C/U + NEEDLE TRAP OPCIONAL</t>
  </si>
  <si>
    <t>JERINGA PRELLENADA CON 0.2ML DE SOLUCIÓN INYECTABLE</t>
  </si>
  <si>
    <t>DALTEPARINA</t>
  </si>
  <si>
    <t>B01AB04</t>
  </si>
  <si>
    <t>row-f4yk_4bbg~656h</t>
  </si>
  <si>
    <t>METOCLOPRAMIDA CLORHIDRATO MONOHIDRATO</t>
  </si>
  <si>
    <t>INVIMA 2021M-0013901-R1</t>
  </si>
  <si>
    <t>DIGESPAR®10MG TABLETAS</t>
  </si>
  <si>
    <t>GENERICO: CAJA POR 10 TABLETAS .BLISTER DE PVC TRANSPARENTE FOIL DE ALUMINIO POR 10 TBL C/U</t>
  </si>
  <si>
    <t>METOCLOPRAMIDA</t>
  </si>
  <si>
    <t>A03FA01</t>
  </si>
  <si>
    <t>row-hvqv_mat2~hu5c</t>
  </si>
  <si>
    <t>UUSO INSTITUCIONAL: CAJA PORSIN DATO90 TABLETAS EN BLISTER DE PVC/PVDC - ALUMINIO POR 10 TABLETAS CADA UNO.</t>
  </si>
  <si>
    <t>row-6w69-muyn-byp9</t>
  </si>
  <si>
    <t>CAJA PLEGADIZA POR 7 CAPSULAS BLANDAS EN BLISTER POR 7 CAPSULAS BLANDAS.</t>
  </si>
  <si>
    <t>row-eknw_43t8.r6mf</t>
  </si>
  <si>
    <t>CAJA PORSIN DATO60 TABLETAS RECUBIERTAS EN BLISTER PVC INCOLORO</t>
  </si>
  <si>
    <t>row-vrsm_8m7p~ut9g</t>
  </si>
  <si>
    <t>FRASCO PEAD CON TAPA DE PP POR 120 ML.</t>
  </si>
  <si>
    <t>row-vbt6_yvhf-hkg4</t>
  </si>
  <si>
    <t>BAYER DE MEXICO S.A. DE C.V.</t>
  </si>
  <si>
    <t>CAJA POR 24 TABLETAS :CAJA DE CAUCHÉ Y BLISTER ACLAR/PVC/ALUMINIO</t>
  </si>
  <si>
    <t>row-bmp9~jw9z-dic5</t>
  </si>
  <si>
    <t>DIPROPIONATO DE BETAMETASONA EQUIVALENTE A BETAMETASONA</t>
  </si>
  <si>
    <t>INVIMA 2023M-010921-R3</t>
  </si>
  <si>
    <t>DIPROSPAN® INYECTABLE JERINGA PRELLENADA</t>
  </si>
  <si>
    <t>CAJA POR 1 JERINGA PRELLENADA DE VIDRIO TIPO 1 CON 1 AGUJA ESTÉRIL DE 50 MM DE LONGITUD Y 8/10 MM DE DIAMETRO. Y OTRA AGUJA ESTÉRIL DE 25 MM DE LONGITUD Y 5/10 MM DE DIAMETRO</t>
  </si>
  <si>
    <t>JERINGA PRELLENADA POR 1 ML</t>
  </si>
  <si>
    <t>row-qrjk.zk8u_ar9x</t>
  </si>
  <si>
    <t>LINCOMICINA BASE</t>
  </si>
  <si>
    <t>INVIMA 2022M-0001456-R3</t>
  </si>
  <si>
    <t>LINCOCIN® 600 MG/ 2 ML SOLUCION INYECTABLE</t>
  </si>
  <si>
    <t>MUESTRA MEDICA: CAJA DE CARTON POR 1 AMPOLLETA DE VIDRIO TIPO I DE 2 ML.</t>
  </si>
  <si>
    <t>row-8ivu_tnbg_rcmy</t>
  </si>
  <si>
    <t>CAJA PLEGADIZA CON TUBO LAMINADO EP2612CN DE 40 G CON 7 APLICADOS VAGINALES MAS INSERTO</t>
  </si>
  <si>
    <t>row-upwc.kx9s_dfwa</t>
  </si>
  <si>
    <t>GLUCOSA ANHIDRA</t>
  </si>
  <si>
    <t>INVIMA 2016M-0011273 - R1</t>
  </si>
  <si>
    <t>BUPINEST 0.75% PESADO</t>
  </si>
  <si>
    <t>MUESTRA MÉDICA: CAJA POR 2 AMPOULEPACK DE PEBD POR 4 ML.</t>
  </si>
  <si>
    <t>CADA 4ML DE SOLUCIÓN INYECTABLE</t>
  </si>
  <si>
    <t>BUPIVACAINA</t>
  </si>
  <si>
    <t>290,8</t>
  </si>
  <si>
    <t>N01BB01</t>
  </si>
  <si>
    <t>RAQUIDEA</t>
  </si>
  <si>
    <t>row-9muf_ghw5~s6s5</t>
  </si>
  <si>
    <t>DL- ALFATOCOFEROL ACETATO (VITAMINA E SINTETICA EQUIVALENTE A 150 UI)</t>
  </si>
  <si>
    <t>CAJA POR 30 CAPSULAS EN BLISTER DE PVC/ALUMINIO</t>
  </si>
  <si>
    <t>row-ey3u~ssgy-8fm3</t>
  </si>
  <si>
    <t>PIRIDOXINA CLORHIDRATO</t>
  </si>
  <si>
    <t>INVIMA 2013M-0014343</t>
  </si>
  <si>
    <t>PIRIDOXINA TABLETAS X 50 MG</t>
  </si>
  <si>
    <t>CAJA PLEGADIZA POR 80 TABLETAS EN BLISTER DE PVC FARMACEUTICO/ALUMINIO.</t>
  </si>
  <si>
    <t>PIRIDOXINA (VIT B6)</t>
  </si>
  <si>
    <t>A11HA02</t>
  </si>
  <si>
    <t>row-6hcg~ywni.fyte</t>
  </si>
  <si>
    <t>ATORVASTATINA CÁLCICA. EQUIVALENTE A ATORVASTATINA</t>
  </si>
  <si>
    <t>INVIMA 2021M-0016466-R1</t>
  </si>
  <si>
    <t>ATORVASTATINA 40 MG</t>
  </si>
  <si>
    <t>USO INSTITUCIONAL CAJA POR 5 TABLETAS CUBIERTAS EN BLISTER ALU/ALU POR 5 TABLETAS CUBIERTAS.</t>
  </si>
  <si>
    <t>row-dbj7_yhub~5aj9</t>
  </si>
  <si>
    <t>FLUDARABINA FOSFATO</t>
  </si>
  <si>
    <t>BAXTER ONCOLOGY GMBH</t>
  </si>
  <si>
    <t>INVIMA 2022M-007196-R2</t>
  </si>
  <si>
    <t>FLUDARA®</t>
  </si>
  <si>
    <t>CAJA POR UN VIAL (CON POLVO LIOFILIZADO) DE VIDRIO TIPO I POR 50 MG</t>
  </si>
  <si>
    <t>GENZYME CORPORATION</t>
  </si>
  <si>
    <t>FLUDARABINA</t>
  </si>
  <si>
    <t>L01BB05</t>
  </si>
  <si>
    <t>row-9b49.9j9n_zph5</t>
  </si>
  <si>
    <t>PROPINOX CLORHIDRATO (+5%)</t>
  </si>
  <si>
    <t>MEGALABS S.A.</t>
  </si>
  <si>
    <t>2L1017681002108</t>
  </si>
  <si>
    <t>INVIMA 2008 M-010556 R-1</t>
  </si>
  <si>
    <t>SERTAL® COMPUESTO COMPRIMIDOS</t>
  </si>
  <si>
    <t>MUESTRA MÉDICA: CAJA POR 10 TABLETAS EN BLÍSTER PVC/ALUMINIO POR 2 TABLETAS.</t>
  </si>
  <si>
    <t>row-8nqt.e3sc~fjui</t>
  </si>
  <si>
    <t>INVIMA 2023M-0011782-R2</t>
  </si>
  <si>
    <t>PREGABALINA150 MG</t>
  </si>
  <si>
    <t>CAJA X 30 CAPSULAS EN BLÍSTER PVC/PVDC/ALUMINIO X 15 CAPSULAS</t>
  </si>
  <si>
    <t>row-mkf8-dcn2.4dce</t>
  </si>
  <si>
    <t>INVIMA 2023M-0016409-R1</t>
  </si>
  <si>
    <t>CAJA PLEGADIZA POR 14 TABLETAS ORODISPERSABLES EN BLÍSTER PVC/ACLAR ALUMINIO POR 7 TABLETAS ORODISPERSABLES.</t>
  </si>
  <si>
    <t>TABLETA ORODISPERSABLE</t>
  </si>
  <si>
    <t>row-tmr6~4dbv-shv4</t>
  </si>
  <si>
    <t>EMPAGLIFLOZINA</t>
  </si>
  <si>
    <t>BOEHRINGER INGELHEIM PROMECO S.A. DE C.V.</t>
  </si>
  <si>
    <t>INVIMA 2020M-0016002-R1</t>
  </si>
  <si>
    <t>JARDIANCE 10 MG</t>
  </si>
  <si>
    <t>PRESENTACION INSTITUCIONAL: CAJA CON BLISTERSIN DATOX 60</t>
  </si>
  <si>
    <t>BOEHRINGER INGELHEIM INTERNACIONALGMBH</t>
  </si>
  <si>
    <t>A10BK03</t>
  </si>
  <si>
    <t>row-dqti.4cit~yktw</t>
  </si>
  <si>
    <t>INVIMA 2021M-0016886-R1</t>
  </si>
  <si>
    <t>AMINOPLASMAL® B. BRAUN 10%</t>
  </si>
  <si>
    <t>CAJA POR 10 FRASCOS DE VIDRIO TIPO II CON TAPON DE GOMA CON 500 ML</t>
  </si>
  <si>
    <t>4,7</t>
  </si>
  <si>
    <t>row-3k9x~rjv6_afuy</t>
  </si>
  <si>
    <t>C.I. FARMACÁPSULAS S.A.S.</t>
  </si>
  <si>
    <t>M.M.: CAJA POR 1 TABLETA EN BLISTER DE PVC TRANSPARENTE/ALUMINIO.</t>
  </si>
  <si>
    <t>row-nvun.fy5j~9bzp</t>
  </si>
  <si>
    <t>SIMETICONA EMULSIONADA 222.00 MG EQUIVALNETE A DIMETILPOLISILOXANO</t>
  </si>
  <si>
    <t>INVIMA 2023M-0018418-R1</t>
  </si>
  <si>
    <t>DIGESTA GOTAS 66.6 MG/ML</t>
  </si>
  <si>
    <t>1S1025501000102 MUESTRA MEDICA: CAJA POR 1 FRASCO GOTERO DOSIFICADOR PEBD BLANCO POR 10 ML CON LLENADO POR 10 ML</t>
  </si>
  <si>
    <t>MILILITRO DE SUSPENSION ORAL</t>
  </si>
  <si>
    <t>SUSPENSIONES</t>
  </si>
  <si>
    <t>DIMETILAMINOPROPIONILFENOTIAZINA</t>
  </si>
  <si>
    <t>66,6</t>
  </si>
  <si>
    <t>A03AC02</t>
  </si>
  <si>
    <t>row-is4n-f7c4_g4cf</t>
  </si>
  <si>
    <t>DESLORATADINA</t>
  </si>
  <si>
    <t>ORGANON PHARMA MÉXICO. S.A. DE C.V</t>
  </si>
  <si>
    <t>INVIMA 2020M-0000523-R2</t>
  </si>
  <si>
    <t>AERIUS® TABLETAS</t>
  </si>
  <si>
    <t>CAJA POR 5 TABLETAS EN BLISTER ACLAR-PVC CON CUBIERTA DE ALUMINIO</t>
  </si>
  <si>
    <t>R06AX27</t>
  </si>
  <si>
    <t>row-bi86-ztsj_p2zz</t>
  </si>
  <si>
    <t>CAJA POR 60 SOBRE (LAMINADO BOPP/ALUMINIO/PE) DE 5 G DE PRODUCTO.</t>
  </si>
  <si>
    <t>row-a32a-cyth.hg82</t>
  </si>
  <si>
    <t>AMOXICILINA TRIHIDRATO 1004.3 MG EQUIVALENTE A AMOXICILINA</t>
  </si>
  <si>
    <t>INVIMA 2021M-0016763-R1</t>
  </si>
  <si>
    <t>ATAK BD ® 875 MG TABLETA RECUBIERTA</t>
  </si>
  <si>
    <t>MUESTRA MÉDICA: CAJA PLEGADIZA X7 TABLETAS EN BLISTER ALUMINIO / ALUMINIO.</t>
  </si>
  <si>
    <t>row-zyye.gcnt.4pya</t>
  </si>
  <si>
    <t>2A1016331000105</t>
  </si>
  <si>
    <t>CAJA PLEGADIZA POR 30 CAPSULAS EN BLISTER ALU/ALU POR 10 CAPSULAS DURAS CADA UNO (IUM 2A1016331000105).</t>
  </si>
  <si>
    <t>row-rzqq_gyg4_2qtn</t>
  </si>
  <si>
    <t>INVIMA 2019M-0013009-R1</t>
  </si>
  <si>
    <t>APROVASC® 150MG/5MG</t>
  </si>
  <si>
    <t>ESTUCHE X 14 COMPRIMIDOS RECUBIERTOS EN BLISTER PVC-PE-PVDC/AL</t>
  </si>
  <si>
    <t>row-t68s_dqww_hdnz</t>
  </si>
  <si>
    <t>BOLSAS BIOFINE TRICAMERALES TRANSPARENTES POR 493 ML. CAJA QUE CONTIENE 6 BOLSAS TRICAMERALES.</t>
  </si>
  <si>
    <t>row-z2q7-wtan_pxuw</t>
  </si>
  <si>
    <t>CAJA POR 60 TABLETAS EN BLISTER DE PVC/ALUMINIO POR 10 TABLETAS.</t>
  </si>
  <si>
    <t>row-xy4m-2ip7.rhsz</t>
  </si>
  <si>
    <t>USO INSTITUCIONAL - CAJA POR 1 BLÍSTER DE PVC-PVDC / ALUMINIO CON 24 TABLETAS CUBIERTAS CON PELÍCULA DE ACTIVO MÁS 4 TABLETAS CUBIERTAS CON PELÍCULA DE PLACEBO CADA BLÍSTER. CADA BLÍSTER SIN PORTABLISTER.</t>
  </si>
  <si>
    <t>row-xjjh_mzf8.gj3p</t>
  </si>
  <si>
    <t>MERCK SHARP &amp; DOHME COLOMBIA S.A.S.</t>
  </si>
  <si>
    <t>MUESTRA MÉDICA - CAJA POR 14 TABLETAS RECUBIERTAS EN BLISTER PVDC/PE/PVC</t>
  </si>
  <si>
    <t>row-7qyc-8vhc~9iyb</t>
  </si>
  <si>
    <t>INVIMA 2020 M-014647-R3</t>
  </si>
  <si>
    <t>BISBACTER® SUSPENSION</t>
  </si>
  <si>
    <t>FRASCO X 60 ML + COPA DOSIFICADORASIN DATOEN PET INCOLORO TERMOENCOGIDO.</t>
  </si>
  <si>
    <t>BISMUTO SUBCITRATO</t>
  </si>
  <si>
    <t>1,7</t>
  </si>
  <si>
    <t>A02BX05</t>
  </si>
  <si>
    <t>row-f9r3.5sn7_jbji</t>
  </si>
  <si>
    <t>FINGOLIMOD CLORHIDRATO 0.560 MG EQUIVALENTE A FINGOLIMOD</t>
  </si>
  <si>
    <t>1F1006001009100</t>
  </si>
  <si>
    <t>INVIMA 2020M 19874</t>
  </si>
  <si>
    <t>ICLOMOD®</t>
  </si>
  <si>
    <t>1F1006001009100 - CAJA POR 28 CAPSULAS EN 4 BLISTER DE PVC + PE + PVDC + ALUMINIO POR 7 CAPSULAS DURAS CADA UNO.</t>
  </si>
  <si>
    <t>row-7siq-g5hg-dhim</t>
  </si>
  <si>
    <t>ERITROPOYETINA HUMANA RECOMBINANTE (EPOETIN ALFA)</t>
  </si>
  <si>
    <t>INVIMA 2017MBT-0011457-R1</t>
  </si>
  <si>
    <t>ERITROMAX</t>
  </si>
  <si>
    <t>CAJA POR 3 FRASCOS AMPOLLAS POR 1 ML DE SOLUCIÓN INYECTABLE C/U</t>
  </si>
  <si>
    <t>row-85up_53kr_r9gw</t>
  </si>
  <si>
    <t>CAJA POR 14 CÁPSULAS BLANDAS EN BLÍSTER PVC/ACLAR/ALUMUNIO POR 2 CÁPSULAS.</t>
  </si>
  <si>
    <t>row-qnde~cth5_y4sr</t>
  </si>
  <si>
    <t>DICLORHIDRATO DE LEVOCETIRICINA</t>
  </si>
  <si>
    <t>PLEGADIZA 23 SOBRES LAMINADOS (BOPP+ALUMINIO+ RESINA DE SELLE) POR 15 G CADA UNO.</t>
  </si>
  <si>
    <t>row-ajx2~mqvh-4y8g</t>
  </si>
  <si>
    <t>DEXAMETASONA FOSFATO SODICO 5.26 MGEQUIVALENTE A DEXAMETASONA</t>
  </si>
  <si>
    <t>1D1004301011100</t>
  </si>
  <si>
    <t>INVIMA 2020M-0001786-R2</t>
  </si>
  <si>
    <t>DEXAMETASONA 4 MG / ML</t>
  </si>
  <si>
    <t>CAJA POR 10 AMPOLLAS EN VIDRIO AMBAR BOROSILICATO TIPO 1 CONT. C/U 1 ML DE SOLUCIÓN INYECTABLE DENTRO DE UN BLISTERPACK PAPEL PVC O TERMOFORMADO</t>
  </si>
  <si>
    <t>row-diw7-gj9e~evkw</t>
  </si>
  <si>
    <t>ROPSOHN LABORATORIOS S.A.S. (PLANTA DE INYECTABLES)</t>
  </si>
  <si>
    <t>INVIMA 2018M-005418-R2</t>
  </si>
  <si>
    <t>AGUA ESTERIL PARA INYECCION</t>
  </si>
  <si>
    <t>USO INSTITUCIONAL: CAJA X 40 AMPOLLAS DE RESINA PLASTICA (AMPOULEPACK).SIN DATOAMPOULEPACK X 5 ML</t>
  </si>
  <si>
    <t>1 ML AGUA ESTERIL PARA INYECCIÓN</t>
  </si>
  <si>
    <t>AGUA DESTILADA</t>
  </si>
  <si>
    <t>V07AB99</t>
  </si>
  <si>
    <t>row-nyag-9twn-m276</t>
  </si>
  <si>
    <t>IRBERSARTAN</t>
  </si>
  <si>
    <t>INVIMA 2023M-0015373-R1</t>
  </si>
  <si>
    <t>ALENCAL IRBE® 2.5/150 MG TABLETAS RECUBIERTAS</t>
  </si>
  <si>
    <t>BLISTER POR 10TABLETAS EN CAJAS POR 3 BLISTER EN ALUMINIO-PVC/PVDC BLANCO.</t>
  </si>
  <si>
    <t>row-mj85-3bux-z4tt</t>
  </si>
  <si>
    <t>PROTEINAS DEL PLASMA HUMANO(RANGO 45.0-70.0 MG/ML)</t>
  </si>
  <si>
    <t>1P1016371000100</t>
  </si>
  <si>
    <t>INVIMA 2019M-0019298</t>
  </si>
  <si>
    <t>OCTAPLAS LG</t>
  </si>
  <si>
    <t>BOLSA ESTERIL POLYNINYL-CHLORIDE (PVC) RECUBIERTA MEDIANTE UNA PELÍCULA DE POLIAMIDA/POLIETILENO CON UN VOLUMEN DE 200ML . IUM 1P1016371000100 PLASMA SANGUINEO 70.0000 MG OTRAS SOLUCIONES INTRAVENOSA (OCTAPLAS) BOLSA 200.0000ML / BOLSA X 1. GRUPO SANGUINEO AB.</t>
  </si>
  <si>
    <t>PLASMA SANGUINEO</t>
  </si>
  <si>
    <t>B05AX03</t>
  </si>
  <si>
    <t>row-ix96_d68b-8ii7</t>
  </si>
  <si>
    <t>INDAPAMINA</t>
  </si>
  <si>
    <t>LABORATORIES SERVIER DE COLOMBIA S.A.S.</t>
  </si>
  <si>
    <t>CAJA CON FRASCO DE POLIPROPILENO POR 90 COMPRIMIDOS RECUBIERTOS CON PELÍCULA</t>
  </si>
  <si>
    <t>row-wwt3-njvu_9y97</t>
  </si>
  <si>
    <t>CARBOXIMETILCISTEÍNA</t>
  </si>
  <si>
    <t>2C1037431000105</t>
  </si>
  <si>
    <t>MUESTRA MÉDICA IUM 2C1037431000105 CARBOCISTEINA 3000.0 MG/GUAIFENESINA 2000.0 MG JARABE ORAL (TORFAN-EX) FRASCO 35.0ML / CAJA X 1CAJA CON UN FRASCO PET COLOR NATURAL POR 35 ML CON TAPA EN POLIPROPILENO BLANCA</t>
  </si>
  <si>
    <t>row-dszc-5n2x~mnf5</t>
  </si>
  <si>
    <t>ROSUVASTATINA CALCICA 41.5808 MG( EQUIVALENTE A ROSUVASTATINA)</t>
  </si>
  <si>
    <t>INVIMA 2023M-0009857-R2</t>
  </si>
  <si>
    <t>ROVARIL® 40 MG</t>
  </si>
  <si>
    <t>CAJA POR 5 CAPSULAS BLANDAS DE GELATINA EN BLISTER ALUMINIO /FOIL ALUMINIO POR 5SIN DATOCAPSULAS.</t>
  </si>
  <si>
    <t>CAPSULA BLANDA DE GELATINA</t>
  </si>
  <si>
    <t>row-r5vk-6kz5.62re</t>
  </si>
  <si>
    <t>PIRITINOL DICLORHIDRATRO MONOHIDRATO</t>
  </si>
  <si>
    <t>ALTEA FARMACÉUTICA S.A.</t>
  </si>
  <si>
    <t>INVIMA 2021M-0005163-R2</t>
  </si>
  <si>
    <t>ENCEFABOL 200 MG</t>
  </si>
  <si>
    <t>CAJA POR 1 FRASCO DE POLIETILENO DE ALTA DENSIDAD POR 20 TABLETAS RECUBIERTAS.</t>
  </si>
  <si>
    <t>PIRITINOL</t>
  </si>
  <si>
    <t>N06BX02</t>
  </si>
  <si>
    <t>row-a8xj_xbz6-yur6</t>
  </si>
  <si>
    <t>METRONIDAZOLBASE</t>
  </si>
  <si>
    <t>INVIMA 2021M-005441-R4</t>
  </si>
  <si>
    <t>METROZIN® 500 MG</t>
  </si>
  <si>
    <t>CAJA POR 200SIN DATOOVULOS EN 20SIN DATOBLISTER PVC/ALUMINIOSIN DATOPOR 10SIN DATOOVULOS</t>
  </si>
  <si>
    <t>P01AB01</t>
  </si>
  <si>
    <t>row-pte9~sp57_vxer</t>
  </si>
  <si>
    <t>GONHER FARMACEUTICA LTDA PLANTA DE PRODUCCIÓN II</t>
  </si>
  <si>
    <t>INVIMA 2019M-0009642-R1</t>
  </si>
  <si>
    <t>TUSSIONEX®</t>
  </si>
  <si>
    <t>CAJA CON UN FRASCO DE PET AMBAR POR 120 ML.</t>
  </si>
  <si>
    <t>BROMHEXINA</t>
  </si>
  <si>
    <t>0,16</t>
  </si>
  <si>
    <t>R05CB02</t>
  </si>
  <si>
    <t>row-4nq4-h7uz.x89m</t>
  </si>
  <si>
    <t>INVIMA 2021M-0020477</t>
  </si>
  <si>
    <t>ZYRISP ® 1 TABLETAS RECUBIERTAS</t>
  </si>
  <si>
    <t>MUESTRA MEDICA-CAJA CON 3 BLÍSTER DE ALUMINIO- PVC/PVDC POR 10 TABLETAS C/U.</t>
  </si>
  <si>
    <t>MG</t>
  </si>
  <si>
    <t>row-p6n6~75vh.wzqy</t>
  </si>
  <si>
    <t>RIOCIGUAT MICRONIZADO</t>
  </si>
  <si>
    <t>1R1036221001101</t>
  </si>
  <si>
    <t>INVIMA 2023M-0015474-R1</t>
  </si>
  <si>
    <t>ADEMPAS® 1.5 MG COMPRIMIDOS RECUBIERTOS</t>
  </si>
  <si>
    <t>CAJA POR 21 COMPRIMIDOS EN 1 BLÍSTER PP TRANSPARENTE/ALUMINIO</t>
  </si>
  <si>
    <t>RIOCIGUAT</t>
  </si>
  <si>
    <t>C02KX05</t>
  </si>
  <si>
    <t>row-urmh-ia59.3juz</t>
  </si>
  <si>
    <t>1P1008021002101</t>
  </si>
  <si>
    <t>INVIMA 2016M-0016934</t>
  </si>
  <si>
    <t>EPIBALIN® 150 MG CAPSULAS</t>
  </si>
  <si>
    <t>1P1008021002101: MARCA: CAJA POR 1 BLÍSTER ALU-PVC/PVDC POR 10 CÁPSULAS CADA BLÍSTER.</t>
  </si>
  <si>
    <t>row-6cb9~qp5h_m5s9</t>
  </si>
  <si>
    <t>DASAN PHARMACEUTICAL CO.. LTD</t>
  </si>
  <si>
    <t>2B1032391000100</t>
  </si>
  <si>
    <t>CAJA POR 10 TABLETAS RECUBIERTAS EN BLISTER DE ALUMINIO-ALUMINIO (POLAMIDA-OPA. FOIL DE ALUMINIO. FILM DE PVC) MAS PAPEL ALUMINIO EN CAJA DE CARTÓN.</t>
  </si>
  <si>
    <t>row-k9ep_c8jx.qwpq</t>
  </si>
  <si>
    <t>CONDROITINA SULFATO SODICO</t>
  </si>
  <si>
    <t>INVIMA 2009M-0009141</t>
  </si>
  <si>
    <t>FLEXTRIL ® C MSM SOBRES</t>
  </si>
  <si>
    <t>MUESTRA MEDICA SATME: CAJA POR 15 SOBRES O SACHETS FOIL DE ALUMINIOPOLIETILENO/ALUMINIOPOLIETILENO</t>
  </si>
  <si>
    <t>row-9mgi.vfa9~3nn3</t>
  </si>
  <si>
    <t>INVIMA 2021M-0013647-R1</t>
  </si>
  <si>
    <t>CETIRIZINA JARABE 5MG/5ML</t>
  </si>
  <si>
    <t>FRASCO DE PET AMBAR POR 60 ML CON TAPA DE POLIPROPILENO</t>
  </si>
  <si>
    <t>100ML DE JARABE (5MG /5ML)</t>
  </si>
  <si>
    <t>row-a7vk-55uj-pefu</t>
  </si>
  <si>
    <t>INVIMA 2014M-0015202</t>
  </si>
  <si>
    <t>GYNO COMFORT®2% CREMA VAGINAL</t>
  </si>
  <si>
    <t>CAJA CON UN TUBO LAMINADO XSIN DATO20 G CONSIN DATO3 APLICADORES.</t>
  </si>
  <si>
    <t>100 G DE CREMA VAGINAL</t>
  </si>
  <si>
    <t>CARE &amp; CURE S.A.S.</t>
  </si>
  <si>
    <t>row-6c6z.hytw.muyp</t>
  </si>
  <si>
    <t>STREPTOCOCCUS PNEUMONIAE TIPO 19A</t>
  </si>
  <si>
    <t>row-hnxr~55fx~s8p6</t>
  </si>
  <si>
    <t>2C1012371002105 MUESTRA MEDICA -CAJA CON 1 BOLSA CON 5 VIALES MONODOSIS ESTÉRILES DE PEBD POR 0.5 ML</t>
  </si>
  <si>
    <t>row-bnvd~g4h2.i47t</t>
  </si>
  <si>
    <t>CAJA PLEGADIZA POR 12 TABLETAS CUBIERTAS EN BLÍSTER PVC BLANCO - ALUMINIO POR 4 TABLETAS CUBIERTAS CADA UNO.</t>
  </si>
  <si>
    <t>row-gzrh_z628_rkay</t>
  </si>
  <si>
    <t>INVIMA 2019M-0009647-R1</t>
  </si>
  <si>
    <t>TRAMADOL CLORHIDRATO 100 MG / ML</t>
  </si>
  <si>
    <t>CAJA X 10 FRASCOS DE VIDRIO AMBAR TIPO III POR 5 ML .</t>
  </si>
  <si>
    <t>row-tm8j-4q7s.rns6</t>
  </si>
  <si>
    <t>row-nsux_634s_de8y</t>
  </si>
  <si>
    <t>INVIMA 2023M-0013023-R2</t>
  </si>
  <si>
    <t>SEVEDOL GRIPA TABLETAS</t>
  </si>
  <si>
    <t>CAJA POR 10 TABLETAS RECUBIERTAS EN BLISTER DE PVDC/ALUMINIO.</t>
  </si>
  <si>
    <t>row-45qw.na3c.3v7s</t>
  </si>
  <si>
    <t>ALCOHOL BENCÍLICO</t>
  </si>
  <si>
    <t>INVIMA 2018M-12752-R2</t>
  </si>
  <si>
    <t>BIOCICAR® CREMA</t>
  </si>
  <si>
    <t>CAJA CARTÓN 1 TUBO X 30 G. PLÁSTICO.</t>
  </si>
  <si>
    <t>OXIDO DE ZINC.CALAMINA.ALCOHOL BENCILICO</t>
  </si>
  <si>
    <t>D04AX99</t>
  </si>
  <si>
    <t>row-kwic~p43m.4ves</t>
  </si>
  <si>
    <t>INVIMA 2015M-0015805</t>
  </si>
  <si>
    <t>NAPROFLASH FORTE®TABLETAS RECUBIERTAS</t>
  </si>
  <si>
    <t>USO INSTITUCIONAL PROHIBIDA SU VENTA: CAJA POR 400 TABLETAS RECUBIERTAS EN BLISTER PVCSIN DATO TRANSPARENTE/ALUMINIO POR 10 TABLETAS RECUBIERTAS.</t>
  </si>
  <si>
    <t>row-d97z.4gk5~a7g6</t>
  </si>
  <si>
    <t>TAVOPROST ( AL- 6221)</t>
  </si>
  <si>
    <t>2T1047241000102</t>
  </si>
  <si>
    <t>INVIMA 2021M-0007609-R1</t>
  </si>
  <si>
    <t>DUOTRAV® SOLUCION OFTALMICA</t>
  </si>
  <si>
    <t>CAJA PLEGADIZA CON FRASCO GOTERO OVALADO DE POLIPROPILENO DE BAJA DENSIDAD COLOR BLANCO. GOTERO DE POLIPROPILENO DE BAJA DENSIDAD COLOR NATURAL Y TAPA DE POLIPROPILENO COLOR BLANCO. CONTENIENDO 2.5ML DE SOLUCIÓN.</t>
  </si>
  <si>
    <t>TIMOLOL COMBINACIONES</t>
  </si>
  <si>
    <t>S01ED51</t>
  </si>
  <si>
    <t>row-ickk~ivcm.hkuv</t>
  </si>
  <si>
    <t>INVIMA 2023M-0013758-R2</t>
  </si>
  <si>
    <t>ROSUVINA LEGRAND® E 10/40</t>
  </si>
  <si>
    <t>USO INSTITUCIONAL:CAJA POR 42 TABLETAS EN BLISTER AL/OPA/PVC-ALUMINIO</t>
  </si>
  <si>
    <t>row-83uc~jmew~4qh4</t>
  </si>
  <si>
    <t>LABORATORIOS DEMAC LIMITADA</t>
  </si>
  <si>
    <t>INVIMA 2016M-0017037</t>
  </si>
  <si>
    <t>WINTREX®</t>
  </si>
  <si>
    <t>CAJA PLEGADIZA DE CARTULINA CON UNSIN DATOFRASCO PEAD NATURAL CON ETIQUETA AUTOADHESIVA POR 18.184 G DE POLVO PARA RECONSTITUIR ASIN DATO80ML DE SUSPENSION.</t>
  </si>
  <si>
    <t>22.73G DE POLVO PARA RECONSTITUIR A 100ML(125MG(5ML)</t>
  </si>
  <si>
    <t>GLOBAL INTERNACIONAL MEDICINE S.A.S- GIMED S.A.S.</t>
  </si>
  <si>
    <t>row-kkvp~jtmy~jh6u</t>
  </si>
  <si>
    <t>ACEITE DE OLIVA REFINADO</t>
  </si>
  <si>
    <t>9,5</t>
  </si>
  <si>
    <t>row-3dm5~g4dn-ravw</t>
  </si>
  <si>
    <t>POLIMIXINA B SULFATO</t>
  </si>
  <si>
    <t>SERVICIO TECNICO GONHER FARMACEUTICA LTDA.</t>
  </si>
  <si>
    <t>INVIMA 2019M-0009902-R1</t>
  </si>
  <si>
    <t>PANOTIL®ß</t>
  </si>
  <si>
    <t>FRASCO GOTERO PLÁSTICO EN PEBD COLOR BLANCO IMPRESO X 8 ML CON SUBTAPA PLÁSTICA EN PEBD Y TAPA PLÁSTICA EN PP. EMPACADO EN ESTUCHE DE CARTÓN</t>
  </si>
  <si>
    <t>ZAMBON COLOMBIA S.A</t>
  </si>
  <si>
    <t>NEOMICINA</t>
  </si>
  <si>
    <t>A01AB08</t>
  </si>
  <si>
    <t>row-r8ef~2bdq.udhv</t>
  </si>
  <si>
    <t>BLISTECO S.A.S.</t>
  </si>
  <si>
    <t>MUESTRA MÉDICA: CAJA X 16 CÁPSULAS CON 4 BLÍSTER DE ALUMINIO/PVC TRANSPARENTE POR 4 CÁPSULAS BLANCA-PÚRPURA CADA UNO</t>
  </si>
  <si>
    <t>row-grxm-7cye~har2</t>
  </si>
  <si>
    <t>INVIMA 2017M-0017718</t>
  </si>
  <si>
    <t>DOLICOX GRIP CAPSULAS</t>
  </si>
  <si>
    <t>MUESTRA MEDICA:SIN DATO PLEGADIZA POR 4 CÁPSULAS EN LAMINADO PET/FOIL/PEBD.</t>
  </si>
  <si>
    <t>row-uu3d.xmn4~893s</t>
  </si>
  <si>
    <t>MUESTRA MEDICA-CAJA POR 2 TABLETAS RECUBIERTAS EN BLISTER PVDC/ALUMINIO</t>
  </si>
  <si>
    <t>row-kpbk-dthf~ie5y</t>
  </si>
  <si>
    <t>AMOXICILINA TRIHIDRATO EQUIVALENTE A</t>
  </si>
  <si>
    <t>1A1001351013101</t>
  </si>
  <si>
    <t>INVIMA 2022M-0017352-R1</t>
  </si>
  <si>
    <t>AMOXOLQRP®</t>
  </si>
  <si>
    <t>IUM 1A1001351013101 AMOXICILINA 500.0000 MG CAPSULAS DE LIBERACION NO MODIFICADA ORAL (AMOXOLQRP) CAPSULA 1.0000U / CAJA X 30. CAJA POR 30 CÁPSULAS EN BLÍSTER PVC INCOLORO Y FOIL DE ALUMINIO.</t>
  </si>
  <si>
    <t>QUIRUPOS S.A.S.</t>
  </si>
  <si>
    <t>row-jyy9_tic2_9acf</t>
  </si>
  <si>
    <t>MICOFENATO SODICO 384.7 MG EQUIVALENTE A ACIDO MICOFENOLICO</t>
  </si>
  <si>
    <t>1M1013011000101</t>
  </si>
  <si>
    <t>INVIMA 2018M-0018482</t>
  </si>
  <si>
    <t>MYCOTAS® 360 MG TABLETAS GASTRORRESISTENTES</t>
  </si>
  <si>
    <t>MUESTRA MEDICA: CAJA POR 120 TABLETAS GASTRORRESISTENTES EN DOCE BLÍSTER ALU-ALU</t>
  </si>
  <si>
    <t>TABLETA GASTRORRESISTENTE</t>
  </si>
  <si>
    <t>row-z97m_pxfz-wrmf</t>
  </si>
  <si>
    <t>FARMATECH S.A. - PLANTA LA ESTRELLA</t>
  </si>
  <si>
    <t>1T1010741002107</t>
  </si>
  <si>
    <t>INVIMA 2019M-0019362</t>
  </si>
  <si>
    <t>FIBRILOK 500MG TABLETAS</t>
  </si>
  <si>
    <t>MUESTRA MÉDICA: 1T1010741002107 ACIDO TRANEXÁMICO 500 MG TABLETAS DE LIBERACIÓN NO MODIFICADA ORAL (FIBRILOK) TABLETA 1 UNIDAD. CAJA CON 2 BLÍSTER EN PVC CAMARO (ANARANJADO) - ALUMINIO POR 10 TABLETAS EN CADA BLÍSTER. 20 TABLETAS</t>
  </si>
  <si>
    <t>row-dj7q-8nft~nxkz</t>
  </si>
  <si>
    <t>NEOMICINA SULFATO 0.740 G. EQUIVALENTE A NEOMICINA BASE</t>
  </si>
  <si>
    <t>INVIMA 2023M-0015974-R1</t>
  </si>
  <si>
    <t>TRIFAST ® CREMA</t>
  </si>
  <si>
    <t>CAJA PLEGADIZA CON UN TUBO COLAPSIBLE DE ALUMINIO CON TAPA PLÁSTICA POR 30 G.</t>
  </si>
  <si>
    <t>row-rqsu~iphs_paii</t>
  </si>
  <si>
    <t>INVIMA 2023 M-000328-R3</t>
  </si>
  <si>
    <t>ACIDO FOLICO SOLUCION INYECTABLE</t>
  </si>
  <si>
    <t>CAJA PLEGADIZA POR 30SIN DATOAMPOLLAS DE VIDRIO ÁMBAR TIPO I POR 1 ML CADA UNA</t>
  </si>
  <si>
    <t>row-82vq.xfi2.md5m</t>
  </si>
  <si>
    <t>FONDAPARINUX SODICO</t>
  </si>
  <si>
    <t>INVIMA 2022M-0006595-R2</t>
  </si>
  <si>
    <t>ARIXTRA ® 7.5 MG /0.6 ML</t>
  </si>
  <si>
    <t>CAJA POR 2 JERINGAS DE VIDRIO TIPO I TRANSPARENTE PRELLENADAS POR 7.5 MG/0.6 ML CADA UNA. MUESTRA MEDICA.</t>
  </si>
  <si>
    <t>FONDAPARINUX</t>
  </si>
  <si>
    <t>B01AX05</t>
  </si>
  <si>
    <t>row-h9te-uxf9.v2m5</t>
  </si>
  <si>
    <t>ACETATO DE INDACATEROL</t>
  </si>
  <si>
    <t>INVIMA 2024M-0021412</t>
  </si>
  <si>
    <t>ATECTURA® BREEZHALER® 150/160 MCG POLVO PARA INHALACIÓN. CÁPSULA DURA</t>
  </si>
  <si>
    <t>CAJA CONTENIENDO 1 BLISTER X 10 CÁPSULAS + 1 INHALADOR</t>
  </si>
  <si>
    <t>NOVARTIS PHARMA AG</t>
  </si>
  <si>
    <t>FORMOTEROL Y MOMETASONA</t>
  </si>
  <si>
    <t>R03AK09</t>
  </si>
  <si>
    <t>row-d2y8-ctfm~f2jr</t>
  </si>
  <si>
    <t>ALFASIGMA S.P.A</t>
  </si>
  <si>
    <t>1D1043261000109</t>
  </si>
  <si>
    <t>USO INSTITUCIONAL: CAJA POR 20 AMPOLLASSIN DATODE VIDRIO AMBAR TIPO I CON 2 ML DE SOLUCION TRANSPARENTE E INCOLORA</t>
  </si>
  <si>
    <t>row-yk49-khk9.ifnh</t>
  </si>
  <si>
    <t>CAJA POR 30 TABLETAS EN BLÍSTER DE PVC/ALUMINIO</t>
  </si>
  <si>
    <t>row-fcnh_78sb_hujm</t>
  </si>
  <si>
    <t>ESZOPICLONA</t>
  </si>
  <si>
    <t>1E1002211004101</t>
  </si>
  <si>
    <t>INVIMA 2019M-0018705</t>
  </si>
  <si>
    <t>ESZOPILO 2 MG TABLETAS RECUBIERTAS</t>
  </si>
  <si>
    <t>CAJA PLEGADIZA POR 1 BLISTER DE ALU/ALU POR 10SIN DATOTABLETAS RECUBIERTAS</t>
  </si>
  <si>
    <t>N05CF04</t>
  </si>
  <si>
    <t>row-t6dz-8ns9~2e77</t>
  </si>
  <si>
    <t>CITRATO DE SODIO DIHIDRATO</t>
  </si>
  <si>
    <t>INVIMA 2019M-0013087-R1</t>
  </si>
  <si>
    <t>ENERSAL ®</t>
  </si>
  <si>
    <t>SACHETS DE 10.34 G PARA RECONSTITUIR EN 500 ML SABOR DURAZNO</t>
  </si>
  <si>
    <t>SOBRE DE 21 G DE POLVO PARA RECONSTITUIR A SOLUCIÓN ORAL</t>
  </si>
  <si>
    <t>2,9</t>
  </si>
  <si>
    <t>row-g2u9.vm2x-nwk9</t>
  </si>
  <si>
    <t>MUESTRA MÉDICA:SIN DATOCAJA PLEGADIZA POR 7 SACHERT LAMINADO PORSIN DATO100 ML C/U DE SOLUCIÓN ORAL SABOR MANZANASIN DATO</t>
  </si>
  <si>
    <t>row-zsqq.6ciw-umdr</t>
  </si>
  <si>
    <t>2C1031151001119</t>
  </si>
  <si>
    <t>IUM 2C1031151001119: CAJA POR 60 CÁPSULAS BLANDAS EN BLÍSTER PVC-PVDC TRANSPARENTE/ALUMINIO POR 3 CÁPSULAS. CONTIENE 20 BLÍSTER</t>
  </si>
  <si>
    <t>row-7g72_6h7m~bmnd</t>
  </si>
  <si>
    <t>METOPROLOL TARTRATO</t>
  </si>
  <si>
    <t>INVIMA 2023M-0003250-R2</t>
  </si>
  <si>
    <t>METOPROLOL100 MG</t>
  </si>
  <si>
    <t>CAJA POR 10 TABLETAS</t>
  </si>
  <si>
    <t>row-wwwt-wrf7_g68d</t>
  </si>
  <si>
    <t>LABORATORIOS SOPHIA S.A. DE C.V.</t>
  </si>
  <si>
    <t>INVIMA 2009M-012121-R1</t>
  </si>
  <si>
    <t>TRAZIDEX OFTENO</t>
  </si>
  <si>
    <t>MUESTRA MÉDICA CAJA DE CARTON CON 1 FRASCO GOTERO DE POLIETILENO DE BAJA DENSIDAD CON TAPA DE POLIPROPILENO POR 3 ML.</t>
  </si>
  <si>
    <t>CADA 1 ML</t>
  </si>
  <si>
    <t>row-pjxr-byrs_qgcj</t>
  </si>
  <si>
    <t>1E1002211008108</t>
  </si>
  <si>
    <t>INVIMA 2021M-0020462</t>
  </si>
  <si>
    <t>NOVASLEEP® 3 MG TABLETAS RECUBIERTAS</t>
  </si>
  <si>
    <t>1E1002211008108. ESZOPICLONA 3 MG TABLETAS DE LIBERACION NO MODIFICADA ORAL (NOVASLEEP) TABLETA 1 U / CAJA X 60. CAJA PLEGADIZA POR 60 TABLETAS. 6 BLÍSTER OPA-AL-PVC COLD FORMING / FOIL ALUMINIO POR 10 TABLETAS RECUBIERTAS</t>
  </si>
  <si>
    <t>row-5ibq.j2js-3n79</t>
  </si>
  <si>
    <t>PANTOPRAZOL SODICO SESQUIHIDRATO 45.10 MG (EQUIVALENTE A PANTOPRAZOL)</t>
  </si>
  <si>
    <t>INVIMA 2023M-0012356-R2</t>
  </si>
  <si>
    <t>PANTOPRAZOL 40MGTABLETAS GASTRORESISTENTES</t>
  </si>
  <si>
    <t>CAJA POR 28 TABLETAS EN BLISTER ALU/ALU POR 7 TABLETAS C/U</t>
  </si>
  <si>
    <t>PANTOPRAZOL</t>
  </si>
  <si>
    <t>A02BC02</t>
  </si>
  <si>
    <t>row-tjee-tdp9-xk3p</t>
  </si>
  <si>
    <t>DICLOFENACO DIETILAMINA EQUIVALENTE A DICLOFENACO SODICO</t>
  </si>
  <si>
    <t>1D1003681006100</t>
  </si>
  <si>
    <t>INVIMA 2019M-0019246</t>
  </si>
  <si>
    <t>ROMEK GEL AL 1%</t>
  </si>
  <si>
    <t>CAJA CON 1 TUBO COLAPSIBLE BLANCO EN POLIETILENO + TAPA PP BLANCA + LINNER X 20 G (IUM 1D1003681006100)</t>
  </si>
  <si>
    <t>LG PHARMA CIA LTDA</t>
  </si>
  <si>
    <t>row-rkr5-g4ac-hgvk</t>
  </si>
  <si>
    <t>NEOMICINA SULFATO EQ. A NEOMICINA BASE</t>
  </si>
  <si>
    <t>INVIMA 2020M-0010485-R1</t>
  </si>
  <si>
    <t>GALMIFIX - N®CREMA</t>
  </si>
  <si>
    <t>TUBO COLAPSIBLE DE ALUMINIO POR 30 G EN CAJA PLEGADIZA</t>
  </si>
  <si>
    <t>CADA 100G DE CREMA</t>
  </si>
  <si>
    <t>BELLEZA EXPRESS S.A.</t>
  </si>
  <si>
    <t>row-h82t-esdc.zhi3</t>
  </si>
  <si>
    <t>METOCLOPRAMIDA CLORHIDRATO11.22 MG EQUIVALENTE A METOCLOPRAMIDA BASE</t>
  </si>
  <si>
    <t>INVIMA 2020M-0009120-R1</t>
  </si>
  <si>
    <t>METOCLOPRAMIDA 10 MG/2ML SOLUCION INYECTABLE</t>
  </si>
  <si>
    <t>CAJA POR 50 AMPOLLAS DE VIDRIO TRANSPARENTE TIPO I POR 2 ML CADA UNA</t>
  </si>
  <si>
    <t>AMPOLLA DE 2 ML DE SOLUCIÓN INYECTABLE</t>
  </si>
  <si>
    <t>row-9fci~cvq4-nht7</t>
  </si>
  <si>
    <t>2C1034591000114</t>
  </si>
  <si>
    <t>INVIMA 2021M-0017022-R1</t>
  </si>
  <si>
    <t>VICK® FORT-9</t>
  </si>
  <si>
    <t>2C1034591000114: CLORFENAMINA 2.0000 MG/FENILEFRINA 10.0000 MG/PARACETAMOL 500.0000 MG CAPSULAS DE LIBERACION NO MODIFICADA ORAL (VICK FORT-9) CAPSULA 1.0000U / CAJA X 18. CAJA PLEGADIZA CON 9 BLÍSTER PVDC/ALUMINIO POR 2 CÁPSULAS CADA UNO.</t>
  </si>
  <si>
    <t>PROCTER &amp; GAMBLE COLOMBIA LTDA.</t>
  </si>
  <si>
    <t>row-fsti-cdwy_xbvm</t>
  </si>
  <si>
    <t>SELPERCATINIB</t>
  </si>
  <si>
    <t>ELI LILLY DEL CARIBE. INC</t>
  </si>
  <si>
    <t>INVIMA 2025M-0021872</t>
  </si>
  <si>
    <t>RETSEVMO ® 80 MG</t>
  </si>
  <si>
    <t>MUESTRA MÉDICA: CAJA POR 30 CÁPSULAS EN BLÍSTER DE ALUMINIO</t>
  </si>
  <si>
    <t>L01EX22</t>
  </si>
  <si>
    <t>row-amx9~2c2f_rjqe</t>
  </si>
  <si>
    <t>L-VALINA</t>
  </si>
  <si>
    <t>row-65rs.wmfw_g8xf</t>
  </si>
  <si>
    <t>LIDOCAINA CLORHIDRATO</t>
  </si>
  <si>
    <t>INVIMA 2023M-0001546-R2</t>
  </si>
  <si>
    <t>LIDOCAINA 2% E-100</t>
  </si>
  <si>
    <t>CAJA POR UN BLISTER POR 40 CARPULAS DE VIDRIO TIPO I.SIN DATOPOR 1.8 ML C/U</t>
  </si>
  <si>
    <t>row-hfgt.hhtb_jiq7</t>
  </si>
  <si>
    <t>SIMETICONA EQUIVALENTE A DIMETICONA</t>
  </si>
  <si>
    <t>2B1032391001100</t>
  </si>
  <si>
    <t>INVIMA 2024M-0021505</t>
  </si>
  <si>
    <t>PYNAZER-DUO® CAPSULAS</t>
  </si>
  <si>
    <t>CAJA PLEGADIZA POR 20 CÁPSULAS DE GELATINA BLANDA DE COLOR NARANJA-ROJIZO EN 1 BLÍSTER DE PVC-PVDC/ALUMINIO. POR 20 CÁPSULAS CADA UNO</t>
  </si>
  <si>
    <t>CÁPSULA DE GELATINA BLANDA DE COLOR NARANJA-ROJIZO</t>
  </si>
  <si>
    <t>TECNOFARMA S.A DE C.V</t>
  </si>
  <si>
    <t>row-89bk-fia8-ajhu</t>
  </si>
  <si>
    <t>INVIMA 2016M-0017135</t>
  </si>
  <si>
    <t>CONGESTEX GRANULADO (SOBRES)</t>
  </si>
  <si>
    <t>USO INSTITUCIONAL PROHIBIDA SU VENTA: CAJA PORSIN DATO20 SOBRES O SACHETS (TRILAMINA POLIESTER/ALUM/COEX)</t>
  </si>
  <si>
    <t>row-7hus.pgq2_xmfn</t>
  </si>
  <si>
    <t>INVIMA 2022M-0014168-R2</t>
  </si>
  <si>
    <t>ADELLA MINI TABLETA CON RECUBRIMIENTO DE GELATINA</t>
  </si>
  <si>
    <t>CAJA POR 28 TABLETAS CON RECUBRIMIENTO DE GELATINA EN EMPAQUE INDIVIDUAL TIPO BLISTER PVC-PVDC/ALUMINIO.</t>
  </si>
  <si>
    <t>TABLETA CON RECUBRIMIENTO DE GELATINA</t>
  </si>
  <si>
    <t>CLORMADINONA Y ESTROGENO</t>
  </si>
  <si>
    <t>G03AB07</t>
  </si>
  <si>
    <t>row-tq4y-xhj3~7bgv</t>
  </si>
  <si>
    <t>INVIMA 2023M-0013458-R2</t>
  </si>
  <si>
    <t>CARDIK® A 80/5</t>
  </si>
  <si>
    <t>CAJA PLEGADIZA POR 7 TABLETAS EN BLISTER DE PVC-PVDC/ALUMINIO + BOLSA SACHET.</t>
  </si>
  <si>
    <t>row-hbv7~7wvk.inyz</t>
  </si>
  <si>
    <t>2C1031461000104</t>
  </si>
  <si>
    <t>M. MEDICA: CAJA PLEGADIZA PORTABLISTER CON BLISTER DE ALUMINIO /STARFLEX (PVC/TE/PVDC) (10 BLISTER X 4 CÁPSULAS).</t>
  </si>
  <si>
    <t>row-x2xh.u6nj_idby</t>
  </si>
  <si>
    <t>INVIMA 2020M-0015848-R1</t>
  </si>
  <si>
    <t>IBUFLASH® MIGRAN</t>
  </si>
  <si>
    <t>CAJA PLEGADIZA POR 14 CÁPSULAS BLANDAS. EN BLÍSTER ALUMINIO - PVC/PVDC TRANSPARENTE POR 7 CÁPSULAS BLANDAS EN CADA BLÍSTER</t>
  </si>
  <si>
    <t>row-3ymu_rvsh_ef5z</t>
  </si>
  <si>
    <t>1A1011901007127</t>
  </si>
  <si>
    <t>IUM 1A1011901007127: AMLODIPINO 5.0000 MG TABLETAS DE LIBERACION NO MODIFICADA ORAL (NORVAS) TABLETA 1.0000U / CAJA X 30. MUESTRA MÉDICA. CAJA POR 30 TABLETAS EN BLÍSTER PVC/PVDC/ALUMINIO</t>
  </si>
  <si>
    <t>row-7nas~zagv-zhdn</t>
  </si>
  <si>
    <t>DIENOGEST MICRONIZADO</t>
  </si>
  <si>
    <t>1D1030551002100</t>
  </si>
  <si>
    <t>INVIMA 2020M-0016006-R1</t>
  </si>
  <si>
    <t>METRINELLE ® 2 MG COMPRIMIDOS</t>
  </si>
  <si>
    <t>COMERCIAL - CAJA PLEGADIZA CON UN BLÍSTER DE PVC-PVDC / ALUMINIO POR 28 TABLETAS. BLÍSTER CON PORTABLISTER.</t>
  </si>
  <si>
    <t>DIENOGEST</t>
  </si>
  <si>
    <t>G03DB08</t>
  </si>
  <si>
    <t>row-nrtq_fkrp~f9mr</t>
  </si>
  <si>
    <t>2A1012911006100</t>
  </si>
  <si>
    <t>INVIMA 2023M-0011474-R2</t>
  </si>
  <si>
    <t>EXFORGE® HCT 5/160/12.5 COMPRIMIDOS RECUBIERTOS CON PELICULA</t>
  </si>
  <si>
    <t>CAJA POR 28 TABLETAS CUBIERTAS CON PELÍCULA- EN BLISTER DE ALUMINIO-(PA/AL/PVC) POR 7 TABLETAS CADA UNO.</t>
  </si>
  <si>
    <t>row-59xq~it5t.yry3</t>
  </si>
  <si>
    <t>LINEZOLID</t>
  </si>
  <si>
    <t>INVIMA 2021M014726-R3</t>
  </si>
  <si>
    <t>ZYVOXID® 2 MG/ML SOLUCION INYECTABLE</t>
  </si>
  <si>
    <t>BOLSA FREEFLEX® POR 300ML (600MG)</t>
  </si>
  <si>
    <t>J01XX08</t>
  </si>
  <si>
    <t>row-bd7n-gcds~tx84</t>
  </si>
  <si>
    <t>CAJA POR 150 TABLETAS EN BLÍSTER PVC/PE/PVDC BLANCO - ALUMINIO EN BLÍSTER CADA UNO POR 15 TABLETAS</t>
  </si>
  <si>
    <t>row-gqt4_jg9m-4twt</t>
  </si>
  <si>
    <t>PAROXETINACLORHIDRATO HEMIDRATO 22.761MG EQUIVALENTE APAROXETINABASE</t>
  </si>
  <si>
    <t>INVIMA 2017M-0005830-R1</t>
  </si>
  <si>
    <t>PAROXETINA20MG</t>
  </si>
  <si>
    <t>CAJA POR 10 TABLETYAS EN BLISTER PVC/PVDC BLANCO MAS PAPEL ALUMINIO POR 10TABLETAS C/U.</t>
  </si>
  <si>
    <t>row-4en3-8ty8_b3cr</t>
  </si>
  <si>
    <t>SILODOSINA</t>
  </si>
  <si>
    <t>MSN LABORATORIES PRIVATE LTD.</t>
  </si>
  <si>
    <t>INVIMA 2020M-0015654-R1</t>
  </si>
  <si>
    <t>SILOTRIF®4 MG CAPSULAS</t>
  </si>
  <si>
    <t>CAJA PLEGADIZA POR 30 CAPSULAS EN BLISTER ALUMINIO/ALUMINIO POR 10 CÁPSULAS.</t>
  </si>
  <si>
    <t>G04CA04</t>
  </si>
  <si>
    <t>row-dvdw.gns7.tbj8</t>
  </si>
  <si>
    <t>1O1007931001100</t>
  </si>
  <si>
    <t>INVIMA 2021M-0020311</t>
  </si>
  <si>
    <t>ENDOL® ER 10MG</t>
  </si>
  <si>
    <t>1O1007931001100 CAJA POR 20 TABLETAS DE LIBERACIÓN PROLONGADA EN BLISTER PVC-PVDC/ALUMINIO</t>
  </si>
  <si>
    <t>OXICODONA</t>
  </si>
  <si>
    <t>N02AA05</t>
  </si>
  <si>
    <t>row-xma2~uytk-gnwr</t>
  </si>
  <si>
    <t>INVIMA 2023M-0008874-R1</t>
  </si>
  <si>
    <t>COLMIBE 20 COMPRIMIDOS</t>
  </si>
  <si>
    <t>CAJA X 1SIN DATOBLISTER ALUMINIO/ALUMINIO XSIN DATO10 TABLETAS</t>
  </si>
  <si>
    <t>ATORVASTATINA Y EZETIMIBE</t>
  </si>
  <si>
    <t>C10BA05</t>
  </si>
  <si>
    <t>row-wfuy.zja3_53na</t>
  </si>
  <si>
    <t>VENLAFAXINA (COMO CLORHIDRATO DEVENLAFAXINA)</t>
  </si>
  <si>
    <t>INVIMA 2019M-011741-R2</t>
  </si>
  <si>
    <t>EFEXOR® XR 150 MG. CAPSULAS DE LIBERACIÓN PROLONGADA</t>
  </si>
  <si>
    <t>CAJA POR 7 CÁPSULAS EN BLISTERSIN DATOPVC/ PE / ACLAR /ALUMINIO</t>
  </si>
  <si>
    <t>row-6msu_vw2j~5zt4</t>
  </si>
  <si>
    <t>CLAVULANATO DE POTASIO (343.47MG) EQUIVALENTE A ACIDO CLAVULANICO</t>
  </si>
  <si>
    <t>INVIMA 2022M-0012739-R2</t>
  </si>
  <si>
    <t>IPICLAV® 1 G</t>
  </si>
  <si>
    <t>CAJA PLEGADIZA POR 7 BLÍSTER DE PVC/PE/PVDC Y FOIL DE ALUMINIO POR 10 TABLETAS CADA UNO. PARA UN TOTAL DE 70 TABLETAS.</t>
  </si>
  <si>
    <t>row-bvr3.ue9i-nhkk</t>
  </si>
  <si>
    <t>INVIMA 2015M-0016690</t>
  </si>
  <si>
    <t>AMZOL FEM®</t>
  </si>
  <si>
    <t>CAJA POR 3 ÓVULOS EN BLISTER PVC-PVDC TRANSPARENTE/ALU X 3 ÓVULOS</t>
  </si>
  <si>
    <t>CÁPSULA BLANDA VAGINAL</t>
  </si>
  <si>
    <t>row-s9n4-y2tq-2pkk</t>
  </si>
  <si>
    <t>TRIMETOPRIM</t>
  </si>
  <si>
    <t>INVIMA 2020 M-003829-R4</t>
  </si>
  <si>
    <t>BACTRIM® TABLETAS</t>
  </si>
  <si>
    <t>CAJA POR 100 TABLETAS EMPACADAS EN BLISTER (USO HOSPITALARIO)</t>
  </si>
  <si>
    <t>row-is6g-dbj5_eapv</t>
  </si>
  <si>
    <t>INVIMA 2023 M-007439-R2</t>
  </si>
  <si>
    <t>ALLEGRA® 120 MG TABLETAS RECUBIERTAS</t>
  </si>
  <si>
    <t>MUESTRA MÉDICA: CAJA POR 2 TABLETAS EN BLISTER ALUMINIO/LAMINADO PVC-ALUMINIO-OPA</t>
  </si>
  <si>
    <t>row-p7ax.ahs6.igje</t>
  </si>
  <si>
    <t>MINOXIDIL</t>
  </si>
  <si>
    <t>1M1002951006101</t>
  </si>
  <si>
    <t>INVIMA 2022M-0020783</t>
  </si>
  <si>
    <t>MINOXIDIL5% SOLUCIÓN TÓPICA</t>
  </si>
  <si>
    <t>1M1002951006101MINOXIDIL 5000.0000 MG OTRAS SOLUCIONES TOPICA (LAPROFF) FRASCO 60.0000ML / CAJA X 3/CAJA PLEGADIZA CON 3 FRASCOS PEAD NEGRO CILÍNDRICO X 60 ML CON TAPA PLÁSTICA +VÁLVULA DISPENSADORASIN DATOEN SPRAY +INSERTOSIN DATO</t>
  </si>
  <si>
    <t>100 ML DE SOLUCIÓN TÓPICA</t>
  </si>
  <si>
    <t>D11AX01</t>
  </si>
  <si>
    <t>row-xrey-xhuv-8nhc</t>
  </si>
  <si>
    <t>IBUPROFENO 66% EQUIVALENTE A IBUPROFENO</t>
  </si>
  <si>
    <t>INVIMA 2021M-0015947-R1</t>
  </si>
  <si>
    <t>DOLORSIN COMPLEX® TABLETA RECUBIERTA</t>
  </si>
  <si>
    <t>USO INSTITUCIONAL: CAJA POR 600 TABLETAS RECUBIERTAS EN BLISTER PVDC TRANSPARENTE / FOIL ALUMINIO. 40 BLISTER POR 15 TABLETAS RECUBIERTAS.</t>
  </si>
  <si>
    <t>row-d5p4-9pf7-8ux8</t>
  </si>
  <si>
    <t>CAJA POR 10 CÁPSULAS DURAS EN BLISTER DE PVC/TE/PVDC TRANSPARENTE/FOIL ALUMINIO.SIN DATO1 (UN) BLISTER POR 10 CÁPSULAS DURAS</t>
  </si>
  <si>
    <t>row-2kb8~u95s_mjvr</t>
  </si>
  <si>
    <t>DICLOFENACO RESINATO 45.73MG EQUIVALENTE A DICLOFENACO POTASICO</t>
  </si>
  <si>
    <t>INVIMA 2022M-014710-R3</t>
  </si>
  <si>
    <t>FLAMYDOL 1.5% SUSPENSION ORAL GOTAS</t>
  </si>
  <si>
    <t>CAJA CON FRASCO GOTERO DE POLIETILENO DE BAJA DENSIDAD POR 20 ML</t>
  </si>
  <si>
    <t>GRUPO UNIPHARM S.A. Y/O LABORATORIOS UNI S.A.</t>
  </si>
  <si>
    <t>row-mg46-4hu9.fvec</t>
  </si>
  <si>
    <t>FLUTICASONA PROPIONATO</t>
  </si>
  <si>
    <t>LABORATORIOS LICONSA. S.A.</t>
  </si>
  <si>
    <t>INVIMA 2016M-0017453</t>
  </si>
  <si>
    <t>SERECOR® FORTE DPI 250</t>
  </si>
  <si>
    <t>USO INSTITUCIONAL: CAJA POR 50 CÁPSULAS CON POLVO SECO PARA INHALACIÓN EN BLÍSTER PVC/TE/PVDC TRANSPARENTE INCOLORO / FOIL ALUMINIO. 5 BLÍSTER POR 10 CÁPSULAS. SIN INHALADOR.</t>
  </si>
  <si>
    <t>CÁPSULA DURA DE HIPROMELOSA (HPMC) COLOR NATURAL</t>
  </si>
  <si>
    <t>NOVAMED S.A.</t>
  </si>
  <si>
    <t>SALMETEROL Y FLUTICASONA</t>
  </si>
  <si>
    <t>R03AK06</t>
  </si>
  <si>
    <t>row-bw7m-qa4q_w5cg</t>
  </si>
  <si>
    <t>UNDECILENATO DE ZINC</t>
  </si>
  <si>
    <t>INVIMA 2010 M-003107 R3</t>
  </si>
  <si>
    <t>NEOFUNGINA® POLVO</t>
  </si>
  <si>
    <t>FRASCO PLASTICO PEADSIN DATOPOR 40 G.</t>
  </si>
  <si>
    <t>POLVO MEDICADO PARA USO TOPICO</t>
  </si>
  <si>
    <t>UNDECILENICO ACIDO</t>
  </si>
  <si>
    <t>D01AE04</t>
  </si>
  <si>
    <t>row-678v-z4hb~txjw</t>
  </si>
  <si>
    <t>VITAMINA A (PROVENIENTE DE ACEITE DE HIGADO DE BACALAO 127.5 UI.Y VITAMINA APALMITATO 4872.7 UI. )</t>
  </si>
  <si>
    <t>INVIMA 2009 M-012785 R1</t>
  </si>
  <si>
    <t>ACEITE DE HIGADO DE BACALAO</t>
  </si>
  <si>
    <t>CAJA DE CARTULINA POR 100 CAPSULAS BLISTER 10 FOIL DE ALUMINIO/PVC</t>
  </si>
  <si>
    <t>VITAMINAS A Y D EN COMBINACION</t>
  </si>
  <si>
    <t>A11CB99</t>
  </si>
  <si>
    <t>row-s994-pgw7_wrm6</t>
  </si>
  <si>
    <t>L-METIONINA</t>
  </si>
  <si>
    <t>0,24</t>
  </si>
  <si>
    <t>row-g6pq-fw2n-a4tk</t>
  </si>
  <si>
    <t>GASES Y SUMINISTROS DEL CARIBE S.A.S</t>
  </si>
  <si>
    <t>INVIMA 2025M-0021947</t>
  </si>
  <si>
    <t>AIRE MEDICINAL</t>
  </si>
  <si>
    <t>CILINDRO DE ALTA PRESIÓN EN ACERO CUERPO COLOR NEGRO Y HOMBRO COLOR BLANCO DE CAPACIDAD DE 6.5M3 CON VÁLVULA TIPO CGA 590 CON TAPA PROTECTORA CONTENIENDO AIRE MEDICINAL + TERMOENCOGIBLE EN LA VÁLVULA</t>
  </si>
  <si>
    <t>M3</t>
  </si>
  <si>
    <t>V03AN05</t>
  </si>
  <si>
    <t>row-emh5~ey29~nc6y</t>
  </si>
  <si>
    <t>CLOPIDOGREL BISULFATO97.88 MG EQUIVALENTE A CLOPIDROGEL BASE</t>
  </si>
  <si>
    <t>INVIMA 2018M-0014559-R1</t>
  </si>
  <si>
    <t>PLATEMAX ® 75 MG TABLETAS RECUBIERTAS</t>
  </si>
  <si>
    <t>MUESTRA MEDICA CAJA EN BLISTER ALU-ALU POR 14 TABLETAS RECUBIERTAS.</t>
  </si>
  <si>
    <t>CLOPIDOGREL</t>
  </si>
  <si>
    <t>B01AC04</t>
  </si>
  <si>
    <t>row-84ef_wkqe~4vnm</t>
  </si>
  <si>
    <t>LEVOCETIRICINA DICLORHIDRATO</t>
  </si>
  <si>
    <t>INVIMA 2022M-0015040-R1</t>
  </si>
  <si>
    <t>FLUENZ® T</t>
  </si>
  <si>
    <t>MUESTRA MEDICA: CAJA POR 7 CAPSULAS EN UN BLISTER DE PVC-PVDC/ALUMINIO.</t>
  </si>
  <si>
    <t>row-6zjg.irvn~q9xd</t>
  </si>
  <si>
    <t>CAJA POR 100 CÁPSULAS DURAS EN DIEZ (10) BLISTERES DE ALUMINIO / PVC TRANSPARENTE.</t>
  </si>
  <si>
    <t>row-7qxj.bvej-v82k</t>
  </si>
  <si>
    <t>PRAGMATEN USO INSTITUCIONAL PROHIBIDA SU VENTA CAJA POR 600 CAPSULAS EN BLISTER ALUMINIO / PVC TRANSPARENTE</t>
  </si>
  <si>
    <t>row-aujd~pus8.xvka</t>
  </si>
  <si>
    <t>OXALATO DE ESCITALOPRAM 12.776MG EQUIVALENTE A ESCITALOPRAM BASE</t>
  </si>
  <si>
    <t>INVIMA 2021M-0016288-R1</t>
  </si>
  <si>
    <t>ESCITALOPRAM 10MG TABLETAS</t>
  </si>
  <si>
    <t>CAJA PLEGADIZA X 30 TABLETAS RECUBIERTAS EN BLISTER DE ALUMINIO - PVC/PVDC INCOLORO.</t>
  </si>
  <si>
    <t>row-dfec.rzim~j34k</t>
  </si>
  <si>
    <t>ACIDO ACETILSALICILICOEQUIVALENTE A</t>
  </si>
  <si>
    <t>COASPHARMA S.A.S. (PLANTA PALOQUEMAO)</t>
  </si>
  <si>
    <t>1A1035021001100</t>
  </si>
  <si>
    <t>INVIMA 2021M-0020136</t>
  </si>
  <si>
    <t>VIOLDOL® 500 MG TABLETA.</t>
  </si>
  <si>
    <t>1A1035021001100 CAJA PLEGADIZA POR 10 TABLETAS EN BLISTER PVC-PE-PVDC TRANSPARENTE MAS FOIL ALUMINIO POR 10 TABLETAS</t>
  </si>
  <si>
    <t>TABLETA DE LIBERACIÓN RÁPIDA</t>
  </si>
  <si>
    <t>A01AD05</t>
  </si>
  <si>
    <t>row-8j3s-bat3~a9xp</t>
  </si>
  <si>
    <t>3A1044071000100</t>
  </si>
  <si>
    <t>INVIMA 2019M-0012868-R1</t>
  </si>
  <si>
    <t>PERIOLIMEL N 4 E</t>
  </si>
  <si>
    <t>BOLSA CON 1000 ML</t>
  </si>
  <si>
    <t>0,176</t>
  </si>
  <si>
    <t>row-y5he_xueq.pgse</t>
  </si>
  <si>
    <t>PROLINA</t>
  </si>
  <si>
    <t>M.M: BOLSA DE PLÁSTICO POR 300 ML CON 3 COMPARTIMIENTOS (COMPARTIMIENTO DE AMINOÁCIDOS: 160 ML. COMPARTIMIENTO DE SOLUCIÓN DE GLUCOSA: 80 ML. COMPARTIMIENTO DE LA EMULSIÓN LIPÍDICA: 60ML)</t>
  </si>
  <si>
    <t>0,28</t>
  </si>
  <si>
    <t>row-pg4c_2tt8~5gt2</t>
  </si>
  <si>
    <t>PROGESTERONA</t>
  </si>
  <si>
    <t>INVIMA 2021M-0016734-R1</t>
  </si>
  <si>
    <t>GESTAGENO®100MG CÁPSULAS DE GELATINA BLANDA</t>
  </si>
  <si>
    <t>USO INSTITUCIONAL: CAJA DE CARTÓN POR 60 CÁPSULAS EN BLISTER PVC/PE/PVDC/AL POR 15 CÁPSULAS CADA UNO.</t>
  </si>
  <si>
    <t>G03DA04</t>
  </si>
  <si>
    <t>row-fy84~qzdr.2i2z</t>
  </si>
  <si>
    <t>INVIMA 2023M-0008442-R1</t>
  </si>
  <si>
    <t>VERONIQ MINI® TABLETAS RECUBIERTAS</t>
  </si>
  <si>
    <t>MUESTRA MÉDICA: CAJA POR 21 TABLETAS RECUBIERTAS EN BLÍSTER PVC-PVDC / FOIL ALUMINIO.</t>
  </si>
  <si>
    <t>DROSPIRENONA Y ETINILESTRADIOL</t>
  </si>
  <si>
    <t>row-8ycj_gcue_fjxa</t>
  </si>
  <si>
    <t>TRIGLICERIDOS DE CADENA MEDIA</t>
  </si>
  <si>
    <t>BOLSA BIOFINE TRICAMERAL POR 1448 ML.</t>
  </si>
  <si>
    <t>row-zh2s-ce3a_sw7e</t>
  </si>
  <si>
    <t>row-qv98-zki3_vcmx</t>
  </si>
  <si>
    <t>CAJA X 10 CÁPSULAS BLANDAS. 1 BLÍSTER EN PVC/PVDC TRANSPARENTE /ALUMINIO X 10 CÁPSULAS BLANDAS.</t>
  </si>
  <si>
    <t>row-j6tg~yw2s-yh9w</t>
  </si>
  <si>
    <t>IDURSULFASA</t>
  </si>
  <si>
    <t>INVIMA 2017MBT-0013255-R1</t>
  </si>
  <si>
    <t>ELAPRASE ®</t>
  </si>
  <si>
    <t>PRESENTACIÓN COMERCIAL Y MUESTRA MÉDICA: CAJA CARTON X 1 VIAL DE VIDRIO TIPOSIN DATOI X 5 ML CON UN TAPON DE CAUCHO. AGRAFE DE ALUMINIO Y TAPA TIPO FLIP-OFF</t>
  </si>
  <si>
    <t>A16AB09</t>
  </si>
  <si>
    <t>row-6n95-tf33.mgkz</t>
  </si>
  <si>
    <t>GLAXOSMITHKLINE LLC</t>
  </si>
  <si>
    <t>INVIMA 2016M-0011071-R1</t>
  </si>
  <si>
    <t>SERETIDE DISKUS 50/250 MCG</t>
  </si>
  <si>
    <t>CAJA CON DISCO QUE CONTIENE FOIL DE ALUMINIO/PVC PORSIN DATO28SIN DATODOSIS</t>
  </si>
  <si>
    <t>CADA DOSIS DE POLVO PARA INHALAR CONTIENE</t>
  </si>
  <si>
    <t>æg</t>
  </si>
  <si>
    <t>row-zanq.mx4z_9cf5</t>
  </si>
  <si>
    <t>CAJA XSIN DATO30SIN DATOFRASCOS PLÁSTICOS EN PEBD XSIN DATO100SIN DATOML CON APERTURA SISTEMASIN DATOTWIST-OFF</t>
  </si>
  <si>
    <t>row-3xmq.i3e6.7vjc</t>
  </si>
  <si>
    <t>GEDEON RICHTER PLC.</t>
  </si>
  <si>
    <t>INVIMA 2022M-0017174-R1</t>
  </si>
  <si>
    <t>JOLIAN ®</t>
  </si>
  <si>
    <t>CAJA PLEGADIZA POR 28 COMPRIMIDOS RECUBIERTOS: 1 BLÍSTER EN PVC TRANSPARENTE /PVDC/AL POR (24 COMPRIMIDOS ACTIVOS + 4 COMPRIMIDOS PLACEBO).</t>
  </si>
  <si>
    <t>COMPRIMIDO RECUBIERTO CON PELÍCULA</t>
  </si>
  <si>
    <t>row-kyhu~ju39.aces</t>
  </si>
  <si>
    <t>INVIMA 2023M-0002399-R2</t>
  </si>
  <si>
    <t>NORAVER®NTF JARABE</t>
  </si>
  <si>
    <t>CAJA PLEGADIZA DE CARTONSIN DATOCON FRASCO PETSIN DATOTRANSPARENTESIN DATOX 60 ML.CONTIENE CUCHARÍN DOSIFICADOR.</t>
  </si>
  <si>
    <t>row-rj2i-3gw7~qu73</t>
  </si>
  <si>
    <t>DL- ALFA TOCOFERIL ACETATO/ VITAMINAESINTETICA EQUIVALENTE A VITAMINA E</t>
  </si>
  <si>
    <t>INVIMA 2022M-0002690-R3</t>
  </si>
  <si>
    <t>VITAMINA E PROCAPS</t>
  </si>
  <si>
    <t>ENVASE PASTILLERO PEAD CON TAPA VERDE EN MDPE X 70 CÁPSULAS BLANDAS.</t>
  </si>
  <si>
    <t>U.I.</t>
  </si>
  <si>
    <t>row-xrus_w8vb_wyjn</t>
  </si>
  <si>
    <t>CAFEINA POLVO</t>
  </si>
  <si>
    <t>INVIMA 2010M-0010693</t>
  </si>
  <si>
    <t>ALKA-SELTZER® EXTREME</t>
  </si>
  <si>
    <t>CAJA POR 8 SOBRES EN PAPEL/POLIETILENO/ALUMINIO/SURLYN</t>
  </si>
  <si>
    <t>SOBRE CON 3340 MG DE POLVO</t>
  </si>
  <si>
    <t>MEDICAMENTOS NO ESTERILES SOLIDOS - POLVOS Y GRANULADOS</t>
  </si>
  <si>
    <t>BAYER HEALTH CARE LLC</t>
  </si>
  <si>
    <t>row-u636~jm85.iq36</t>
  </si>
  <si>
    <t>INVIMA 2019M-0001698-R2</t>
  </si>
  <si>
    <t>SYNTHROID® 25 MCG</t>
  </si>
  <si>
    <t>CAJA CON 10 TABLETAS EN BLISTERES DE ALUMINIO-ALUMINIO POR 10 TABLETAS CADA BLISTER.</t>
  </si>
  <si>
    <t>row-vi39_gruz_e9wt</t>
  </si>
  <si>
    <t>BLINATUMOMAB</t>
  </si>
  <si>
    <t>1B1018931000100</t>
  </si>
  <si>
    <t>INVIMA 2017MBT-0017819</t>
  </si>
  <si>
    <t>BLINCYTO® 38.5 MCG/VIAL</t>
  </si>
  <si>
    <t>BLINATUMOMAB 0.0125 MG/ML POLVOS PARA RECONSTITUIR INTRAVENOSA (BLINCYTO) VIAL 3.0800ML / CAJA X 1 (SOLVENTE)</t>
  </si>
  <si>
    <t>3.08 ML / VIAL RECONSTITUIDO.</t>
  </si>
  <si>
    <t>38,5</t>
  </si>
  <si>
    <t>L01XC19</t>
  </si>
  <si>
    <t>row-nxu2-stdj_zvwt</t>
  </si>
  <si>
    <t>L-GLICINA</t>
  </si>
  <si>
    <t>MUESTRA MEDICA: CAJA POR 10 FRASCOS DE VIDRIO INCOLORO TIPO II POR 500 MLSIN DATO</t>
  </si>
  <si>
    <t>row-9msa.2tth-xses</t>
  </si>
  <si>
    <t>CLINDAMICINA FOSFATO 118.80 MG EQUIVALENTE A 100 MG DE CLINDAMICINA</t>
  </si>
  <si>
    <t>CAJA POR 3 OVULO EN BLISTER PVC-PVDC TRANSPARENTE / ALUMINIO POR 3 OVULOS</t>
  </si>
  <si>
    <t>row-hipf~ghrh.53r6</t>
  </si>
  <si>
    <t>CETIRIZINA DICLORHIDRATO EQUIVALENTE A CETIRIZINA BASE</t>
  </si>
  <si>
    <t>CAJA POR 18 CAPSULAS EN BLISTER ALUMINIO/PVC/PVDC</t>
  </si>
  <si>
    <t>3,33</t>
  </si>
  <si>
    <t>row-xuwd~whhj~ub9w</t>
  </si>
  <si>
    <t>1M1006061002103</t>
  </si>
  <si>
    <t>INVIMA 2024M-0021522</t>
  </si>
  <si>
    <t>MIDAZOLAM 50 MG/10 ML SOLUCIÓN INYECTABLE</t>
  </si>
  <si>
    <t>CAJA PLEGADIZA POR 100 AMPOLLAS DE VIDRIO ÁMBAR TIPO I CONTENIENDO 10ML DE SOLUCIÓN INYECTABLE. DENTRO O NO DE UN BLÍSTER DE PAPEL PVC O TERMOFORMADO.</t>
  </si>
  <si>
    <t>LABORATORIOS BIOSANO S.A.</t>
  </si>
  <si>
    <t>row-qbjq_5yes~rzhj</t>
  </si>
  <si>
    <t>AGUA ESTÉRIL APIRÓGENA</t>
  </si>
  <si>
    <t>INVIMA 2022M-0005159-R2</t>
  </si>
  <si>
    <t>AGUA ESTÉRILPARAINYECCIÓN</t>
  </si>
  <si>
    <t>FRASCO DE VIDRIO TIPO II POR 100 ML.</t>
  </si>
  <si>
    <t>LIQUIDO ESTERIL PARA INYECCION (AGUA)</t>
  </si>
  <si>
    <t>mL</t>
  </si>
  <si>
    <t>row-4vsn~xshf-72ub</t>
  </si>
  <si>
    <t>BASILATO DE AMLODIPINO 6.94MG EQUIVALENTE A AMLODIPINO BASE</t>
  </si>
  <si>
    <t>INVIMA 2019M-0009898-R1</t>
  </si>
  <si>
    <t>EXFORGE ® 5 / 320 MG COMPRIMIDOS CON CUBIERTA PELICULAR.</t>
  </si>
  <si>
    <t>MUESTRA MÉDICA: CAJA POR 7 COMPRIMIDOS EN BLISTER PA/AL/PVC</t>
  </si>
  <si>
    <t>CADA COMPRIMIDO CON CUBIERTA PELICULAR</t>
  </si>
  <si>
    <t>row-wit2_zd4w_s9cw</t>
  </si>
  <si>
    <t>FRASCO POLIPROPILENO X 500 ML</t>
  </si>
  <si>
    <t>row-xdjy_zumi-qsb2</t>
  </si>
  <si>
    <t>INVIMA 2021M-0016960-R1</t>
  </si>
  <si>
    <t>HIDROSIN® PLUS</t>
  </si>
  <si>
    <t>FRASCO EN PEAD BLANCO POR 350 ML</t>
  </si>
  <si>
    <t>100 ML. DE SUSPENSION ORAL</t>
  </si>
  <si>
    <t>row-zwcu_kbh8~wrg6</t>
  </si>
  <si>
    <t>3A1044071000102</t>
  </si>
  <si>
    <t>BOLSA CON 2000ML</t>
  </si>
  <si>
    <t>0,162</t>
  </si>
  <si>
    <t>row-reij_3ym2~rcmn</t>
  </si>
  <si>
    <t>MUESTRA MEDICA:CAJA PLEGADIZA POR 5 SACHET LAMINADO POR 100 ML DE SOLUCION ORAL SABOR CHICLE</t>
  </si>
  <si>
    <t>row-m4rq_ducd-hezx</t>
  </si>
  <si>
    <t>CIPROFIBRATO</t>
  </si>
  <si>
    <t>INVIMA 2022M-0008261-R1</t>
  </si>
  <si>
    <t>CIPROFIBRATO 100 MG TABLETAS</t>
  </si>
  <si>
    <t>CAJA POR 20 TABLETAS EN BLISTER PVC TRANSPARENTE - ALUMINIO POR 10 TABLETAS.</t>
  </si>
  <si>
    <t>C10AB08</t>
  </si>
  <si>
    <t>row-nvjp~7v7b_ju8k</t>
  </si>
  <si>
    <t>CAJA DISPENSADORA POR 100 TABLETAS (25 SOBRES X 4 TABLETAS). SABOR CEREZA</t>
  </si>
  <si>
    <t>row-yd4u.x3te-tr4b</t>
  </si>
  <si>
    <t>INVIMA 2023M-0007085-R2</t>
  </si>
  <si>
    <t>MICARDIS® PLUS 80 MG/25 MG</t>
  </si>
  <si>
    <t>CAJA X 14 TABLETAS 80/25 EN BLISTER ALUMINIO</t>
  </si>
  <si>
    <t>BOEHRINGER INGELHEIM INTERNATIONAL GMBH.</t>
  </si>
  <si>
    <t>TELMISARTAN Y DIURETICOS</t>
  </si>
  <si>
    <t>C09DA07</t>
  </si>
  <si>
    <t>row-k5u5_qcpf_cr8f</t>
  </si>
  <si>
    <t>AMANTADINA CLORHIDRATO</t>
  </si>
  <si>
    <t>INVIMA 2017M-0001900-R2</t>
  </si>
  <si>
    <t>ZINTERGIA® 100 MG CAPSULAS</t>
  </si>
  <si>
    <t>CAJA DE CARTÓN POR 600 CÁPSULAS EN BLÍSTER PVC TRANSPARENTE /FOIL ALUMINIO (CON NOMBRE GENÉRICO AMANTADINA CLORHIDRATO 100 MG)</t>
  </si>
  <si>
    <t>AMANTADINA</t>
  </si>
  <si>
    <t>N04BB01</t>
  </si>
  <si>
    <t>row-3hr3.sqnu_6j93</t>
  </si>
  <si>
    <t>ESCITALOPRAM OXALATO12.77MGEQUIVALENTE A ESCITALOPRAM</t>
  </si>
  <si>
    <t>SANDOZ PRIVATE LIMITED</t>
  </si>
  <si>
    <t>INVIMA 2023M-0012151-R2</t>
  </si>
  <si>
    <t>ANIMAXEN®10 MG TABLETAS RECUBIERTAS</t>
  </si>
  <si>
    <t>MUESTRASIN DATOMÉDICA: CAJASIN DATOX 10SIN DATOTABLETAS RECUBIERTAS EN BLISTER ALU/ALU- OPA-PVC POR 10 TABLETAS</t>
  </si>
  <si>
    <t>row-zuky.e77w~d95r</t>
  </si>
  <si>
    <t>ONDANSETRON CLORHIDRATO DIHIDRATO 9.977 MG EQUIVALENTE AONDANSETRON</t>
  </si>
  <si>
    <t>QILU PHARMACEUTICAL CO.. LTD</t>
  </si>
  <si>
    <t>1O1017191004100</t>
  </si>
  <si>
    <t>INVIMA 2017M-0017735</t>
  </si>
  <si>
    <t>CYSTRON ®-SOLUCION INYECTABLE 8 MG/4ML.</t>
  </si>
  <si>
    <t>CAJA PLEGADIZA MÁS BANDEJA EN PVC. CON 5 AMPOLLAS DE VIDRIO TIPO I CON UN ANILLO DE COLOR ROJO. CONTENIDO EN 4 ML DE SOLUCIÓN INYECTABLE CADA UNO.</t>
  </si>
  <si>
    <t>AMPOLLA POR 4 ML</t>
  </si>
  <si>
    <t>HB HUMAN BIOSCIENCE S.A.S.</t>
  </si>
  <si>
    <t>ONDANSETRON</t>
  </si>
  <si>
    <t>A04AA01</t>
  </si>
  <si>
    <t>row-n8ji_gz45~ir6k</t>
  </si>
  <si>
    <t>HIOSCINA N-BUTIL BROMURO</t>
  </si>
  <si>
    <t>2B1003881000104</t>
  </si>
  <si>
    <t>INVIMA 2023M-0017996-R1</t>
  </si>
  <si>
    <t>FIN-ESPAMCOMPUESTO®</t>
  </si>
  <si>
    <t>CAJA PLEGADIZASIN DATOXSIN DATO10O TABLETAS ENSIN DATO10SIN DATOBLISTERSIN DATO(PVC-PVDC -ALUMINIO) X 10 TABLETAS</t>
  </si>
  <si>
    <t>row-ub39-pjh8-53cv</t>
  </si>
  <si>
    <t>AMOXICILINA TRIHIDRATO EQUIVALENTE A AMOXICILINA BASE</t>
  </si>
  <si>
    <t>REYOUNG PHARMACEUTICAL CO. LTD.</t>
  </si>
  <si>
    <t>2A1043191000100</t>
  </si>
  <si>
    <t>INVIMA 2020M-0013776-R1</t>
  </si>
  <si>
    <t>CLAVUTEC ® TABLETAS RECUBIERTAS</t>
  </si>
  <si>
    <t>CAJA PLEGADIZA POR 21 TABLETAS. EN BLISTER PVC/ALU POR 7 TABLETAS CADA UNO</t>
  </si>
  <si>
    <t>row-du7i-dcc2~4euy</t>
  </si>
  <si>
    <t>FRASCO DE VIDRIO TIPO II POR 2000 ML SELLADO CON UN TAPON DE MATERIAL ELASTOMERICO.</t>
  </si>
  <si>
    <t>0,06</t>
  </si>
  <si>
    <t>row-pqt4.5cqi~8sgs</t>
  </si>
  <si>
    <t>AZITROMICINA DIHIDRATO 535.000 MG EQUIVALENTE A AZITROMICINA BASE</t>
  </si>
  <si>
    <t>INVIMA 2020M-007294-R2</t>
  </si>
  <si>
    <t>AZITROMICINA 500 MG TABLETAS RECUBIERTAS.</t>
  </si>
  <si>
    <t>MUESTRA MEDICA: CAJA POR 3 TABLETAS ENSIN DATOBLISTER PVC/ ALUMINIO.</t>
  </si>
  <si>
    <t>row-e59m_ncc5_xkuk</t>
  </si>
  <si>
    <t>RIVASTIGMINA BASE (MATRIZ FARMACO)</t>
  </si>
  <si>
    <t>LTS LOHMANN THERAPIE. SYSTEME AG</t>
  </si>
  <si>
    <t>1R1027471002100</t>
  </si>
  <si>
    <t>INVIMA 2023M-0007794-R1</t>
  </si>
  <si>
    <t>EXELON®PARCHES 27 MG</t>
  </si>
  <si>
    <t>1R1027471002100 RIVASTIGMINA 27.0000 MG SISTEMAS TRANSDERMICOS TRANSDERMICA (EXELON) PARCHE 1.0000U / CAJA X 7</t>
  </si>
  <si>
    <t>PARCHE CIRCULAR DE 15CM2</t>
  </si>
  <si>
    <t>row-5jak-pvrv~n92j</t>
  </si>
  <si>
    <t>CAJA PORSIN DATO7 TABLETAS EN BLISTER ALUMINIO/ALUMINIO.</t>
  </si>
  <si>
    <t>row-2fbx-xz2p~sxib</t>
  </si>
  <si>
    <t>SALMETEROL XINAFOATO. EQUIVALENTE A SALMETEROL BASE</t>
  </si>
  <si>
    <t>2F1028131000100</t>
  </si>
  <si>
    <t>INVIMA 2020M-0019556</t>
  </si>
  <si>
    <t>SEROHALE CAPSUBRRISS® 250</t>
  </si>
  <si>
    <t>IUM :2F1028131000100. CAJA PLEGADIZA DE CARTÓN QUE CONTIENE UN RECIPIENTE BLANCO DE POLIETILENO DE ALTA DENSIDAD CON TAPA BLANCA DE POLIETILENO BAJA DENSIDAD CONTENIENDO 30 CÁPSULAS.</t>
  </si>
  <si>
    <t>CÁPSULA DE GELATINA DURA</t>
  </si>
  <si>
    <t>CIPLA LTD</t>
  </si>
  <si>
    <t>row-dcq3-tkib_z65t</t>
  </si>
  <si>
    <t>NILOTINIB CLORHIDRATO MONOHIDRATADO 220.6 MG EQUIVALENTE A NILOTINIB BASE ANHIDRA 200 MG</t>
  </si>
  <si>
    <t>NOVARTIS PHARMA STEIN A.G.</t>
  </si>
  <si>
    <t>INVIMA 2022M-0008130-R1</t>
  </si>
  <si>
    <t>TASIGNA® 200 MG CAPSULAS</t>
  </si>
  <si>
    <t>CAJA POR 112 CAPSULAS EN BLISTER PA-AL-PVC/ALUMINIO ENVASE CALENDARIO</t>
  </si>
  <si>
    <t>row-enjx_cv8y_zzun</t>
  </si>
  <si>
    <t>USO INSTITUCIONAL: CAJA PLEGADIZA POR 2 JERINGAS PRELLENADAS DE 0.4 ML</t>
  </si>
  <si>
    <t>row-kyyk-6skb-awj9</t>
  </si>
  <si>
    <t>CLORHIDRATO DE FEXOFENADINA</t>
  </si>
  <si>
    <t>INVIMA 2023M-012536-R2</t>
  </si>
  <si>
    <t>ALLEGRA® 180 MG TABLETA RECUBIERTA</t>
  </si>
  <si>
    <t>MUESTRA MÉDICA: ESTUCHE POR 1 COMPRIMIDOSIN DATOEN BLISTER DE PVDC/PE/PVC-ALUMINIO</t>
  </si>
  <si>
    <t>row-askx.ga5q_n78n</t>
  </si>
  <si>
    <t>N-ACETIL-L-TIROSINA EQUIVALENTE A L-TIROSINA 4.20G</t>
  </si>
  <si>
    <t>row-qmk5~dvj4-hacy</t>
  </si>
  <si>
    <t>FRASCO EN PET (POLIETILENTERAFTALATO) AMBAR POR 60 ML CON TAPA EN POLIPROPILENO.</t>
  </si>
  <si>
    <t>row-2uui_iqiq-k9fi</t>
  </si>
  <si>
    <t>PRAXAIR GASES INDUSTRIALES LTDA</t>
  </si>
  <si>
    <t>OXIGENO GASEOSO (NO MENOS DE 99% EN VOLUMEN). EN CILINDRO EN ALUMINIO Y CUELLO BLANCO DE CAPACIDAD:SIN DATO4 M3 CADA M3 DE OXIGENO GASEOSO COMPRIMIDO A ALTA PRESIÓN EQUIVALENTE A 1000 L DE OXIGENO GASEOSO.</t>
  </si>
  <si>
    <t>row-6hjq-h5ea-4tih</t>
  </si>
  <si>
    <t>CAJA POR 3 BOLSA DE ALUMINIO C/U POR 8 AMPOULEPACK EN PEBD POR 10 ML</t>
  </si>
  <si>
    <t>INFILTRATIVA - EPIDURAL</t>
  </si>
  <si>
    <t>row-kmvv_6jst.ktzd</t>
  </si>
  <si>
    <t>ANASTROZOL</t>
  </si>
  <si>
    <t>1A1020571001104</t>
  </si>
  <si>
    <t>INVIMA 2020M-0019883</t>
  </si>
  <si>
    <t>TRANAZ® 1 MG TABLETAS RECUBIERTAS</t>
  </si>
  <si>
    <t>MUESTRA MÉDICA: 1A1020571001104: CAJA POR 14 TABLETAS RECUBIERTAS EN BLISTER PVC/PE/PVDC/ALUMINIO</t>
  </si>
  <si>
    <t>L02BG03</t>
  </si>
  <si>
    <t>row-y9fx-wbb5~qfch</t>
  </si>
  <si>
    <t>BOLSA X 50 TABLETAS EN SOBRE LAMINADO DE PAPEL/ ALUMINIO / POLIETILENO POR 2 TABLETAS CADA UNO.</t>
  </si>
  <si>
    <t>row-h3r8_at86-hbqj</t>
  </si>
  <si>
    <t>MUESTRA MEDICA: CAJA PLEGADIZA POR 8 CAPSULAS EN BLISTER PVC-ACLAR-ALUMUNIO POR 2 CAPSULAS</t>
  </si>
  <si>
    <t>row-95s4.qmnx.htup</t>
  </si>
  <si>
    <t>PANTOPRAZOL (EQUIVALENTES A PANTOPRAZOL SÓDICO SESQUIHIDRATO) 45.1 MG)</t>
  </si>
  <si>
    <t>INVIMA 2021M-0005565-R2</t>
  </si>
  <si>
    <t>SEGREGAM® 40 MG COMPRIMIDOS CON CUBIERTA ENTERICA</t>
  </si>
  <si>
    <t>CAJA POR 2SIN DATOBLISTER. BLISTER POR 10 COMPRIMIDOS CON CUBIERTA ENTÉRICA.</t>
  </si>
  <si>
    <t>COMPRIMIDO CON CUBIERTA ENTÉRICA</t>
  </si>
  <si>
    <t>row-jcs9_3vfm~sntt</t>
  </si>
  <si>
    <t>CAJA POR 10 TABLETAS EN BLISTER DE ALUMINIO/ ALUMINIO</t>
  </si>
  <si>
    <t>row-f446~94rm~tjxb</t>
  </si>
  <si>
    <t>CAJA PLEGADIZA CON CINCO (5) AMPOLLA DE VIDRIO TRANSPARENTE INCOLORO TIPO I POR 1 ML</t>
  </si>
  <si>
    <t>row-zzn3-x7re~m7at</t>
  </si>
  <si>
    <t>CODEINA FOSFATO HEMIHIDRATADO</t>
  </si>
  <si>
    <t>CAJA- CONTENIENDO 1 BLISTER PVC/ALUMINIO X 10 COMPRIMIDOS RECUBIERTOS.</t>
  </si>
  <si>
    <t>DICLOFENAC COMBINACIONES</t>
  </si>
  <si>
    <t>M01AB55</t>
  </si>
  <si>
    <t>row-vh54.wmwq_czjx</t>
  </si>
  <si>
    <t>OMEPRAZOLMICROGRANULOS: EQUIVALENTE A OMEPRAZOL</t>
  </si>
  <si>
    <t>INVIMA 2021M-011180-R3</t>
  </si>
  <si>
    <t>ORAZOLE® 20 MG CAPSULAS MICROGRÁNULOS CON CUBIERTA ENTÉRICA</t>
  </si>
  <si>
    <t>USO INSTITUCIONAL: CAJA MÚLTIPLE Y/O DISPENSADORA CON 12 BOLSAS DE SEGURIDAD CON 5 CÁPSULAS.</t>
  </si>
  <si>
    <t>row-7w4e-drf9.x75c</t>
  </si>
  <si>
    <t>PERINDOPRIL (6.79MG) QUE CORRESPONDEN A PERINDOPRIL ARGININA</t>
  </si>
  <si>
    <t>INVIMA 2010M-0010376</t>
  </si>
  <si>
    <t>COVERAM® 10 MG / 5MG COMPRIMIDOS</t>
  </si>
  <si>
    <t>CAJA DE CARTÓN CON FRASCO EN POLIPROPILENO POR 30SIN DATOCOMPRIMIDOS</t>
  </si>
  <si>
    <t>PERINDOPRIL Y AMLODIPINO</t>
  </si>
  <si>
    <t>C09BB04</t>
  </si>
  <si>
    <t>row-c7eg.v946~xiz5</t>
  </si>
  <si>
    <t>NEFOPAM CLORHIDRATO</t>
  </si>
  <si>
    <t>AMAREY NOVA MEDICAL S.A</t>
  </si>
  <si>
    <t>INVIMA 2017M-0017863</t>
  </si>
  <si>
    <t>ACUPAN SOLUCION INYECTABLE</t>
  </si>
  <si>
    <t>CAJA PLEGADIZA POR 10SIN DATOAMPOLLA DE VIDRIO INCOLORO POR 2 ML C/U</t>
  </si>
  <si>
    <t>NEFOPAM</t>
  </si>
  <si>
    <t>N02BG06</t>
  </si>
  <si>
    <t>row-rvdk-8b9b_qrzw</t>
  </si>
  <si>
    <t>MUESTRA MEDICA:CAJA PLEGADIZA CON 8 SACHET LAMINADO CON 100ML DE SOLUCION ORAL SABOR FRESA</t>
  </si>
  <si>
    <t>row-8bcf_65cj.hyb9</t>
  </si>
  <si>
    <t>LETROZOL</t>
  </si>
  <si>
    <t>INVIMA 2014M-0015445</t>
  </si>
  <si>
    <t>LETROLE®</t>
  </si>
  <si>
    <t>MUESTRA MÉDICA: CAJA PLEGADIZA POR 1 BLISTER EN ALUMINIO/PVC/PE/PVDC POR 10 TABLETAS</t>
  </si>
  <si>
    <t>L02BG04</t>
  </si>
  <si>
    <t>row-v66v~bc24.fbsm</t>
  </si>
  <si>
    <t>MUESTRA MEDICA: FRASCO DE VIDRIO INCOLORO TIPO II POR 1000 ML</t>
  </si>
  <si>
    <t>row-5r9a~q4k5_hwsd</t>
  </si>
  <si>
    <t>INVIMA 2022M-0010618-R1</t>
  </si>
  <si>
    <t>DIANEAL BAJO CALCIO CON DEXTROSA AL 1.5%</t>
  </si>
  <si>
    <t>BOLSA DE PVC (PLASTICO GRADO MEDICO) CON DOS PUERTOS DE SALIDA POR 1000 ML CON BOLSA EXTERNA DE PEAD. CON BOLSA DE DRENAJE</t>
  </si>
  <si>
    <t>100 ML. DE SOLUCION PARA DIALISIS PERITONEAL.</t>
  </si>
  <si>
    <t>SOLUCION ISOTONICA PARA DIALISIS PERITONEAL</t>
  </si>
  <si>
    <t>row-2jqz~kami.p7vw</t>
  </si>
  <si>
    <t>MESALAZINA</t>
  </si>
  <si>
    <t>FERRING INTERNATIONAL CENTER S.A.</t>
  </si>
  <si>
    <t>INVIMA 2007M-0007645</t>
  </si>
  <si>
    <t>PENTASA®1 G GRANULOS DE LIBERACION PROLONGADA</t>
  </si>
  <si>
    <t>CAJA POR 50 SOBRES DE POLIESTER/ALUMINIO/PEBD.</t>
  </si>
  <si>
    <t>A07EC02</t>
  </si>
  <si>
    <t>row-zmjb-a85b-qt58</t>
  </si>
  <si>
    <t>CARBONATO DE CALCIO 1668.1 MG EQUIVALENTES A CALCIO</t>
  </si>
  <si>
    <t>INVIMA 2015M-0015632</t>
  </si>
  <si>
    <t>BIOCALCIUM®</t>
  </si>
  <si>
    <t>MUESTRA MÉDICA: CAJA X 3 SOBRES DE TRILAMINADO BOPP/ALUMINIO/PE. CON 5 G DE POLVO EFERVESCENTE PARA SOLUCIÓN ORAL CADA UNO.</t>
  </si>
  <si>
    <t>SOBRE X 5 G DE POLVO</t>
  </si>
  <si>
    <t>row-68ng_mv68~fppr</t>
  </si>
  <si>
    <t>1E1027521005101</t>
  </si>
  <si>
    <t>INVIMA 2024M-0021462</t>
  </si>
  <si>
    <t>EZETIMIBA 10MG TABLETAS</t>
  </si>
  <si>
    <t>CAJA POR 2 TABLETAS EN BLÍSTER DE PVC/PVDC TRANSPARENTE/FOIL ALUMINIO. BLÍSTER POR 2 TABLETAS</t>
  </si>
  <si>
    <t>TABLETAS DE LIBERACIIÓN NO MODIFICADA</t>
  </si>
  <si>
    <t>row-5ttr_vbbh-2epn</t>
  </si>
  <si>
    <t>A. MENARINIMANUFACTURING LOGISTICSAND SERVICES S.R.L.</t>
  </si>
  <si>
    <t>1D1043261000101</t>
  </si>
  <si>
    <t>MUESTRA MEDICA:CAJA POR 20 AMPOLLAS DE VIDRIO ÁMBAR TIPO I CON 2 ML DE SOLUCIÓN TRANSPARENTE INCOLORASIN DATOCON ETIQUETA AUTOADHESIVA Y EN CUNA PLÁSTICA DE PVC</t>
  </si>
  <si>
    <t>row-8y8r~kfzv_tv4m</t>
  </si>
  <si>
    <t>INVIMA 2021M-0008948-R1</t>
  </si>
  <si>
    <t>ROSUVASTATINA40 MG TABLETAS RECUBIERTAS</t>
  </si>
  <si>
    <t>CAJA POR 10 TABLETAS EN BLISTER DE ALU/ALU POR 10 TABLETAS CADA BLISTER.</t>
  </si>
  <si>
    <t>row-kqvc~nbe4_en9g</t>
  </si>
  <si>
    <t>BETACAROTENO AL 30% (EQUIVALENTE A 1500 UI DE VITAMINA A)</t>
  </si>
  <si>
    <t>CAJA PLEGADIZA POR 100 CÁPSULAS BLANDAS DE GELATINA EN BLISTER ALUMINIO / PVC TRANSPARENTE. CADA BLISTER POR 10 CÁPSULAS BLANDAS DE GELATINA.</t>
  </si>
  <si>
    <t>row-tk3h-z9kt.shqd</t>
  </si>
  <si>
    <t>INSTITUCIONAL: CAJA PLEGADIZA POR 100 ÓVULOS EN BLISTER PVC/PVDC TRANSPARENTE -ALUMINIO POR 10 ÓVULOS.</t>
  </si>
  <si>
    <t>row-xzcd.twjb~i8fv</t>
  </si>
  <si>
    <t>INVIMA 2023M-0009401-R1</t>
  </si>
  <si>
    <t>TRAMADOL 50 MG</t>
  </si>
  <si>
    <t>INSTITUCIONAL: CAJA PLEGADIZA X 100 CAPSULAS EN BLISTER PVC/PE/PVDC/ALUMINIO X 10 CAPSULAS</t>
  </si>
  <si>
    <t>row-xfm6-kikv-32r7</t>
  </si>
  <si>
    <t>VITAMIN E 400 IU 100% CAPSULAS BLANDAS</t>
  </si>
  <si>
    <t>ROBINSON PHARMA .INC</t>
  </si>
  <si>
    <t>INVIMA 2024M-0021585</t>
  </si>
  <si>
    <t>VITAMIN E 400 IU CPASULA DE GELATINA BLANDA</t>
  </si>
  <si>
    <t>ENVASE FARMACÉUTICO DE PEAD BLANCO. CON TAPA DE POLIPROPILENO BLANCA Y LINER DE SEGURIDAD MULTICAPAS DE PAPEL. CERA Y ALUMINIO POR 120 CÁPSULAS. EN AMARRE CON BANDA TERMOENCOGIBLE DE PVC POR 2 BOTELLAS DEL MISMO TAMAÑO Y CON LA MISMA CANTIDAD DE CÁPSULAS DE GELATINA BLANDA</t>
  </si>
  <si>
    <t>HEALTHY AMERICA COLOMBIA S.A.S.</t>
  </si>
  <si>
    <t>row-4eag~tq4w~kfgz</t>
  </si>
  <si>
    <t>SIMETICONA EMULSIOM 30% EQUIVALENTE A SIMETICONA</t>
  </si>
  <si>
    <t>INVIMA 2022M-0015695-R1</t>
  </si>
  <si>
    <t>MK DOSS</t>
  </si>
  <si>
    <t>MUESTRA MEDICA: CAJA CON 4 SACHETS LAMINADO PET/ALU/PESIN DATOPOR 10 ML SABOR MENTA</t>
  </si>
  <si>
    <t>row-8ph6~ypr5_n5vm</t>
  </si>
  <si>
    <t>LEVO-AMLODIPINO NICOTINATO 6.702MG EQUIVALENTE A LEVO-AMLODIPINO</t>
  </si>
  <si>
    <t>INVIMA 2013M-0014108</t>
  </si>
  <si>
    <t>ALENCAL ® VALS 5.0 / 160 MG</t>
  </si>
  <si>
    <t>MUESTRA MÉDICA: CAJA X 6 TABLETAS RECUBIERTAS. EN BLISTER PVC/PVDC BLANCO/ALUMINIO X 6 TABLETAS RECUBIERTAS.</t>
  </si>
  <si>
    <t>row-qjp9-gscx_nas3</t>
  </si>
  <si>
    <t>AMLODIPINO BESILATO EQUIVALENTE A AMLODIPINO BASE</t>
  </si>
  <si>
    <t>row-zcet_dvp9_ip6h</t>
  </si>
  <si>
    <t>INVIMA 2022M-0014936-R1</t>
  </si>
  <si>
    <t>BUCOXOL® FORTE TRIPLE ACCION SOLUCION ORAL SABOR COOL MINT. MIEL LIMON Y FRUTOS ROJOS</t>
  </si>
  <si>
    <t>FRASCO PET INCOLORO POR 30 ML CON VÁLVULA DISPENSADORA EN SPRAY SABOR MIEL LIMON.</t>
  </si>
  <si>
    <t>BIONUTREC S.A.S.</t>
  </si>
  <si>
    <t>CETILPIRIDINIO</t>
  </si>
  <si>
    <t>R02AA06</t>
  </si>
  <si>
    <t>row-puc5_yshp.dye4</t>
  </si>
  <si>
    <t>MUESTRA MEDICA: INYECCIÓN DE TRAVASOL 10% SIN ELECTROLITOS BOLSA PLÁSTICA POR 500 ML EN PVC (PLÁSTICO GRADO MEDICO) DE DOS SALIDAS CON BOLSA EXTERNA DE ALUMINIO</t>
  </si>
  <si>
    <t>row-z4ki~s7qi-cfjh</t>
  </si>
  <si>
    <t>ROSUVASTATINA CALCICA 20.790 MG EQUIVALENTE A ROSUVASTATINA BASE</t>
  </si>
  <si>
    <t>1R1001251019109</t>
  </si>
  <si>
    <t>INVIMA 2022M-0017545-R1</t>
  </si>
  <si>
    <t>RUVAX ® 20 MG TABLETAS RECUBIERTAS</t>
  </si>
  <si>
    <t>USO INSTITUCIONAL: CAJA PLEGADIZA POR 20 TABLETAS RECUBIERTAS EN 2 FOIL DE ALUMINIO PEBD POR 10 TABLETAS RECUBIERTAS CADA UNO (DENOMINACIÓN GENÉRICA)</t>
  </si>
  <si>
    <t>row-cisk~mzcy~v845</t>
  </si>
  <si>
    <t>CARBOXIMETILCELULOSA SODICA</t>
  </si>
  <si>
    <t>INVIMA 2022M-0018013-R1</t>
  </si>
  <si>
    <t>FREEGEN PF</t>
  </si>
  <si>
    <t>CAJA DISPLAY CON 6 CAJAS PLEGADIZAS CADA UNA CON UN FRASCO DE POLIETILENO DE BAJA DENSIDAD POR 5 ML BLANCO. CON BOQUILLA PROVISTA DE UNA VÁLVULA DE SILICONA DE COLOR AZUL Y TAPA DE POLIETILENO DE ALTA DENSIDAD COLOR BLANCO</t>
  </si>
  <si>
    <t>CADA ML DE SOLUCION</t>
  </si>
  <si>
    <t>row-kxzk~94md~5pvj</t>
  </si>
  <si>
    <t>CLONIXINATO DE LISINA</t>
  </si>
  <si>
    <t>2L1017681002113</t>
  </si>
  <si>
    <t>MUESTRA MÉDICA: CAJA POR 150 TABLETAS EN BLÍSTER PVC/ALUMINIO POR 2 TABLETAS.</t>
  </si>
  <si>
    <t>row-as7c-hr6c.qm82</t>
  </si>
  <si>
    <t>RIVASTIGMINA BASE</t>
  </si>
  <si>
    <t>1R1042881001104</t>
  </si>
  <si>
    <t>INVIMA 2022M-0007795-R1</t>
  </si>
  <si>
    <t>EXELON PARCHES 18 MG</t>
  </si>
  <si>
    <t>CAJA POR 60 PARCHES DE 10 CM2 EN SACHET Y/O SACHET PAPEL/TEREFTALATO DE POLIETILENO/POLIETILENO/ALUMNIO/POLIAMINAPAPEL/ALUMINIO/POLIACRILONITRILO/POLIESTER</t>
  </si>
  <si>
    <t>PARCHE CIRCULAR DE 10 CM2</t>
  </si>
  <si>
    <t>row-c653~knwa_myed</t>
  </si>
  <si>
    <t>DEXAMETASONA SODIO FOSFATO 1.30 MG EQUIVALENTE A DEXAMETASONA BASE</t>
  </si>
  <si>
    <t>OPHARM LTDA.</t>
  </si>
  <si>
    <t>row-8h7y~r6pi~gyta</t>
  </si>
  <si>
    <t>BUDESONIDA</t>
  </si>
  <si>
    <t>GLENMARK PHARMACEUTICALS LTD.</t>
  </si>
  <si>
    <t>2B1008591001101</t>
  </si>
  <si>
    <t>INVIMA 2016M-0017395</t>
  </si>
  <si>
    <t>COMPLEBREZ 6MCG/100 MCG INHALACION PRESURIZADA</t>
  </si>
  <si>
    <t>MUESTRA MÉDICA: CAJA CON UN CONTENEDOR DE ALUMINIO CON VÁLVULA DOSIFICADORA QUE SUMINISTRA 150 DOSIS MEDIDAS + INHALOCÁMARA - INSTASPACER</t>
  </si>
  <si>
    <t>APLICACIÓN (DOSIS)</t>
  </si>
  <si>
    <t>AEROSOLES</t>
  </si>
  <si>
    <t>GLENMARK PHARMACEUTICALS COLOMBIA S.A.S.</t>
  </si>
  <si>
    <t>FORMOTEROL Y BUDENOSINA</t>
  </si>
  <si>
    <t>R03AK07</t>
  </si>
  <si>
    <t>row-8sa9-q5qd.bu6d</t>
  </si>
  <si>
    <t>INVIMA 2014M-0015236</t>
  </si>
  <si>
    <t>NEUPREL 150 MG CÁPSULAS</t>
  </si>
  <si>
    <t>CAJA POR 14 CÁPSULAS EN BLISTER DE ALUMINIO LACADO/PVC.</t>
  </si>
  <si>
    <t>row-u8bp.c4dj_x6th</t>
  </si>
  <si>
    <t>MUESTRA MÉDICA PARA EL PRODUCTO DE LA REFERENCIA: CAJA POR 30SIN DATOCÁPSULAS EN BLISTER PVC/ALUMINIO</t>
  </si>
  <si>
    <t>row-xch5-rzju-rref</t>
  </si>
  <si>
    <t>IOHEXOL755 MG EQUIVALENTE A YODO</t>
  </si>
  <si>
    <t>GE HEALTHCARE IRELAND LIMITED</t>
  </si>
  <si>
    <t>INVIMA 2022M-007394-R3</t>
  </si>
  <si>
    <t>OMNIPAQUE® 350 MG I /ML</t>
  </si>
  <si>
    <t>FRASCO DE VIDRIO (TIPO I) X 200 ML EN PRESENTACIÓN COMERCIAL CAJA POR 1 UNIDAD</t>
  </si>
  <si>
    <t>IOHEXOL</t>
  </si>
  <si>
    <t>V08AB02</t>
  </si>
  <si>
    <t>row-7x3j~f8xn~u9wi</t>
  </si>
  <si>
    <t>PROTEINA S ENTRE 240-640 UI</t>
  </si>
  <si>
    <t>OCTAPHARMA</t>
  </si>
  <si>
    <t>3F1045861000100</t>
  </si>
  <si>
    <t>INVIMA 2020M-0008429-R1</t>
  </si>
  <si>
    <t>OCTAPLEX®</t>
  </si>
  <si>
    <t>CAJA 1:SIN DATO POLVO LIOFILIZADO 500 U.I. EN VIAL VIDRIO TIPO I CON TAPÓN GOMA DE HALOBUTILO Y FLIP-OFF DE ALUMINIO. CAJA 2: 20 ML DE AGUA PARA INYECCIÓN EN UN VIAL VIDRIO TIPO I O TIPO II CON TAPÓN GOMA DE HALOBUTILO Y FLIP-OFF DE ALUMINIO. - 1 SET DE TRANSFERENCIA NEXTAROSIN DATO</t>
  </si>
  <si>
    <t>OCTAPHARMA AG</t>
  </si>
  <si>
    <t>UI/mL</t>
  </si>
  <si>
    <t>COAGULACION FACTORES IX II. VII Y X EN COMBINACION</t>
  </si>
  <si>
    <t>B02BD01</t>
  </si>
  <si>
    <t>row-caw7-ys2i_ngmr</t>
  </si>
  <si>
    <t>LABORATORIOS DEMACLTDA</t>
  </si>
  <si>
    <t>INVIMA 2022M-0009425-R1</t>
  </si>
  <si>
    <t>MEDIPRIM F (R) TABLETA</t>
  </si>
  <si>
    <t>CAJA X 20 TABLETAS (EN BLISTER X 10 TABLETAS)</t>
  </si>
  <si>
    <t>GLOBAL INTERNATIONAL MEDICINE S.A.S- GIMED S.A.S</t>
  </si>
  <si>
    <t>row-ce8p_mbpc.3bie</t>
  </si>
  <si>
    <t>INVIMA 2021M-003014-R3</t>
  </si>
  <si>
    <t>SECNICHEN TABLETAS</t>
  </si>
  <si>
    <t>CAJA PLEGADIZA POR UN BLISTER PVC/ALUMINIO POR 2 TABLETAS CUBIERTAS</t>
  </si>
  <si>
    <t>row-kk96~8rk8.srrf</t>
  </si>
  <si>
    <t>CAJA X 54 CÁPSULAS CONTIENE 27 BLISTERS POR 2 PVC/PEP/PVDC - ALUMINIO</t>
  </si>
  <si>
    <t>row-i58n_8z36_923y</t>
  </si>
  <si>
    <t>FACTOR VIII RECOMBINANTE (RFVIII)</t>
  </si>
  <si>
    <t>INVIMA 2017M-0017629</t>
  </si>
  <si>
    <t>KOVALTRY ® 250 UI</t>
  </si>
  <si>
    <t>KITSIN DATOCONSIN DATOUNSIN DATOVIALSIN DATODE VIDRIO TIPO I SILICONIZADO X 250 UI DE FACTOR VIII RECOMBINANTE CON TAPÓN DE BROMOBUTILO GRIS TIPO I Y TAPA DE RECONSTITUCIÓN (LA TAPA DE RECONSTITUCIÓN ESTÁ COMPUESTA POR: HDPE/MABS/LDPE: HDPE: POLIETILENO DE ALTA DENSIDAD. MABS: ME</t>
  </si>
  <si>
    <t>COAGULACION FACTORES VIII</t>
  </si>
  <si>
    <t>B02BD02</t>
  </si>
  <si>
    <t>row-v7ix-fskb.zecw</t>
  </si>
  <si>
    <t>CAJA PLEGADIZA POR UNA JERINGA PRELLENADA DE 0.4 ML CON DISPOSITIVO DE SEGURIDAD. INSERTO E INSTRUCTIVO DE USO. CON Y SIN MARCACIÓN EN BLÍSTER (ENOXAPARINA 40 MG) DE CADA JERINGA PRELLENADA</t>
  </si>
  <si>
    <t>row-ugpd-er8z_emiv</t>
  </si>
  <si>
    <t>MUPIROCINA</t>
  </si>
  <si>
    <t>ARBOFARMA S.A.</t>
  </si>
  <si>
    <t>INVIMA 2022M-0006299-R2</t>
  </si>
  <si>
    <t>MUPICARE®UNGUENTO 2 %</t>
  </si>
  <si>
    <t>CAJA CON TUBO COLAPSIBLE BLANCO DE ALUMINIO CON RECUBRIMIENTO INTERNO DE LACA ATOXICA Y TAPA DE POLIETILENO POR 50 GRAMOS</t>
  </si>
  <si>
    <t>PHARMADERM S.A.</t>
  </si>
  <si>
    <t>D06AX09</t>
  </si>
  <si>
    <t>row-rd52_tzqd.f8cc</t>
  </si>
  <si>
    <t>CAJA PLEGADIZA DE CARTÓN POR 50 CÁRPULES QUE CONTIENE 5 BLÍSTER DE PET POR 10 CÁRPULES DE POLIPROPILENO. POR 1.8 ML. AGRAFE DE ALUMINIO DOBLE LACADO/LINER DE CLOROBUTILO. Y PISTÓN ROJO EN CAUCHO NATURALSIN DATOCADA UNO.</t>
  </si>
  <si>
    <t>INTRADERMAL</t>
  </si>
  <si>
    <t>row-jygf~afcm~qksg</t>
  </si>
  <si>
    <t>OXIDO NITRICO 800 PPM MOL/ MOL</t>
  </si>
  <si>
    <t>l</t>
  </si>
  <si>
    <t>GASES INDUSTRIALES DE COLOMBIA S.A. / CRYOGAS S.A.</t>
  </si>
  <si>
    <t>1O1043381000100</t>
  </si>
  <si>
    <t>INVIMA 2015M-0016046</t>
  </si>
  <si>
    <t>NOXAP® 800 PPM</t>
  </si>
  <si>
    <t>CILINDROS BLANCOS DE GAS A ALTA PRESIÓN DE ALUMINIO CON VÁLVULA DE ACERO CONTENIENDO GAS ENVASADO A UNA PRESIÓN DE 200BARSIN DATO10 LITROS(DOSIFICADOR) EN PP POR 200 DOSIS.</t>
  </si>
  <si>
    <t>NITRICO OXIDO</t>
  </si>
  <si>
    <t>R07AX01</t>
  </si>
  <si>
    <t>row-p6pv-8dvc-crvg</t>
  </si>
  <si>
    <t>INVIMA 2023M-0014412-R2</t>
  </si>
  <si>
    <t>INLYTA ® 1 MG TABLETA RECUBIERTA</t>
  </si>
  <si>
    <t>CAJA POR 60 TABLETAS RECUBIERTAS EN BLISTER ALU/ALUSIN DATOMUESTRA MEDICA</t>
  </si>
  <si>
    <t>row-kjfj_k5tq-qgzd</t>
  </si>
  <si>
    <t>SULFATO DE MAGNESIO HEPTAHIDRATADO</t>
  </si>
  <si>
    <t>INVIMA 2019M-002203-R3</t>
  </si>
  <si>
    <t>SULFATO DE MAGNESIO AL 20%</t>
  </si>
  <si>
    <t>AMPOLLA X 10 ML EN CAJA X 100 AMPOLLAS</t>
  </si>
  <si>
    <t>10ML DE SOLUCIÓN</t>
  </si>
  <si>
    <t>MAGNESIO SULFATO</t>
  </si>
  <si>
    <t>A06AD04</t>
  </si>
  <si>
    <t>row-jcjx-f38u.3hd2</t>
  </si>
  <si>
    <t>CODEINA FOSFATO HEMIDRATO. EQUIVALENTE A CODEINA FOSFATO</t>
  </si>
  <si>
    <t>INVIMA 2021M-0001890-R2</t>
  </si>
  <si>
    <t>APRIX® TABLETAS</t>
  </si>
  <si>
    <t>CAJA X 40 TABLETAS EN BLISTER PVC TRANSPARENTE / FOIL DE ALUMINIO. 4 BLISTER X 10 TABLETAS.</t>
  </si>
  <si>
    <t>row-qntw.752g_r6xt</t>
  </si>
  <si>
    <t>CAJA PLEGADIZA CON 10 BLISTERSIN DATOLAMINADO /PET/ FOIL / PEBD POR 10 CAPSULAS C/U.</t>
  </si>
  <si>
    <t>row-vaa7~2at3.4gys</t>
  </si>
  <si>
    <t>INVIMA 2024M-0021401</t>
  </si>
  <si>
    <t>FORTIDOL ® MAXTABLETAS RECUBIERTAS</t>
  </si>
  <si>
    <t>PRESENTACIÓN GENÉRICA:CAJA PLEGADIZA POR 48 TABLETAS RECUBIERTAS EN 8 BLÍSTER CON FOIL DE ALUMINIO PVC/PVDC BLANCO POR 6 TABLETAS RECUBIERTAS EN CADA BLÍSTER MÁS INSERTO</t>
  </si>
  <si>
    <t>row-nce7-k5mk-djdu</t>
  </si>
  <si>
    <t>INVIMA 2022M-006135-R3</t>
  </si>
  <si>
    <t>BETALOC ZOK® TABLETAS 50 MG</t>
  </si>
  <si>
    <t>CAJA POR 10 TABLETAS BLISTER PVC/ALUMINIO</t>
  </si>
  <si>
    <t>TABLETA DE LIBERACION PROLONGADA.</t>
  </si>
  <si>
    <t>row-r8gu~8n3u-b5fe</t>
  </si>
  <si>
    <t>TOXOIDE TETANICONO MENOSDE</t>
  </si>
  <si>
    <t>CAJA CON VIAL DE VIDRIO TIPO I CON CAPACIDAD DE 3 ML CON TAPÓN DE BROMOBUTILO Y CONTENIENDO UNA DOSIS DE LIOFILIZADO (HIB) + JERINGA DE VIDRIO PRELLENADA DE 1.25 ML CON LLA (LUER LOCK ADAPTOR). TAPA PUNTA DE CAUCHO FM30. STOPPER DE CAUCHO FM457 (DTPA+HBV+IPV). CON O SIN AGUJAS HIPODÉRMICAS. CONTENIENDO 0.5 ML DE SUSPENSIÓN INYECTABLE. EN UN EMPAQUE POR 10 VACUNAS</t>
  </si>
  <si>
    <t>row-vkui~j653_zt37</t>
  </si>
  <si>
    <t>CARBOCISTEINA</t>
  </si>
  <si>
    <t>1C1021051000101</t>
  </si>
  <si>
    <t>INVIMA 2019M-0018872</t>
  </si>
  <si>
    <t>FLEMOXIN ® GOTAS</t>
  </si>
  <si>
    <t>IUM 1C1021051000101.CAJA CON FRASCO DE PEBD.CON SUBTAPA Y TAPA ROSCA EN POLIPROPILENO.CON 30 ML DE SUSPENSION</t>
  </si>
  <si>
    <t>100 ML. SUSPENSION ORAL</t>
  </si>
  <si>
    <t>R05CB03</t>
  </si>
  <si>
    <t>row-wri7~yjzy.j7yb</t>
  </si>
  <si>
    <t>BISACODILO</t>
  </si>
  <si>
    <t>INVIMA 2015M-0004447-R1</t>
  </si>
  <si>
    <t>LAXIUM 5 MG TABLETAS CON RECUBRIMIENTO ENTERICO</t>
  </si>
  <si>
    <t>USO INSTITUCIONAL: CAJA POR 200SIN DATOTABLETAS CON RECUBRIEMIENTO ENTÉRICO EN BLISTER PVC TRANSPARENTE / ALUMINIO</t>
  </si>
  <si>
    <t>TABLETA CON RECUBRIMIENTO ENTERICO</t>
  </si>
  <si>
    <t>TABLETA DE LIBERACION RETARDADA</t>
  </si>
  <si>
    <t>BISACODIL</t>
  </si>
  <si>
    <t>A06AB02</t>
  </si>
  <si>
    <t>row-mnbc-vsw3.xw33</t>
  </si>
  <si>
    <t>SULFADIAZINA DE PLATA</t>
  </si>
  <si>
    <t>INVIMA 2021M-001338-R4</t>
  </si>
  <si>
    <t>SULFAPLATA 1% CREMA</t>
  </si>
  <si>
    <t>POTE DE PP/POLIESTIRENO. LINER DE PEBD Y TAPA BLANCA DE POLIESTIRENO. POR 60 G. DE CREMA.</t>
  </si>
  <si>
    <t>D06BA01</t>
  </si>
  <si>
    <t>row-ce3p~uynk-z6yd</t>
  </si>
  <si>
    <t>MUESTRA MEDICA:SIN DATOCAJA POR 2 CAPSULAS EN BLISTER ALUMINIO/ALU-ALU POR 2 CAPSULAS.</t>
  </si>
  <si>
    <t>row-b7uf.irp7.c7tf</t>
  </si>
  <si>
    <t>CAJA PLEGADIZA POR 2 SACHET LAMINADOSIN DATOCON 100 ML DE SOLUCION ORAL SABOR COCO</t>
  </si>
  <si>
    <t>row-nmuc_tvpu_kgqr</t>
  </si>
  <si>
    <t>INVIMA 2021M-0003505-R2</t>
  </si>
  <si>
    <t>SYMBICORT ® TURBUHALER® 320/9 µG DOSIS</t>
  </si>
  <si>
    <t>MUESTRA MEDICA: CAJA POR UN INHALADOR DE PLASTICO (CUERPO DE POLICARBONATO Y PEAD) DE POLVO SECO POR 60 DOSIS.</t>
  </si>
  <si>
    <t>DOSIS</t>
  </si>
  <si>
    <t>row-ued4-qmcm.i559</t>
  </si>
  <si>
    <t>INVIMA 2025M-0021866</t>
  </si>
  <si>
    <t>VILACRET® 50 MG</t>
  </si>
  <si>
    <t>MARCA- CAJA PLEGLADIZA CON TRES BLISTER ALU-PVCSIN DATOPOR 10 TABLETAS C/U</t>
  </si>
  <si>
    <t>A10BH02</t>
  </si>
  <si>
    <t>row-casz.x6qx-yz7r</t>
  </si>
  <si>
    <t>ATORVASTATINA CALCICA EQUIVALENTE A ATORVASTATINA</t>
  </si>
  <si>
    <t>INVIMA 2023M-006613-R3</t>
  </si>
  <si>
    <t>LIPITOR TABLETAS 20 MG</t>
  </si>
  <si>
    <t>CAJA POR 30 TABLETAS EN BLÍSTER DE ALUMINIO PA/ ALUMINIO/PVC</t>
  </si>
  <si>
    <t>row-j5qg-pg3g-kyr2</t>
  </si>
  <si>
    <t>CAJA POR 50SIN DATOFRASCOS AMPOLLA CONSIN DATO4.5SIN DATOG DE POLVO ESTÉRILSIN DATOPARA RECONSTIUIR A 50 ML CON 20SIN DATOML DE AGUA PARA INYECCIÓN OSIN DATO NACLSIN DATOALSIN DATO0.9%</t>
  </si>
  <si>
    <t>row-9img-vt9i-zmza</t>
  </si>
  <si>
    <t>USO INSTITUCIONAL:CAJA PLEGADIZA CON 9 SACHET LAMINADO CON 100ML DE SOLUCION ORAL SABOR CHICLE</t>
  </si>
  <si>
    <t>row-rikk.7gyc-vv65</t>
  </si>
  <si>
    <t>AMLODIPINO BESILATO EQUIVALENTE AAMLODIPINO</t>
  </si>
  <si>
    <t>2A1009351002105</t>
  </si>
  <si>
    <t>INVIMA 2018M-0018490</t>
  </si>
  <si>
    <t>XIFEN A ®80 /5 MG</t>
  </si>
  <si>
    <t>2A1009351002105 MUESTRA MÉDICA: CAJA PLEGADIZA POR 30 TABLETAS EN BLÍSTER ALUMINIO-PVC/PVDC-BLANCO</t>
  </si>
  <si>
    <t>row-xb52~c45c.7u7t</t>
  </si>
  <si>
    <t>BETAMETASONA FOSFATO DISODICO 5.4206 MG( EQUIVALENTE A BETAMETASONA)</t>
  </si>
  <si>
    <t>INVIMA 2023M-0007080-R2</t>
  </si>
  <si>
    <t>BETADUO® 2ML</t>
  </si>
  <si>
    <t>MUESTRA MEDICA CAJA POR 1 JERINGA PRELLENADA DE VIDRIO TRASPARENTE TIPO I POR 2 ML.</t>
  </si>
  <si>
    <t>2ML DE SUSPENSION INYECTABLE</t>
  </si>
  <si>
    <t>row-riie.us9s~tevf</t>
  </si>
  <si>
    <t>CLORHIDRATO DE TAMSULOSINA</t>
  </si>
  <si>
    <t>2D1006131004105</t>
  </si>
  <si>
    <t>INVIMA 2023M-0020934</t>
  </si>
  <si>
    <t>HIPERDEXT®</t>
  </si>
  <si>
    <t>2D1006131004101- DUTASTERIDA 0.5000 MG/TAMSULOSINA 0.4000 MG CAPSULAS DE LIBERACION NO MODIFICADA ORAL (HIPERDEXT) CAPSULA 1.0000U / FRASCO X 30. FRASCO BLANCO HDPE- CON TAPA DE POLIPROPILENO (PP) CON ANILLO DE INVIOLABILIDAD Y CÁPSULA DESECANTE DE SILICA GEL X 30 CAPSULAS</t>
  </si>
  <si>
    <t>EXELTIS S. A.S.</t>
  </si>
  <si>
    <t>TAMSULOSINA Y DUTASTERIDA</t>
  </si>
  <si>
    <t>G04CA52</t>
  </si>
  <si>
    <t>row-nskr-wbzx~3zzn</t>
  </si>
  <si>
    <t>1O1044511000138</t>
  </si>
  <si>
    <t>GAS (COLOR DEL CILINDRO BLANCO) CILINDRO EN ACERO POR 9.273 METROS CÚBICOS (M3)</t>
  </si>
  <si>
    <t>row-w45b_87wc-ryr3</t>
  </si>
  <si>
    <t>MERCK SANTE S.A.S. (SEMIELABORADO)</t>
  </si>
  <si>
    <t>INVIMA 2021M-000678-R3</t>
  </si>
  <si>
    <t>GLUCOPHAGE 850 MG</t>
  </si>
  <si>
    <t>CAJA POR 20 TABLETAS EN BLISTER PVC/ALUMINIO AMBAR. USO INSTITUCIONAL</t>
  </si>
  <si>
    <t>TABLETA LACADA</t>
  </si>
  <si>
    <t>row-r9j4.u7g3-6hhz</t>
  </si>
  <si>
    <t>INVIMA 2022M-001870-R5</t>
  </si>
  <si>
    <t>ADOREM® JARABE NIÑOS</t>
  </si>
  <si>
    <t>FRASCO DE PET ÁMBAR Y TAPA PLÁSTICA BLANCA POR 90 ML.</t>
  </si>
  <si>
    <t>row-sdcj_92et.cxat</t>
  </si>
  <si>
    <t>ACIDO CLAVULANICO (CLAVULANATO DE POTASIO EQUIVALENTE A 1140 MG DE ACIDO CLAVULANICO)</t>
  </si>
  <si>
    <t>LABORATÓRIOS ATRAL S.A.</t>
  </si>
  <si>
    <t>2A1003601005101</t>
  </si>
  <si>
    <t>INVIMA 2020M-0019667</t>
  </si>
  <si>
    <t>AMOXIDAL® PLUS POLVO PARA SUSPENSIÓN ORAL.</t>
  </si>
  <si>
    <t>-MUESTRA MÉDICA: CAJA CON FRASCO CON POLVO PARA RECONSTRUIR A SUSPENSIÓN POR 60 ML CON CUCHARA DOSIFICADORA Y PROSPECTO (FRASCO DE VIDRIO TIPO III COLOR ÁMBAR. TAPA DE POLIETILENO DE ALTA DENSIDAD. CUCHARITA DE POLIPROPILENO GRADUADA E INCOLORA Y TRANSPARENTE. ACONDICIONADO EN ESTUCHE DE CARTULINA).SIN DATO(IUM: 2A1003601005101)</t>
  </si>
  <si>
    <t>SUSPENSIÓN ORAL</t>
  </si>
  <si>
    <t>row-wy6i_6vkb.ngtj</t>
  </si>
  <si>
    <t>PENICILINA G BENZATINICA 2.0G EQUIVALENTE ABENCILPENICILINA BENZATÍNICA</t>
  </si>
  <si>
    <t>DISTRIBUIDORA SICMAFARMA S.A.S</t>
  </si>
  <si>
    <t>INVIMA 2020M-0014285-R1</t>
  </si>
  <si>
    <t>CAJA PLEGADIZA CON 20 VIALES DE VIDRIO TRANSPARENTE TIPO II. CON TAPÓN DE CAUCHO DE BUTILO Y TAPA PLÁSTICA TIPO FLIP OFF CON AGRAFE DE ALUMINIO</t>
  </si>
  <si>
    <t>MUI</t>
  </si>
  <si>
    <t>row-67yh~vwf8-q8j3</t>
  </si>
  <si>
    <t>OLMESARTAN MEDOXOMIL</t>
  </si>
  <si>
    <t>INVIMA 2020M-0015402-R1</t>
  </si>
  <si>
    <t>OLBERTAN® 20/12.5 MG/TAB</t>
  </si>
  <si>
    <t>MUESTRA MEDICA:SIN DATOCAJA X 2 TABLETAS RECUBIERTAS EN BLISTER PVC TRANSPARENTE - ALUMINIO IMPRESO X 2 TABLETAS CADA UNO.</t>
  </si>
  <si>
    <t>OLMERSARTAN MEDOXOMIL Y DIURETICOS</t>
  </si>
  <si>
    <t>C09DA08</t>
  </si>
  <si>
    <t>row-2krh~9zcc_73mr</t>
  </si>
  <si>
    <t>NOVO NORDISK A/S (FABRICANTE DEL PRINCIPIO ACTIVO)</t>
  </si>
  <si>
    <t>5 CARTUCHO DE 3 ML HECHO DE VIDRIO (TIPO I) SISTEMA DE CERRADO DE GOMA BROMOBUTIL - EMBOLO Y UN TAPON CON BROMOBUTIL/POLIISOPREN</t>
  </si>
  <si>
    <t>row-bpsb_58bu.qx9c</t>
  </si>
  <si>
    <t>BOEHRINGER INGELHEIM S A</t>
  </si>
  <si>
    <t>INVIMA 2020M-0013446-R1</t>
  </si>
  <si>
    <t>TRAYENTA ® DUO 2.5MG/850MG TABLETAS RECUBIERTAS</t>
  </si>
  <si>
    <t>CAJA POR 14 TABLETAS RECUBIERTASSIN DATOEN BLISTERSIN DATOALUMINIO/PVC/PCTFE/PVC</t>
  </si>
  <si>
    <t>TABLETA RECUBIERTA ANARANJADAS</t>
  </si>
  <si>
    <t>row-6psz.9y8g_53xk</t>
  </si>
  <si>
    <t>AMLODIPINO (COMO BESILATO)</t>
  </si>
  <si>
    <t>INVIMA 2017M-0017785</t>
  </si>
  <si>
    <t>RACORVAL A 160/5 MG TABLETAS RECUBIERTAS</t>
  </si>
  <si>
    <t>CAJA POR 7 TABLETAS RECUBIERTAS EN BLISTER PVC/ACLAR/ALUMINIO MUESTRA MEDICA</t>
  </si>
  <si>
    <t>row-cdqp~2wut.hayw</t>
  </si>
  <si>
    <t>ALGINATO DE SODIO</t>
  </si>
  <si>
    <t>INVIMA 2010M-0010777</t>
  </si>
  <si>
    <t>GAVISCON ® LIQUIDO SUSPENSION ORAL</t>
  </si>
  <si>
    <t>FRASCO DE VIDRIO AMBAR CON TAPA EN PP POR 600</t>
  </si>
  <si>
    <t>POR CADA 100 ML DE SUSPENSIÓN</t>
  </si>
  <si>
    <t>% (W/V)</t>
  </si>
  <si>
    <t>row-grdy_giz7-h3jj</t>
  </si>
  <si>
    <t>INVIMA 2021M-0016342-R1</t>
  </si>
  <si>
    <t>ETORICOXIB 120 MG TABLETAS RECUBIERTAS.</t>
  </si>
  <si>
    <t>CAJA POR 14 TABLETAS RECUBIERTAS EN 2 BLÍSTER PVC /PVDC TRANSPARENTE/ ALUMINIO X 7 TABLETAS RECUBIERTAS.</t>
  </si>
  <si>
    <t>row-9z5w.p6ne~3ezg</t>
  </si>
  <si>
    <t>USO INSTITUCIONAL: CAJA PLEGADIZA POR 14 TABLETAS RECUBIERTAS. EN BLISTER PVC/ALU POR 7 TABLETAS RECUBIERTAS CADA UNO</t>
  </si>
  <si>
    <t>row-y6xf.dmgs-yhha</t>
  </si>
  <si>
    <t>MEBEVERINA CLORHIDRATO</t>
  </si>
  <si>
    <t>2M1017981000103</t>
  </si>
  <si>
    <t>INVIMA 2019M-0018732</t>
  </si>
  <si>
    <t>ARLUY DUO</t>
  </si>
  <si>
    <t>MUESTRA MÉDICA: 2M1017981000103: CAJA PLEGADIZA CON 10 CÁPSULAS BLANDAS EN UN BLÍSTER PVC/PCTFE (ACLAR) CRISTAL CON UV / ALUMINIO X 10 CÁPSULAS BLANDAS.</t>
  </si>
  <si>
    <t>row-m759~xjir~2fza</t>
  </si>
  <si>
    <t>PLEGADIZASIN DATOXSIN DATO20SIN DATOSOBRESSIN DATOLAMINADOSSIN DATO(BOPP +ALUMINIO + RESINA DE SELLE) X 15 GSIN DATOCADA UNO</t>
  </si>
  <si>
    <t>row-y32s~tunk-qyab</t>
  </si>
  <si>
    <t>CAJA POR 15 TABLETAS BLÍSTER ALUMINIO PVC/PVDC BLANCO</t>
  </si>
  <si>
    <t>row-eiys_v9ck-d9ii</t>
  </si>
  <si>
    <t>PROTEINA DE PLASMA HUMANO CON AL MENOS 95% DE ALBUMINA</t>
  </si>
  <si>
    <t>KEDRION S.P.A.</t>
  </si>
  <si>
    <t>INVIMA 2023MB-0006649-R2</t>
  </si>
  <si>
    <t>UMAN ALBUMIN200G/L</t>
  </si>
  <si>
    <t>CAJA CON FRASCO VIAL DE VIDRIO TIPO II POR 50 ML. CON TAPON DE CAUCHO DE HALOBUTILO</t>
  </si>
  <si>
    <t>VIAL DE 50 ML</t>
  </si>
  <si>
    <t>ALBUMINA</t>
  </si>
  <si>
    <t>B05AA01</t>
  </si>
  <si>
    <t>row-ga8i-hmbq.r53p</t>
  </si>
  <si>
    <t>INVIMA 2020M-011320-R2</t>
  </si>
  <si>
    <t>ADVIL® CHILDREN SUSPENSION ORAL PARA NIÑOS</t>
  </si>
  <si>
    <t>MUESTRA MÉDICA: CAJA CON 1 FRASCO DE POLIPROPILENO POR 100 ML CON LINER ALTERNATIVO DE POLIÉSTER</t>
  </si>
  <si>
    <t>row-fkgj~cx8c-qd4p</t>
  </si>
  <si>
    <t>INVIMA 2016M-0017169</t>
  </si>
  <si>
    <t>SUPREFLUX® FORTE SUSPENSION</t>
  </si>
  <si>
    <t>USO INSTITUCIONAL: CAJA POR 6 SACHET DE POLIESTER TRANSPARTENTE/ POLIESTER METALIZADO CON COEXTRUIDO ESPECIAL POR 10 ML CADA UNO</t>
  </si>
  <si>
    <t>row-78ww.h5ms.s53b</t>
  </si>
  <si>
    <t>SIEGFRIED BARBERA S.L</t>
  </si>
  <si>
    <t>2A1047961000100</t>
  </si>
  <si>
    <t>CAJA POR 28 TABLETAS CUBIERTAS CON PELÍCULA. EN BLISTER ALUMINIO-(PA/AL/PVC) POR 7 TABLETAS CADA UNO.</t>
  </si>
  <si>
    <t>row-6htu.2srz-ny7b</t>
  </si>
  <si>
    <t>A. MENARINI MANUFACTURING LOGISTICS AND SERVICES S R L</t>
  </si>
  <si>
    <t>MUESTRA MEDICA CAJA CON UN TUBO DE ALUMINIO RECUBIERTO POR BARNIZ DE RESINAS EPOXICAS FENOLICAS CON TAPA DE POLIETILENO POR 50G</t>
  </si>
  <si>
    <t>row-yrvn.ffm3~utr7</t>
  </si>
  <si>
    <t>GENERICO: CAJA POR 30 TABLETAS RECUBIERTAS. EN BLÍSTER PVC ÁMBAR- ALUMINIO. POR 10 TABLETAS CADA BLÍSTER.</t>
  </si>
  <si>
    <t>row-g3im-vgqf~e4an</t>
  </si>
  <si>
    <t>INVIMA 2014M-0015531</t>
  </si>
  <si>
    <t>JANUMET XR 100/1000MG TABLETAS RECUBIERTAS DE LIBERACION PROLONGADA</t>
  </si>
  <si>
    <t>FRASCO DE HDPE POR 90 TABLETAS RECUBIERTAS DE LIBERACIÓN PROLONGADA (EL FRASCO INCLUYE UN SOBRE CON SILICA GEL).</t>
  </si>
  <si>
    <t>row-g86h-sb4a.bc7k</t>
  </si>
  <si>
    <t>PROPANOLOL CLORHIDRATO</t>
  </si>
  <si>
    <t>INVIMA 2007M-0007474</t>
  </si>
  <si>
    <t>PROPRANOLOL 40 MG TABLETAS</t>
  </si>
  <si>
    <t>PRESENTACIÓN USO INSTITUCIONAL: CAJA POR 300 TABLETAS EN BLÍSTER PVC ÁMBAR / FOIL ALUMINIO. BLÍSTER POR 10 O 15 TABLETAS CADA UNO.</t>
  </si>
  <si>
    <t>PROPRANOLOL</t>
  </si>
  <si>
    <t>C07AA05</t>
  </si>
  <si>
    <t>row-sw32-6w9x~6f2v</t>
  </si>
  <si>
    <t>VITAMINA D3 4.0 MG EQUIVALENTES A VITAMINA D</t>
  </si>
  <si>
    <t>CAJA X 30 SOBRES DE TRILAMINADO BOPP/ALUMINIO/PE. CON 5 G DE POLVO EFERVESCENTE PARA SOLUCIÓN ORAL CADA UNO.</t>
  </si>
  <si>
    <t>row-7pnn_z449-57nv</t>
  </si>
  <si>
    <t>POTE EN POLIESTIRENO COLORSIN DATOBLANCO IMPRESO POR 50G.</t>
  </si>
  <si>
    <t>row-532i~zsz7_kkh7</t>
  </si>
  <si>
    <t>VITAMINA D3 SECA TIPO 100 CWS 4MG (0.01MG DE COLECALCIFEROL ) EQUIVALENTE A VITAMINA D3 ( DL-ALFA TOCOFEROL 0.2%. VITAMINA D3 CRISTALINA 0.25%. ACEITE DE SOYA PARCIALMENTE HIDROGENADO 7.5%.GELATINA DE VACA HIDROLIZADA 38%. ALMIDON DE MAIZ 16.05%. SUCROSA 38%)</t>
  </si>
  <si>
    <t>INVIMA 2021M-0013771-R1</t>
  </si>
  <si>
    <t>CALTRATE® 600 + D</t>
  </si>
  <si>
    <t>PRESENTACION TIPO PREPACK:SIN DATOX 120 TABLETAS: (FRASCOSIN DATOHPDE COLOR BLANCO X 60 TABLETAS + FRASCOSIN DATOHPDE COLOR BLANCO X 60 TABLETAS)</t>
  </si>
  <si>
    <t>row-kcrk~gpws-bu8e</t>
  </si>
  <si>
    <t>FRASCO DE PP CON MOLDEADO HEXAGONAL Y CIERRE FLIP-TOP DE PP 28 MM Y FUNDA DE PET. POR 400 ML DE SOLUCIÓN ORAL SABOR A UVA.</t>
  </si>
  <si>
    <t>row-t255.tmmv~fksh</t>
  </si>
  <si>
    <t>MSD INTERNATIONAL GMBH (PUERTO RICO BRANCH) LLC</t>
  </si>
  <si>
    <t>INSTITUCIONALES: FRASCO DE HDPE POR 180 TABLETAS RECUBIERTAS DE LIBERACIÓN PROLONGADA (EL FRASCO INCLUYE UN SOBRE CON SILICA GEL).</t>
  </si>
  <si>
    <t>row-eej7_5dhx~w83x</t>
  </si>
  <si>
    <t>ABBVIE DEUTSCHLAND GMBH &amp; CO. KG</t>
  </si>
  <si>
    <t>INVIMA 2015 M-004902-R3</t>
  </si>
  <si>
    <t>RYTMONORM® 150 MG TABLETAS</t>
  </si>
  <si>
    <t>CAJA POR 60 TABLETAS RECUBIERTAS EN BLISTERSIN DATOPVC/PVDC/ALUMINIO</t>
  </si>
  <si>
    <t>row-swwg~cqsv_a99r</t>
  </si>
  <si>
    <t>ESCITALOPRAM OXALATO 25.54 MG EQUIVALENTE A ESCITALOPRAM</t>
  </si>
  <si>
    <t>INVIMA 2021M-0013831-R1</t>
  </si>
  <si>
    <t>ZEPAX® 20 MG TABLETAS RECUBIERTAS</t>
  </si>
  <si>
    <t>CAJA POR 30 TABLETAS RECUBIERTAS EN BLISTER PVC/PCTFE - ALUMINIO</t>
  </si>
  <si>
    <t>row-yje2-k9br-rmw3</t>
  </si>
  <si>
    <t>CLORHIDRATO DE PAZOPANIB 216.7 MG EQUIVALENTE A DE PAZOPANIB BASE</t>
  </si>
  <si>
    <t>INVIMA 2022M-0012405-R2</t>
  </si>
  <si>
    <t>VOTRIENT® 200 MG</t>
  </si>
  <si>
    <t>USO INSTITUCIONAL:SIN DATOCAJA POR 30 TABLETAS RECUBIERTS EN FRASCO DESIN DATOPOLIETILENO DE ALTA DENSIDAD (HDRE).</t>
  </si>
  <si>
    <t>PAZOPANIB</t>
  </si>
  <si>
    <t>L01XE11</t>
  </si>
  <si>
    <t>row-zf9r-bfbq_vp8f</t>
  </si>
  <si>
    <t>SACHETS DE 10.34 G PARA RECONSTITUIR EN 500 ML SABOR MANDARINA</t>
  </si>
  <si>
    <t>row-rrhi-ee96.p6a4</t>
  </si>
  <si>
    <t>CAJA X 1 FRASCO DE PEBD POR 10 ML .</t>
  </si>
  <si>
    <t>row-5qrh~8rwp-rgfd</t>
  </si>
  <si>
    <t>INVIMA 2015M-0016704</t>
  </si>
  <si>
    <t>ALCADOL®GRIPA</t>
  </si>
  <si>
    <t>CAJA POR 30 CAPSULAS BLANDAS EN BLISTER PVC-PVDC TRANSPARENTE/ ALUMINIO POR 6 CAPSULAS</t>
  </si>
  <si>
    <t>row-t2ed.p8vv-3xyp</t>
  </si>
  <si>
    <t>FACTOR VIII RECOMBINANTE (OCTOCOG ALFA)</t>
  </si>
  <si>
    <t>INVIMA 2020MBT-0009158-R1</t>
  </si>
  <si>
    <t>ADVATE® 1000UI</t>
  </si>
  <si>
    <t>CAJA X 1 FRASCO-VIAL + SOLVENTE AGUA PARA INYECCIÓNSIN DATO5 ML+ 1 BAXJETII</t>
  </si>
  <si>
    <t>row-zvv3_bkcp~c674</t>
  </si>
  <si>
    <t>METIL SULFATO DE PRALIDOXIMA 3.225 MG EQUIVALENTE A PRALIDOXIMA</t>
  </si>
  <si>
    <t>CENEXI (FABRICANTE DEL SOLVENTE)</t>
  </si>
  <si>
    <t>INVIMA 2015M-0002968-R1</t>
  </si>
  <si>
    <t>CONTRATHION® 2%</t>
  </si>
  <si>
    <t>CAJA POR 10 FRASCOS DE POLVO LIOFILIZADO DE VIDRIO INCOLORO TIPO II CON TAPÓN DE ELASTÓMERO Y 10 AMPOLLAS DE SOLVENTE DE VIDRIO INCOLORO TIPO I POR 10 ML.</t>
  </si>
  <si>
    <t>FRASCO DE LIOFILIZADO</t>
  </si>
  <si>
    <t>LABORATORIOS SERB</t>
  </si>
  <si>
    <t>PRALIDOXIMA</t>
  </si>
  <si>
    <t>V03AB04</t>
  </si>
  <si>
    <t>row-4abk_artj_442n</t>
  </si>
  <si>
    <t>CAJA POR 30 TABLETAS EN BLISTER DE PVDC/ALU</t>
  </si>
  <si>
    <t>row-2iy7~usci_shuv</t>
  </si>
  <si>
    <t>ASCORBATO DE SODIO (VITAMINA C) ( EQUIVALENTE A 1.00 MG DE ACIDO ASCORBICO)</t>
  </si>
  <si>
    <t>RSM-EXP-20220005495-R2</t>
  </si>
  <si>
    <t>PRENAVIT</t>
  </si>
  <si>
    <t>CAJAS X 30 CAPSULASBLANDAS EN BLISTER POR 10 CAPSULAS CADA UNO.</t>
  </si>
  <si>
    <t>CÁPSULA BLANDA.</t>
  </si>
  <si>
    <t>row-xif3_2xdz_ig4r</t>
  </si>
  <si>
    <t>INVIMA 2008 M-011842 R-1</t>
  </si>
  <si>
    <t>TRAMADOL CLORHIDRATO SOLUCION 10% GOTAS</t>
  </si>
  <si>
    <t>FRASCO GOTERO PLASTICO POR 10 ML</t>
  </si>
  <si>
    <t>UN MILILITRO</t>
  </si>
  <si>
    <t>LABORATORIOS RICHMOND COLOMBIA S.A.S.</t>
  </si>
  <si>
    <t>principio_activo_normalizado</t>
  </si>
  <si>
    <t>EXCESO</t>
  </si>
  <si>
    <t>INSULINA DETEMIR</t>
  </si>
  <si>
    <t>DEXTROSA</t>
  </si>
  <si>
    <t>DEXAMETASONA SODICA FOSFATO, DEXAMETASONA FOSFATO</t>
  </si>
  <si>
    <t>DEXAMETASONA SODIO FOSFATO, MGEQUIVALENTE A DEXAMETASONAFOSFATO</t>
  </si>
  <si>
    <t>-TIROSINA</t>
  </si>
  <si>
    <t>AMLODIPINO BESILATO, MGEQUIVALENTE A AMLODIPINO</t>
  </si>
  <si>
    <t>-ACIDO GLUTAMICO</t>
  </si>
  <si>
    <t>TAZOBACTAMSODICO, EQUIVALENTE ATAZOBACTAM</t>
  </si>
  <si>
    <t>ALCOHOL ETILICO GL</t>
  </si>
  <si>
    <t>LEVOFLOXACINA CLORHIDRATO</t>
  </si>
  <si>
    <t>PIPERACILINASODICA, GEQUIVALENTE A PIPERACILINABASE</t>
  </si>
  <si>
    <t>DABIGATRAN ETEXILATO MESILATO, MGEQUIVALENTE A DABIGATRAN ETEXILATO</t>
  </si>
  <si>
    <t>ROSUVASTATINA CALCICA, EQUIVALENTES A ROSUVASTATINA</t>
  </si>
  <si>
    <t>VITAMINA K</t>
  </si>
  <si>
    <t>DICLOXACILINA SODICA, MGEQUIVALENTE ADICLOXACILINA</t>
  </si>
  <si>
    <t>LINCOMICINA CLORHIDRATO MONOHIDRATO</t>
  </si>
  <si>
    <t>HEPARINA SODICA</t>
  </si>
  <si>
    <t>ACIDO ASPARTICO</t>
  </si>
  <si>
    <t>PANCREATINA</t>
  </si>
  <si>
    <t>ROSUVASTATINA CALCICA, ROSUVASTATICA</t>
  </si>
  <si>
    <t>-PROLINA</t>
  </si>
  <si>
    <t>MONTELUKAST SODICO, MGEQUIVALENTE A MONTELUKAST</t>
  </si>
  <si>
    <t>ATORVASTATINA CALCICA, EQUIVALENTE AATORVASTATINA</t>
  </si>
  <si>
    <t>DEXMEDETOMIDINA CLORHIDRATO, EQUIVALENTES A DEXMEDETOMIDINA</t>
  </si>
  <si>
    <t>SULTAMICILINA TOSILATO</t>
  </si>
  <si>
    <t>ALIZAPRIDA CLORHIDRATO, MGEQUIVALENTE A ALIZAPRIDA</t>
  </si>
  <si>
    <t>SOLUCION CIANOCOBALAMINA</t>
  </si>
  <si>
    <t>AMLODIPINO BESILATO, CORRESPONDE AMLODIPINO</t>
  </si>
  <si>
    <t>SILDENAFILO CITRATO, MGEQUIVALENTE A SILDENAFILO</t>
  </si>
  <si>
    <t>RP -</t>
  </si>
  <si>
    <t>LACTOBACILLUS LB CEPA LACTEOL DEMEDIODE CULTIVO FERMENTADO</t>
  </si>
  <si>
    <t>OXIGENO, -</t>
  </si>
  <si>
    <t>-ALANINA</t>
  </si>
  <si>
    <t>ACIDO ASCORBICO</t>
  </si>
  <si>
    <t>PIPERACILINA SODICA, GRAMOS EQUIVALENTES A PIPELACILINA</t>
  </si>
  <si>
    <t>POLIETILENGLICOL</t>
  </si>
  <si>
    <t>NISTATINA</t>
  </si>
  <si>
    <t>AMLODIPINO BESILATO, EQUIVALENTES A AMLODIPINO</t>
  </si>
  <si>
    <t>DABIGATRAN ETEXILATO MESILATO, EQUIVALENTE DABIGATRAN ETEXILATO</t>
  </si>
  <si>
    <t>IMATINIB MESILATO</t>
  </si>
  <si>
    <t>-ARGININA</t>
  </si>
  <si>
    <t>METOPROLOL SUCCINATO, METOPROLOL TARTRATO</t>
  </si>
  <si>
    <t>-TRIPTOFANO</t>
  </si>
  <si>
    <t>ATORVASTATINA CALCICA EQUIVALENTE AATORVASTATINA</t>
  </si>
  <si>
    <t>-ISOLEUCINA</t>
  </si>
  <si>
    <t>POLIETILENGLICOL NF</t>
  </si>
  <si>
    <t>-SERINA</t>
  </si>
  <si>
    <t>CINITAPRIDA TARTRATO ACIDO, MGEQUIVALENTE A CINITAPRIDA</t>
  </si>
  <si>
    <t>NICOTINAMIDA</t>
  </si>
  <si>
    <t>CLINDAMICINA FOSFATO</t>
  </si>
  <si>
    <t>NADROPARINA CALCICA</t>
  </si>
  <si>
    <t>-HISTIDINA</t>
  </si>
  <si>
    <t>AMLODIPINO BESILATO, EQUIVALENTE AAMLODIPINO</t>
  </si>
  <si>
    <t>SOLUCION TIAMINA CLORHIDRATO</t>
  </si>
  <si>
    <t>VITAMINA D</t>
  </si>
  <si>
    <t>TOLTERODINA - TARTRATO</t>
  </si>
  <si>
    <t>MONTELUKAST MONOSODICO</t>
  </si>
  <si>
    <t>ACIDOS GRASOS OMEGA</t>
  </si>
  <si>
    <t>PAROXETINA CLORHIDRATO</t>
  </si>
  <si>
    <t>VITAMINA B</t>
  </si>
  <si>
    <t>DL-ALFATOCOFERIL ACETATO VITAMINA E SINTETICA</t>
  </si>
  <si>
    <t>PRAMIPEXOL DICLORHIDRATO</t>
  </si>
  <si>
    <t>MISOPROSTOL EQUIVALENTE AMISOPROSTOL</t>
  </si>
  <si>
    <t>AMLODIPINO BESILATO, MGEQUIVALENTE A AMOLODIPINO</t>
  </si>
  <si>
    <t>DEXKETOPROFENO TROMETAMOL</t>
  </si>
  <si>
    <t>TRAMETINIB DIMETILSULFOXIDO</t>
  </si>
  <si>
    <t>CLINDAMICINA FOSFATO, MGEQUIVALENTE A CLINDAMICINA</t>
  </si>
  <si>
    <t>DIVALPROATO SODICO</t>
  </si>
  <si>
    <t>-TREONINA</t>
  </si>
  <si>
    <t>SEVELAMERO CARBONATO</t>
  </si>
  <si>
    <t>DICLOFENACO DIETILAMINA, EQUIVALENTE ADICLOFENACO SODICO</t>
  </si>
  <si>
    <t>FINGOLIMOD CLORHIDRATO, FINGOLIMOB</t>
  </si>
  <si>
    <t>-CAFEINA</t>
  </si>
  <si>
    <t>GLUCOSA MONOHIDRATADA, GDE GLUCOSA</t>
  </si>
  <si>
    <t>CEFADROXILO, CEFDROXILO</t>
  </si>
  <si>
    <t>VITAMINA D SECA TIPOP CWS</t>
  </si>
  <si>
    <t>SIMETICONA EQUIVALENTES A DIMETICONA</t>
  </si>
  <si>
    <t>SILDENAFILO CITRATO, EQUIVALENTES A SILDENAFILO</t>
  </si>
  <si>
    <t>CAFEINA USP</t>
  </si>
  <si>
    <t>OLOPATADINA CLORHIDRATO</t>
  </si>
  <si>
    <t>ACIDO TIOCTICO</t>
  </si>
  <si>
    <t>METAMIZOL SODICO</t>
  </si>
  <si>
    <t>SACUBITRILO SODICO</t>
  </si>
  <si>
    <t>DALTEPARINA SODICA</t>
  </si>
  <si>
    <t>METOCLOPRAMIDA CLORHIDRATO</t>
  </si>
  <si>
    <t>DL- ALFATOCOFEROL ACETATO</t>
  </si>
  <si>
    <t>SIMETICONA EMULSIONADA, EQUIVALNETE A DIMETILPOLISILOXANO</t>
  </si>
  <si>
    <t>ERITROPOYETINA HUMANA RECOMBINANTE</t>
  </si>
  <si>
    <t>DEXAMETASONA FOSFATO SODICO, MGEQUIVALENTE A DEXAMETASONA</t>
  </si>
  <si>
    <t>PROTEINAS PLASMA HUMANO</t>
  </si>
  <si>
    <t>CARBOXIMETILCISTEINA</t>
  </si>
  <si>
    <t>ROSUVASTATINA CALCICA</t>
  </si>
  <si>
    <t>PIRITINOL DICLORHIDRATRO</t>
  </si>
  <si>
    <t>ALCOHOL BENCILICO</t>
  </si>
  <si>
    <t>TAVOPROST</t>
  </si>
  <si>
    <t>MICOFENATO SODICO, ACIDO MICOFENOLICO</t>
  </si>
  <si>
    <t>PANTOPRAZOL SODICO</t>
  </si>
  <si>
    <t>NEOMICINA SULFATO EQ, A NEOMICINA</t>
  </si>
  <si>
    <t>-VALINA</t>
  </si>
  <si>
    <t>PAROXETINACLORHIDRATO HEMIDRATO, EQUIVALENTE APAROXETINABASE</t>
  </si>
  <si>
    <t>DICLOFENACO RESINATO, DICLOFENACO POTASICO</t>
  </si>
  <si>
    <t>-METIONINA</t>
  </si>
  <si>
    <t>CLOPIDOGREL BISULFATO, CLOPIDROGEL</t>
  </si>
  <si>
    <t>-GLICINA</t>
  </si>
  <si>
    <t>AGUA ESTERIL APIROGENA</t>
  </si>
  <si>
    <t>ESCITALOPRAM OXALATO, MGEQUIVALENTE A ESCITALOPRAM</t>
  </si>
  <si>
    <t>ONDANSETRON CLORHIDRATO, EQUIVALENTE AONDANSETRON</t>
  </si>
  <si>
    <t>PERINDOPRIL QUE CORRESPONDEN A PERINDOPRIL ARGININA</t>
  </si>
  <si>
    <t>VITAMIN E CAPSULAS BLANDAS</t>
  </si>
  <si>
    <t>PROTEINA S ENTRE -</t>
  </si>
  <si>
    <t>FACTOR VIII RECOMBINANTE</t>
  </si>
  <si>
    <t>OXIDO NITRICO PPM</t>
  </si>
  <si>
    <t>BETAMETASONA FOSFATO DISODICO</t>
  </si>
  <si>
    <t>ACIDO CLAVULANICO</t>
  </si>
  <si>
    <t>LACTATO SODIO</t>
  </si>
  <si>
    <t>VIRUSDE POLIO INACTIVADO TIPO</t>
  </si>
  <si>
    <t>FOSFATO SODICO DEXAMETASONA, FOSFATO DEXAMETASONA</t>
  </si>
  <si>
    <t>CLORHIDRATO DIFENHIDRAMINA</t>
  </si>
  <si>
    <t>LEVOFLOXACINO</t>
  </si>
  <si>
    <t>CITRATO SODIO</t>
  </si>
  <si>
    <t>CLORURO CETILPIRIDINIO</t>
  </si>
  <si>
    <t>FOSFATO SODIO DIHIDROGENO</t>
  </si>
  <si>
    <t>ACIDO ASCORBICO, VITAMINA C</t>
  </si>
  <si>
    <t>CLORURO POTASIO</t>
  </si>
  <si>
    <t>ESTERES ETILICOS ACIDOS GRASOS YODADOS YODADOS ACEITE ADORMIDERA EQUIVALENTES A YODO</t>
  </si>
  <si>
    <t>STREPTOCOCCUS PNEUMONIAE TIPO</t>
  </si>
  <si>
    <t>CETAMINOFEN -</t>
  </si>
  <si>
    <t>CLORHIDRATO FENILEFRINA</t>
  </si>
  <si>
    <t>MOSAPRIDA CITRATO</t>
  </si>
  <si>
    <t>ASCORBATO SODIO, ACIDO ASCORBICO</t>
  </si>
  <si>
    <t>HIDROXIDO ALUMINIO</t>
  </si>
  <si>
    <t>CITRATO POTASIO</t>
  </si>
  <si>
    <t>ACETATO SODIO</t>
  </si>
  <si>
    <t>VILANTEROL</t>
  </si>
  <si>
    <t>IOPAMIDOL, YODO</t>
  </si>
  <si>
    <t>SIMETICONA EN POLVO AL</t>
  </si>
  <si>
    <t>BROMURO PINAVERIO</t>
  </si>
  <si>
    <t>C, D</t>
  </si>
  <si>
    <t>CITRATO POTASIOMONOHIDRATADO</t>
  </si>
  <si>
    <t>GASTRORESISTENTES ESOMEPRAZOL MAGNESICO</t>
  </si>
  <si>
    <t>CAMARA SOLUCION AMINOACIDOS -ALANINA</t>
  </si>
  <si>
    <t>CARBONATO MAGNESIO LIVIANO</t>
  </si>
  <si>
    <t>N-BUTILBROMURO HIOSINA</t>
  </si>
  <si>
    <t>ATORVASTATINA</t>
  </si>
  <si>
    <t>N- BUTIL BROMURO HIOSCINA</t>
  </si>
  <si>
    <t>VITAMINA C TOTAL ACIDO ASCORBICO</t>
  </si>
  <si>
    <t>D, NAPROXENO</t>
  </si>
  <si>
    <t>CLAVULANATO POTASIO, ACIDO CLAVULANICO</t>
  </si>
  <si>
    <t>BICARBONATO SODIO</t>
  </si>
  <si>
    <t>PIRIDOXINA CLORHIDRATO, VITAMINA B</t>
  </si>
  <si>
    <t>IODIXANOL, YODO</t>
  </si>
  <si>
    <t>CITRATO ALVERINA</t>
  </si>
  <si>
    <t>PENICILINA EN FORMA PENICILINA BENZATINICA</t>
  </si>
  <si>
    <t>GLUCONATO ZINC USP</t>
  </si>
  <si>
    <t>OXALATO ESCITALOPRAM, MGEQUIVALENTE A ESCITALOPRAM</t>
  </si>
  <si>
    <t>LANSOPRAZOL, CON CUBIERTA ENTERICA</t>
  </si>
  <si>
    <t>GUAYACOLATO GLICERILO</t>
  </si>
  <si>
    <t>DECANOATO NANDROLONA</t>
  </si>
  <si>
    <t>-LISINA</t>
  </si>
  <si>
    <t>SIMETICONA EN POLVO, DIMETICONA</t>
  </si>
  <si>
    <t>CLORURO CALCIO</t>
  </si>
  <si>
    <t>ACIDO ASCORBICO EN, EQUIVALENTE AACIDO ASCORBICO, COMPOSICION ACIDO ASCORBICO, AZUCAR, GOMA LACA, ACIDO TARTARICO, TALCO, ALCOHOL ETILICO</t>
  </si>
  <si>
    <t>BOSUTINIB EQUIVALENTEBOSUTINIB</t>
  </si>
  <si>
    <t>FENTANILO</t>
  </si>
  <si>
    <t>BICARBONATO SODIO USP</t>
  </si>
  <si>
    <t>CLORURO SODIO</t>
  </si>
  <si>
    <t>PAMOATO PIRANTEL</t>
  </si>
  <si>
    <t>ESOMEPRAZOL ESOMEPRAZOL MAGNESICO TRIHIDRATADOMICROGRANULOSEQUIVALENTE AESOMEPRAZOL</t>
  </si>
  <si>
    <t>BROMURO ROCURONIO</t>
  </si>
  <si>
    <t>LISINA</t>
  </si>
  <si>
    <t>CARBONATO CALCIO PRECIPITADO LIVIANO, ION CALCIO</t>
  </si>
  <si>
    <t>CADA MILILITRO CONTIENE, GLARGINA</t>
  </si>
  <si>
    <t>STREPTOCOCCUS PNEUMONIAE TIPO B</t>
  </si>
  <si>
    <t>OXIDO ZINC</t>
  </si>
  <si>
    <t>FOSAPREPITANT</t>
  </si>
  <si>
    <t>PARACETAMOL, ALMIDON PREGELATINIZADO, POVIDONA, ALMIDON GLICOLATO SODIO, METILPARABENO, PROPILPARABENO, ACIDO ESTEARICO</t>
  </si>
  <si>
    <t>POLISACARIDO NEISSERIA MENINGITIDISGRUPO W-</t>
  </si>
  <si>
    <t>PUREZA, CADA M, GASEOSO, CADA LITRO OXIGENO LIQUIDO ALMACENADO EN CONTENEDORES CRIOGENICOS, EQUIVALE A LITROS OXIGENO GA</t>
  </si>
  <si>
    <t>VORTIOXETINA BROMHIDRATO</t>
  </si>
  <si>
    <t>CARBONATO CALCIO EQUIVALENTEACALCIO</t>
  </si>
  <si>
    <t>TRIOXIDO ARSENICO</t>
  </si>
  <si>
    <t>RIVASTIGMINA PARA LIBERAR, HORAS</t>
  </si>
  <si>
    <t>GATIFLOXACINA</t>
  </si>
  <si>
    <t>DICLOFENACO COLESTIRAMINA, DICLOFENACO SODICO</t>
  </si>
  <si>
    <t>BUTILBROMURO HIOSCINA</t>
  </si>
  <si>
    <t>CAMARA EMULSION LIPIDICA ACEITE SOYA REFINADO</t>
  </si>
  <si>
    <t>POLISACARIDO MENINGOCOCICO CONJUGADO CON TOXOIDE DIFTERICO SEROGRUPO</t>
  </si>
  <si>
    <t>CLORHIDRATO</t>
  </si>
  <si>
    <t>CLORURO MAGNESIO HEXAHIDRATADO</t>
  </si>
  <si>
    <t>FRACCION FLAVONOIDE PURIFICADA MICRONIZADA</t>
  </si>
  <si>
    <t>ACEITE OLIVA REFINADO, ACEITE SOYA REFINADO</t>
  </si>
  <si>
    <t>S, ACETAMINOFEN</t>
  </si>
  <si>
    <t>GLUCONATO CLORHEXIDINA</t>
  </si>
  <si>
    <t>COLINA, ACIDO FENOFIBRICO</t>
  </si>
  <si>
    <t>TAZOBACTAM</t>
  </si>
  <si>
    <t>N-BUTIL BROMURO HIOSCINA</t>
  </si>
  <si>
    <t>RIBOFLAVINA, VITAMINA B</t>
  </si>
  <si>
    <t>MALEATO CLORFENIRAMINA</t>
  </si>
  <si>
    <t>VANCOMICINA CLORHIDRATO, VANCOMINA</t>
  </si>
  <si>
    <t>CARBONATO CALCIO</t>
  </si>
  <si>
    <t>HIALURONATO SODIO</t>
  </si>
  <si>
    <t>CLORURO MAGNESIO HEXAHIDRATADO USP</t>
  </si>
  <si>
    <t>COMPRESSO PPY AL EQUIVALENTE AFENAZOPIRIDINA, CLORHIDRATO</t>
  </si>
  <si>
    <t>EMULSION LIPIDICA ACEITE SOYA REFINADA, TRIGLICERIDOS CADENA MEDIA, ACEITE OLIVA REFINADO, ACEITE PESCADO RICO EN ACIDOS OMEGA-</t>
  </si>
  <si>
    <t>ACETATO ALUMINIO</t>
  </si>
  <si>
    <t>ASCORBATO SODIO</t>
  </si>
  <si>
    <t>CLORHIDRATO METFORMINA</t>
  </si>
  <si>
    <t>CLORHIDRATO MEBEVERINA</t>
  </si>
  <si>
    <t>IVABRADINA</t>
  </si>
  <si>
    <t>BESILATO AMLODIPINO, AMLOPINO</t>
  </si>
  <si>
    <t>GLUCONATO CLORHEXIDINA AL</t>
  </si>
  <si>
    <t>RIVASTIGMINA CON UNA LIBERACION NOMINAL, HORAS</t>
  </si>
  <si>
    <t>OXIDO ZINC, DEION ZINC</t>
  </si>
  <si>
    <t>PROPIONATO FLUTICASONA, POR DOSIS</t>
  </si>
  <si>
    <t>SULFATO MANGANESO</t>
  </si>
  <si>
    <t>POLISACARIDO NEISSERIA MENINGITIDIS GRUPO CONJUGADOS CON PROTEINA TRANSPORTADORA TOXOIDE TETANICO</t>
  </si>
  <si>
    <t>ACIDO CLAVULANICO, CLAVULANATO POTASIO</t>
  </si>
  <si>
    <t>MEGLUMINA</t>
  </si>
  <si>
    <t>ACETAMINOFEN AL EQUIVALENTE AACETAMINOFEN</t>
  </si>
  <si>
    <t>ESTRADIOL</t>
  </si>
  <si>
    <t>MOXIFLOXACINA CLORHIDRATO, MOXIFLOXACINABASE</t>
  </si>
  <si>
    <t>FLUORURO SODIO</t>
  </si>
  <si>
    <t>AL</t>
  </si>
  <si>
    <t>MICOFENOLATO MOFETILO</t>
  </si>
  <si>
    <t>ACETAMINOFEN GRANULADO</t>
  </si>
  <si>
    <t>SUBSALICILATO BISMUTO</t>
  </si>
  <si>
    <t>DICLORHIDRATO LEVOCETIRICINA</t>
  </si>
  <si>
    <t>ACEITE OLIVA REFINADO</t>
  </si>
  <si>
    <t>ACETATO INDACATEROL</t>
  </si>
  <si>
    <t>DICLOFENACO DIETILAMINA, DICLOFENACO SODICO</t>
  </si>
  <si>
    <t>SIMETICONA, DIMETICONA</t>
  </si>
  <si>
    <t>UNDECILENATO ZINC</t>
  </si>
  <si>
    <t>TRIGLICERIDOS CADENA MEDIA</t>
  </si>
  <si>
    <t>DL- ALFA TOCOFERIL ACETATO VITAMINAESINTETICA, VITAMINA E</t>
  </si>
  <si>
    <t>SALMETEROL</t>
  </si>
  <si>
    <t>CLORHIDRATO FEXOFENADINA</t>
  </si>
  <si>
    <t>CARBONATO CALCIO, EQUIVALENTES A CALCIO</t>
  </si>
  <si>
    <t>BETACAROTENO AL</t>
  </si>
  <si>
    <t>LEVO-AMLODIPINO</t>
  </si>
  <si>
    <t>CLONIXINATO LISINA</t>
  </si>
  <si>
    <t>IOHEXOL, YODO</t>
  </si>
  <si>
    <t>SULFATO MAGNESIO HEPTAHIDRATADO</t>
  </si>
  <si>
    <t>SULFADIAZINA PLATA</t>
  </si>
  <si>
    <t>CLORHIDRATO TAMSULOSINA</t>
  </si>
  <si>
    <t>PENICILINA BENZATINICA</t>
  </si>
  <si>
    <t>ALGINATO SODIO</t>
  </si>
  <si>
    <t>PROTEINA PLASMA HUMANO CON AL MENOS ALBUMINA</t>
  </si>
  <si>
    <t>es_combinacion_pa</t>
  </si>
  <si>
    <t>titular_normalizado</t>
  </si>
  <si>
    <t>tipo_titular</t>
  </si>
  <si>
    <t>categoria_atc</t>
  </si>
  <si>
    <t>estado_regulatorio_final</t>
  </si>
  <si>
    <t>vigencia_registro</t>
  </si>
  <si>
    <t>es_vigente</t>
  </si>
  <si>
    <t>segmento_mercado</t>
  </si>
  <si>
    <t>es_muestra_medica_flag</t>
  </si>
  <si>
    <t>tipo_producto_estimado</t>
  </si>
  <si>
    <t>stock_actual</t>
  </si>
  <si>
    <t>stock_minimo</t>
  </si>
  <si>
    <t>stock_maximo</t>
  </si>
  <si>
    <t>precio_referencia_cop</t>
  </si>
  <si>
    <t>costo_produccion_estimado</t>
  </si>
  <si>
    <t>demanda_mensual_estimada</t>
  </si>
  <si>
    <t>precio_proyectado</t>
  </si>
  <si>
    <t>participacion_mercado</t>
  </si>
  <si>
    <t>riesgo_regulatorio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</si>
</sst>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3" fontId="0" fillId="0" borderId="0" xfId="0" applyNumberFormat="1"/>
    <xf numFmtId="0" fontId="1" fillId="0" borderId="0" xfId="0" applyFont="1"/>
    <xf numFmtId="0" fontId="2" fillId="2"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F1BEF-CC08-4068-B9A3-43BC6A8C0FD8}">
  <dimension ref="D1:BA1101"/>
  <sheetViews>
    <sheetView tabSelected="1" topLeftCell="AJ1" zoomScale="70" zoomScaleNormal="70" workbookViewId="0">
      <selection activeCell="C16" sqref="C16"/>
    </sheetView>
  </sheetViews>
  <sheetFormatPr defaultRowHeight="14.5" x14ac:dyDescent="0.35"/>
  <cols>
    <col min="5" max="5" width="11.81640625" customWidth="1"/>
    <col min="34" max="34" width="31.7265625" customWidth="1"/>
  </cols>
  <sheetData>
    <row r="1" spans="4:53" x14ac:dyDescent="0.35">
      <c r="D1" t="s">
        <v>98</v>
      </c>
      <c r="E1" t="s">
        <v>0</v>
      </c>
      <c r="F1" t="s">
        <v>2</v>
      </c>
      <c r="G1" t="s">
        <v>99</v>
      </c>
      <c r="H1" t="s">
        <v>15</v>
      </c>
      <c r="I1" t="s">
        <v>9</v>
      </c>
      <c r="J1" t="s">
        <v>11</v>
      </c>
      <c r="K1" t="s">
        <v>19</v>
      </c>
      <c r="L1" t="s">
        <v>10</v>
      </c>
      <c r="M1" t="s">
        <v>18</v>
      </c>
      <c r="N1" t="s">
        <v>17</v>
      </c>
      <c r="O1" t="s">
        <v>8</v>
      </c>
      <c r="P1" t="s">
        <v>100</v>
      </c>
      <c r="Q1" t="s">
        <v>21</v>
      </c>
      <c r="R1" t="s">
        <v>12</v>
      </c>
      <c r="S1" t="s">
        <v>14</v>
      </c>
      <c r="T1" t="s">
        <v>16</v>
      </c>
      <c r="U1" t="s">
        <v>101</v>
      </c>
      <c r="V1" t="s">
        <v>20</v>
      </c>
      <c r="W1" t="s">
        <v>102</v>
      </c>
      <c r="X1" t="s">
        <v>13</v>
      </c>
      <c r="Y1" t="s">
        <v>3</v>
      </c>
      <c r="Z1" t="s">
        <v>103</v>
      </c>
      <c r="AA1" t="s">
        <v>4</v>
      </c>
      <c r="AB1" t="s">
        <v>104</v>
      </c>
      <c r="AC1" t="s">
        <v>5</v>
      </c>
      <c r="AD1" t="s">
        <v>105</v>
      </c>
      <c r="AE1" t="s">
        <v>6</v>
      </c>
      <c r="AF1" t="s">
        <v>1</v>
      </c>
      <c r="AG1" t="s">
        <v>7</v>
      </c>
      <c r="AH1" s="4" t="s">
        <v>6610</v>
      </c>
      <c r="AI1" t="s">
        <v>6859</v>
      </c>
      <c r="AJ1" t="s">
        <v>6860</v>
      </c>
      <c r="AK1" t="s">
        <v>6861</v>
      </c>
      <c r="AL1" t="s">
        <v>6862</v>
      </c>
      <c r="AM1" s="3" t="s">
        <v>6863</v>
      </c>
      <c r="AN1" s="3" t="s">
        <v>6864</v>
      </c>
      <c r="AO1" s="3" t="s">
        <v>6865</v>
      </c>
      <c r="AP1" s="3" t="s">
        <v>6866</v>
      </c>
      <c r="AQ1" s="3" t="s">
        <v>6867</v>
      </c>
      <c r="AR1" s="3" t="s">
        <v>6868</v>
      </c>
      <c r="AS1" s="3" t="s">
        <v>6869</v>
      </c>
      <c r="AT1" s="3" t="s">
        <v>6870</v>
      </c>
      <c r="AU1" s="3" t="s">
        <v>6871</v>
      </c>
      <c r="AV1" s="3" t="s">
        <v>6872</v>
      </c>
      <c r="AW1" s="3" t="s">
        <v>6873</v>
      </c>
      <c r="AX1" s="3" t="s">
        <v>6874</v>
      </c>
      <c r="AY1" s="3" t="s">
        <v>6875</v>
      </c>
      <c r="AZ1" s="3" t="s">
        <v>6876</v>
      </c>
      <c r="BA1" s="3" t="s">
        <v>6877</v>
      </c>
    </row>
    <row r="2" spans="4:53" x14ac:dyDescent="0.35">
      <c r="D2" t="s">
        <v>106</v>
      </c>
      <c r="E2" s="1">
        <v>41144</v>
      </c>
      <c r="F2" t="s">
        <v>107</v>
      </c>
      <c r="G2" t="s">
        <v>108</v>
      </c>
      <c r="H2" t="s">
        <v>109</v>
      </c>
      <c r="I2">
        <v>20048021</v>
      </c>
      <c r="J2" t="s">
        <v>110</v>
      </c>
      <c r="K2">
        <v>41</v>
      </c>
      <c r="L2" t="s">
        <v>27</v>
      </c>
      <c r="M2" t="s">
        <v>111</v>
      </c>
      <c r="N2" t="s">
        <v>112</v>
      </c>
      <c r="O2" t="s">
        <v>113</v>
      </c>
      <c r="P2" t="s">
        <v>33</v>
      </c>
      <c r="Q2" s="1">
        <v>42137</v>
      </c>
      <c r="R2" t="s">
        <v>33</v>
      </c>
      <c r="S2" t="s">
        <v>27</v>
      </c>
      <c r="T2" t="s">
        <v>114</v>
      </c>
      <c r="U2" t="s">
        <v>115</v>
      </c>
      <c r="V2" t="s">
        <v>116</v>
      </c>
      <c r="W2" t="s">
        <v>117</v>
      </c>
      <c r="X2">
        <v>20048021</v>
      </c>
      <c r="Y2" t="s">
        <v>118</v>
      </c>
      <c r="Z2" t="s">
        <v>119</v>
      </c>
      <c r="AA2" t="s">
        <v>24</v>
      </c>
      <c r="AB2" t="s">
        <v>120</v>
      </c>
      <c r="AC2" t="s">
        <v>25</v>
      </c>
      <c r="AD2" t="s">
        <v>121</v>
      </c>
      <c r="AE2">
        <v>203</v>
      </c>
      <c r="AF2" t="s">
        <v>27</v>
      </c>
      <c r="AG2" t="s">
        <v>26</v>
      </c>
      <c r="AH2" t="s">
        <v>107</v>
      </c>
      <c r="AI2" t="str">
        <f>IF(OR(ISNUMBER(SEARCH("+",F2)),ISNUMBER(SEARCH(".",F2))),"SI","NO")</f>
        <v>NO</v>
      </c>
      <c r="AJ2" t="str">
        <f>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2)," S.A.S.",""),"S.A.S.","")," S.A.S",""),"S.A.S","")," S.A.C.I.","")," S.A.C.I","")," SAS","")," S.A.","")," S.A","")," LTDA.","")," LTDA","")," LIMITED","")," LTD.","")," LTD","")," INC.","")," INC","")," GMBH &amp; CO. KG.","")," GMBH","")," LLC","")," A.G.","")," A.G","")," A/S","")," S.R.L.","")," S.R.L","")," S.P.A.","")," DE C.V.","")," AG",""),"  "," "))</f>
        <v>LABORATORIOS LEGRAND</v>
      </c>
      <c r="AK2" t="str">
        <f>IF(ISNUMBER(SEARCH("FABRICANTE",AC2)),"FABRICANTE",IF(ISNUMBER(SEARCH("IMPORTADOR",AC2)),"IMPORTADOR","OTRO"))</f>
        <v>FABRICANTE</v>
      </c>
      <c r="AL2" t="str">
        <f>IF(LEFT(Y2,1)="A","Sistema digestivo",IF(LEFT(Y2,1)="B","Sangre",IF(LEFT(Y2,1)="C","Cardiovascular",IF(LEFT(Y2,1)="D","Dermatológico",IF(LEFT(Y2,1)="G","Genitourinario",IF(LEFT(Y2,1)="H","Hormonal",IF(LEFT(Y2,1)="J","Antiinfecciosos",IF(LEFT(Y2,1)="L","Oncológicos",IF(LEFT(Y2,1)="M","Musculoesquelético",IF(LEFT(Y2,1)="N","Sistema nervioso",IF(LEFT(Y2,1)="R","Respiratorio",IF(LEFT(Y2,1)="S","Oftálmico",IF(LEFT(Y2,1)="V","Varios","OTRO")))))))))))))</f>
        <v>Cardiovascular</v>
      </c>
      <c r="AM2" t="str">
        <f>IF(AG2="Vigente","ACTIVO",IF(ISNUMBER(SEARCH("Inactivo",J2)),"INACTIVO","REVISAR"))</f>
        <v>ACTIVO</v>
      </c>
      <c r="AN2" t="str">
        <f ca="1">IF(OR(AF2="",AF2="null"),"",ROUND((AF2-TODAY())/365.25,2))</f>
        <v/>
      </c>
      <c r="AO2" t="str">
        <f ca="1">IF(AND(AG2="Vigente",OR(AF2="",AF2="null",AF2&gt;TODAY())),"SI",IF(AND(NOT(OR(AF2="",AF2="null")),AF2&lt;=TODAY()),"NO",IF(AG2="Vigente","SI","DESCONOCIDO")))</f>
        <v>SI</v>
      </c>
      <c r="AP2" t="str">
        <f>IF(AND(ISNUMBER(SEARCH("IMPORTAR",AA2)),ISNUMBER(SEARCH("FABRICAR",AA2))),"MIXTO",IF(ISNUMBER(SEARCH("IMPORTAR",AA2)),"IMPORTADO",IF(ISNUMBER(SEARCH("FABRICAR",AA2)),"LOCAL","OTRO")))</f>
        <v>LOCAL</v>
      </c>
      <c r="AQ2" t="str">
        <f>IF(AD2="Si","SI",IF(AD2="No","NO",""))</f>
        <v>NO</v>
      </c>
      <c r="AR2" t="str">
        <f>IF(ISNUMBER(SEARCH("®",N2)),"MARCA/INNOVADOR","GENERICO")</f>
        <v>MARCA/INNOVADOR</v>
      </c>
      <c r="AS2">
        <f ca="1">IF(AE2&gt;100,RANDBETWEEN(500,5000),IF(AND(AE2&gt;=10,AE2&lt;=100),RANDBETWEEN(100,1000),RANDBETWEEN(10,200)))</f>
        <v>748</v>
      </c>
      <c r="AT2">
        <f ca="1">INT(AS2*RANDBETWEEN(10,30)/100)</f>
        <v>149</v>
      </c>
      <c r="AU2">
        <f ca="1">INT(AS2*RANDBETWEEN(120,200)/100)</f>
        <v>957</v>
      </c>
      <c r="AV2" s="2">
        <f ca="1">IF(LEFT(Y2,1)="L",RANDBETWEEN(500000,5000000),IF(LEFT(Y2,1)="C",RANDBETWEEN(5000,50000),IF(LEFT(Y2,1)="N",RANDBETWEEN(10000,150000),IF(LEFT(Y2,1)="J",RANDBETWEEN(8000,200000),RANDBETWEEN(5000,100000)))))</f>
        <v>15135</v>
      </c>
      <c r="AW2" s="2">
        <f ca="1">INT(AV2*RANDBETWEEN(30,60)/100)</f>
        <v>5599</v>
      </c>
      <c r="AX2">
        <f ca="1">IF(Z2="ORAL",RANDBETWEEN(1000,10000),IF(OR(Z2="INTRAVENOSA",Z2="INTRAMUSCULAR"),RANDBETWEEN(100,2000),IF(OR(Z2="OFTÁLMICA",Z2="TOPICA (EXTERNA)"),RANDBETWEEN(200,3000),RANDBETWEEN(100,1500))))</f>
        <v>7909</v>
      </c>
      <c r="AY2" s="2">
        <f ca="1">INT(AV2*RANDBETWEEN(90,130)/100)</f>
        <v>13772</v>
      </c>
      <c r="AZ2" t="str">
        <f ca="1">IF(Z2="ORAL",RANDBETWEEN(50,250)/10,IF(OR(Z2="TOPICA (EXTERNA)",Z2="OFTÁLMICA"),RANDBETWEEN(20,150)/10,IF(OR(Z2="SUBCUTANEA",Z2="INTRAMUSCULAR"),RANDBETWEEN(10,100)/10,IF(Z2="INTRAVENOSA",RANDBETWEEN(1,50)/10,RANDBETWEEN(5,80)/10))))&amp;"%"</f>
        <v>8.3%</v>
      </c>
      <c r="BA2" t="str">
        <f ca="1">IF(OR(AG2&lt;&gt;"Vigente",AND(ISNUMBER(AF2),AF2&lt;TODAY()),AND(J2="Inactivo",NOT(ISNUMBER(AF2)))),"ALTO",IF(OR(AND(J2="Inactivo",ISNUMBER(AF2)),AND(ISNUMBER(AF2),AF2&gt;TODAY(),AF2&lt;=TODAY()+1825)),"MEDIO","BAJO"))</f>
        <v>ALTO</v>
      </c>
    </row>
    <row r="3" spans="4:53" x14ac:dyDescent="0.35">
      <c r="D3" t="s">
        <v>122</v>
      </c>
      <c r="E3" s="1">
        <v>37215</v>
      </c>
      <c r="F3" t="s">
        <v>123</v>
      </c>
      <c r="G3" t="s">
        <v>108</v>
      </c>
      <c r="H3" t="s">
        <v>124</v>
      </c>
      <c r="I3">
        <v>19924285</v>
      </c>
      <c r="J3" t="s">
        <v>110</v>
      </c>
      <c r="K3">
        <v>37</v>
      </c>
      <c r="L3" t="s">
        <v>27</v>
      </c>
      <c r="M3" t="s">
        <v>125</v>
      </c>
      <c r="N3" t="s">
        <v>126</v>
      </c>
      <c r="O3" t="s">
        <v>127</v>
      </c>
      <c r="P3" t="s">
        <v>128</v>
      </c>
      <c r="Q3" s="1">
        <v>39212</v>
      </c>
      <c r="R3" t="s">
        <v>50</v>
      </c>
      <c r="S3" s="1">
        <v>40991</v>
      </c>
      <c r="T3" t="s">
        <v>129</v>
      </c>
      <c r="U3" t="s">
        <v>115</v>
      </c>
      <c r="V3" t="s">
        <v>130</v>
      </c>
      <c r="W3">
        <v>50</v>
      </c>
      <c r="X3">
        <v>19924285</v>
      </c>
      <c r="Y3" t="s">
        <v>131</v>
      </c>
      <c r="Z3" t="s">
        <v>132</v>
      </c>
      <c r="AA3" t="s">
        <v>24</v>
      </c>
      <c r="AB3" t="s">
        <v>133</v>
      </c>
      <c r="AC3" t="s">
        <v>25</v>
      </c>
      <c r="AD3" t="s">
        <v>121</v>
      </c>
      <c r="AE3">
        <v>2</v>
      </c>
      <c r="AF3" t="s">
        <v>27</v>
      </c>
      <c r="AG3" t="s">
        <v>26</v>
      </c>
      <c r="AH3" t="s">
        <v>123</v>
      </c>
      <c r="AI3" t="str">
        <f t="shared" ref="AI3:AI66" si="0">IF(OR(ISNUMBER(SEARCH("+",F3)),ISNUMBER(SEARCH(".",F3))),"SI","NO")</f>
        <v>NO</v>
      </c>
      <c r="AJ3" t="str">
        <f t="shared" ref="AJ3:AJ66" si="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3)," S.A.S.",""),"S.A.S.","")," S.A.S",""),"S.A.S","")," S.A.C.I.","")," S.A.C.I","")," SAS","")," S.A.","")," S.A","")," LTDA.","")," LTDA","")," LIMITED","")," LTD.","")," LTD","")," INC.","")," INC","")," GMBH &amp; CO. KG.","")," GMBH","")," LLC","")," A.G.","")," A.G","")," A/S","")," S.R.L.","")," S.R.L","")," S.P.A.","")," DE C.V.","")," AG",""),"  "," "))</f>
        <v>VITALIS</v>
      </c>
      <c r="AK3" t="str">
        <f>IF(ISNUMBER(SEARCH("FABRICANTE",AC3)),"FABRICANTE",IF(ISNUMBER(SEARCH("IMPORTADOR",AC3)),"IMPORTADOR","OTRO"))</f>
        <v>FABRICANTE</v>
      </c>
      <c r="AL3" t="str">
        <f>IF(LEFT(Y3,1)="A","Sistema digestivo",IF(LEFT(Y3,1)="B","Sangre",IF(LEFT(Y3,1)="C","Cardiovascular",IF(LEFT(Y3,1)="D","Dermatológico",IF(LEFT(Y3,1)="G","Genitourinario",IF(LEFT(Y3,1)="H","Hormonal",IF(LEFT(Y3,1)="J","Antiinfecciosos",IF(LEFT(Y3,1)="L","Oncológicos",IF(LEFT(Y3,1)="M","Musculoesquelético",IF(LEFT(Y3,1)="N","Sistema nervioso",IF(LEFT(Y3,1)="R","Respiratorio",IF(LEFT(Y3,1)="S","Oftálmico",IF(LEFT(Y3,1)="V","Varios","OTRO")))))))))))))</f>
        <v>Sistema nervioso</v>
      </c>
      <c r="AM3" t="str">
        <f>IF(AG3="Vigente","ACTIVO",IF(ISNUMBER(SEARCH("Inactivo",J3)),"INACTIVO","REVISAR"))</f>
        <v>ACTIVO</v>
      </c>
      <c r="AN3" t="str">
        <f ca="1">IF(OR(AF3="",AF3="null"),"",ROUND((AF3-TODAY())/365.25,2))</f>
        <v/>
      </c>
      <c r="AO3" t="str">
        <f ca="1">IF(AND(AG3="Vigente",OR(AF3="",AF3="null",AF3&gt;TODAY())),"SI",IF(AND(NOT(OR(AF3="",AF3="null")),AF3&lt;=TODAY()),"NO",IF(AG3="Vigente","SI","DESCONOCIDO")))</f>
        <v>SI</v>
      </c>
      <c r="AP3" t="str">
        <f>IF(AND(ISNUMBER(SEARCH("IMPORTAR",AA3)),ISNUMBER(SEARCH("FABRICAR",AA3))),"MIXTO",IF(ISNUMBER(SEARCH("IMPORTAR",AA3)),"IMPORTADO",IF(ISNUMBER(SEARCH("FABRICAR",AA3)),"LOCAL","OTRO")))</f>
        <v>LOCAL</v>
      </c>
      <c r="AQ3" t="str">
        <f>IF(AD3="Si","SI",IF(AD3="No","NO",""))</f>
        <v>NO</v>
      </c>
      <c r="AR3" t="str">
        <f>IF(ISNUMBER(SEARCH("®",N3)),"MARCA/INNOVADOR","GENERICO")</f>
        <v>GENERICO</v>
      </c>
      <c r="AS3">
        <f ca="1">IF(AE3&gt;100,RANDBETWEEN(500,5000),IF(AND(AE3&gt;=10,AE3&lt;=100),RANDBETWEEN(100,1000),RANDBETWEEN(10,200)))</f>
        <v>83</v>
      </c>
      <c r="AT3">
        <f t="shared" ref="AT3:AT66" ca="1" si="2">INT(AS3*RANDBETWEEN(10,30)/100)</f>
        <v>16</v>
      </c>
      <c r="AU3">
        <f ca="1">INT(AS3*RANDBETWEEN(120,200)/100)</f>
        <v>108</v>
      </c>
      <c r="AV3" s="2">
        <f ca="1">IF(LEFT(Y3,1)="L",RANDBETWEEN(500000,5000000),IF(LEFT(Y3,1)="C",RANDBETWEEN(5000,50000),IF(LEFT(Y3,1)="N",RANDBETWEEN(10000,150000),IF(LEFT(Y3,1)="J",RANDBETWEEN(8000,200000),RANDBETWEEN(5000,100000)))))</f>
        <v>130051</v>
      </c>
      <c r="AW3" s="2">
        <f ca="1">INT(AV3*RANDBETWEEN(30,60)/100)</f>
        <v>72828</v>
      </c>
      <c r="AX3">
        <f ca="1">IF(Z3="ORAL",RANDBETWEEN(1000,10000),IF(OR(Z3="INTRAVENOSA",Z3="INTRAMUSCULAR"),RANDBETWEEN(100,2000),IF(OR(Z3="OFTÁLMICA",Z3="TOPICA (EXTERNA)"),RANDBETWEEN(200,3000),RANDBETWEEN(100,1500))))</f>
        <v>355</v>
      </c>
      <c r="AY3" s="2">
        <f ca="1">INT(AV3*RANDBETWEEN(90,130)/100)</f>
        <v>118346</v>
      </c>
      <c r="AZ3" t="str">
        <f t="shared" ref="AZ3:AZ66" ca="1" si="3">IF(Z3="ORAL",RANDBETWEEN(50,250)/10,IF(OR(Z3="TOPICA (EXTERNA)",Z3="OFTÁLMICA"),RANDBETWEEN(20,150)/10,IF(OR(Z3="SUBCUTANEA",Z3="INTRAMUSCULAR"),RANDBETWEEN(10,100)/10,IF(Z3="INTRAVENOSA",RANDBETWEEN(1,50)/10,RANDBETWEEN(5,80)/10))))&amp;"%"</f>
        <v>6.1%</v>
      </c>
      <c r="BA3" t="str">
        <f t="shared" ref="BA3:BA66" ca="1" si="4">IF(OR(AG3&lt;&gt;"Vigente",AND(ISNUMBER(AF3),AF3&lt;TODAY()),AND(J3="Inactivo",NOT(ISNUMBER(AF3)))),"ALTO",IF(OR(AND(J3="Inactivo",ISNUMBER(AF3)),AND(ISNUMBER(AF3),AF3&gt;TODAY(),AF3&lt;=TODAY()+1825)),"MEDIO","BAJO"))</f>
        <v>ALTO</v>
      </c>
    </row>
    <row r="4" spans="4:53" x14ac:dyDescent="0.35">
      <c r="D4" t="s">
        <v>134</v>
      </c>
      <c r="E4" s="1">
        <v>36161</v>
      </c>
      <c r="F4" t="s">
        <v>135</v>
      </c>
      <c r="G4" t="s">
        <v>108</v>
      </c>
      <c r="H4" t="s">
        <v>136</v>
      </c>
      <c r="I4">
        <v>45821</v>
      </c>
      <c r="J4" t="s">
        <v>28</v>
      </c>
      <c r="K4">
        <v>20</v>
      </c>
      <c r="L4" t="s">
        <v>27</v>
      </c>
      <c r="M4" t="s">
        <v>137</v>
      </c>
      <c r="N4" t="s">
        <v>138</v>
      </c>
      <c r="O4" t="s">
        <v>139</v>
      </c>
      <c r="P4" t="s">
        <v>33</v>
      </c>
      <c r="Q4" s="1">
        <v>42334</v>
      </c>
      <c r="R4" t="s">
        <v>140</v>
      </c>
      <c r="S4" t="s">
        <v>27</v>
      </c>
      <c r="T4" t="s">
        <v>141</v>
      </c>
      <c r="U4" t="s">
        <v>115</v>
      </c>
      <c r="V4" t="s">
        <v>142</v>
      </c>
      <c r="W4">
        <v>300</v>
      </c>
      <c r="X4">
        <v>45821</v>
      </c>
      <c r="Y4" t="s">
        <v>143</v>
      </c>
      <c r="Z4" t="s">
        <v>119</v>
      </c>
      <c r="AA4" t="s">
        <v>32</v>
      </c>
      <c r="AB4" t="s">
        <v>120</v>
      </c>
      <c r="AC4" t="s">
        <v>38</v>
      </c>
      <c r="AD4" t="s">
        <v>121</v>
      </c>
      <c r="AE4">
        <v>10</v>
      </c>
      <c r="AF4" t="s">
        <v>27</v>
      </c>
      <c r="AG4" t="s">
        <v>26</v>
      </c>
      <c r="AH4" t="s">
        <v>135</v>
      </c>
      <c r="AI4" t="str">
        <f t="shared" si="0"/>
        <v>NO</v>
      </c>
      <c r="AJ4" t="str">
        <f t="shared" si="1"/>
        <v>LABORATORIOS FRANCO COLOMBIANO LAFRANCOL</v>
      </c>
      <c r="AK4" t="str">
        <f>IF(ISNUMBER(SEARCH("FABRICANTE",AC4)),"FABRICANTE",IF(ISNUMBER(SEARCH("IMPORTADOR",AC4)),"IMPORTADOR","OTRO"))</f>
        <v>IMPORTADOR</v>
      </c>
      <c r="AL4" t="str">
        <f>IF(LEFT(Y4,1)="A","Sistema digestivo",IF(LEFT(Y4,1)="B","Sangre",IF(LEFT(Y4,1)="C","Cardiovascular",IF(LEFT(Y4,1)="D","Dermatológico",IF(LEFT(Y4,1)="G","Genitourinario",IF(LEFT(Y4,1)="H","Hormonal",IF(LEFT(Y4,1)="J","Antiinfecciosos",IF(LEFT(Y4,1)="L","Oncológicos",IF(LEFT(Y4,1)="M","Musculoesquelético",IF(LEFT(Y4,1)="N","Sistema nervioso",IF(LEFT(Y4,1)="R","Respiratorio",IF(LEFT(Y4,1)="S","Oftálmico",IF(LEFT(Y4,1)="V","Varios","OTRO")))))))))))))</f>
        <v>Cardiovascular</v>
      </c>
      <c r="AM4" t="str">
        <f>IF(AG4="Vigente","ACTIVO",IF(ISNUMBER(SEARCH("Inactivo",J4)),"INACTIVO","REVISAR"))</f>
        <v>ACTIVO</v>
      </c>
      <c r="AN4" t="str">
        <f ca="1">IF(OR(AF4="",AF4="null"),"",ROUND((AF4-TODAY())/365.25,2))</f>
        <v/>
      </c>
      <c r="AO4" t="str">
        <f ca="1">IF(AND(AG4="Vigente",OR(AF4="",AF4="null",AF4&gt;TODAY())),"SI",IF(AND(NOT(OR(AF4="",AF4="null")),AF4&lt;=TODAY()),"NO",IF(AG4="Vigente","SI","DESCONOCIDO")))</f>
        <v>SI</v>
      </c>
      <c r="AP4" t="str">
        <f>IF(AND(ISNUMBER(SEARCH("IMPORTAR",AA4)),ISNUMBER(SEARCH("FABRICAR",AA4))),"MIXTO",IF(ISNUMBER(SEARCH("IMPORTAR",AA4)),"IMPORTADO",IF(ISNUMBER(SEARCH("FABRICAR",AA4)),"LOCAL","OTRO")))</f>
        <v>IMPORTADO</v>
      </c>
      <c r="AQ4" t="str">
        <f>IF(AD4="Si","SI",IF(AD4="No","NO",""))</f>
        <v>NO</v>
      </c>
      <c r="AR4" t="str">
        <f>IF(ISNUMBER(SEARCH("®",N4)),"MARCA/INNOVADOR","GENERICO")</f>
        <v>MARCA/INNOVADOR</v>
      </c>
      <c r="AS4">
        <f ca="1">IF(AE4&gt;100,RANDBETWEEN(500,5000),IF(AND(AE4&gt;=10,AE4&lt;=100),RANDBETWEEN(100,1000),RANDBETWEEN(10,200)))</f>
        <v>259</v>
      </c>
      <c r="AT4">
        <f t="shared" ca="1" si="2"/>
        <v>44</v>
      </c>
      <c r="AU4">
        <f ca="1">INT(AS4*RANDBETWEEN(120,200)/100)</f>
        <v>347</v>
      </c>
      <c r="AV4" s="2">
        <f ca="1">IF(LEFT(Y4,1)="L",RANDBETWEEN(500000,5000000),IF(LEFT(Y4,1)="C",RANDBETWEEN(5000,50000),IF(LEFT(Y4,1)="N",RANDBETWEEN(10000,150000),IF(LEFT(Y4,1)="J",RANDBETWEEN(8000,200000),RANDBETWEEN(5000,100000)))))</f>
        <v>5001</v>
      </c>
      <c r="AW4" s="2">
        <f ca="1">INT(AV4*RANDBETWEEN(30,60)/100)</f>
        <v>1750</v>
      </c>
      <c r="AX4">
        <f ca="1">IF(Z4="ORAL",RANDBETWEEN(1000,10000),IF(OR(Z4="INTRAVENOSA",Z4="INTRAMUSCULAR"),RANDBETWEEN(100,2000),IF(OR(Z4="OFTÁLMICA",Z4="TOPICA (EXTERNA)"),RANDBETWEEN(200,3000),RANDBETWEEN(100,1500))))</f>
        <v>7020</v>
      </c>
      <c r="AY4" s="2">
        <f ca="1">INT(AV4*RANDBETWEEN(90,130)/100)</f>
        <v>5701</v>
      </c>
      <c r="AZ4" t="str">
        <f t="shared" ca="1" si="3"/>
        <v>6.7%</v>
      </c>
      <c r="BA4" t="str">
        <f t="shared" ca="1" si="4"/>
        <v>BAJO</v>
      </c>
    </row>
    <row r="5" spans="4:53" x14ac:dyDescent="0.35">
      <c r="D5" t="s">
        <v>144</v>
      </c>
      <c r="E5" s="1">
        <v>44267</v>
      </c>
      <c r="F5" t="s">
        <v>145</v>
      </c>
      <c r="G5" t="s">
        <v>108</v>
      </c>
      <c r="H5" t="s">
        <v>146</v>
      </c>
      <c r="I5">
        <v>20163993</v>
      </c>
      <c r="J5" t="s">
        <v>110</v>
      </c>
      <c r="K5">
        <v>5</v>
      </c>
      <c r="L5" t="s">
        <v>27</v>
      </c>
      <c r="M5" t="s">
        <v>147</v>
      </c>
      <c r="N5" t="s">
        <v>148</v>
      </c>
      <c r="O5" t="s">
        <v>149</v>
      </c>
      <c r="P5" t="s">
        <v>150</v>
      </c>
      <c r="Q5" s="1">
        <v>44211</v>
      </c>
      <c r="R5" t="s">
        <v>151</v>
      </c>
      <c r="S5" t="s">
        <v>27</v>
      </c>
      <c r="T5" t="s">
        <v>146</v>
      </c>
      <c r="U5" t="s">
        <v>115</v>
      </c>
      <c r="V5" t="s">
        <v>152</v>
      </c>
      <c r="W5">
        <v>9</v>
      </c>
      <c r="X5">
        <v>20163993</v>
      </c>
      <c r="Y5" t="s">
        <v>153</v>
      </c>
      <c r="Z5" t="s">
        <v>154</v>
      </c>
      <c r="AA5" t="s">
        <v>24</v>
      </c>
      <c r="AB5" t="s">
        <v>133</v>
      </c>
      <c r="AC5" t="s">
        <v>25</v>
      </c>
      <c r="AD5" t="s">
        <v>155</v>
      </c>
      <c r="AE5">
        <v>10</v>
      </c>
      <c r="AF5" t="s">
        <v>27</v>
      </c>
      <c r="AG5" t="s">
        <v>26</v>
      </c>
      <c r="AH5" t="s">
        <v>145</v>
      </c>
      <c r="AI5" t="str">
        <f t="shared" si="0"/>
        <v>NO</v>
      </c>
      <c r="AJ5" t="str">
        <f t="shared" si="1"/>
        <v>TECNOFAR TQ</v>
      </c>
      <c r="AK5" t="str">
        <f>IF(ISNUMBER(SEARCH("FABRICANTE",AC5)),"FABRICANTE",IF(ISNUMBER(SEARCH("IMPORTADOR",AC5)),"IMPORTADOR","OTRO"))</f>
        <v>FABRICANTE</v>
      </c>
      <c r="AL5" t="str">
        <f>IF(LEFT(Y5,1)="A","Sistema digestivo",IF(LEFT(Y5,1)="B","Sangre",IF(LEFT(Y5,1)="C","Cardiovascular",IF(LEFT(Y5,1)="D","Dermatológico",IF(LEFT(Y5,1)="G","Genitourinario",IF(LEFT(Y5,1)="H","Hormonal",IF(LEFT(Y5,1)="J","Antiinfecciosos",IF(LEFT(Y5,1)="L","Oncológicos",IF(LEFT(Y5,1)="M","Musculoesquelético",IF(LEFT(Y5,1)="N","Sistema nervioso",IF(LEFT(Y5,1)="R","Respiratorio",IF(LEFT(Y5,1)="S","Oftálmico",IF(LEFT(Y5,1)="V","Varios","OTRO")))))))))))))</f>
        <v>Oftálmico</v>
      </c>
      <c r="AM5" t="str">
        <f>IF(AG5="Vigente","ACTIVO",IF(ISNUMBER(SEARCH("Inactivo",J5)),"INACTIVO","REVISAR"))</f>
        <v>ACTIVO</v>
      </c>
      <c r="AN5" t="str">
        <f ca="1">IF(OR(AF5="",AF5="null"),"",ROUND((AF5-TODAY())/365.25,2))</f>
        <v/>
      </c>
      <c r="AO5" t="str">
        <f ca="1">IF(AND(AG5="Vigente",OR(AF5="",AF5="null",AF5&gt;TODAY())),"SI",IF(AND(NOT(OR(AF5="",AF5="null")),AF5&lt;=TODAY()),"NO",IF(AG5="Vigente","SI","DESCONOCIDO")))</f>
        <v>SI</v>
      </c>
      <c r="AP5" t="str">
        <f>IF(AND(ISNUMBER(SEARCH("IMPORTAR",AA5)),ISNUMBER(SEARCH("FABRICAR",AA5))),"MIXTO",IF(ISNUMBER(SEARCH("IMPORTAR",AA5)),"IMPORTADO",IF(ISNUMBER(SEARCH("FABRICAR",AA5)),"LOCAL","OTRO")))</f>
        <v>LOCAL</v>
      </c>
      <c r="AQ5" t="str">
        <f>IF(AD5="Si","SI",IF(AD5="No","NO",""))</f>
        <v>SI</v>
      </c>
      <c r="AR5" t="str">
        <f>IF(ISNUMBER(SEARCH("®",N5)),"MARCA/INNOVADOR","GENERICO")</f>
        <v>MARCA/INNOVADOR</v>
      </c>
      <c r="AS5">
        <f ca="1">IF(AE5&gt;100,RANDBETWEEN(500,5000),IF(AND(AE5&gt;=10,AE5&lt;=100),RANDBETWEEN(100,1000),RANDBETWEEN(10,200)))</f>
        <v>118</v>
      </c>
      <c r="AT5">
        <f t="shared" ca="1" si="2"/>
        <v>31</v>
      </c>
      <c r="AU5">
        <f ca="1">INT(AS5*RANDBETWEEN(120,200)/100)</f>
        <v>142</v>
      </c>
      <c r="AV5" s="2">
        <f ca="1">IF(LEFT(Y5,1)="L",RANDBETWEEN(500000,5000000),IF(LEFT(Y5,1)="C",RANDBETWEEN(5000,50000),IF(LEFT(Y5,1)="N",RANDBETWEEN(10000,150000),IF(LEFT(Y5,1)="J",RANDBETWEEN(8000,200000),RANDBETWEEN(5000,100000)))))</f>
        <v>24658</v>
      </c>
      <c r="AW5" s="2">
        <f ca="1">INT(AV5*RANDBETWEEN(30,60)/100)</f>
        <v>8383</v>
      </c>
      <c r="AX5">
        <f ca="1">IF(Z5="ORAL",RANDBETWEEN(1000,10000),IF(OR(Z5="INTRAVENOSA",Z5="INTRAMUSCULAR"),RANDBETWEEN(100,2000),IF(OR(Z5="OFTÁLMICA",Z5="TOPICA (EXTERNA)"),RANDBETWEEN(200,3000),RANDBETWEEN(100,1500))))</f>
        <v>2497</v>
      </c>
      <c r="AY5" s="2">
        <f ca="1">INT(AV5*RANDBETWEEN(90,130)/100)</f>
        <v>24411</v>
      </c>
      <c r="AZ5" t="str">
        <f t="shared" ca="1" si="3"/>
        <v>10.5%</v>
      </c>
      <c r="BA5" t="str">
        <f t="shared" ca="1" si="4"/>
        <v>ALTO</v>
      </c>
    </row>
    <row r="6" spans="4:53" x14ac:dyDescent="0.35">
      <c r="D6" t="s">
        <v>156</v>
      </c>
      <c r="E6" s="1">
        <v>37827</v>
      </c>
      <c r="F6" t="s">
        <v>157</v>
      </c>
      <c r="G6" t="s">
        <v>108</v>
      </c>
      <c r="H6" t="s">
        <v>158</v>
      </c>
      <c r="I6">
        <v>19937061</v>
      </c>
      <c r="J6" t="s">
        <v>110</v>
      </c>
      <c r="K6">
        <v>38</v>
      </c>
      <c r="L6" t="s">
        <v>27</v>
      </c>
      <c r="M6" t="s">
        <v>159</v>
      </c>
      <c r="N6" t="s">
        <v>160</v>
      </c>
      <c r="O6" t="s">
        <v>161</v>
      </c>
      <c r="P6" t="s">
        <v>37</v>
      </c>
      <c r="Q6" s="1">
        <v>39602</v>
      </c>
      <c r="R6" t="s">
        <v>37</v>
      </c>
      <c r="S6" s="1">
        <v>41614</v>
      </c>
      <c r="T6" t="s">
        <v>80</v>
      </c>
      <c r="U6" t="s">
        <v>115</v>
      </c>
      <c r="V6" t="s">
        <v>162</v>
      </c>
      <c r="W6" t="s">
        <v>163</v>
      </c>
      <c r="X6">
        <v>19937061</v>
      </c>
      <c r="Y6" t="s">
        <v>164</v>
      </c>
      <c r="Z6" t="s">
        <v>119</v>
      </c>
      <c r="AA6" t="s">
        <v>165</v>
      </c>
      <c r="AB6" t="s">
        <v>120</v>
      </c>
      <c r="AC6" t="s">
        <v>25</v>
      </c>
      <c r="AD6" t="s">
        <v>121</v>
      </c>
      <c r="AE6">
        <v>8</v>
      </c>
      <c r="AF6" t="s">
        <v>27</v>
      </c>
      <c r="AG6" t="s">
        <v>26</v>
      </c>
      <c r="AH6" t="s">
        <v>6611</v>
      </c>
      <c r="AI6" t="str">
        <f t="shared" si="0"/>
        <v>SI</v>
      </c>
      <c r="AJ6" t="str">
        <f t="shared" si="1"/>
        <v>TECNOQUIMICAS</v>
      </c>
      <c r="AK6" t="str">
        <f>IF(ISNUMBER(SEARCH("FABRICANTE",AC6)),"FABRICANTE",IF(ISNUMBER(SEARCH("IMPORTADOR",AC6)),"IMPORTADOR","OTRO"))</f>
        <v>FABRICANTE</v>
      </c>
      <c r="AL6" t="str">
        <f>IF(LEFT(Y6,1)="A","Sistema digestivo",IF(LEFT(Y6,1)="B","Sangre",IF(LEFT(Y6,1)="C","Cardiovascular",IF(LEFT(Y6,1)="D","Dermatológico",IF(LEFT(Y6,1)="G","Genitourinario",IF(LEFT(Y6,1)="H","Hormonal",IF(LEFT(Y6,1)="J","Antiinfecciosos",IF(LEFT(Y6,1)="L","Oncológicos",IF(LEFT(Y6,1)="M","Musculoesquelético",IF(LEFT(Y6,1)="N","Sistema nervioso",IF(LEFT(Y6,1)="R","Respiratorio",IF(LEFT(Y6,1)="S","Oftálmico",IF(LEFT(Y6,1)="V","Varios","OTRO")))))))))))))</f>
        <v>Musculoesquelético</v>
      </c>
      <c r="AM6" t="str">
        <f>IF(AG6="Vigente","ACTIVO",IF(ISNUMBER(SEARCH("Inactivo",J6)),"INACTIVO","REVISAR"))</f>
        <v>ACTIVO</v>
      </c>
      <c r="AN6" t="str">
        <f ca="1">IF(OR(AF6="",AF6="null"),"",ROUND((AF6-TODAY())/365.25,2))</f>
        <v/>
      </c>
      <c r="AO6" t="str">
        <f ca="1">IF(AND(AG6="Vigente",OR(AF6="",AF6="null",AF6&gt;TODAY())),"SI",IF(AND(NOT(OR(AF6="",AF6="null")),AF6&lt;=TODAY()),"NO",IF(AG6="Vigente","SI","DESCONOCIDO")))</f>
        <v>SI</v>
      </c>
      <c r="AP6" t="str">
        <f>IF(AND(ISNUMBER(SEARCH("IMPORTAR",AA6)),ISNUMBER(SEARCH("FABRICAR",AA6))),"MIXTO",IF(ISNUMBER(SEARCH("IMPORTAR",AA6)),"IMPORTADO",IF(ISNUMBER(SEARCH("FABRICAR",AA6)),"LOCAL","OTRO")))</f>
        <v>IMPORTADO</v>
      </c>
      <c r="AQ6" t="str">
        <f>IF(AD6="Si","SI",IF(AD6="No","NO",""))</f>
        <v>NO</v>
      </c>
      <c r="AR6" t="str">
        <f>IF(ISNUMBER(SEARCH("®",N6)),"MARCA/INNOVADOR","GENERICO")</f>
        <v>GENERICO</v>
      </c>
      <c r="AS6">
        <f ca="1">IF(AE6&gt;100,RANDBETWEEN(500,5000),IF(AND(AE6&gt;=10,AE6&lt;=100),RANDBETWEEN(100,1000),RANDBETWEEN(10,200)))</f>
        <v>65</v>
      </c>
      <c r="AT6">
        <f t="shared" ca="1" si="2"/>
        <v>14</v>
      </c>
      <c r="AU6">
        <f ca="1">INT(AS6*RANDBETWEEN(120,200)/100)</f>
        <v>128</v>
      </c>
      <c r="AV6" s="2">
        <f ca="1">IF(LEFT(Y6,1)="L",RANDBETWEEN(500000,5000000),IF(LEFT(Y6,1)="C",RANDBETWEEN(5000,50000),IF(LEFT(Y6,1)="N",RANDBETWEEN(10000,150000),IF(LEFT(Y6,1)="J",RANDBETWEEN(8000,200000),RANDBETWEEN(5000,100000)))))</f>
        <v>42985</v>
      </c>
      <c r="AW6" s="2">
        <f ca="1">INT(AV6*RANDBETWEEN(30,60)/100)</f>
        <v>20202</v>
      </c>
      <c r="AX6">
        <f ca="1">IF(Z6="ORAL",RANDBETWEEN(1000,10000),IF(OR(Z6="INTRAVENOSA",Z6="INTRAMUSCULAR"),RANDBETWEEN(100,2000),IF(OR(Z6="OFTÁLMICA",Z6="TOPICA (EXTERNA)"),RANDBETWEEN(200,3000),RANDBETWEEN(100,1500))))</f>
        <v>9236</v>
      </c>
      <c r="AY6" s="2">
        <f ca="1">INT(AV6*RANDBETWEEN(90,130)/100)</f>
        <v>50292</v>
      </c>
      <c r="AZ6" t="str">
        <f t="shared" ca="1" si="3"/>
        <v>8.9%</v>
      </c>
      <c r="BA6" t="str">
        <f t="shared" ca="1" si="4"/>
        <v>ALTO</v>
      </c>
    </row>
    <row r="7" spans="4:53" x14ac:dyDescent="0.35">
      <c r="D7" t="s">
        <v>166</v>
      </c>
      <c r="E7" s="1">
        <v>44208</v>
      </c>
      <c r="F7" t="s">
        <v>167</v>
      </c>
      <c r="G7" t="s">
        <v>108</v>
      </c>
      <c r="H7" t="s">
        <v>168</v>
      </c>
      <c r="I7">
        <v>20166399</v>
      </c>
      <c r="J7" t="s">
        <v>110</v>
      </c>
      <c r="K7">
        <v>12</v>
      </c>
      <c r="L7" t="s">
        <v>27</v>
      </c>
      <c r="M7" t="s">
        <v>169</v>
      </c>
      <c r="N7" t="s">
        <v>170</v>
      </c>
      <c r="O7" t="s">
        <v>171</v>
      </c>
      <c r="P7" t="s">
        <v>29</v>
      </c>
      <c r="Q7" s="1">
        <v>44031</v>
      </c>
      <c r="R7" t="s">
        <v>29</v>
      </c>
      <c r="S7" s="1">
        <v>44163</v>
      </c>
      <c r="T7" t="s">
        <v>172</v>
      </c>
      <c r="U7" t="s">
        <v>115</v>
      </c>
      <c r="V7" t="s">
        <v>173</v>
      </c>
      <c r="W7">
        <v>50</v>
      </c>
      <c r="X7">
        <v>20166399</v>
      </c>
      <c r="Y7" t="s">
        <v>174</v>
      </c>
      <c r="Z7" t="s">
        <v>119</v>
      </c>
      <c r="AA7" t="s">
        <v>24</v>
      </c>
      <c r="AB7" t="s">
        <v>120</v>
      </c>
      <c r="AC7" t="s">
        <v>25</v>
      </c>
      <c r="AD7" t="s">
        <v>121</v>
      </c>
      <c r="AE7">
        <v>30</v>
      </c>
      <c r="AF7" t="s">
        <v>27</v>
      </c>
      <c r="AG7" t="s">
        <v>26</v>
      </c>
      <c r="AH7" t="s">
        <v>173</v>
      </c>
      <c r="AI7" t="str">
        <f t="shared" si="0"/>
        <v>NO</v>
      </c>
      <c r="AJ7" t="str">
        <f t="shared" si="1"/>
        <v>NOVAMED</v>
      </c>
      <c r="AK7" t="str">
        <f>IF(ISNUMBER(SEARCH("FABRICANTE",AC7)),"FABRICANTE",IF(ISNUMBER(SEARCH("IMPORTADOR",AC7)),"IMPORTADOR","OTRO"))</f>
        <v>FABRICANTE</v>
      </c>
      <c r="AL7" t="str">
        <f>IF(LEFT(Y7,1)="A","Sistema digestivo",IF(LEFT(Y7,1)="B","Sangre",IF(LEFT(Y7,1)="C","Cardiovascular",IF(LEFT(Y7,1)="D","Dermatológico",IF(LEFT(Y7,1)="G","Genitourinario",IF(LEFT(Y7,1)="H","Hormonal",IF(LEFT(Y7,1)="J","Antiinfecciosos",IF(LEFT(Y7,1)="L","Oncológicos",IF(LEFT(Y7,1)="M","Musculoesquelético",IF(LEFT(Y7,1)="N","Sistema nervioso",IF(LEFT(Y7,1)="R","Respiratorio",IF(LEFT(Y7,1)="S","Oftálmico",IF(LEFT(Y7,1)="V","Varios","OTRO")))))))))))))</f>
        <v>Sistema digestivo</v>
      </c>
      <c r="AM7" t="str">
        <f>IF(AG7="Vigente","ACTIVO",IF(ISNUMBER(SEARCH("Inactivo",J7)),"INACTIVO","REVISAR"))</f>
        <v>ACTIVO</v>
      </c>
      <c r="AN7" t="str">
        <f ca="1">IF(OR(AF7="",AF7="null"),"",ROUND((AF7-TODAY())/365.25,2))</f>
        <v/>
      </c>
      <c r="AO7" t="str">
        <f ca="1">IF(AND(AG7="Vigente",OR(AF7="",AF7="null",AF7&gt;TODAY())),"SI",IF(AND(NOT(OR(AF7="",AF7="null")),AF7&lt;=TODAY()),"NO",IF(AG7="Vigente","SI","DESCONOCIDO")))</f>
        <v>SI</v>
      </c>
      <c r="AP7" t="str">
        <f>IF(AND(ISNUMBER(SEARCH("IMPORTAR",AA7)),ISNUMBER(SEARCH("FABRICAR",AA7))),"MIXTO",IF(ISNUMBER(SEARCH("IMPORTAR",AA7)),"IMPORTADO",IF(ISNUMBER(SEARCH("FABRICAR",AA7)),"LOCAL","OTRO")))</f>
        <v>LOCAL</v>
      </c>
      <c r="AQ7" t="str">
        <f>IF(AD7="Si","SI",IF(AD7="No","NO",""))</f>
        <v>NO</v>
      </c>
      <c r="AR7" t="str">
        <f>IF(ISNUMBER(SEARCH("®",N7)),"MARCA/INNOVADOR","GENERICO")</f>
        <v>MARCA/INNOVADOR</v>
      </c>
      <c r="AS7">
        <f ca="1">IF(AE7&gt;100,RANDBETWEEN(500,5000),IF(AND(AE7&gt;=10,AE7&lt;=100),RANDBETWEEN(100,1000),RANDBETWEEN(10,200)))</f>
        <v>328</v>
      </c>
      <c r="AT7">
        <f t="shared" ca="1" si="2"/>
        <v>91</v>
      </c>
      <c r="AU7">
        <f ca="1">INT(AS7*RANDBETWEEN(120,200)/100)</f>
        <v>603</v>
      </c>
      <c r="AV7" s="2">
        <f ca="1">IF(LEFT(Y7,1)="L",RANDBETWEEN(500000,5000000),IF(LEFT(Y7,1)="C",RANDBETWEEN(5000,50000),IF(LEFT(Y7,1)="N",RANDBETWEEN(10000,150000),IF(LEFT(Y7,1)="J",RANDBETWEEN(8000,200000),RANDBETWEEN(5000,100000)))))</f>
        <v>88815</v>
      </c>
      <c r="AW7" s="2">
        <f ca="1">INT(AV7*RANDBETWEEN(30,60)/100)</f>
        <v>26644</v>
      </c>
      <c r="AX7">
        <f ca="1">IF(Z7="ORAL",RANDBETWEEN(1000,10000),IF(OR(Z7="INTRAVENOSA",Z7="INTRAMUSCULAR"),RANDBETWEEN(100,2000),IF(OR(Z7="OFTÁLMICA",Z7="TOPICA (EXTERNA)"),RANDBETWEEN(200,3000),RANDBETWEEN(100,1500))))</f>
        <v>3215</v>
      </c>
      <c r="AY7" s="2">
        <f ca="1">INT(AV7*RANDBETWEEN(90,130)/100)</f>
        <v>82597</v>
      </c>
      <c r="AZ7" t="str">
        <f t="shared" ca="1" si="3"/>
        <v>11.3%</v>
      </c>
      <c r="BA7" t="str">
        <f t="shared" ca="1" si="4"/>
        <v>ALTO</v>
      </c>
    </row>
    <row r="8" spans="4:53" x14ac:dyDescent="0.35">
      <c r="D8" t="s">
        <v>175</v>
      </c>
      <c r="E8" s="1">
        <v>40610</v>
      </c>
      <c r="F8" t="s">
        <v>176</v>
      </c>
      <c r="G8" t="s">
        <v>108</v>
      </c>
      <c r="H8" t="s">
        <v>177</v>
      </c>
      <c r="I8">
        <v>20025951</v>
      </c>
      <c r="J8" t="s">
        <v>110</v>
      </c>
      <c r="K8">
        <v>16</v>
      </c>
      <c r="L8" t="s">
        <v>27</v>
      </c>
      <c r="M8" t="s">
        <v>178</v>
      </c>
      <c r="N8" t="s">
        <v>179</v>
      </c>
      <c r="O8" t="s">
        <v>180</v>
      </c>
      <c r="P8" t="s">
        <v>181</v>
      </c>
      <c r="Q8" s="1">
        <v>43209</v>
      </c>
      <c r="R8" t="s">
        <v>37</v>
      </c>
      <c r="S8" s="1">
        <v>43815</v>
      </c>
      <c r="T8" t="s">
        <v>182</v>
      </c>
      <c r="U8" t="s">
        <v>115</v>
      </c>
      <c r="V8" t="s">
        <v>183</v>
      </c>
      <c r="W8">
        <v>150</v>
      </c>
      <c r="X8">
        <v>20025951</v>
      </c>
      <c r="Y8" t="s">
        <v>184</v>
      </c>
      <c r="Z8" t="s">
        <v>119</v>
      </c>
      <c r="AA8" t="s">
        <v>32</v>
      </c>
      <c r="AB8" t="s">
        <v>120</v>
      </c>
      <c r="AC8" t="s">
        <v>38</v>
      </c>
      <c r="AD8" t="s">
        <v>155</v>
      </c>
      <c r="AE8">
        <v>120</v>
      </c>
      <c r="AF8" t="s">
        <v>27</v>
      </c>
      <c r="AG8" t="s">
        <v>26</v>
      </c>
      <c r="AH8" t="s">
        <v>183</v>
      </c>
      <c r="AI8" t="str">
        <f t="shared" si="0"/>
        <v>SI</v>
      </c>
      <c r="AJ8" t="str">
        <f t="shared" si="1"/>
        <v>NOVARTIS PHARMA</v>
      </c>
      <c r="AK8" t="str">
        <f>IF(ISNUMBER(SEARCH("FABRICANTE",AC8)),"FABRICANTE",IF(ISNUMBER(SEARCH("IMPORTADOR",AC8)),"IMPORTADOR","OTRO"))</f>
        <v>IMPORTADOR</v>
      </c>
      <c r="AL8" t="str">
        <f>IF(LEFT(Y8,1)="A","Sistema digestivo",IF(LEFT(Y8,1)="B","Sangre",IF(LEFT(Y8,1)="C","Cardiovascular",IF(LEFT(Y8,1)="D","Dermatológico",IF(LEFT(Y8,1)="G","Genitourinario",IF(LEFT(Y8,1)="H","Hormonal",IF(LEFT(Y8,1)="J","Antiinfecciosos",IF(LEFT(Y8,1)="L","Oncológicos",IF(LEFT(Y8,1)="M","Musculoesquelético",IF(LEFT(Y8,1)="N","Sistema nervioso",IF(LEFT(Y8,1)="R","Respiratorio",IF(LEFT(Y8,1)="S","Oftálmico",IF(LEFT(Y8,1)="V","Varios","OTRO")))))))))))))</f>
        <v>Oncológicos</v>
      </c>
      <c r="AM8" t="str">
        <f>IF(AG8="Vigente","ACTIVO",IF(ISNUMBER(SEARCH("Inactivo",J8)),"INACTIVO","REVISAR"))</f>
        <v>ACTIVO</v>
      </c>
      <c r="AN8" t="str">
        <f ca="1">IF(OR(AF8="",AF8="null"),"",ROUND((AF8-TODAY())/365.25,2))</f>
        <v/>
      </c>
      <c r="AO8" t="str">
        <f ca="1">IF(AND(AG8="Vigente",OR(AF8="",AF8="null",AF8&gt;TODAY())),"SI",IF(AND(NOT(OR(AF8="",AF8="null")),AF8&lt;=TODAY()),"NO",IF(AG8="Vigente","SI","DESCONOCIDO")))</f>
        <v>SI</v>
      </c>
      <c r="AP8" t="str">
        <f>IF(AND(ISNUMBER(SEARCH("IMPORTAR",AA8)),ISNUMBER(SEARCH("FABRICAR",AA8))),"MIXTO",IF(ISNUMBER(SEARCH("IMPORTAR",AA8)),"IMPORTADO",IF(ISNUMBER(SEARCH("FABRICAR",AA8)),"LOCAL","OTRO")))</f>
        <v>IMPORTADO</v>
      </c>
      <c r="AQ8" t="str">
        <f>IF(AD8="Si","SI",IF(AD8="No","NO",""))</f>
        <v>SI</v>
      </c>
      <c r="AR8" t="str">
        <f>IF(ISNUMBER(SEARCH("®",N8)),"MARCA/INNOVADOR","GENERICO")</f>
        <v>MARCA/INNOVADOR</v>
      </c>
      <c r="AS8">
        <f ca="1">IF(AE8&gt;100,RANDBETWEEN(500,5000),IF(AND(AE8&gt;=10,AE8&lt;=100),RANDBETWEEN(100,1000),RANDBETWEEN(10,200)))</f>
        <v>3227</v>
      </c>
      <c r="AT8">
        <f t="shared" ca="1" si="2"/>
        <v>677</v>
      </c>
      <c r="AU8">
        <f ca="1">INT(AS8*RANDBETWEEN(120,200)/100)</f>
        <v>4259</v>
      </c>
      <c r="AV8" s="2">
        <f ca="1">IF(LEFT(Y8,1)="L",RANDBETWEEN(500000,5000000),IF(LEFT(Y8,1)="C",RANDBETWEEN(5000,50000),IF(LEFT(Y8,1)="N",RANDBETWEEN(10000,150000),IF(LEFT(Y8,1)="J",RANDBETWEEN(8000,200000),RANDBETWEEN(5000,100000)))))</f>
        <v>3432388</v>
      </c>
      <c r="AW8" s="2">
        <f ca="1">INT(AV8*RANDBETWEEN(30,60)/100)</f>
        <v>1338631</v>
      </c>
      <c r="AX8">
        <f ca="1">IF(Z8="ORAL",RANDBETWEEN(1000,10000),IF(OR(Z8="INTRAVENOSA",Z8="INTRAMUSCULAR"),RANDBETWEEN(100,2000),IF(OR(Z8="OFTÁLMICA",Z8="TOPICA (EXTERNA)"),RANDBETWEEN(200,3000),RANDBETWEEN(100,1500))))</f>
        <v>7540</v>
      </c>
      <c r="AY8" s="2">
        <f ca="1">INT(AV8*RANDBETWEEN(90,130)/100)</f>
        <v>4118865</v>
      </c>
      <c r="AZ8" t="str">
        <f t="shared" ca="1" si="3"/>
        <v>14.9%</v>
      </c>
      <c r="BA8" t="str">
        <f t="shared" ca="1" si="4"/>
        <v>ALTO</v>
      </c>
    </row>
    <row r="9" spans="4:53" x14ac:dyDescent="0.35">
      <c r="D9" t="s">
        <v>185</v>
      </c>
      <c r="E9" s="1">
        <v>39710</v>
      </c>
      <c r="F9" t="s">
        <v>186</v>
      </c>
      <c r="G9" t="s">
        <v>108</v>
      </c>
      <c r="H9" t="s">
        <v>187</v>
      </c>
      <c r="I9">
        <v>19989090</v>
      </c>
      <c r="J9" t="s">
        <v>28</v>
      </c>
      <c r="K9">
        <v>5</v>
      </c>
      <c r="L9" t="s">
        <v>27</v>
      </c>
      <c r="M9" t="s">
        <v>188</v>
      </c>
      <c r="N9" t="s">
        <v>189</v>
      </c>
      <c r="O9" t="s">
        <v>190</v>
      </c>
      <c r="P9" t="s">
        <v>33</v>
      </c>
      <c r="Q9" s="1">
        <v>39622</v>
      </c>
      <c r="R9" t="s">
        <v>33</v>
      </c>
      <c r="S9" t="s">
        <v>27</v>
      </c>
      <c r="T9" t="s">
        <v>81</v>
      </c>
      <c r="U9" t="s">
        <v>115</v>
      </c>
      <c r="V9" t="s">
        <v>191</v>
      </c>
      <c r="W9">
        <v>10</v>
      </c>
      <c r="X9">
        <v>19989090</v>
      </c>
      <c r="Y9" t="s">
        <v>192</v>
      </c>
      <c r="Z9" t="s">
        <v>119</v>
      </c>
      <c r="AA9" t="s">
        <v>24</v>
      </c>
      <c r="AB9" t="s">
        <v>120</v>
      </c>
      <c r="AC9" t="s">
        <v>25</v>
      </c>
      <c r="AD9" t="s">
        <v>155</v>
      </c>
      <c r="AE9">
        <v>4</v>
      </c>
      <c r="AF9" t="s">
        <v>27</v>
      </c>
      <c r="AG9" t="s">
        <v>26</v>
      </c>
      <c r="AH9" t="s">
        <v>186</v>
      </c>
      <c r="AI9" t="str">
        <f t="shared" si="0"/>
        <v>NO</v>
      </c>
      <c r="AJ9" t="str">
        <f t="shared" si="1"/>
        <v>LABORATORIOS MK</v>
      </c>
      <c r="AK9" t="str">
        <f>IF(ISNUMBER(SEARCH("FABRICANTE",AC9)),"FABRICANTE",IF(ISNUMBER(SEARCH("IMPORTADOR",AC9)),"IMPORTADOR","OTRO"))</f>
        <v>FABRICANTE</v>
      </c>
      <c r="AL9" t="str">
        <f>IF(LEFT(Y9,1)="A","Sistema digestivo",IF(LEFT(Y9,1)="B","Sangre",IF(LEFT(Y9,1)="C","Cardiovascular",IF(LEFT(Y9,1)="D","Dermatológico",IF(LEFT(Y9,1)="G","Genitourinario",IF(LEFT(Y9,1)="H","Hormonal",IF(LEFT(Y9,1)="J","Antiinfecciosos",IF(LEFT(Y9,1)="L","Oncológicos",IF(LEFT(Y9,1)="M","Musculoesquelético",IF(LEFT(Y9,1)="N","Sistema nervioso",IF(LEFT(Y9,1)="R","Respiratorio",IF(LEFT(Y9,1)="S","Oftálmico",IF(LEFT(Y9,1)="V","Varios","OTRO")))))))))))))</f>
        <v>Cardiovascular</v>
      </c>
      <c r="AM9" t="str">
        <f>IF(AG9="Vigente","ACTIVO",IF(ISNUMBER(SEARCH("Inactivo",J9)),"INACTIVO","REVISAR"))</f>
        <v>ACTIVO</v>
      </c>
      <c r="AN9" t="str">
        <f ca="1">IF(OR(AF9="",AF9="null"),"",ROUND((AF9-TODAY())/365.25,2))</f>
        <v/>
      </c>
      <c r="AO9" t="str">
        <f ca="1">IF(AND(AG9="Vigente",OR(AF9="",AF9="null",AF9&gt;TODAY())),"SI",IF(AND(NOT(OR(AF9="",AF9="null")),AF9&lt;=TODAY()),"NO",IF(AG9="Vigente","SI","DESCONOCIDO")))</f>
        <v>SI</v>
      </c>
      <c r="AP9" t="str">
        <f>IF(AND(ISNUMBER(SEARCH("IMPORTAR",AA9)),ISNUMBER(SEARCH("FABRICAR",AA9))),"MIXTO",IF(ISNUMBER(SEARCH("IMPORTAR",AA9)),"IMPORTADO",IF(ISNUMBER(SEARCH("FABRICAR",AA9)),"LOCAL","OTRO")))</f>
        <v>LOCAL</v>
      </c>
      <c r="AQ9" t="str">
        <f>IF(AD9="Si","SI",IF(AD9="No","NO",""))</f>
        <v>SI</v>
      </c>
      <c r="AR9" t="str">
        <f>IF(ISNUMBER(SEARCH("®",N9)),"MARCA/INNOVADOR","GENERICO")</f>
        <v>GENERICO</v>
      </c>
      <c r="AS9">
        <f ca="1">IF(AE9&gt;100,RANDBETWEEN(500,5000),IF(AND(AE9&gt;=10,AE9&lt;=100),RANDBETWEEN(100,1000),RANDBETWEEN(10,200)))</f>
        <v>58</v>
      </c>
      <c r="AT9">
        <f t="shared" ca="1" si="2"/>
        <v>12</v>
      </c>
      <c r="AU9">
        <f ca="1">INT(AS9*RANDBETWEEN(120,200)/100)</f>
        <v>75</v>
      </c>
      <c r="AV9" s="2">
        <f ca="1">IF(LEFT(Y9,1)="L",RANDBETWEEN(500000,5000000),IF(LEFT(Y9,1)="C",RANDBETWEEN(5000,50000),IF(LEFT(Y9,1)="N",RANDBETWEEN(10000,150000),IF(LEFT(Y9,1)="J",RANDBETWEEN(8000,200000),RANDBETWEEN(5000,100000)))))</f>
        <v>5206</v>
      </c>
      <c r="AW9" s="2">
        <f ca="1">INT(AV9*RANDBETWEEN(30,60)/100)</f>
        <v>2498</v>
      </c>
      <c r="AX9">
        <f ca="1">IF(Z9="ORAL",RANDBETWEEN(1000,10000),IF(OR(Z9="INTRAVENOSA",Z9="INTRAMUSCULAR"),RANDBETWEEN(100,2000),IF(OR(Z9="OFTÁLMICA",Z9="TOPICA (EXTERNA)"),RANDBETWEEN(200,3000),RANDBETWEEN(100,1500))))</f>
        <v>2426</v>
      </c>
      <c r="AY9" s="2">
        <f ca="1">INT(AV9*RANDBETWEEN(90,130)/100)</f>
        <v>4789</v>
      </c>
      <c r="AZ9" t="str">
        <f t="shared" ca="1" si="3"/>
        <v>24.8%</v>
      </c>
      <c r="BA9" t="str">
        <f t="shared" ca="1" si="4"/>
        <v>BAJO</v>
      </c>
    </row>
    <row r="10" spans="4:53" x14ac:dyDescent="0.35">
      <c r="D10" t="s">
        <v>193</v>
      </c>
      <c r="E10" s="1">
        <v>38139</v>
      </c>
      <c r="F10" t="s">
        <v>194</v>
      </c>
      <c r="G10" t="s">
        <v>108</v>
      </c>
      <c r="H10" t="s">
        <v>195</v>
      </c>
      <c r="I10">
        <v>19942618</v>
      </c>
      <c r="J10" t="s">
        <v>110</v>
      </c>
      <c r="K10">
        <v>6</v>
      </c>
      <c r="L10" t="s">
        <v>27</v>
      </c>
      <c r="M10" t="s">
        <v>196</v>
      </c>
      <c r="N10" t="s">
        <v>197</v>
      </c>
      <c r="O10" t="s">
        <v>198</v>
      </c>
      <c r="P10" t="s">
        <v>199</v>
      </c>
      <c r="Q10" s="1">
        <v>39031</v>
      </c>
      <c r="R10" t="s">
        <v>200</v>
      </c>
      <c r="S10" s="1">
        <v>42061</v>
      </c>
      <c r="T10" t="s">
        <v>201</v>
      </c>
      <c r="U10" t="s">
        <v>115</v>
      </c>
      <c r="V10" t="s">
        <v>202</v>
      </c>
      <c r="W10">
        <v>100</v>
      </c>
      <c r="X10">
        <v>19942618</v>
      </c>
      <c r="Y10" t="s">
        <v>203</v>
      </c>
      <c r="Z10" t="s">
        <v>119</v>
      </c>
      <c r="AA10" t="s">
        <v>32</v>
      </c>
      <c r="AB10" t="s">
        <v>120</v>
      </c>
      <c r="AC10" t="s">
        <v>38</v>
      </c>
      <c r="AD10" t="s">
        <v>121</v>
      </c>
      <c r="AE10">
        <v>10</v>
      </c>
      <c r="AF10" s="1">
        <v>401769</v>
      </c>
      <c r="AG10" t="s">
        <v>26</v>
      </c>
      <c r="AH10" t="s">
        <v>194</v>
      </c>
      <c r="AI10" t="str">
        <f t="shared" si="0"/>
        <v>NO</v>
      </c>
      <c r="AJ10" t="str">
        <f t="shared" si="1"/>
        <v>MONTE VERDE</v>
      </c>
      <c r="AK10" t="str">
        <f>IF(ISNUMBER(SEARCH("FABRICANTE",AC10)),"FABRICANTE",IF(ISNUMBER(SEARCH("IMPORTADOR",AC10)),"IMPORTADOR","OTRO"))</f>
        <v>IMPORTADOR</v>
      </c>
      <c r="AL10" t="str">
        <f>IF(LEFT(Y10,1)="A","Sistema digestivo",IF(LEFT(Y10,1)="B","Sangre",IF(LEFT(Y10,1)="C","Cardiovascular",IF(LEFT(Y10,1)="D","Dermatológico",IF(LEFT(Y10,1)="G","Genitourinario",IF(LEFT(Y10,1)="H","Hormonal",IF(LEFT(Y10,1)="J","Antiinfecciosos",IF(LEFT(Y10,1)="L","Oncológicos",IF(LEFT(Y10,1)="M","Musculoesquelético",IF(LEFT(Y10,1)="N","Sistema nervioso",IF(LEFT(Y10,1)="R","Respiratorio",IF(LEFT(Y10,1)="S","Oftálmico",IF(LEFT(Y10,1)="V","Varios","OTRO")))))))))))))</f>
        <v>Oncológicos</v>
      </c>
      <c r="AM10" t="str">
        <f>IF(AG10="Vigente","ACTIVO",IF(ISNUMBER(SEARCH("Inactivo",J10)),"INACTIVO","REVISAR"))</f>
        <v>ACTIVO</v>
      </c>
      <c r="AN10">
        <f ca="1">IF(OR(AF10="",AF10="null"),"",ROUND((AF10-TODAY())/365.25,2))</f>
        <v>973.58</v>
      </c>
      <c r="AO10" t="str">
        <f ca="1">IF(AND(AG10="Vigente",OR(AF10="",AF10="null",AF10&gt;TODAY())),"SI",IF(AND(NOT(OR(AF10="",AF10="null")),AF10&lt;=TODAY()),"NO",IF(AG10="Vigente","SI","DESCONOCIDO")))</f>
        <v>SI</v>
      </c>
      <c r="AP10" t="str">
        <f>IF(AND(ISNUMBER(SEARCH("IMPORTAR",AA10)),ISNUMBER(SEARCH("FABRICAR",AA10))),"MIXTO",IF(ISNUMBER(SEARCH("IMPORTAR",AA10)),"IMPORTADO",IF(ISNUMBER(SEARCH("FABRICAR",AA10)),"LOCAL","OTRO")))</f>
        <v>IMPORTADO</v>
      </c>
      <c r="AQ10" t="str">
        <f>IF(AD10="Si","SI",IF(AD10="No","NO",""))</f>
        <v>NO</v>
      </c>
      <c r="AR10" t="str">
        <f>IF(ISNUMBER(SEARCH("®",N10)),"MARCA/INNOVADOR","GENERICO")</f>
        <v>MARCA/INNOVADOR</v>
      </c>
      <c r="AS10">
        <f ca="1">IF(AE10&gt;100,RANDBETWEEN(500,5000),IF(AND(AE10&gt;=10,AE10&lt;=100),RANDBETWEEN(100,1000),RANDBETWEEN(10,200)))</f>
        <v>794</v>
      </c>
      <c r="AT10">
        <f t="shared" ca="1" si="2"/>
        <v>166</v>
      </c>
      <c r="AU10">
        <f ca="1">INT(AS10*RANDBETWEEN(120,200)/100)</f>
        <v>1191</v>
      </c>
      <c r="AV10" s="2">
        <f ca="1">IF(LEFT(Y10,1)="L",RANDBETWEEN(500000,5000000),IF(LEFT(Y10,1)="C",RANDBETWEEN(5000,50000),IF(LEFT(Y10,1)="N",RANDBETWEEN(10000,150000),IF(LEFT(Y10,1)="J",RANDBETWEEN(8000,200000),RANDBETWEEN(5000,100000)))))</f>
        <v>2612656</v>
      </c>
      <c r="AW10" s="2">
        <f ca="1">INT(AV10*RANDBETWEEN(30,60)/100)</f>
        <v>992809</v>
      </c>
      <c r="AX10">
        <f ca="1">IF(Z10="ORAL",RANDBETWEEN(1000,10000),IF(OR(Z10="INTRAVENOSA",Z10="INTRAMUSCULAR"),RANDBETWEEN(100,2000),IF(OR(Z10="OFTÁLMICA",Z10="TOPICA (EXTERNA)"),RANDBETWEEN(200,3000),RANDBETWEEN(100,1500))))</f>
        <v>3444</v>
      </c>
      <c r="AY10" s="2">
        <f ca="1">INT(AV10*RANDBETWEEN(90,130)/100)</f>
        <v>2586529</v>
      </c>
      <c r="AZ10" t="str">
        <f t="shared" ca="1" si="3"/>
        <v>14.5%</v>
      </c>
      <c r="BA10" t="str">
        <f t="shared" ca="1" si="4"/>
        <v>MEDIO</v>
      </c>
    </row>
    <row r="11" spans="4:53" x14ac:dyDescent="0.35">
      <c r="D11" t="s">
        <v>204</v>
      </c>
      <c r="E11" s="1">
        <v>44392</v>
      </c>
      <c r="F11" t="s">
        <v>205</v>
      </c>
      <c r="G11" t="s">
        <v>108</v>
      </c>
      <c r="H11" t="s">
        <v>206</v>
      </c>
      <c r="I11">
        <v>20163214</v>
      </c>
      <c r="J11" t="s">
        <v>28</v>
      </c>
      <c r="K11">
        <v>5</v>
      </c>
      <c r="L11" t="s">
        <v>27</v>
      </c>
      <c r="M11" t="s">
        <v>207</v>
      </c>
      <c r="N11" t="s">
        <v>208</v>
      </c>
      <c r="O11" t="s">
        <v>209</v>
      </c>
      <c r="P11" t="s">
        <v>210</v>
      </c>
      <c r="Q11" s="1">
        <v>45813</v>
      </c>
      <c r="R11" t="s">
        <v>211</v>
      </c>
      <c r="S11" t="s">
        <v>27</v>
      </c>
      <c r="T11" t="s">
        <v>206</v>
      </c>
      <c r="U11" t="s">
        <v>115</v>
      </c>
      <c r="V11" t="s">
        <v>205</v>
      </c>
      <c r="W11">
        <v>1000</v>
      </c>
      <c r="X11">
        <v>20163214</v>
      </c>
      <c r="Y11" t="s">
        <v>212</v>
      </c>
      <c r="Z11" t="s">
        <v>213</v>
      </c>
      <c r="AA11" t="s">
        <v>32</v>
      </c>
      <c r="AB11" t="s">
        <v>120</v>
      </c>
      <c r="AC11" t="s">
        <v>25</v>
      </c>
      <c r="AD11" t="s">
        <v>121</v>
      </c>
      <c r="AE11">
        <v>50</v>
      </c>
      <c r="AF11" s="1">
        <v>401769</v>
      </c>
      <c r="AG11" t="s">
        <v>26</v>
      </c>
      <c r="AH11" t="s">
        <v>205</v>
      </c>
      <c r="AI11" t="str">
        <f t="shared" si="0"/>
        <v>NO</v>
      </c>
      <c r="AJ11" t="str">
        <f t="shared" si="1"/>
        <v>NECTAR LIFESCIENCES</v>
      </c>
      <c r="AK11" t="str">
        <f>IF(ISNUMBER(SEARCH("FABRICANTE",AC11)),"FABRICANTE",IF(ISNUMBER(SEARCH("IMPORTADOR",AC11)),"IMPORTADOR","OTRO"))</f>
        <v>FABRICANTE</v>
      </c>
      <c r="AL11" t="str">
        <f>IF(LEFT(Y11,1)="A","Sistema digestivo",IF(LEFT(Y11,1)="B","Sangre",IF(LEFT(Y11,1)="C","Cardiovascular",IF(LEFT(Y11,1)="D","Dermatológico",IF(LEFT(Y11,1)="G","Genitourinario",IF(LEFT(Y11,1)="H","Hormonal",IF(LEFT(Y11,1)="J","Antiinfecciosos",IF(LEFT(Y11,1)="L","Oncológicos",IF(LEFT(Y11,1)="M","Musculoesquelético",IF(LEFT(Y11,1)="N","Sistema nervioso",IF(LEFT(Y11,1)="R","Respiratorio",IF(LEFT(Y11,1)="S","Oftálmico",IF(LEFT(Y11,1)="V","Varios","OTRO")))))))))))))</f>
        <v>Antiinfecciosos</v>
      </c>
      <c r="AM11" t="str">
        <f>IF(AG11="Vigente","ACTIVO",IF(ISNUMBER(SEARCH("Inactivo",J11)),"INACTIVO","REVISAR"))</f>
        <v>ACTIVO</v>
      </c>
      <c r="AN11">
        <f ca="1">IF(OR(AF11="",AF11="null"),"",ROUND((AF11-TODAY())/365.25,2))</f>
        <v>973.58</v>
      </c>
      <c r="AO11" t="str">
        <f ca="1">IF(AND(AG11="Vigente",OR(AF11="",AF11="null",AF11&gt;TODAY())),"SI",IF(AND(NOT(OR(AF11="",AF11="null")),AF11&lt;=TODAY()),"NO",IF(AG11="Vigente","SI","DESCONOCIDO")))</f>
        <v>SI</v>
      </c>
      <c r="AP11" t="str">
        <f>IF(AND(ISNUMBER(SEARCH("IMPORTAR",AA11)),ISNUMBER(SEARCH("FABRICAR",AA11))),"MIXTO",IF(ISNUMBER(SEARCH("IMPORTAR",AA11)),"IMPORTADO",IF(ISNUMBER(SEARCH("FABRICAR",AA11)),"LOCAL","OTRO")))</f>
        <v>IMPORTADO</v>
      </c>
      <c r="AQ11" t="str">
        <f>IF(AD11="Si","SI",IF(AD11="No","NO",""))</f>
        <v>NO</v>
      </c>
      <c r="AR11" t="str">
        <f>IF(ISNUMBER(SEARCH("®",N11)),"MARCA/INNOVADOR","GENERICO")</f>
        <v>MARCA/INNOVADOR</v>
      </c>
      <c r="AS11">
        <f ca="1">IF(AE11&gt;100,RANDBETWEEN(500,5000),IF(AND(AE11&gt;=10,AE11&lt;=100),RANDBETWEEN(100,1000),RANDBETWEEN(10,200)))</f>
        <v>835</v>
      </c>
      <c r="AT11">
        <f t="shared" ca="1" si="2"/>
        <v>233</v>
      </c>
      <c r="AU11">
        <f ca="1">INT(AS11*RANDBETWEEN(120,200)/100)</f>
        <v>1511</v>
      </c>
      <c r="AV11" s="2">
        <f ca="1">IF(LEFT(Y11,1)="L",RANDBETWEEN(500000,5000000),IF(LEFT(Y11,1)="C",RANDBETWEEN(5000,50000),IF(LEFT(Y11,1)="N",RANDBETWEEN(10000,150000),IF(LEFT(Y11,1)="J",RANDBETWEEN(8000,200000),RANDBETWEEN(5000,100000)))))</f>
        <v>52244</v>
      </c>
      <c r="AW11" s="2">
        <f ca="1">INT(AV11*RANDBETWEEN(30,60)/100)</f>
        <v>30823</v>
      </c>
      <c r="AX11">
        <f ca="1">IF(Z11="ORAL",RANDBETWEEN(1000,10000),IF(OR(Z11="INTRAVENOSA",Z11="INTRAMUSCULAR"),RANDBETWEEN(100,2000),IF(OR(Z11="OFTÁLMICA",Z11="TOPICA (EXTERNA)"),RANDBETWEEN(200,3000),RANDBETWEEN(100,1500))))</f>
        <v>480</v>
      </c>
      <c r="AY11" s="2">
        <f ca="1">INT(AV11*RANDBETWEEN(90,130)/100)</f>
        <v>53811</v>
      </c>
      <c r="AZ11" t="str">
        <f t="shared" ca="1" si="3"/>
        <v>1%</v>
      </c>
      <c r="BA11" t="str">
        <f t="shared" ca="1" si="4"/>
        <v>BAJO</v>
      </c>
    </row>
    <row r="12" spans="4:53" x14ac:dyDescent="0.35">
      <c r="D12" t="s">
        <v>214</v>
      </c>
      <c r="E12" s="1">
        <v>41948</v>
      </c>
      <c r="F12" t="s">
        <v>215</v>
      </c>
      <c r="G12" t="s">
        <v>108</v>
      </c>
      <c r="H12" t="s">
        <v>216</v>
      </c>
      <c r="I12">
        <v>20063447</v>
      </c>
      <c r="J12" t="s">
        <v>110</v>
      </c>
      <c r="K12">
        <v>21</v>
      </c>
      <c r="L12" t="s">
        <v>27</v>
      </c>
      <c r="M12" t="s">
        <v>217</v>
      </c>
      <c r="N12" t="s">
        <v>218</v>
      </c>
      <c r="O12" t="s">
        <v>219</v>
      </c>
      <c r="P12" t="s">
        <v>33</v>
      </c>
      <c r="Q12" s="1">
        <v>41988</v>
      </c>
      <c r="R12" t="s">
        <v>33</v>
      </c>
      <c r="S12" s="1">
        <v>43801</v>
      </c>
      <c r="T12" t="s">
        <v>220</v>
      </c>
      <c r="U12" t="s">
        <v>115</v>
      </c>
      <c r="V12" t="s">
        <v>215</v>
      </c>
      <c r="W12">
        <v>1000</v>
      </c>
      <c r="X12">
        <v>20063447</v>
      </c>
      <c r="Y12" t="s">
        <v>221</v>
      </c>
      <c r="Z12" t="s">
        <v>119</v>
      </c>
      <c r="AA12" t="s">
        <v>32</v>
      </c>
      <c r="AB12" t="s">
        <v>120</v>
      </c>
      <c r="AC12" t="s">
        <v>25</v>
      </c>
      <c r="AD12" t="s">
        <v>121</v>
      </c>
      <c r="AE12">
        <v>10</v>
      </c>
      <c r="AF12" s="1">
        <v>401769</v>
      </c>
      <c r="AG12" t="s">
        <v>26</v>
      </c>
      <c r="AH12" t="s">
        <v>215</v>
      </c>
      <c r="AI12" t="str">
        <f t="shared" si="0"/>
        <v>NO</v>
      </c>
      <c r="AJ12" t="str">
        <f t="shared" si="1"/>
        <v>WILLOW PHARMA</v>
      </c>
      <c r="AK12" t="str">
        <f>IF(ISNUMBER(SEARCH("FABRICANTE",AC12)),"FABRICANTE",IF(ISNUMBER(SEARCH("IMPORTADOR",AC12)),"IMPORTADOR","OTRO"))</f>
        <v>FABRICANTE</v>
      </c>
      <c r="AL12" t="str">
        <f>IF(LEFT(Y12,1)="A","Sistema digestivo",IF(LEFT(Y12,1)="B","Sangre",IF(LEFT(Y12,1)="C","Cardiovascular",IF(LEFT(Y12,1)="D","Dermatológico",IF(LEFT(Y12,1)="G","Genitourinario",IF(LEFT(Y12,1)="H","Hormonal",IF(LEFT(Y12,1)="J","Antiinfecciosos",IF(LEFT(Y12,1)="L","Oncológicos",IF(LEFT(Y12,1)="M","Musculoesquelético",IF(LEFT(Y12,1)="N","Sistema nervioso",IF(LEFT(Y12,1)="R","Respiratorio",IF(LEFT(Y12,1)="S","Oftálmico",IF(LEFT(Y12,1)="V","Varios","OTRO")))))))))))))</f>
        <v>Sistema nervioso</v>
      </c>
      <c r="AM12" t="str">
        <f>IF(AG12="Vigente","ACTIVO",IF(ISNUMBER(SEARCH("Inactivo",J12)),"INACTIVO","REVISAR"))</f>
        <v>ACTIVO</v>
      </c>
      <c r="AN12">
        <f ca="1">IF(OR(AF12="",AF12="null"),"",ROUND((AF12-TODAY())/365.25,2))</f>
        <v>973.58</v>
      </c>
      <c r="AO12" t="str">
        <f ca="1">IF(AND(AG12="Vigente",OR(AF12="",AF12="null",AF12&gt;TODAY())),"SI",IF(AND(NOT(OR(AF12="",AF12="null")),AF12&lt;=TODAY()),"NO",IF(AG12="Vigente","SI","DESCONOCIDO")))</f>
        <v>SI</v>
      </c>
      <c r="AP12" t="str">
        <f>IF(AND(ISNUMBER(SEARCH("IMPORTAR",AA12)),ISNUMBER(SEARCH("FABRICAR",AA12))),"MIXTO",IF(ISNUMBER(SEARCH("IMPORTAR",AA12)),"IMPORTADO",IF(ISNUMBER(SEARCH("FABRICAR",AA12)),"LOCAL","OTRO")))</f>
        <v>IMPORTADO</v>
      </c>
      <c r="AQ12" t="str">
        <f>IF(AD12="Si","SI",IF(AD12="No","NO",""))</f>
        <v>NO</v>
      </c>
      <c r="AR12" t="str">
        <f>IF(ISNUMBER(SEARCH("®",N12)),"MARCA/INNOVADOR","GENERICO")</f>
        <v>MARCA/INNOVADOR</v>
      </c>
      <c r="AS12">
        <f ca="1">IF(AE12&gt;100,RANDBETWEEN(500,5000),IF(AND(AE12&gt;=10,AE12&lt;=100),RANDBETWEEN(100,1000),RANDBETWEEN(10,200)))</f>
        <v>417</v>
      </c>
      <c r="AT12">
        <f t="shared" ca="1" si="2"/>
        <v>62</v>
      </c>
      <c r="AU12">
        <f ca="1">INT(AS12*RANDBETWEEN(120,200)/100)</f>
        <v>592</v>
      </c>
      <c r="AV12" s="2">
        <f ca="1">IF(LEFT(Y12,1)="L",RANDBETWEEN(500000,5000000),IF(LEFT(Y12,1)="C",RANDBETWEEN(5000,50000),IF(LEFT(Y12,1)="N",RANDBETWEEN(10000,150000),IF(LEFT(Y12,1)="J",RANDBETWEEN(8000,200000),RANDBETWEEN(5000,100000)))))</f>
        <v>81793</v>
      </c>
      <c r="AW12" s="2">
        <f ca="1">INT(AV12*RANDBETWEEN(30,60)/100)</f>
        <v>35988</v>
      </c>
      <c r="AX12">
        <f ca="1">IF(Z12="ORAL",RANDBETWEEN(1000,10000),IF(OR(Z12="INTRAVENOSA",Z12="INTRAMUSCULAR"),RANDBETWEEN(100,2000),IF(OR(Z12="OFTÁLMICA",Z12="TOPICA (EXTERNA)"),RANDBETWEEN(200,3000),RANDBETWEEN(100,1500))))</f>
        <v>6627</v>
      </c>
      <c r="AY12" s="2">
        <f ca="1">INT(AV12*RANDBETWEEN(90,130)/100)</f>
        <v>73613</v>
      </c>
      <c r="AZ12" t="str">
        <f t="shared" ca="1" si="3"/>
        <v>9.6%</v>
      </c>
      <c r="BA12" t="str">
        <f t="shared" ca="1" si="4"/>
        <v>MEDIO</v>
      </c>
    </row>
    <row r="13" spans="4:53" x14ac:dyDescent="0.35">
      <c r="D13" t="s">
        <v>222</v>
      </c>
      <c r="E13" s="1">
        <v>38734</v>
      </c>
      <c r="F13" t="s">
        <v>123</v>
      </c>
      <c r="G13" t="s">
        <v>108</v>
      </c>
      <c r="H13" t="s">
        <v>223</v>
      </c>
      <c r="I13">
        <v>19961424</v>
      </c>
      <c r="J13" t="s">
        <v>28</v>
      </c>
      <c r="K13">
        <v>1</v>
      </c>
      <c r="L13" t="s">
        <v>27</v>
      </c>
      <c r="M13" t="s">
        <v>224</v>
      </c>
      <c r="N13" t="s">
        <v>225</v>
      </c>
      <c r="O13" t="s">
        <v>226</v>
      </c>
      <c r="P13" t="s">
        <v>47</v>
      </c>
      <c r="Q13" s="1">
        <v>39031</v>
      </c>
      <c r="R13" t="s">
        <v>47</v>
      </c>
      <c r="S13" t="s">
        <v>27</v>
      </c>
      <c r="T13" t="s">
        <v>227</v>
      </c>
      <c r="U13" t="s">
        <v>115</v>
      </c>
      <c r="V13" t="s">
        <v>130</v>
      </c>
      <c r="W13">
        <v>50</v>
      </c>
      <c r="X13">
        <v>19961424</v>
      </c>
      <c r="Y13" t="s">
        <v>131</v>
      </c>
      <c r="Z13" t="s">
        <v>119</v>
      </c>
      <c r="AA13" t="s">
        <v>32</v>
      </c>
      <c r="AB13" t="s">
        <v>120</v>
      </c>
      <c r="AC13" t="s">
        <v>25</v>
      </c>
      <c r="AD13" t="s">
        <v>121</v>
      </c>
      <c r="AE13">
        <v>10</v>
      </c>
      <c r="AF13" t="s">
        <v>27</v>
      </c>
      <c r="AG13" t="s">
        <v>26</v>
      </c>
      <c r="AH13" t="s">
        <v>123</v>
      </c>
      <c r="AI13" t="str">
        <f t="shared" si="0"/>
        <v>NO</v>
      </c>
      <c r="AJ13" t="str">
        <f t="shared" si="1"/>
        <v>GRUNENTHAL</v>
      </c>
      <c r="AK13" t="str">
        <f>IF(ISNUMBER(SEARCH("FABRICANTE",AC13)),"FABRICANTE",IF(ISNUMBER(SEARCH("IMPORTADOR",AC13)),"IMPORTADOR","OTRO"))</f>
        <v>FABRICANTE</v>
      </c>
      <c r="AL13" t="str">
        <f>IF(LEFT(Y13,1)="A","Sistema digestivo",IF(LEFT(Y13,1)="B","Sangre",IF(LEFT(Y13,1)="C","Cardiovascular",IF(LEFT(Y13,1)="D","Dermatológico",IF(LEFT(Y13,1)="G","Genitourinario",IF(LEFT(Y13,1)="H","Hormonal",IF(LEFT(Y13,1)="J","Antiinfecciosos",IF(LEFT(Y13,1)="L","Oncológicos",IF(LEFT(Y13,1)="M","Musculoesquelético",IF(LEFT(Y13,1)="N","Sistema nervioso",IF(LEFT(Y13,1)="R","Respiratorio",IF(LEFT(Y13,1)="S","Oftálmico",IF(LEFT(Y13,1)="V","Varios","OTRO")))))))))))))</f>
        <v>Sistema nervioso</v>
      </c>
      <c r="AM13" t="str">
        <f>IF(AG13="Vigente","ACTIVO",IF(ISNUMBER(SEARCH("Inactivo",J13)),"INACTIVO","REVISAR"))</f>
        <v>ACTIVO</v>
      </c>
      <c r="AN13" t="str">
        <f ca="1">IF(OR(AF13="",AF13="null"),"",ROUND((AF13-TODAY())/365.25,2))</f>
        <v/>
      </c>
      <c r="AO13" t="str">
        <f ca="1">IF(AND(AG13="Vigente",OR(AF13="",AF13="null",AF13&gt;TODAY())),"SI",IF(AND(NOT(OR(AF13="",AF13="null")),AF13&lt;=TODAY()),"NO",IF(AG13="Vigente","SI","DESCONOCIDO")))</f>
        <v>SI</v>
      </c>
      <c r="AP13" t="str">
        <f>IF(AND(ISNUMBER(SEARCH("IMPORTAR",AA13)),ISNUMBER(SEARCH("FABRICAR",AA13))),"MIXTO",IF(ISNUMBER(SEARCH("IMPORTAR",AA13)),"IMPORTADO",IF(ISNUMBER(SEARCH("FABRICAR",AA13)),"LOCAL","OTRO")))</f>
        <v>IMPORTADO</v>
      </c>
      <c r="AQ13" t="str">
        <f>IF(AD13="Si","SI",IF(AD13="No","NO",""))</f>
        <v>NO</v>
      </c>
      <c r="AR13" t="str">
        <f>IF(ISNUMBER(SEARCH("®",N13)),"MARCA/INNOVADOR","GENERICO")</f>
        <v>MARCA/INNOVADOR</v>
      </c>
      <c r="AS13">
        <f ca="1">IF(AE13&gt;100,RANDBETWEEN(500,5000),IF(AND(AE13&gt;=10,AE13&lt;=100),RANDBETWEEN(100,1000),RANDBETWEEN(10,200)))</f>
        <v>174</v>
      </c>
      <c r="AT13">
        <f t="shared" ca="1" si="2"/>
        <v>36</v>
      </c>
      <c r="AU13">
        <f ca="1">INT(AS13*RANDBETWEEN(120,200)/100)</f>
        <v>219</v>
      </c>
      <c r="AV13" s="2">
        <f ca="1">IF(LEFT(Y13,1)="L",RANDBETWEEN(500000,5000000),IF(LEFT(Y13,1)="C",RANDBETWEEN(5000,50000),IF(LEFT(Y13,1)="N",RANDBETWEEN(10000,150000),IF(LEFT(Y13,1)="J",RANDBETWEEN(8000,200000),RANDBETWEEN(5000,100000)))))</f>
        <v>54880</v>
      </c>
      <c r="AW13" s="2">
        <f ca="1">INT(AV13*RANDBETWEEN(30,60)/100)</f>
        <v>32379</v>
      </c>
      <c r="AX13">
        <f ca="1">IF(Z13="ORAL",RANDBETWEEN(1000,10000),IF(OR(Z13="INTRAVENOSA",Z13="INTRAMUSCULAR"),RANDBETWEEN(100,2000),IF(OR(Z13="OFTÁLMICA",Z13="TOPICA (EXTERNA)"),RANDBETWEEN(200,3000),RANDBETWEEN(100,1500))))</f>
        <v>1717</v>
      </c>
      <c r="AY13" s="2">
        <f ca="1">INT(AV13*RANDBETWEEN(90,130)/100)</f>
        <v>60368</v>
      </c>
      <c r="AZ13" t="str">
        <f t="shared" ca="1" si="3"/>
        <v>24%</v>
      </c>
      <c r="BA13" t="str">
        <f t="shared" ca="1" si="4"/>
        <v>BAJO</v>
      </c>
    </row>
    <row r="14" spans="4:53" x14ac:dyDescent="0.35">
      <c r="D14" t="s">
        <v>228</v>
      </c>
      <c r="E14" s="1">
        <v>39120</v>
      </c>
      <c r="F14" t="s">
        <v>229</v>
      </c>
      <c r="G14" t="s">
        <v>108</v>
      </c>
      <c r="H14" t="s">
        <v>230</v>
      </c>
      <c r="I14">
        <v>19972118</v>
      </c>
      <c r="J14" t="s">
        <v>28</v>
      </c>
      <c r="K14">
        <v>11</v>
      </c>
      <c r="L14" t="s">
        <v>27</v>
      </c>
      <c r="M14" t="s">
        <v>231</v>
      </c>
      <c r="N14" t="s">
        <v>232</v>
      </c>
      <c r="O14" t="s">
        <v>233</v>
      </c>
      <c r="P14" t="s">
        <v>234</v>
      </c>
      <c r="Q14" s="1">
        <v>45076</v>
      </c>
      <c r="R14" t="s">
        <v>50</v>
      </c>
      <c r="S14" t="s">
        <v>27</v>
      </c>
      <c r="T14" t="s">
        <v>235</v>
      </c>
      <c r="U14" t="s">
        <v>115</v>
      </c>
      <c r="V14" t="s">
        <v>236</v>
      </c>
      <c r="W14" t="s">
        <v>237</v>
      </c>
      <c r="X14">
        <v>19972118</v>
      </c>
      <c r="Y14" t="s">
        <v>238</v>
      </c>
      <c r="Z14" t="s">
        <v>132</v>
      </c>
      <c r="AA14" t="s">
        <v>32</v>
      </c>
      <c r="AB14" t="s">
        <v>239</v>
      </c>
      <c r="AC14" t="s">
        <v>25</v>
      </c>
      <c r="AD14" t="s">
        <v>121</v>
      </c>
      <c r="AE14">
        <v>1</v>
      </c>
      <c r="AF14" s="1">
        <v>401769</v>
      </c>
      <c r="AG14" t="s">
        <v>26</v>
      </c>
      <c r="AH14" t="s">
        <v>6612</v>
      </c>
      <c r="AI14" t="str">
        <f t="shared" si="0"/>
        <v>SI</v>
      </c>
      <c r="AJ14" t="str">
        <f t="shared" si="1"/>
        <v>NOVO NORDISK</v>
      </c>
      <c r="AK14" t="str">
        <f>IF(ISNUMBER(SEARCH("FABRICANTE",AC14)),"FABRICANTE",IF(ISNUMBER(SEARCH("IMPORTADOR",AC14)),"IMPORTADOR","OTRO"))</f>
        <v>FABRICANTE</v>
      </c>
      <c r="AL14" t="str">
        <f>IF(LEFT(Y14,1)="A","Sistema digestivo",IF(LEFT(Y14,1)="B","Sangre",IF(LEFT(Y14,1)="C","Cardiovascular",IF(LEFT(Y14,1)="D","Dermatológico",IF(LEFT(Y14,1)="G","Genitourinario",IF(LEFT(Y14,1)="H","Hormonal",IF(LEFT(Y14,1)="J","Antiinfecciosos",IF(LEFT(Y14,1)="L","Oncológicos",IF(LEFT(Y14,1)="M","Musculoesquelético",IF(LEFT(Y14,1)="N","Sistema nervioso",IF(LEFT(Y14,1)="R","Respiratorio",IF(LEFT(Y14,1)="S","Oftálmico",IF(LEFT(Y14,1)="V","Varios","OTRO")))))))))))))</f>
        <v>Sistema digestivo</v>
      </c>
      <c r="AM14" t="str">
        <f>IF(AG14="Vigente","ACTIVO",IF(ISNUMBER(SEARCH("Inactivo",J14)),"INACTIVO","REVISAR"))</f>
        <v>ACTIVO</v>
      </c>
      <c r="AN14">
        <f ca="1">IF(OR(AF14="",AF14="null"),"",ROUND((AF14-TODAY())/365.25,2))</f>
        <v>973.58</v>
      </c>
      <c r="AO14" t="str">
        <f ca="1">IF(AND(AG14="Vigente",OR(AF14="",AF14="null",AF14&gt;TODAY())),"SI",IF(AND(NOT(OR(AF14="",AF14="null")),AF14&lt;=TODAY()),"NO",IF(AG14="Vigente","SI","DESCONOCIDO")))</f>
        <v>SI</v>
      </c>
      <c r="AP14" t="str">
        <f>IF(AND(ISNUMBER(SEARCH("IMPORTAR",AA14)),ISNUMBER(SEARCH("FABRICAR",AA14))),"MIXTO",IF(ISNUMBER(SEARCH("IMPORTAR",AA14)),"IMPORTADO",IF(ISNUMBER(SEARCH("FABRICAR",AA14)),"LOCAL","OTRO")))</f>
        <v>IMPORTADO</v>
      </c>
      <c r="AQ14" t="str">
        <f>IF(AD14="Si","SI",IF(AD14="No","NO",""))</f>
        <v>NO</v>
      </c>
      <c r="AR14" t="str">
        <f>IF(ISNUMBER(SEARCH("®",N14)),"MARCA/INNOVADOR","GENERICO")</f>
        <v>GENERICO</v>
      </c>
      <c r="AS14">
        <f ca="1">IF(AE14&gt;100,RANDBETWEEN(500,5000),IF(AND(AE14&gt;=10,AE14&lt;=100),RANDBETWEEN(100,1000),RANDBETWEEN(10,200)))</f>
        <v>125</v>
      </c>
      <c r="AT14">
        <f t="shared" ca="1" si="2"/>
        <v>12</v>
      </c>
      <c r="AU14">
        <f ca="1">INT(AS14*RANDBETWEEN(120,200)/100)</f>
        <v>235</v>
      </c>
      <c r="AV14" s="2">
        <f ca="1">IF(LEFT(Y14,1)="L",RANDBETWEEN(500000,5000000),IF(LEFT(Y14,1)="C",RANDBETWEEN(5000,50000),IF(LEFT(Y14,1)="N",RANDBETWEEN(10000,150000),IF(LEFT(Y14,1)="J",RANDBETWEEN(8000,200000),RANDBETWEEN(5000,100000)))))</f>
        <v>67609</v>
      </c>
      <c r="AW14" s="2">
        <f ca="1">INT(AV14*RANDBETWEEN(30,60)/100)</f>
        <v>34480</v>
      </c>
      <c r="AX14">
        <f ca="1">IF(Z14="ORAL",RANDBETWEEN(1000,10000),IF(OR(Z14="INTRAVENOSA",Z14="INTRAMUSCULAR"),RANDBETWEEN(100,2000),IF(OR(Z14="OFTÁLMICA",Z14="TOPICA (EXTERNA)"),RANDBETWEEN(200,3000),RANDBETWEEN(100,1500))))</f>
        <v>1271</v>
      </c>
      <c r="AY14" s="2">
        <f ca="1">INT(AV14*RANDBETWEEN(90,130)/100)</f>
        <v>83159</v>
      </c>
      <c r="AZ14" t="str">
        <f t="shared" ca="1" si="3"/>
        <v>1.6%</v>
      </c>
      <c r="BA14" t="str">
        <f t="shared" ca="1" si="4"/>
        <v>BAJO</v>
      </c>
    </row>
    <row r="15" spans="4:53" x14ac:dyDescent="0.35">
      <c r="D15" t="s">
        <v>240</v>
      </c>
      <c r="E15" s="1">
        <v>41054</v>
      </c>
      <c r="F15" t="s">
        <v>241</v>
      </c>
      <c r="G15" t="s">
        <v>108</v>
      </c>
      <c r="H15" t="s">
        <v>242</v>
      </c>
      <c r="I15">
        <v>20042480</v>
      </c>
      <c r="J15" t="s">
        <v>28</v>
      </c>
      <c r="K15">
        <v>294</v>
      </c>
      <c r="L15" t="s">
        <v>27</v>
      </c>
      <c r="M15" t="s">
        <v>243</v>
      </c>
      <c r="N15" t="s">
        <v>244</v>
      </c>
      <c r="O15" t="s">
        <v>245</v>
      </c>
      <c r="P15" t="s">
        <v>246</v>
      </c>
      <c r="Q15" s="1">
        <v>45218</v>
      </c>
      <c r="R15" t="s">
        <v>67</v>
      </c>
      <c r="S15" t="s">
        <v>27</v>
      </c>
      <c r="T15" t="s">
        <v>80</v>
      </c>
      <c r="U15" t="s">
        <v>247</v>
      </c>
      <c r="V15" t="s">
        <v>248</v>
      </c>
      <c r="W15" s="2">
        <v>2273</v>
      </c>
      <c r="X15">
        <v>20042480</v>
      </c>
      <c r="Y15" t="s">
        <v>249</v>
      </c>
      <c r="Z15" t="s">
        <v>119</v>
      </c>
      <c r="AA15" t="s">
        <v>24</v>
      </c>
      <c r="AB15" t="s">
        <v>250</v>
      </c>
      <c r="AC15" t="s">
        <v>25</v>
      </c>
      <c r="AD15" t="s">
        <v>155</v>
      </c>
      <c r="AE15">
        <v>1</v>
      </c>
      <c r="AF15" t="s">
        <v>27</v>
      </c>
      <c r="AG15" t="s">
        <v>26</v>
      </c>
      <c r="AH15" t="s">
        <v>6613</v>
      </c>
      <c r="AI15" t="str">
        <f t="shared" si="0"/>
        <v>NO</v>
      </c>
      <c r="AJ15" t="str">
        <f t="shared" si="1"/>
        <v>TECNOQUIMICAS</v>
      </c>
      <c r="AK15" t="str">
        <f>IF(ISNUMBER(SEARCH("FABRICANTE",AC15)),"FABRICANTE",IF(ISNUMBER(SEARCH("IMPORTADOR",AC15)),"IMPORTADOR","OTRO"))</f>
        <v>FABRICANTE</v>
      </c>
      <c r="AL15" t="str">
        <f>IF(LEFT(Y15,1)="A","Sistema digestivo",IF(LEFT(Y15,1)="B","Sangre",IF(LEFT(Y15,1)="C","Cardiovascular",IF(LEFT(Y15,1)="D","Dermatológico",IF(LEFT(Y15,1)="G","Genitourinario",IF(LEFT(Y15,1)="H","Hormonal",IF(LEFT(Y15,1)="J","Antiinfecciosos",IF(LEFT(Y15,1)="L","Oncológicos",IF(LEFT(Y15,1)="M","Musculoesquelético",IF(LEFT(Y15,1)="N","Sistema nervioso",IF(LEFT(Y15,1)="R","Respiratorio",IF(LEFT(Y15,1)="S","Oftálmico",IF(LEFT(Y15,1)="V","Varios","OTRO")))))))))))))</f>
        <v>Sistema digestivo</v>
      </c>
      <c r="AM15" t="str">
        <f>IF(AG15="Vigente","ACTIVO",IF(ISNUMBER(SEARCH("Inactivo",J15)),"INACTIVO","REVISAR"))</f>
        <v>ACTIVO</v>
      </c>
      <c r="AN15" t="str">
        <f ca="1">IF(OR(AF15="",AF15="null"),"",ROUND((AF15-TODAY())/365.25,2))</f>
        <v/>
      </c>
      <c r="AO15" t="str">
        <f ca="1">IF(AND(AG15="Vigente",OR(AF15="",AF15="null",AF15&gt;TODAY())),"SI",IF(AND(NOT(OR(AF15="",AF15="null")),AF15&lt;=TODAY()),"NO",IF(AG15="Vigente","SI","DESCONOCIDO")))</f>
        <v>SI</v>
      </c>
      <c r="AP15" t="str">
        <f>IF(AND(ISNUMBER(SEARCH("IMPORTAR",AA15)),ISNUMBER(SEARCH("FABRICAR",AA15))),"MIXTO",IF(ISNUMBER(SEARCH("IMPORTAR",AA15)),"IMPORTADO",IF(ISNUMBER(SEARCH("FABRICAR",AA15)),"LOCAL","OTRO")))</f>
        <v>LOCAL</v>
      </c>
      <c r="AQ15" t="str">
        <f>IF(AD15="Si","SI",IF(AD15="No","NO",""))</f>
        <v>SI</v>
      </c>
      <c r="AR15" t="str">
        <f>IF(ISNUMBER(SEARCH("®",N15)),"MARCA/INNOVADOR","GENERICO")</f>
        <v>MARCA/INNOVADOR</v>
      </c>
      <c r="AS15">
        <f ca="1">IF(AE15&gt;100,RANDBETWEEN(500,5000),IF(AND(AE15&gt;=10,AE15&lt;=100),RANDBETWEEN(100,1000),RANDBETWEEN(10,200)))</f>
        <v>160</v>
      </c>
      <c r="AT15">
        <f t="shared" ca="1" si="2"/>
        <v>35</v>
      </c>
      <c r="AU15">
        <f ca="1">INT(AS15*RANDBETWEEN(120,200)/100)</f>
        <v>275</v>
      </c>
      <c r="AV15" s="2">
        <f ca="1">IF(LEFT(Y15,1)="L",RANDBETWEEN(500000,5000000),IF(LEFT(Y15,1)="C",RANDBETWEEN(5000,50000),IF(LEFT(Y15,1)="N",RANDBETWEEN(10000,150000),IF(LEFT(Y15,1)="J",RANDBETWEEN(8000,200000),RANDBETWEEN(5000,100000)))))</f>
        <v>65592</v>
      </c>
      <c r="AW15" s="2">
        <f ca="1">INT(AV15*RANDBETWEEN(30,60)/100)</f>
        <v>20333</v>
      </c>
      <c r="AX15">
        <f ca="1">IF(Z15="ORAL",RANDBETWEEN(1000,10000),IF(OR(Z15="INTRAVENOSA",Z15="INTRAMUSCULAR"),RANDBETWEEN(100,2000),IF(OR(Z15="OFTÁLMICA",Z15="TOPICA (EXTERNA)"),RANDBETWEEN(200,3000),RANDBETWEEN(100,1500))))</f>
        <v>3782</v>
      </c>
      <c r="AY15" s="2">
        <f ca="1">INT(AV15*RANDBETWEEN(90,130)/100)</f>
        <v>72807</v>
      </c>
      <c r="AZ15" t="str">
        <f t="shared" ca="1" si="3"/>
        <v>8.5%</v>
      </c>
      <c r="BA15" t="str">
        <f t="shared" ca="1" si="4"/>
        <v>BAJO</v>
      </c>
    </row>
    <row r="16" spans="4:53" x14ac:dyDescent="0.35">
      <c r="D16" t="s">
        <v>251</v>
      </c>
      <c r="E16" s="1">
        <v>40966</v>
      </c>
      <c r="F16" t="s">
        <v>252</v>
      </c>
      <c r="G16" t="s">
        <v>108</v>
      </c>
      <c r="H16" t="s">
        <v>253</v>
      </c>
      <c r="I16">
        <v>20030605</v>
      </c>
      <c r="J16" t="s">
        <v>28</v>
      </c>
      <c r="K16">
        <v>3</v>
      </c>
      <c r="L16" t="s">
        <v>27</v>
      </c>
      <c r="M16" t="s">
        <v>254</v>
      </c>
      <c r="N16" t="s">
        <v>255</v>
      </c>
      <c r="O16" t="s">
        <v>256</v>
      </c>
      <c r="P16" t="s">
        <v>257</v>
      </c>
      <c r="Q16" s="1">
        <v>40847</v>
      </c>
      <c r="R16" t="s">
        <v>258</v>
      </c>
      <c r="S16" t="s">
        <v>27</v>
      </c>
      <c r="T16" t="s">
        <v>253</v>
      </c>
      <c r="U16" t="s">
        <v>247</v>
      </c>
      <c r="V16" t="s">
        <v>64</v>
      </c>
      <c r="W16">
        <v>144</v>
      </c>
      <c r="X16">
        <v>20030605</v>
      </c>
      <c r="Y16" t="s">
        <v>259</v>
      </c>
      <c r="Z16" t="s">
        <v>260</v>
      </c>
      <c r="AA16" t="s">
        <v>32</v>
      </c>
      <c r="AB16" t="s">
        <v>120</v>
      </c>
      <c r="AC16" t="s">
        <v>25</v>
      </c>
      <c r="AD16" t="s">
        <v>121</v>
      </c>
      <c r="AE16">
        <v>5</v>
      </c>
      <c r="AF16" t="s">
        <v>27</v>
      </c>
      <c r="AG16" t="s">
        <v>26</v>
      </c>
      <c r="AH16" t="s">
        <v>5014</v>
      </c>
      <c r="AI16" t="str">
        <f t="shared" si="0"/>
        <v>SI</v>
      </c>
      <c r="AJ16" t="str">
        <f t="shared" si="1"/>
        <v>B. BRAUN MELSUNGEN</v>
      </c>
      <c r="AK16" t="str">
        <f>IF(ISNUMBER(SEARCH("FABRICANTE",AC16)),"FABRICANTE",IF(ISNUMBER(SEARCH("IMPORTADOR",AC16)),"IMPORTADOR","OTRO"))</f>
        <v>FABRICANTE</v>
      </c>
      <c r="AL16" t="str">
        <f>IF(LEFT(Y16,1)="A","Sistema digestivo",IF(LEFT(Y16,1)="B","Sangre",IF(LEFT(Y16,1)="C","Cardiovascular",IF(LEFT(Y16,1)="D","Dermatológico",IF(LEFT(Y16,1)="G","Genitourinario",IF(LEFT(Y16,1)="H","Hormonal",IF(LEFT(Y16,1)="J","Antiinfecciosos",IF(LEFT(Y16,1)="L","Oncológicos",IF(LEFT(Y16,1)="M","Musculoesquelético",IF(LEFT(Y16,1)="N","Sistema nervioso",IF(LEFT(Y16,1)="R","Respiratorio",IF(LEFT(Y16,1)="S","Oftálmico",IF(LEFT(Y16,1)="V","Varios","OTRO")))))))))))))</f>
        <v>Sangre</v>
      </c>
      <c r="AM16" t="str">
        <f>IF(AG16="Vigente","ACTIVO",IF(ISNUMBER(SEARCH("Inactivo",J16)),"INACTIVO","REVISAR"))</f>
        <v>ACTIVO</v>
      </c>
      <c r="AN16" t="str">
        <f ca="1">IF(OR(AF16="",AF16="null"),"",ROUND((AF16-TODAY())/365.25,2))</f>
        <v/>
      </c>
      <c r="AO16" t="str">
        <f ca="1">IF(AND(AG16="Vigente",OR(AF16="",AF16="null",AF16&gt;TODAY())),"SI",IF(AND(NOT(OR(AF16="",AF16="null")),AF16&lt;=TODAY()),"NO",IF(AG16="Vigente","SI","DESCONOCIDO")))</f>
        <v>SI</v>
      </c>
      <c r="AP16" t="str">
        <f>IF(AND(ISNUMBER(SEARCH("IMPORTAR",AA16)),ISNUMBER(SEARCH("FABRICAR",AA16))),"MIXTO",IF(ISNUMBER(SEARCH("IMPORTAR",AA16)),"IMPORTADO",IF(ISNUMBER(SEARCH("FABRICAR",AA16)),"LOCAL","OTRO")))</f>
        <v>IMPORTADO</v>
      </c>
      <c r="AQ16" t="str">
        <f>IF(AD16="Si","SI",IF(AD16="No","NO",""))</f>
        <v>NO</v>
      </c>
      <c r="AR16" t="str">
        <f>IF(ISNUMBER(SEARCH("®",N16)),"MARCA/INNOVADOR","GENERICO")</f>
        <v>MARCA/INNOVADOR</v>
      </c>
      <c r="AS16">
        <f ca="1">IF(AE16&gt;100,RANDBETWEEN(500,5000),IF(AND(AE16&gt;=10,AE16&lt;=100),RANDBETWEEN(100,1000),RANDBETWEEN(10,200)))</f>
        <v>11</v>
      </c>
      <c r="AT16">
        <f t="shared" ca="1" si="2"/>
        <v>1</v>
      </c>
      <c r="AU16">
        <f ca="1">INT(AS16*RANDBETWEEN(120,200)/100)</f>
        <v>14</v>
      </c>
      <c r="AV16" s="2">
        <f ca="1">IF(LEFT(Y16,1)="L",RANDBETWEEN(500000,5000000),IF(LEFT(Y16,1)="C",RANDBETWEEN(5000,50000),IF(LEFT(Y16,1)="N",RANDBETWEEN(10000,150000),IF(LEFT(Y16,1)="J",RANDBETWEEN(8000,200000),RANDBETWEEN(5000,100000)))))</f>
        <v>93054</v>
      </c>
      <c r="AW16" s="2">
        <f ca="1">INT(AV16*RANDBETWEEN(30,60)/100)</f>
        <v>54901</v>
      </c>
      <c r="AX16">
        <f ca="1">IF(Z16="ORAL",RANDBETWEEN(1000,10000),IF(OR(Z16="INTRAVENOSA",Z16="INTRAMUSCULAR"),RANDBETWEEN(100,2000),IF(OR(Z16="OFTÁLMICA",Z16="TOPICA (EXTERNA)"),RANDBETWEEN(200,3000),RANDBETWEEN(100,1500))))</f>
        <v>716</v>
      </c>
      <c r="AY16" s="2">
        <f ca="1">INT(AV16*RANDBETWEEN(90,130)/100)</f>
        <v>118178</v>
      </c>
      <c r="AZ16" t="str">
        <f t="shared" ca="1" si="3"/>
        <v>0.7%</v>
      </c>
      <c r="BA16" t="str">
        <f t="shared" ca="1" si="4"/>
        <v>BAJO</v>
      </c>
    </row>
    <row r="17" spans="4:53" x14ac:dyDescent="0.35">
      <c r="D17" t="s">
        <v>261</v>
      </c>
      <c r="E17" s="1">
        <v>42298</v>
      </c>
      <c r="F17" t="s">
        <v>262</v>
      </c>
      <c r="G17" t="s">
        <v>108</v>
      </c>
      <c r="H17" t="s">
        <v>187</v>
      </c>
      <c r="I17">
        <v>20094212</v>
      </c>
      <c r="J17" t="s">
        <v>28</v>
      </c>
      <c r="K17">
        <v>3</v>
      </c>
      <c r="L17" t="s">
        <v>27</v>
      </c>
      <c r="M17" t="s">
        <v>263</v>
      </c>
      <c r="N17" t="s">
        <v>264</v>
      </c>
      <c r="O17" t="s">
        <v>265</v>
      </c>
      <c r="P17" t="s">
        <v>266</v>
      </c>
      <c r="Q17" s="1">
        <v>42229</v>
      </c>
      <c r="R17" t="s">
        <v>33</v>
      </c>
      <c r="S17" t="s">
        <v>27</v>
      </c>
      <c r="T17" t="s">
        <v>80</v>
      </c>
      <c r="U17" t="s">
        <v>115</v>
      </c>
      <c r="V17" t="s">
        <v>267</v>
      </c>
      <c r="W17">
        <v>5</v>
      </c>
      <c r="X17">
        <v>20094212</v>
      </c>
      <c r="Y17" t="s">
        <v>268</v>
      </c>
      <c r="Z17" t="s">
        <v>119</v>
      </c>
      <c r="AA17" t="s">
        <v>24</v>
      </c>
      <c r="AB17" t="s">
        <v>120</v>
      </c>
      <c r="AC17" t="s">
        <v>25</v>
      </c>
      <c r="AD17" t="s">
        <v>155</v>
      </c>
      <c r="AE17">
        <v>30</v>
      </c>
      <c r="AF17" t="s">
        <v>27</v>
      </c>
      <c r="AG17" t="s">
        <v>26</v>
      </c>
      <c r="AH17" t="s">
        <v>262</v>
      </c>
      <c r="AI17" t="str">
        <f t="shared" si="0"/>
        <v>NO</v>
      </c>
      <c r="AJ17" t="str">
        <f t="shared" si="1"/>
        <v>TECNOQUIMICAS</v>
      </c>
      <c r="AK17" t="str">
        <f>IF(ISNUMBER(SEARCH("FABRICANTE",AC17)),"FABRICANTE",IF(ISNUMBER(SEARCH("IMPORTADOR",AC17)),"IMPORTADOR","OTRO"))</f>
        <v>FABRICANTE</v>
      </c>
      <c r="AL17" t="str">
        <f>IF(LEFT(Y17,1)="A","Sistema digestivo",IF(LEFT(Y17,1)="B","Sangre",IF(LEFT(Y17,1)="C","Cardiovascular",IF(LEFT(Y17,1)="D","Dermatológico",IF(LEFT(Y17,1)="G","Genitourinario",IF(LEFT(Y17,1)="H","Hormonal",IF(LEFT(Y17,1)="J","Antiinfecciosos",IF(LEFT(Y17,1)="L","Oncológicos",IF(LEFT(Y17,1)="M","Musculoesquelético",IF(LEFT(Y17,1)="N","Sistema nervioso",IF(LEFT(Y17,1)="R","Respiratorio",IF(LEFT(Y17,1)="S","Oftálmico",IF(LEFT(Y17,1)="V","Varios","OTRO")))))))))))))</f>
        <v>Cardiovascular</v>
      </c>
      <c r="AM17" t="str">
        <f>IF(AG17="Vigente","ACTIVO",IF(ISNUMBER(SEARCH("Inactivo",J17)),"INACTIVO","REVISAR"))</f>
        <v>ACTIVO</v>
      </c>
      <c r="AN17" t="str">
        <f ca="1">IF(OR(AF17="",AF17="null"),"",ROUND((AF17-TODAY())/365.25,2))</f>
        <v/>
      </c>
      <c r="AO17" t="str">
        <f ca="1">IF(AND(AG17="Vigente",OR(AF17="",AF17="null",AF17&gt;TODAY())),"SI",IF(AND(NOT(OR(AF17="",AF17="null")),AF17&lt;=TODAY()),"NO",IF(AG17="Vigente","SI","DESCONOCIDO")))</f>
        <v>SI</v>
      </c>
      <c r="AP17" t="str">
        <f>IF(AND(ISNUMBER(SEARCH("IMPORTAR",AA17)),ISNUMBER(SEARCH("FABRICAR",AA17))),"MIXTO",IF(ISNUMBER(SEARCH("IMPORTAR",AA17)),"IMPORTADO",IF(ISNUMBER(SEARCH("FABRICAR",AA17)),"LOCAL","OTRO")))</f>
        <v>LOCAL</v>
      </c>
      <c r="AQ17" t="str">
        <f>IF(AD17="Si","SI",IF(AD17="No","NO",""))</f>
        <v>SI</v>
      </c>
      <c r="AR17" t="str">
        <f>IF(ISNUMBER(SEARCH("®",N17)),"MARCA/INNOVADOR","GENERICO")</f>
        <v>GENERICO</v>
      </c>
      <c r="AS17">
        <f ca="1">IF(AE17&gt;100,RANDBETWEEN(500,5000),IF(AND(AE17&gt;=10,AE17&lt;=100),RANDBETWEEN(100,1000),RANDBETWEEN(10,200)))</f>
        <v>816</v>
      </c>
      <c r="AT17">
        <f t="shared" ca="1" si="2"/>
        <v>171</v>
      </c>
      <c r="AU17">
        <f ca="1">INT(AS17*RANDBETWEEN(120,200)/100)</f>
        <v>1199</v>
      </c>
      <c r="AV17" s="2">
        <f ca="1">IF(LEFT(Y17,1)="L",RANDBETWEEN(500000,5000000),IF(LEFT(Y17,1)="C",RANDBETWEEN(5000,50000),IF(LEFT(Y17,1)="N",RANDBETWEEN(10000,150000),IF(LEFT(Y17,1)="J",RANDBETWEEN(8000,200000),RANDBETWEEN(5000,100000)))))</f>
        <v>44542</v>
      </c>
      <c r="AW17" s="2">
        <f ca="1">INT(AV17*RANDBETWEEN(30,60)/100)</f>
        <v>20489</v>
      </c>
      <c r="AX17">
        <f ca="1">IF(Z17="ORAL",RANDBETWEEN(1000,10000),IF(OR(Z17="INTRAVENOSA",Z17="INTRAMUSCULAR"),RANDBETWEEN(100,2000),IF(OR(Z17="OFTÁLMICA",Z17="TOPICA (EXTERNA)"),RANDBETWEEN(200,3000),RANDBETWEEN(100,1500))))</f>
        <v>5144</v>
      </c>
      <c r="AY17" s="2">
        <f ca="1">INT(AV17*RANDBETWEEN(90,130)/100)</f>
        <v>40087</v>
      </c>
      <c r="AZ17" t="str">
        <f t="shared" ca="1" si="3"/>
        <v>16.3%</v>
      </c>
      <c r="BA17" t="str">
        <f t="shared" ca="1" si="4"/>
        <v>BAJO</v>
      </c>
    </row>
    <row r="18" spans="4:53" x14ac:dyDescent="0.35">
      <c r="D18" t="s">
        <v>269</v>
      </c>
      <c r="E18" s="1">
        <v>42226</v>
      </c>
      <c r="F18" t="s">
        <v>270</v>
      </c>
      <c r="G18" t="s">
        <v>108</v>
      </c>
      <c r="H18" t="s">
        <v>93</v>
      </c>
      <c r="I18">
        <v>20084690</v>
      </c>
      <c r="J18" t="s">
        <v>28</v>
      </c>
      <c r="K18">
        <v>12</v>
      </c>
      <c r="L18" t="s">
        <v>27</v>
      </c>
      <c r="M18" t="s">
        <v>271</v>
      </c>
      <c r="N18" t="s">
        <v>272</v>
      </c>
      <c r="O18" t="s">
        <v>273</v>
      </c>
      <c r="P18" t="s">
        <v>274</v>
      </c>
      <c r="Q18" s="1">
        <v>42202</v>
      </c>
      <c r="R18" t="s">
        <v>50</v>
      </c>
      <c r="S18" t="s">
        <v>27</v>
      </c>
      <c r="T18" t="s">
        <v>93</v>
      </c>
      <c r="U18" t="s">
        <v>115</v>
      </c>
      <c r="V18" t="s">
        <v>275</v>
      </c>
      <c r="W18">
        <v>80</v>
      </c>
      <c r="X18">
        <v>20084690</v>
      </c>
      <c r="Y18" t="s">
        <v>276</v>
      </c>
      <c r="Z18" t="s">
        <v>260</v>
      </c>
      <c r="AA18" t="s">
        <v>32</v>
      </c>
      <c r="AB18" t="s">
        <v>239</v>
      </c>
      <c r="AC18" t="s">
        <v>38</v>
      </c>
      <c r="AD18" t="s">
        <v>121</v>
      </c>
      <c r="AE18">
        <v>100</v>
      </c>
      <c r="AF18" t="s">
        <v>27</v>
      </c>
      <c r="AG18" t="s">
        <v>26</v>
      </c>
      <c r="AH18" t="s">
        <v>1822</v>
      </c>
      <c r="AI18" t="str">
        <f t="shared" si="0"/>
        <v>SI</v>
      </c>
      <c r="AJ18" t="str">
        <f t="shared" si="1"/>
        <v>LABORATORIOS DELTA</v>
      </c>
      <c r="AK18" t="str">
        <f>IF(ISNUMBER(SEARCH("FABRICANTE",AC18)),"FABRICANTE",IF(ISNUMBER(SEARCH("IMPORTADOR",AC18)),"IMPORTADOR","OTRO"))</f>
        <v>IMPORTADOR</v>
      </c>
      <c r="AL18" t="str">
        <f>IF(LEFT(Y18,1)="A","Sistema digestivo",IF(LEFT(Y18,1)="B","Sangre",IF(LEFT(Y18,1)="C","Cardiovascular",IF(LEFT(Y18,1)="D","Dermatológico",IF(LEFT(Y18,1)="G","Genitourinario",IF(LEFT(Y18,1)="H","Hormonal",IF(LEFT(Y18,1)="J","Antiinfecciosos",IF(LEFT(Y18,1)="L","Oncológicos",IF(LEFT(Y18,1)="M","Musculoesquelético",IF(LEFT(Y18,1)="N","Sistema nervioso",IF(LEFT(Y18,1)="R","Respiratorio",IF(LEFT(Y18,1)="S","Oftálmico",IF(LEFT(Y18,1)="V","Varios","OTRO")))))))))))))</f>
        <v>Sangre</v>
      </c>
      <c r="AM18" t="str">
        <f>IF(AG18="Vigente","ACTIVO",IF(ISNUMBER(SEARCH("Inactivo",J18)),"INACTIVO","REVISAR"))</f>
        <v>ACTIVO</v>
      </c>
      <c r="AN18" t="str">
        <f ca="1">IF(OR(AF18="",AF18="null"),"",ROUND((AF18-TODAY())/365.25,2))</f>
        <v/>
      </c>
      <c r="AO18" t="str">
        <f ca="1">IF(AND(AG18="Vigente",OR(AF18="",AF18="null",AF18&gt;TODAY())),"SI",IF(AND(NOT(OR(AF18="",AF18="null")),AF18&lt;=TODAY()),"NO",IF(AG18="Vigente","SI","DESCONOCIDO")))</f>
        <v>SI</v>
      </c>
      <c r="AP18" t="str">
        <f>IF(AND(ISNUMBER(SEARCH("IMPORTAR",AA18)),ISNUMBER(SEARCH("FABRICAR",AA18))),"MIXTO",IF(ISNUMBER(SEARCH("IMPORTAR",AA18)),"IMPORTADO",IF(ISNUMBER(SEARCH("FABRICAR",AA18)),"LOCAL","OTRO")))</f>
        <v>IMPORTADO</v>
      </c>
      <c r="AQ18" t="str">
        <f>IF(AD18="Si","SI",IF(AD18="No","NO",""))</f>
        <v>NO</v>
      </c>
      <c r="AR18" t="str">
        <f>IF(ISNUMBER(SEARCH("®",N18)),"MARCA/INNOVADOR","GENERICO")</f>
        <v>GENERICO</v>
      </c>
      <c r="AS18">
        <f ca="1">IF(AE18&gt;100,RANDBETWEEN(500,5000),IF(AND(AE18&gt;=10,AE18&lt;=100),RANDBETWEEN(100,1000),RANDBETWEEN(10,200)))</f>
        <v>426</v>
      </c>
      <c r="AT18">
        <f t="shared" ca="1" si="2"/>
        <v>68</v>
      </c>
      <c r="AU18">
        <f ca="1">INT(AS18*RANDBETWEEN(120,200)/100)</f>
        <v>741</v>
      </c>
      <c r="AV18" s="2">
        <f ca="1">IF(LEFT(Y18,1)="L",RANDBETWEEN(500000,5000000),IF(LEFT(Y18,1)="C",RANDBETWEEN(5000,50000),IF(LEFT(Y18,1)="N",RANDBETWEEN(10000,150000),IF(LEFT(Y18,1)="J",RANDBETWEEN(8000,200000),RANDBETWEEN(5000,100000)))))</f>
        <v>60976</v>
      </c>
      <c r="AW18" s="2">
        <f ca="1">INT(AV18*RANDBETWEEN(30,60)/100)</f>
        <v>18292</v>
      </c>
      <c r="AX18">
        <f ca="1">IF(Z18="ORAL",RANDBETWEEN(1000,10000),IF(OR(Z18="INTRAVENOSA",Z18="INTRAMUSCULAR"),RANDBETWEEN(100,2000),IF(OR(Z18="OFTÁLMICA",Z18="TOPICA (EXTERNA)"),RANDBETWEEN(200,3000),RANDBETWEEN(100,1500))))</f>
        <v>1175</v>
      </c>
      <c r="AY18" s="2">
        <f ca="1">INT(AV18*RANDBETWEEN(90,130)/100)</f>
        <v>75610</v>
      </c>
      <c r="AZ18" t="str">
        <f t="shared" ca="1" si="3"/>
        <v>4.3%</v>
      </c>
      <c r="BA18" t="str">
        <f t="shared" ca="1" si="4"/>
        <v>BAJO</v>
      </c>
    </row>
    <row r="19" spans="4:53" x14ac:dyDescent="0.35">
      <c r="D19" t="s">
        <v>277</v>
      </c>
      <c r="E19" s="1">
        <v>44490</v>
      </c>
      <c r="F19" t="s">
        <v>85</v>
      </c>
      <c r="G19" t="s">
        <v>108</v>
      </c>
      <c r="H19" t="s">
        <v>278</v>
      </c>
      <c r="I19">
        <v>20115463</v>
      </c>
      <c r="J19" t="s">
        <v>110</v>
      </c>
      <c r="K19">
        <v>1</v>
      </c>
      <c r="L19" t="s">
        <v>27</v>
      </c>
      <c r="M19" t="s">
        <v>279</v>
      </c>
      <c r="N19" t="s">
        <v>280</v>
      </c>
      <c r="O19" t="s">
        <v>281</v>
      </c>
      <c r="P19" t="s">
        <v>33</v>
      </c>
      <c r="Q19" s="1">
        <v>42990</v>
      </c>
      <c r="R19" t="s">
        <v>33</v>
      </c>
      <c r="S19" t="s">
        <v>27</v>
      </c>
      <c r="T19" t="s">
        <v>282</v>
      </c>
      <c r="U19" t="s">
        <v>115</v>
      </c>
      <c r="V19" t="s">
        <v>85</v>
      </c>
      <c r="W19">
        <v>50</v>
      </c>
      <c r="X19">
        <v>20115463</v>
      </c>
      <c r="Y19" t="s">
        <v>86</v>
      </c>
      <c r="Z19" t="s">
        <v>119</v>
      </c>
      <c r="AA19" t="s">
        <v>32</v>
      </c>
      <c r="AB19" t="s">
        <v>120</v>
      </c>
      <c r="AC19" t="s">
        <v>38</v>
      </c>
      <c r="AD19" t="s">
        <v>121</v>
      </c>
      <c r="AE19">
        <v>30</v>
      </c>
      <c r="AF19" t="s">
        <v>27</v>
      </c>
      <c r="AG19" t="s">
        <v>26</v>
      </c>
      <c r="AH19" t="s">
        <v>85</v>
      </c>
      <c r="AI19" t="str">
        <f t="shared" si="0"/>
        <v>NO</v>
      </c>
      <c r="AJ19" t="str">
        <f t="shared" si="1"/>
        <v>LABORATORIO LKM</v>
      </c>
      <c r="AK19" t="str">
        <f>IF(ISNUMBER(SEARCH("FABRICANTE",AC19)),"FABRICANTE",IF(ISNUMBER(SEARCH("IMPORTADOR",AC19)),"IMPORTADOR","OTRO"))</f>
        <v>IMPORTADOR</v>
      </c>
      <c r="AL19" t="str">
        <f>IF(LEFT(Y19,1)="A","Sistema digestivo",IF(LEFT(Y19,1)="B","Sangre",IF(LEFT(Y19,1)="C","Cardiovascular",IF(LEFT(Y19,1)="D","Dermatológico",IF(LEFT(Y19,1)="G","Genitourinario",IF(LEFT(Y19,1)="H","Hormonal",IF(LEFT(Y19,1)="J","Antiinfecciosos",IF(LEFT(Y19,1)="L","Oncológicos",IF(LEFT(Y19,1)="M","Musculoesquelético",IF(LEFT(Y19,1)="N","Sistema nervioso",IF(LEFT(Y19,1)="R","Respiratorio",IF(LEFT(Y19,1)="S","Oftálmico",IF(LEFT(Y19,1)="V","Varios","OTRO")))))))))))))</f>
        <v>Oncológicos</v>
      </c>
      <c r="AM19" t="str">
        <f>IF(AG19="Vigente","ACTIVO",IF(ISNUMBER(SEARCH("Inactivo",J19)),"INACTIVO","REVISAR"))</f>
        <v>ACTIVO</v>
      </c>
      <c r="AN19" t="str">
        <f ca="1">IF(OR(AF19="",AF19="null"),"",ROUND((AF19-TODAY())/365.25,2))</f>
        <v/>
      </c>
      <c r="AO19" t="str">
        <f ca="1">IF(AND(AG19="Vigente",OR(AF19="",AF19="null",AF19&gt;TODAY())),"SI",IF(AND(NOT(OR(AF19="",AF19="null")),AF19&lt;=TODAY()),"NO",IF(AG19="Vigente","SI","DESCONOCIDO")))</f>
        <v>SI</v>
      </c>
      <c r="AP19" t="str">
        <f>IF(AND(ISNUMBER(SEARCH("IMPORTAR",AA19)),ISNUMBER(SEARCH("FABRICAR",AA19))),"MIXTO",IF(ISNUMBER(SEARCH("IMPORTAR",AA19)),"IMPORTADO",IF(ISNUMBER(SEARCH("FABRICAR",AA19)),"LOCAL","OTRO")))</f>
        <v>IMPORTADO</v>
      </c>
      <c r="AQ19" t="str">
        <f>IF(AD19="Si","SI",IF(AD19="No","NO",""))</f>
        <v>NO</v>
      </c>
      <c r="AR19" t="str">
        <f>IF(ISNUMBER(SEARCH("®",N19)),"MARCA/INNOVADOR","GENERICO")</f>
        <v>MARCA/INNOVADOR</v>
      </c>
      <c r="AS19">
        <f ca="1">IF(AE19&gt;100,RANDBETWEEN(500,5000),IF(AND(AE19&gt;=10,AE19&lt;=100),RANDBETWEEN(100,1000),RANDBETWEEN(10,200)))</f>
        <v>500</v>
      </c>
      <c r="AT19">
        <f t="shared" ca="1" si="2"/>
        <v>65</v>
      </c>
      <c r="AU19">
        <f ca="1">INT(AS19*RANDBETWEEN(120,200)/100)</f>
        <v>800</v>
      </c>
      <c r="AV19" s="2">
        <f ca="1">IF(LEFT(Y19,1)="L",RANDBETWEEN(500000,5000000),IF(LEFT(Y19,1)="C",RANDBETWEEN(5000,50000),IF(LEFT(Y19,1)="N",RANDBETWEEN(10000,150000),IF(LEFT(Y19,1)="J",RANDBETWEEN(8000,200000),RANDBETWEEN(5000,100000)))))</f>
        <v>2583726</v>
      </c>
      <c r="AW19" s="2">
        <f ca="1">INT(AV19*RANDBETWEEN(30,60)/100)</f>
        <v>981815</v>
      </c>
      <c r="AX19">
        <f ca="1">IF(Z19="ORAL",RANDBETWEEN(1000,10000),IF(OR(Z19="INTRAVENOSA",Z19="INTRAMUSCULAR"),RANDBETWEEN(100,2000),IF(OR(Z19="OFTÁLMICA",Z19="TOPICA (EXTERNA)"),RANDBETWEEN(200,3000),RANDBETWEEN(100,1500))))</f>
        <v>1874</v>
      </c>
      <c r="AY19" s="2">
        <f ca="1">INT(AV19*RANDBETWEEN(90,130)/100)</f>
        <v>3100471</v>
      </c>
      <c r="AZ19" t="str">
        <f t="shared" ca="1" si="3"/>
        <v>16.2%</v>
      </c>
      <c r="BA19" t="str">
        <f t="shared" ca="1" si="4"/>
        <v>ALTO</v>
      </c>
    </row>
    <row r="20" spans="4:53" x14ac:dyDescent="0.35">
      <c r="D20" t="s">
        <v>283</v>
      </c>
      <c r="E20" s="1">
        <v>37827</v>
      </c>
      <c r="F20" t="s">
        <v>157</v>
      </c>
      <c r="G20" t="s">
        <v>108</v>
      </c>
      <c r="H20" t="s">
        <v>80</v>
      </c>
      <c r="I20">
        <v>19937061</v>
      </c>
      <c r="J20" t="s">
        <v>28</v>
      </c>
      <c r="K20">
        <v>47</v>
      </c>
      <c r="L20" t="s">
        <v>27</v>
      </c>
      <c r="M20" t="s">
        <v>159</v>
      </c>
      <c r="N20" t="s">
        <v>160</v>
      </c>
      <c r="O20" t="s">
        <v>284</v>
      </c>
      <c r="P20" t="s">
        <v>37</v>
      </c>
      <c r="Q20" s="1">
        <v>39602</v>
      </c>
      <c r="R20" t="s">
        <v>37</v>
      </c>
      <c r="S20" t="s">
        <v>27</v>
      </c>
      <c r="T20" t="s">
        <v>80</v>
      </c>
      <c r="U20" t="s">
        <v>115</v>
      </c>
      <c r="V20" t="s">
        <v>162</v>
      </c>
      <c r="W20" t="s">
        <v>163</v>
      </c>
      <c r="X20">
        <v>19937061</v>
      </c>
      <c r="Y20" t="s">
        <v>164</v>
      </c>
      <c r="Z20" t="s">
        <v>119</v>
      </c>
      <c r="AA20" t="s">
        <v>165</v>
      </c>
      <c r="AB20" t="s">
        <v>120</v>
      </c>
      <c r="AC20" t="s">
        <v>38</v>
      </c>
      <c r="AD20" t="s">
        <v>121</v>
      </c>
      <c r="AE20">
        <v>60</v>
      </c>
      <c r="AF20" t="s">
        <v>27</v>
      </c>
      <c r="AG20" t="s">
        <v>26</v>
      </c>
      <c r="AH20" t="s">
        <v>6611</v>
      </c>
      <c r="AI20" t="str">
        <f t="shared" si="0"/>
        <v>SI</v>
      </c>
      <c r="AJ20" t="str">
        <f t="shared" si="1"/>
        <v>TECNOQUIMICAS</v>
      </c>
      <c r="AK20" t="str">
        <f>IF(ISNUMBER(SEARCH("FABRICANTE",AC20)),"FABRICANTE",IF(ISNUMBER(SEARCH("IMPORTADOR",AC20)),"IMPORTADOR","OTRO"))</f>
        <v>IMPORTADOR</v>
      </c>
      <c r="AL20" t="str">
        <f>IF(LEFT(Y20,1)="A","Sistema digestivo",IF(LEFT(Y20,1)="B","Sangre",IF(LEFT(Y20,1)="C","Cardiovascular",IF(LEFT(Y20,1)="D","Dermatológico",IF(LEFT(Y20,1)="G","Genitourinario",IF(LEFT(Y20,1)="H","Hormonal",IF(LEFT(Y20,1)="J","Antiinfecciosos",IF(LEFT(Y20,1)="L","Oncológicos",IF(LEFT(Y20,1)="M","Musculoesquelético",IF(LEFT(Y20,1)="N","Sistema nervioso",IF(LEFT(Y20,1)="R","Respiratorio",IF(LEFT(Y20,1)="S","Oftálmico",IF(LEFT(Y20,1)="V","Varios","OTRO")))))))))))))</f>
        <v>Musculoesquelético</v>
      </c>
      <c r="AM20" t="str">
        <f>IF(AG20="Vigente","ACTIVO",IF(ISNUMBER(SEARCH("Inactivo",J20)),"INACTIVO","REVISAR"))</f>
        <v>ACTIVO</v>
      </c>
      <c r="AN20" t="str">
        <f ca="1">IF(OR(AF20="",AF20="null"),"",ROUND((AF20-TODAY())/365.25,2))</f>
        <v/>
      </c>
      <c r="AO20" t="str">
        <f ca="1">IF(AND(AG20="Vigente",OR(AF20="",AF20="null",AF20&gt;TODAY())),"SI",IF(AND(NOT(OR(AF20="",AF20="null")),AF20&lt;=TODAY()),"NO",IF(AG20="Vigente","SI","DESCONOCIDO")))</f>
        <v>SI</v>
      </c>
      <c r="AP20" t="str">
        <f>IF(AND(ISNUMBER(SEARCH("IMPORTAR",AA20)),ISNUMBER(SEARCH("FABRICAR",AA20))),"MIXTO",IF(ISNUMBER(SEARCH("IMPORTAR",AA20)),"IMPORTADO",IF(ISNUMBER(SEARCH("FABRICAR",AA20)),"LOCAL","OTRO")))</f>
        <v>IMPORTADO</v>
      </c>
      <c r="AQ20" t="str">
        <f>IF(AD20="Si","SI",IF(AD20="No","NO",""))</f>
        <v>NO</v>
      </c>
      <c r="AR20" t="str">
        <f>IF(ISNUMBER(SEARCH("®",N20)),"MARCA/INNOVADOR","GENERICO")</f>
        <v>GENERICO</v>
      </c>
      <c r="AS20">
        <f ca="1">IF(AE20&gt;100,RANDBETWEEN(500,5000),IF(AND(AE20&gt;=10,AE20&lt;=100),RANDBETWEEN(100,1000),RANDBETWEEN(10,200)))</f>
        <v>446</v>
      </c>
      <c r="AT20">
        <f t="shared" ca="1" si="2"/>
        <v>98</v>
      </c>
      <c r="AU20">
        <f ca="1">INT(AS20*RANDBETWEEN(120,200)/100)</f>
        <v>606</v>
      </c>
      <c r="AV20" s="2">
        <f ca="1">IF(LEFT(Y20,1)="L",RANDBETWEEN(500000,5000000),IF(LEFT(Y20,1)="C",RANDBETWEEN(5000,50000),IF(LEFT(Y20,1)="N",RANDBETWEEN(10000,150000),IF(LEFT(Y20,1)="J",RANDBETWEEN(8000,200000),RANDBETWEEN(5000,100000)))))</f>
        <v>50398</v>
      </c>
      <c r="AW20" s="2">
        <f ca="1">INT(AV20*RANDBETWEEN(30,60)/100)</f>
        <v>24191</v>
      </c>
      <c r="AX20">
        <f ca="1">IF(Z20="ORAL",RANDBETWEEN(1000,10000),IF(OR(Z20="INTRAVENOSA",Z20="INTRAMUSCULAR"),RANDBETWEEN(100,2000),IF(OR(Z20="OFTÁLMICA",Z20="TOPICA (EXTERNA)"),RANDBETWEEN(200,3000),RANDBETWEEN(100,1500))))</f>
        <v>7409</v>
      </c>
      <c r="AY20" s="2">
        <f ca="1">INT(AV20*RANDBETWEEN(90,130)/100)</f>
        <v>57957</v>
      </c>
      <c r="AZ20" t="str">
        <f t="shared" ca="1" si="3"/>
        <v>9.8%</v>
      </c>
      <c r="BA20" t="str">
        <f t="shared" ca="1" si="4"/>
        <v>BAJO</v>
      </c>
    </row>
    <row r="21" spans="4:53" x14ac:dyDescent="0.35">
      <c r="D21" t="s">
        <v>285</v>
      </c>
      <c r="E21" s="1">
        <v>36161</v>
      </c>
      <c r="F21" t="s">
        <v>286</v>
      </c>
      <c r="G21" t="s">
        <v>108</v>
      </c>
      <c r="H21" t="s">
        <v>287</v>
      </c>
      <c r="I21">
        <v>35662</v>
      </c>
      <c r="J21" t="s">
        <v>28</v>
      </c>
      <c r="K21">
        <v>14</v>
      </c>
      <c r="L21" t="s">
        <v>27</v>
      </c>
      <c r="M21" t="s">
        <v>288</v>
      </c>
      <c r="N21" t="s">
        <v>289</v>
      </c>
      <c r="O21" t="s">
        <v>290</v>
      </c>
      <c r="P21" t="s">
        <v>29</v>
      </c>
      <c r="Q21" s="1">
        <v>42671</v>
      </c>
      <c r="R21" t="s">
        <v>29</v>
      </c>
      <c r="S21" t="s">
        <v>27</v>
      </c>
      <c r="T21" t="s">
        <v>287</v>
      </c>
      <c r="U21" t="s">
        <v>115</v>
      </c>
      <c r="V21" t="s">
        <v>291</v>
      </c>
      <c r="W21">
        <v>1</v>
      </c>
      <c r="X21">
        <v>35662</v>
      </c>
      <c r="Y21" t="s">
        <v>292</v>
      </c>
      <c r="Z21" t="s">
        <v>119</v>
      </c>
      <c r="AA21" t="s">
        <v>24</v>
      </c>
      <c r="AB21" t="s">
        <v>120</v>
      </c>
      <c r="AC21" t="s">
        <v>25</v>
      </c>
      <c r="AD21" t="s">
        <v>121</v>
      </c>
      <c r="AE21">
        <v>60</v>
      </c>
      <c r="AF21" t="s">
        <v>27</v>
      </c>
      <c r="AG21" t="s">
        <v>26</v>
      </c>
      <c r="AH21" t="s">
        <v>286</v>
      </c>
      <c r="AI21" t="str">
        <f t="shared" si="0"/>
        <v>NO</v>
      </c>
      <c r="AJ21" t="str">
        <f t="shared" si="1"/>
        <v>LABORATORIOS ECAR SA</v>
      </c>
      <c r="AK21" t="str">
        <f>IF(ISNUMBER(SEARCH("FABRICANTE",AC21)),"FABRICANTE",IF(ISNUMBER(SEARCH("IMPORTADOR",AC21)),"IMPORTADOR","OTRO"))</f>
        <v>FABRICANTE</v>
      </c>
      <c r="AL21" t="str">
        <f>IF(LEFT(Y21,1)="A","Sistema digestivo",IF(LEFT(Y21,1)="B","Sangre",IF(LEFT(Y21,1)="C","Cardiovascular",IF(LEFT(Y21,1)="D","Dermatológico",IF(LEFT(Y21,1)="G","Genitourinario",IF(LEFT(Y21,1)="H","Hormonal",IF(LEFT(Y21,1)="J","Antiinfecciosos",IF(LEFT(Y21,1)="L","Oncológicos",IF(LEFT(Y21,1)="M","Musculoesquelético",IF(LEFT(Y21,1)="N","Sistema nervioso",IF(LEFT(Y21,1)="R","Respiratorio",IF(LEFT(Y21,1)="S","Oftálmico",IF(LEFT(Y21,1)="V","Varios","OTRO")))))))))))))</f>
        <v>Sangre</v>
      </c>
      <c r="AM21" t="str">
        <f>IF(AG21="Vigente","ACTIVO",IF(ISNUMBER(SEARCH("Inactivo",J21)),"INACTIVO","REVISAR"))</f>
        <v>ACTIVO</v>
      </c>
      <c r="AN21" t="str">
        <f ca="1">IF(OR(AF21="",AF21="null"),"",ROUND((AF21-TODAY())/365.25,2))</f>
        <v/>
      </c>
      <c r="AO21" t="str">
        <f ca="1">IF(AND(AG21="Vigente",OR(AF21="",AF21="null",AF21&gt;TODAY())),"SI",IF(AND(NOT(OR(AF21="",AF21="null")),AF21&lt;=TODAY()),"NO",IF(AG21="Vigente","SI","DESCONOCIDO")))</f>
        <v>SI</v>
      </c>
      <c r="AP21" t="str">
        <f>IF(AND(ISNUMBER(SEARCH("IMPORTAR",AA21)),ISNUMBER(SEARCH("FABRICAR",AA21))),"MIXTO",IF(ISNUMBER(SEARCH("IMPORTAR",AA21)),"IMPORTADO",IF(ISNUMBER(SEARCH("FABRICAR",AA21)),"LOCAL","OTRO")))</f>
        <v>LOCAL</v>
      </c>
      <c r="AQ21" t="str">
        <f>IF(AD21="Si","SI",IF(AD21="No","NO",""))</f>
        <v>NO</v>
      </c>
      <c r="AR21" t="str">
        <f>IF(ISNUMBER(SEARCH("®",N21)),"MARCA/INNOVADOR","GENERICO")</f>
        <v>GENERICO</v>
      </c>
      <c r="AS21">
        <f ca="1">IF(AE21&gt;100,RANDBETWEEN(500,5000),IF(AND(AE21&gt;=10,AE21&lt;=100),RANDBETWEEN(100,1000),RANDBETWEEN(10,200)))</f>
        <v>164</v>
      </c>
      <c r="AT21">
        <f t="shared" ca="1" si="2"/>
        <v>18</v>
      </c>
      <c r="AU21">
        <f ca="1">INT(AS21*RANDBETWEEN(120,200)/100)</f>
        <v>314</v>
      </c>
      <c r="AV21" s="2">
        <f ca="1">IF(LEFT(Y21,1)="L",RANDBETWEEN(500000,5000000),IF(LEFT(Y21,1)="C",RANDBETWEEN(5000,50000),IF(LEFT(Y21,1)="N",RANDBETWEEN(10000,150000),IF(LEFT(Y21,1)="J",RANDBETWEEN(8000,200000),RANDBETWEEN(5000,100000)))))</f>
        <v>16021</v>
      </c>
      <c r="AW21" s="2">
        <f ca="1">INT(AV21*RANDBETWEEN(30,60)/100)</f>
        <v>5447</v>
      </c>
      <c r="AX21">
        <f ca="1">IF(Z21="ORAL",RANDBETWEEN(1000,10000),IF(OR(Z21="INTRAVENOSA",Z21="INTRAMUSCULAR"),RANDBETWEEN(100,2000),IF(OR(Z21="OFTÁLMICA",Z21="TOPICA (EXTERNA)"),RANDBETWEEN(200,3000),RANDBETWEEN(100,1500))))</f>
        <v>9224</v>
      </c>
      <c r="AY21" s="2">
        <f ca="1">INT(AV21*RANDBETWEEN(90,130)/100)</f>
        <v>15860</v>
      </c>
      <c r="AZ21" t="str">
        <f t="shared" ca="1" si="3"/>
        <v>17.8%</v>
      </c>
      <c r="BA21" t="str">
        <f t="shared" ca="1" si="4"/>
        <v>BAJO</v>
      </c>
    </row>
    <row r="22" spans="4:53" x14ac:dyDescent="0.35">
      <c r="D22" t="s">
        <v>293</v>
      </c>
      <c r="E22" s="1">
        <v>40501</v>
      </c>
      <c r="F22" t="s">
        <v>294</v>
      </c>
      <c r="G22" t="s">
        <v>108</v>
      </c>
      <c r="H22" t="s">
        <v>168</v>
      </c>
      <c r="I22">
        <v>20016549</v>
      </c>
      <c r="J22" t="s">
        <v>110</v>
      </c>
      <c r="K22">
        <v>40</v>
      </c>
      <c r="L22" t="s">
        <v>27</v>
      </c>
      <c r="M22" t="s">
        <v>295</v>
      </c>
      <c r="N22" t="s">
        <v>296</v>
      </c>
      <c r="O22" t="s">
        <v>297</v>
      </c>
      <c r="P22" t="s">
        <v>298</v>
      </c>
      <c r="Q22" s="1">
        <v>40722</v>
      </c>
      <c r="R22" t="s">
        <v>37</v>
      </c>
      <c r="S22" s="1">
        <v>42586</v>
      </c>
      <c r="T22" t="s">
        <v>172</v>
      </c>
      <c r="U22" t="s">
        <v>115</v>
      </c>
      <c r="V22" t="s">
        <v>299</v>
      </c>
      <c r="W22">
        <v>250</v>
      </c>
      <c r="X22">
        <v>20016549</v>
      </c>
      <c r="Y22" t="s">
        <v>300</v>
      </c>
      <c r="Z22" t="s">
        <v>119</v>
      </c>
      <c r="AA22" t="s">
        <v>24</v>
      </c>
      <c r="AB22" t="s">
        <v>120</v>
      </c>
      <c r="AC22" t="s">
        <v>25</v>
      </c>
      <c r="AD22" t="s">
        <v>155</v>
      </c>
      <c r="AE22">
        <v>1</v>
      </c>
      <c r="AF22" t="s">
        <v>27</v>
      </c>
      <c r="AG22" t="s">
        <v>26</v>
      </c>
      <c r="AH22" t="s">
        <v>294</v>
      </c>
      <c r="AI22" t="str">
        <f t="shared" si="0"/>
        <v>NO</v>
      </c>
      <c r="AJ22" t="str">
        <f t="shared" si="1"/>
        <v>NOVAMED</v>
      </c>
      <c r="AK22" t="str">
        <f>IF(ISNUMBER(SEARCH("FABRICANTE",AC22)),"FABRICANTE",IF(ISNUMBER(SEARCH("IMPORTADOR",AC22)),"IMPORTADOR","OTRO"))</f>
        <v>FABRICANTE</v>
      </c>
      <c r="AL22" t="str">
        <f>IF(LEFT(Y22,1)="A","Sistema digestivo",IF(LEFT(Y22,1)="B","Sangre",IF(LEFT(Y22,1)="C","Cardiovascular",IF(LEFT(Y22,1)="D","Dermatológico",IF(LEFT(Y22,1)="G","Genitourinario",IF(LEFT(Y22,1)="H","Hormonal",IF(LEFT(Y22,1)="J","Antiinfecciosos",IF(LEFT(Y22,1)="L","Oncológicos",IF(LEFT(Y22,1)="M","Musculoesquelético",IF(LEFT(Y22,1)="N","Sistema nervioso",IF(LEFT(Y22,1)="R","Respiratorio",IF(LEFT(Y22,1)="S","Oftálmico",IF(LEFT(Y22,1)="V","Varios","OTRO")))))))))))))</f>
        <v>Sistema nervioso</v>
      </c>
      <c r="AM22" t="str">
        <f>IF(AG22="Vigente","ACTIVO",IF(ISNUMBER(SEARCH("Inactivo",J22)),"INACTIVO","REVISAR"))</f>
        <v>ACTIVO</v>
      </c>
      <c r="AN22" t="str">
        <f ca="1">IF(OR(AF22="",AF22="null"),"",ROUND((AF22-TODAY())/365.25,2))</f>
        <v/>
      </c>
      <c r="AO22" t="str">
        <f ca="1">IF(AND(AG22="Vigente",OR(AF22="",AF22="null",AF22&gt;TODAY())),"SI",IF(AND(NOT(OR(AF22="",AF22="null")),AF22&lt;=TODAY()),"NO",IF(AG22="Vigente","SI","DESCONOCIDO")))</f>
        <v>SI</v>
      </c>
      <c r="AP22" t="str">
        <f>IF(AND(ISNUMBER(SEARCH("IMPORTAR",AA22)),ISNUMBER(SEARCH("FABRICAR",AA22))),"MIXTO",IF(ISNUMBER(SEARCH("IMPORTAR",AA22)),"IMPORTADO",IF(ISNUMBER(SEARCH("FABRICAR",AA22)),"LOCAL","OTRO")))</f>
        <v>LOCAL</v>
      </c>
      <c r="AQ22" t="str">
        <f>IF(AD22="Si","SI",IF(AD22="No","NO",""))</f>
        <v>SI</v>
      </c>
      <c r="AR22" t="str">
        <f>IF(ISNUMBER(SEARCH("®",N22)),"MARCA/INNOVADOR","GENERICO")</f>
        <v>MARCA/INNOVADOR</v>
      </c>
      <c r="AS22">
        <f ca="1">IF(AE22&gt;100,RANDBETWEEN(500,5000),IF(AND(AE22&gt;=10,AE22&lt;=100),RANDBETWEEN(100,1000),RANDBETWEEN(10,200)))</f>
        <v>74</v>
      </c>
      <c r="AT22">
        <f t="shared" ca="1" si="2"/>
        <v>14</v>
      </c>
      <c r="AU22">
        <f ca="1">INT(AS22*RANDBETWEEN(120,200)/100)</f>
        <v>112</v>
      </c>
      <c r="AV22" s="2">
        <f ca="1">IF(LEFT(Y22,1)="L",RANDBETWEEN(500000,5000000),IF(LEFT(Y22,1)="C",RANDBETWEEN(5000,50000),IF(LEFT(Y22,1)="N",RANDBETWEEN(10000,150000),IF(LEFT(Y22,1)="J",RANDBETWEEN(8000,200000),RANDBETWEEN(5000,100000)))))</f>
        <v>85768</v>
      </c>
      <c r="AW22" s="2">
        <f ca="1">INT(AV22*RANDBETWEEN(30,60)/100)</f>
        <v>27445</v>
      </c>
      <c r="AX22">
        <f ca="1">IF(Z22="ORAL",RANDBETWEEN(1000,10000),IF(OR(Z22="INTRAVENOSA",Z22="INTRAMUSCULAR"),RANDBETWEEN(100,2000),IF(OR(Z22="OFTÁLMICA",Z22="TOPICA (EXTERNA)"),RANDBETWEEN(200,3000),RANDBETWEEN(100,1500))))</f>
        <v>7677</v>
      </c>
      <c r="AY22" s="2">
        <f ca="1">INT(AV22*RANDBETWEEN(90,130)/100)</f>
        <v>102921</v>
      </c>
      <c r="AZ22" t="str">
        <f t="shared" ca="1" si="3"/>
        <v>16.7%</v>
      </c>
      <c r="BA22" t="str">
        <f t="shared" ca="1" si="4"/>
        <v>ALTO</v>
      </c>
    </row>
    <row r="23" spans="4:53" x14ac:dyDescent="0.35">
      <c r="D23" t="s">
        <v>301</v>
      </c>
      <c r="E23" s="1">
        <v>42326</v>
      </c>
      <c r="F23" t="s">
        <v>302</v>
      </c>
      <c r="G23" t="s">
        <v>108</v>
      </c>
      <c r="H23" t="s">
        <v>303</v>
      </c>
      <c r="I23">
        <v>20091356</v>
      </c>
      <c r="J23" t="s">
        <v>28</v>
      </c>
      <c r="K23">
        <v>4</v>
      </c>
      <c r="L23" t="s">
        <v>304</v>
      </c>
      <c r="M23" t="s">
        <v>305</v>
      </c>
      <c r="N23" t="s">
        <v>306</v>
      </c>
      <c r="O23" t="s">
        <v>307</v>
      </c>
      <c r="P23" t="s">
        <v>33</v>
      </c>
      <c r="Q23" s="1">
        <v>42212</v>
      </c>
      <c r="R23" t="s">
        <v>33</v>
      </c>
      <c r="S23" t="s">
        <v>27</v>
      </c>
      <c r="T23" t="s">
        <v>308</v>
      </c>
      <c r="U23" t="s">
        <v>115</v>
      </c>
      <c r="V23" t="s">
        <v>309</v>
      </c>
      <c r="W23">
        <v>220</v>
      </c>
      <c r="X23">
        <v>20091356</v>
      </c>
      <c r="Y23" t="s">
        <v>310</v>
      </c>
      <c r="Z23" t="s">
        <v>119</v>
      </c>
      <c r="AA23" t="s">
        <v>24</v>
      </c>
      <c r="AB23" t="s">
        <v>120</v>
      </c>
      <c r="AC23" t="s">
        <v>25</v>
      </c>
      <c r="AD23" t="s">
        <v>121</v>
      </c>
      <c r="AE23">
        <v>100</v>
      </c>
      <c r="AF23" t="s">
        <v>27</v>
      </c>
      <c r="AG23" t="s">
        <v>26</v>
      </c>
      <c r="AH23" t="s">
        <v>302</v>
      </c>
      <c r="AI23" t="str">
        <f t="shared" si="0"/>
        <v>NO</v>
      </c>
      <c r="AJ23" t="str">
        <f t="shared" si="1"/>
        <v>HUMAX PHARMACEUTICAL</v>
      </c>
      <c r="AK23" t="str">
        <f>IF(ISNUMBER(SEARCH("FABRICANTE",AC23)),"FABRICANTE",IF(ISNUMBER(SEARCH("IMPORTADOR",AC23)),"IMPORTADOR","OTRO"))</f>
        <v>FABRICANTE</v>
      </c>
      <c r="AL23" t="str">
        <f>IF(LEFT(Y23,1)="A","Sistema digestivo",IF(LEFT(Y23,1)="B","Sangre",IF(LEFT(Y23,1)="C","Cardiovascular",IF(LEFT(Y23,1)="D","Dermatológico",IF(LEFT(Y23,1)="G","Genitourinario",IF(LEFT(Y23,1)="H","Hormonal",IF(LEFT(Y23,1)="J","Antiinfecciosos",IF(LEFT(Y23,1)="L","Oncológicos",IF(LEFT(Y23,1)="M","Musculoesquelético",IF(LEFT(Y23,1)="N","Sistema nervioso",IF(LEFT(Y23,1)="R","Respiratorio",IF(LEFT(Y23,1)="S","Oftálmico",IF(LEFT(Y23,1)="V","Varios","OTRO")))))))))))))</f>
        <v>Musculoesquelético</v>
      </c>
      <c r="AM23" t="str">
        <f>IF(AG23="Vigente","ACTIVO",IF(ISNUMBER(SEARCH("Inactivo",J23)),"INACTIVO","REVISAR"))</f>
        <v>ACTIVO</v>
      </c>
      <c r="AN23" t="str">
        <f ca="1">IF(OR(AF23="",AF23="null"),"",ROUND((AF23-TODAY())/365.25,2))</f>
        <v/>
      </c>
      <c r="AO23" t="str">
        <f ca="1">IF(AND(AG23="Vigente",OR(AF23="",AF23="null",AF23&gt;TODAY())),"SI",IF(AND(NOT(OR(AF23="",AF23="null")),AF23&lt;=TODAY()),"NO",IF(AG23="Vigente","SI","DESCONOCIDO")))</f>
        <v>SI</v>
      </c>
      <c r="AP23" t="str">
        <f>IF(AND(ISNUMBER(SEARCH("IMPORTAR",AA23)),ISNUMBER(SEARCH("FABRICAR",AA23))),"MIXTO",IF(ISNUMBER(SEARCH("IMPORTAR",AA23)),"IMPORTADO",IF(ISNUMBER(SEARCH("FABRICAR",AA23)),"LOCAL","OTRO")))</f>
        <v>LOCAL</v>
      </c>
      <c r="AQ23" t="str">
        <f>IF(AD23="Si","SI",IF(AD23="No","NO",""))</f>
        <v>NO</v>
      </c>
      <c r="AR23" t="str">
        <f>IF(ISNUMBER(SEARCH("®",N23)),"MARCA/INNOVADOR","GENERICO")</f>
        <v>MARCA/INNOVADOR</v>
      </c>
      <c r="AS23">
        <f ca="1">IF(AE23&gt;100,RANDBETWEEN(500,5000),IF(AND(AE23&gt;=10,AE23&lt;=100),RANDBETWEEN(100,1000),RANDBETWEEN(10,200)))</f>
        <v>621</v>
      </c>
      <c r="AT23">
        <f t="shared" ca="1" si="2"/>
        <v>105</v>
      </c>
      <c r="AU23">
        <f ca="1">INT(AS23*RANDBETWEEN(120,200)/100)</f>
        <v>1043</v>
      </c>
      <c r="AV23" s="2">
        <f ca="1">IF(LEFT(Y23,1)="L",RANDBETWEEN(500000,5000000),IF(LEFT(Y23,1)="C",RANDBETWEEN(5000,50000),IF(LEFT(Y23,1)="N",RANDBETWEEN(10000,150000),IF(LEFT(Y23,1)="J",RANDBETWEEN(8000,200000),RANDBETWEEN(5000,100000)))))</f>
        <v>7762</v>
      </c>
      <c r="AW23" s="2">
        <f ca="1">INT(AV23*RANDBETWEEN(30,60)/100)</f>
        <v>4269</v>
      </c>
      <c r="AX23">
        <f ca="1">IF(Z23="ORAL",RANDBETWEEN(1000,10000),IF(OR(Z23="INTRAVENOSA",Z23="INTRAMUSCULAR"),RANDBETWEEN(100,2000),IF(OR(Z23="OFTÁLMICA",Z23="TOPICA (EXTERNA)"),RANDBETWEEN(200,3000),RANDBETWEEN(100,1500))))</f>
        <v>9325</v>
      </c>
      <c r="AY23" s="2">
        <f ca="1">INT(AV23*RANDBETWEEN(90,130)/100)</f>
        <v>7451</v>
      </c>
      <c r="AZ23" t="str">
        <f t="shared" ca="1" si="3"/>
        <v>5.7%</v>
      </c>
      <c r="BA23" t="str">
        <f t="shared" ca="1" si="4"/>
        <v>BAJO</v>
      </c>
    </row>
    <row r="24" spans="4:53" x14ac:dyDescent="0.35">
      <c r="D24" t="s">
        <v>311</v>
      </c>
      <c r="E24" s="1">
        <v>40966</v>
      </c>
      <c r="F24" t="s">
        <v>252</v>
      </c>
      <c r="G24" t="s">
        <v>108</v>
      </c>
      <c r="H24" t="s">
        <v>312</v>
      </c>
      <c r="I24">
        <v>20030605</v>
      </c>
      <c r="J24" t="s">
        <v>110</v>
      </c>
      <c r="K24">
        <v>4</v>
      </c>
      <c r="L24" t="s">
        <v>27</v>
      </c>
      <c r="M24" t="s">
        <v>254</v>
      </c>
      <c r="N24" t="s">
        <v>255</v>
      </c>
      <c r="O24" t="s">
        <v>313</v>
      </c>
      <c r="P24" t="s">
        <v>257</v>
      </c>
      <c r="Q24" s="1">
        <v>40847</v>
      </c>
      <c r="R24" t="s">
        <v>258</v>
      </c>
      <c r="S24" s="1">
        <v>45642</v>
      </c>
      <c r="T24" t="s">
        <v>253</v>
      </c>
      <c r="U24" t="s">
        <v>247</v>
      </c>
      <c r="V24" t="s">
        <v>64</v>
      </c>
      <c r="W24">
        <v>144</v>
      </c>
      <c r="X24">
        <v>20030605</v>
      </c>
      <c r="Y24" t="s">
        <v>259</v>
      </c>
      <c r="Z24" t="s">
        <v>260</v>
      </c>
      <c r="AA24" t="s">
        <v>32</v>
      </c>
      <c r="AB24" t="s">
        <v>120</v>
      </c>
      <c r="AC24" t="s">
        <v>38</v>
      </c>
      <c r="AD24" t="s">
        <v>121</v>
      </c>
      <c r="AE24">
        <v>5</v>
      </c>
      <c r="AF24" t="s">
        <v>27</v>
      </c>
      <c r="AG24" t="s">
        <v>26</v>
      </c>
      <c r="AH24" t="s">
        <v>5014</v>
      </c>
      <c r="AI24" t="str">
        <f t="shared" si="0"/>
        <v>SI</v>
      </c>
      <c r="AJ24" t="str">
        <f t="shared" si="1"/>
        <v>B. BRAUN MELSUNGEN</v>
      </c>
      <c r="AK24" t="str">
        <f>IF(ISNUMBER(SEARCH("FABRICANTE",AC24)),"FABRICANTE",IF(ISNUMBER(SEARCH("IMPORTADOR",AC24)),"IMPORTADOR","OTRO"))</f>
        <v>IMPORTADOR</v>
      </c>
      <c r="AL24" t="str">
        <f>IF(LEFT(Y24,1)="A","Sistema digestivo",IF(LEFT(Y24,1)="B","Sangre",IF(LEFT(Y24,1)="C","Cardiovascular",IF(LEFT(Y24,1)="D","Dermatológico",IF(LEFT(Y24,1)="G","Genitourinario",IF(LEFT(Y24,1)="H","Hormonal",IF(LEFT(Y24,1)="J","Antiinfecciosos",IF(LEFT(Y24,1)="L","Oncológicos",IF(LEFT(Y24,1)="M","Musculoesquelético",IF(LEFT(Y24,1)="N","Sistema nervioso",IF(LEFT(Y24,1)="R","Respiratorio",IF(LEFT(Y24,1)="S","Oftálmico",IF(LEFT(Y24,1)="V","Varios","OTRO")))))))))))))</f>
        <v>Sangre</v>
      </c>
      <c r="AM24" t="str">
        <f>IF(AG24="Vigente","ACTIVO",IF(ISNUMBER(SEARCH("Inactivo",J24)),"INACTIVO","REVISAR"))</f>
        <v>ACTIVO</v>
      </c>
      <c r="AN24" t="str">
        <f ca="1">IF(OR(AF24="",AF24="null"),"",ROUND((AF24-TODAY())/365.25,2))</f>
        <v/>
      </c>
      <c r="AO24" t="str">
        <f ca="1">IF(AND(AG24="Vigente",OR(AF24="",AF24="null",AF24&gt;TODAY())),"SI",IF(AND(NOT(OR(AF24="",AF24="null")),AF24&lt;=TODAY()),"NO",IF(AG24="Vigente","SI","DESCONOCIDO")))</f>
        <v>SI</v>
      </c>
      <c r="AP24" t="str">
        <f>IF(AND(ISNUMBER(SEARCH("IMPORTAR",AA24)),ISNUMBER(SEARCH("FABRICAR",AA24))),"MIXTO",IF(ISNUMBER(SEARCH("IMPORTAR",AA24)),"IMPORTADO",IF(ISNUMBER(SEARCH("FABRICAR",AA24)),"LOCAL","OTRO")))</f>
        <v>IMPORTADO</v>
      </c>
      <c r="AQ24" t="str">
        <f>IF(AD24="Si","SI",IF(AD24="No","NO",""))</f>
        <v>NO</v>
      </c>
      <c r="AR24" t="str">
        <f>IF(ISNUMBER(SEARCH("®",N24)),"MARCA/INNOVADOR","GENERICO")</f>
        <v>MARCA/INNOVADOR</v>
      </c>
      <c r="AS24">
        <f ca="1">IF(AE24&gt;100,RANDBETWEEN(500,5000),IF(AND(AE24&gt;=10,AE24&lt;=100),RANDBETWEEN(100,1000),RANDBETWEEN(10,200)))</f>
        <v>124</v>
      </c>
      <c r="AT24">
        <f t="shared" ca="1" si="2"/>
        <v>24</v>
      </c>
      <c r="AU24">
        <f ca="1">INT(AS24*RANDBETWEEN(120,200)/100)</f>
        <v>229</v>
      </c>
      <c r="AV24" s="2">
        <f ca="1">IF(LEFT(Y24,1)="L",RANDBETWEEN(500000,5000000),IF(LEFT(Y24,1)="C",RANDBETWEEN(5000,50000),IF(LEFT(Y24,1)="N",RANDBETWEEN(10000,150000),IF(LEFT(Y24,1)="J",RANDBETWEEN(8000,200000),RANDBETWEEN(5000,100000)))))</f>
        <v>61786</v>
      </c>
      <c r="AW24" s="2">
        <f ca="1">INT(AV24*RANDBETWEEN(30,60)/100)</f>
        <v>24096</v>
      </c>
      <c r="AX24">
        <f ca="1">IF(Z24="ORAL",RANDBETWEEN(1000,10000),IF(OR(Z24="INTRAVENOSA",Z24="INTRAMUSCULAR"),RANDBETWEEN(100,2000),IF(OR(Z24="OFTÁLMICA",Z24="TOPICA (EXTERNA)"),RANDBETWEEN(200,3000),RANDBETWEEN(100,1500))))</f>
        <v>102</v>
      </c>
      <c r="AY24" s="2">
        <f ca="1">INT(AV24*RANDBETWEEN(90,130)/100)</f>
        <v>77232</v>
      </c>
      <c r="AZ24" t="str">
        <f t="shared" ca="1" si="3"/>
        <v>2.4%</v>
      </c>
      <c r="BA24" t="str">
        <f t="shared" ca="1" si="4"/>
        <v>ALTO</v>
      </c>
    </row>
    <row r="25" spans="4:53" x14ac:dyDescent="0.35">
      <c r="D25" t="s">
        <v>314</v>
      </c>
      <c r="E25" s="1">
        <v>37532</v>
      </c>
      <c r="F25" t="s">
        <v>315</v>
      </c>
      <c r="G25" t="s">
        <v>108</v>
      </c>
      <c r="H25" t="s">
        <v>316</v>
      </c>
      <c r="I25">
        <v>19932059</v>
      </c>
      <c r="J25" t="s">
        <v>28</v>
      </c>
      <c r="K25">
        <v>12</v>
      </c>
      <c r="L25" t="s">
        <v>27</v>
      </c>
      <c r="M25" t="s">
        <v>317</v>
      </c>
      <c r="N25" t="s">
        <v>318</v>
      </c>
      <c r="O25" t="s">
        <v>319</v>
      </c>
      <c r="P25" t="s">
        <v>29</v>
      </c>
      <c r="Q25" s="1">
        <v>40441</v>
      </c>
      <c r="R25" t="s">
        <v>29</v>
      </c>
      <c r="S25" t="s">
        <v>27</v>
      </c>
      <c r="T25" t="s">
        <v>320</v>
      </c>
      <c r="U25" t="s">
        <v>115</v>
      </c>
      <c r="V25" t="s">
        <v>321</v>
      </c>
      <c r="W25">
        <v>500</v>
      </c>
      <c r="X25">
        <v>19932059</v>
      </c>
      <c r="Y25" t="s">
        <v>322</v>
      </c>
      <c r="Z25" t="s">
        <v>119</v>
      </c>
      <c r="AA25" t="s">
        <v>165</v>
      </c>
      <c r="AB25" t="s">
        <v>120</v>
      </c>
      <c r="AC25" t="s">
        <v>25</v>
      </c>
      <c r="AD25" t="s">
        <v>121</v>
      </c>
      <c r="AE25">
        <v>12</v>
      </c>
      <c r="AF25" t="s">
        <v>27</v>
      </c>
      <c r="AG25" t="s">
        <v>26</v>
      </c>
      <c r="AH25" t="s">
        <v>522</v>
      </c>
      <c r="AI25" t="str">
        <f t="shared" si="0"/>
        <v>SI</v>
      </c>
      <c r="AJ25" t="str">
        <f t="shared" si="1"/>
        <v>GENFAR</v>
      </c>
      <c r="AK25" t="str">
        <f>IF(ISNUMBER(SEARCH("FABRICANTE",AC25)),"FABRICANTE",IF(ISNUMBER(SEARCH("IMPORTADOR",AC25)),"IMPORTADOR","OTRO"))</f>
        <v>FABRICANTE</v>
      </c>
      <c r="AL25" t="str">
        <f>IF(LEFT(Y25,1)="A","Sistema digestivo",IF(LEFT(Y25,1)="B","Sangre",IF(LEFT(Y25,1)="C","Cardiovascular",IF(LEFT(Y25,1)="D","Dermatológico",IF(LEFT(Y25,1)="G","Genitourinario",IF(LEFT(Y25,1)="H","Hormonal",IF(LEFT(Y25,1)="J","Antiinfecciosos",IF(LEFT(Y25,1)="L","Oncológicos",IF(LEFT(Y25,1)="M","Musculoesquelético",IF(LEFT(Y25,1)="N","Sistema nervioso",IF(LEFT(Y25,1)="R","Respiratorio",IF(LEFT(Y25,1)="S","Oftálmico",IF(LEFT(Y25,1)="V","Varios","OTRO")))))))))))))</f>
        <v>Sistema nervioso</v>
      </c>
      <c r="AM25" t="str">
        <f>IF(AG25="Vigente","ACTIVO",IF(ISNUMBER(SEARCH("Inactivo",J25)),"INACTIVO","REVISAR"))</f>
        <v>ACTIVO</v>
      </c>
      <c r="AN25" t="str">
        <f ca="1">IF(OR(AF25="",AF25="null"),"",ROUND((AF25-TODAY())/365.25,2))</f>
        <v/>
      </c>
      <c r="AO25" t="str">
        <f ca="1">IF(AND(AG25="Vigente",OR(AF25="",AF25="null",AF25&gt;TODAY())),"SI",IF(AND(NOT(OR(AF25="",AF25="null")),AF25&lt;=TODAY()),"NO",IF(AG25="Vigente","SI","DESCONOCIDO")))</f>
        <v>SI</v>
      </c>
      <c r="AP25" t="str">
        <f>IF(AND(ISNUMBER(SEARCH("IMPORTAR",AA25)),ISNUMBER(SEARCH("FABRICAR",AA25))),"MIXTO",IF(ISNUMBER(SEARCH("IMPORTAR",AA25)),"IMPORTADO",IF(ISNUMBER(SEARCH("FABRICAR",AA25)),"LOCAL","OTRO")))</f>
        <v>IMPORTADO</v>
      </c>
      <c r="AQ25" t="str">
        <f>IF(AD25="Si","SI",IF(AD25="No","NO",""))</f>
        <v>NO</v>
      </c>
      <c r="AR25" t="str">
        <f>IF(ISNUMBER(SEARCH("®",N25)),"MARCA/INNOVADOR","GENERICO")</f>
        <v>MARCA/INNOVADOR</v>
      </c>
      <c r="AS25">
        <f ca="1">IF(AE25&gt;100,RANDBETWEEN(500,5000),IF(AND(AE25&gt;=10,AE25&lt;=100),RANDBETWEEN(100,1000),RANDBETWEEN(10,200)))</f>
        <v>990</v>
      </c>
      <c r="AT25">
        <f t="shared" ca="1" si="2"/>
        <v>108</v>
      </c>
      <c r="AU25">
        <f ca="1">INT(AS25*RANDBETWEEN(120,200)/100)</f>
        <v>1524</v>
      </c>
      <c r="AV25" s="2">
        <f ca="1">IF(LEFT(Y25,1)="L",RANDBETWEEN(500000,5000000),IF(LEFT(Y25,1)="C",RANDBETWEEN(5000,50000),IF(LEFT(Y25,1)="N",RANDBETWEEN(10000,150000),IF(LEFT(Y25,1)="J",RANDBETWEEN(8000,200000),RANDBETWEEN(5000,100000)))))</f>
        <v>112798</v>
      </c>
      <c r="AW25" s="2">
        <f ca="1">INT(AV25*RANDBETWEEN(30,60)/100)</f>
        <v>47375</v>
      </c>
      <c r="AX25">
        <f ca="1">IF(Z25="ORAL",RANDBETWEEN(1000,10000),IF(OR(Z25="INTRAVENOSA",Z25="INTRAMUSCULAR"),RANDBETWEEN(100,2000),IF(OR(Z25="OFTÁLMICA",Z25="TOPICA (EXTERNA)"),RANDBETWEEN(200,3000),RANDBETWEEN(100,1500))))</f>
        <v>7820</v>
      </c>
      <c r="AY25" s="2">
        <f ca="1">INT(AV25*RANDBETWEEN(90,130)/100)</f>
        <v>103774</v>
      </c>
      <c r="AZ25" t="str">
        <f t="shared" ca="1" si="3"/>
        <v>17.9%</v>
      </c>
      <c r="BA25" t="str">
        <f t="shared" ca="1" si="4"/>
        <v>BAJO</v>
      </c>
    </row>
    <row r="26" spans="4:53" x14ac:dyDescent="0.35">
      <c r="D26" t="s">
        <v>323</v>
      </c>
      <c r="E26" s="1">
        <v>43195</v>
      </c>
      <c r="F26" t="s">
        <v>324</v>
      </c>
      <c r="G26" t="s">
        <v>108</v>
      </c>
      <c r="H26" t="s">
        <v>325</v>
      </c>
      <c r="I26">
        <v>20119982</v>
      </c>
      <c r="J26" t="s">
        <v>28</v>
      </c>
      <c r="K26">
        <v>7</v>
      </c>
      <c r="L26" t="s">
        <v>326</v>
      </c>
      <c r="M26" t="s">
        <v>327</v>
      </c>
      <c r="N26" t="s">
        <v>328</v>
      </c>
      <c r="O26" t="s">
        <v>329</v>
      </c>
      <c r="P26" t="s">
        <v>29</v>
      </c>
      <c r="Q26" s="1">
        <v>43143</v>
      </c>
      <c r="R26" t="s">
        <v>29</v>
      </c>
      <c r="S26" t="s">
        <v>27</v>
      </c>
      <c r="T26" t="s">
        <v>325</v>
      </c>
      <c r="U26" t="s">
        <v>115</v>
      </c>
      <c r="V26" t="s">
        <v>330</v>
      </c>
      <c r="W26">
        <v>100</v>
      </c>
      <c r="X26">
        <v>20119982</v>
      </c>
      <c r="Y26" t="s">
        <v>331</v>
      </c>
      <c r="Z26" t="s">
        <v>119</v>
      </c>
      <c r="AA26" t="s">
        <v>24</v>
      </c>
      <c r="AB26" t="s">
        <v>120</v>
      </c>
      <c r="AC26" t="s">
        <v>25</v>
      </c>
      <c r="AD26" t="s">
        <v>121</v>
      </c>
      <c r="AE26">
        <v>30</v>
      </c>
      <c r="AF26" t="s">
        <v>27</v>
      </c>
      <c r="AG26" t="s">
        <v>26</v>
      </c>
      <c r="AH26" t="s">
        <v>324</v>
      </c>
      <c r="AI26" t="str">
        <f t="shared" si="0"/>
        <v>NO</v>
      </c>
      <c r="AJ26" t="str">
        <f t="shared" si="1"/>
        <v>LABORATORIO PROFESIONAL FARMACEUTICO - LABORATORIOS LAPROFF</v>
      </c>
      <c r="AK26" t="str">
        <f>IF(ISNUMBER(SEARCH("FABRICANTE",AC26)),"FABRICANTE",IF(ISNUMBER(SEARCH("IMPORTADOR",AC26)),"IMPORTADOR","OTRO"))</f>
        <v>FABRICANTE</v>
      </c>
      <c r="AL26" t="str">
        <f>IF(LEFT(Y26,1)="A","Sistema digestivo",IF(LEFT(Y26,1)="B","Sangre",IF(LEFT(Y26,1)="C","Cardiovascular",IF(LEFT(Y26,1)="D","Dermatológico",IF(LEFT(Y26,1)="G","Genitourinario",IF(LEFT(Y26,1)="H","Hormonal",IF(LEFT(Y26,1)="J","Antiinfecciosos",IF(LEFT(Y26,1)="L","Oncológicos",IF(LEFT(Y26,1)="M","Musculoesquelético",IF(LEFT(Y26,1)="N","Sistema nervioso",IF(LEFT(Y26,1)="R","Respiratorio",IF(LEFT(Y26,1)="S","Oftálmico",IF(LEFT(Y26,1)="V","Varios","OTRO")))))))))))))</f>
        <v>Cardiovascular</v>
      </c>
      <c r="AM26" t="str">
        <f>IF(AG26="Vigente","ACTIVO",IF(ISNUMBER(SEARCH("Inactivo",J26)),"INACTIVO","REVISAR"))</f>
        <v>ACTIVO</v>
      </c>
      <c r="AN26" t="str">
        <f ca="1">IF(OR(AF26="",AF26="null"),"",ROUND((AF26-TODAY())/365.25,2))</f>
        <v/>
      </c>
      <c r="AO26" t="str">
        <f ca="1">IF(AND(AG26="Vigente",OR(AF26="",AF26="null",AF26&gt;TODAY())),"SI",IF(AND(NOT(OR(AF26="",AF26="null")),AF26&lt;=TODAY()),"NO",IF(AG26="Vigente","SI","DESCONOCIDO")))</f>
        <v>SI</v>
      </c>
      <c r="AP26" t="str">
        <f>IF(AND(ISNUMBER(SEARCH("IMPORTAR",AA26)),ISNUMBER(SEARCH("FABRICAR",AA26))),"MIXTO",IF(ISNUMBER(SEARCH("IMPORTAR",AA26)),"IMPORTADO",IF(ISNUMBER(SEARCH("FABRICAR",AA26)),"LOCAL","OTRO")))</f>
        <v>LOCAL</v>
      </c>
      <c r="AQ26" t="str">
        <f>IF(AD26="Si","SI",IF(AD26="No","NO",""))</f>
        <v>NO</v>
      </c>
      <c r="AR26" t="str">
        <f>IF(ISNUMBER(SEARCH("®",N26)),"MARCA/INNOVADOR","GENERICO")</f>
        <v>GENERICO</v>
      </c>
      <c r="AS26">
        <f ca="1">IF(AE26&gt;100,RANDBETWEEN(500,5000),IF(AND(AE26&gt;=10,AE26&lt;=100),RANDBETWEEN(100,1000),RANDBETWEEN(10,200)))</f>
        <v>751</v>
      </c>
      <c r="AT26">
        <f t="shared" ca="1" si="2"/>
        <v>75</v>
      </c>
      <c r="AU26">
        <f ca="1">INT(AS26*RANDBETWEEN(120,200)/100)</f>
        <v>1073</v>
      </c>
      <c r="AV26" s="2">
        <f ca="1">IF(LEFT(Y26,1)="L",RANDBETWEEN(500000,5000000),IF(LEFT(Y26,1)="C",RANDBETWEEN(5000,50000),IF(LEFT(Y26,1)="N",RANDBETWEEN(10000,150000),IF(LEFT(Y26,1)="J",RANDBETWEEN(8000,200000),RANDBETWEEN(5000,100000)))))</f>
        <v>9773</v>
      </c>
      <c r="AW26" s="2">
        <f ca="1">INT(AV26*RANDBETWEEN(30,60)/100)</f>
        <v>3322</v>
      </c>
      <c r="AX26">
        <f ca="1">IF(Z26="ORAL",RANDBETWEEN(1000,10000),IF(OR(Z26="INTRAVENOSA",Z26="INTRAMUSCULAR"),RANDBETWEEN(100,2000),IF(OR(Z26="OFTÁLMICA",Z26="TOPICA (EXTERNA)"),RANDBETWEEN(200,3000),RANDBETWEEN(100,1500))))</f>
        <v>1153</v>
      </c>
      <c r="AY26" s="2">
        <f ca="1">INT(AV26*RANDBETWEEN(90,130)/100)</f>
        <v>10848</v>
      </c>
      <c r="AZ26" t="str">
        <f t="shared" ca="1" si="3"/>
        <v>12.5%</v>
      </c>
      <c r="BA26" t="str">
        <f t="shared" ca="1" si="4"/>
        <v>BAJO</v>
      </c>
    </row>
    <row r="27" spans="4:53" x14ac:dyDescent="0.35">
      <c r="D27" t="s">
        <v>332</v>
      </c>
      <c r="E27" s="1">
        <v>36847</v>
      </c>
      <c r="F27" t="s">
        <v>333</v>
      </c>
      <c r="G27" t="s">
        <v>108</v>
      </c>
      <c r="H27" t="s">
        <v>334</v>
      </c>
      <c r="I27">
        <v>36070</v>
      </c>
      <c r="J27" t="s">
        <v>110</v>
      </c>
      <c r="K27">
        <v>1</v>
      </c>
      <c r="L27" t="s">
        <v>27</v>
      </c>
      <c r="M27" t="s">
        <v>335</v>
      </c>
      <c r="N27" t="s">
        <v>336</v>
      </c>
      <c r="O27" t="s">
        <v>337</v>
      </c>
      <c r="P27" t="s">
        <v>338</v>
      </c>
      <c r="Q27" s="1">
        <v>39031</v>
      </c>
      <c r="R27" t="s">
        <v>50</v>
      </c>
      <c r="S27" s="1">
        <v>42348</v>
      </c>
      <c r="T27" t="s">
        <v>80</v>
      </c>
      <c r="U27" t="s">
        <v>115</v>
      </c>
      <c r="V27" t="s">
        <v>339</v>
      </c>
      <c r="W27">
        <v>8</v>
      </c>
      <c r="X27">
        <v>36070</v>
      </c>
      <c r="Y27" t="s">
        <v>340</v>
      </c>
      <c r="Z27" t="s">
        <v>341</v>
      </c>
      <c r="AA27" t="s">
        <v>24</v>
      </c>
      <c r="AB27" t="s">
        <v>120</v>
      </c>
      <c r="AC27" t="s">
        <v>25</v>
      </c>
      <c r="AD27" t="s">
        <v>121</v>
      </c>
      <c r="AE27">
        <v>100</v>
      </c>
      <c r="AF27" t="s">
        <v>27</v>
      </c>
      <c r="AG27" t="s">
        <v>26</v>
      </c>
      <c r="AH27" t="s">
        <v>6614</v>
      </c>
      <c r="AI27" t="str">
        <f t="shared" si="0"/>
        <v>SI</v>
      </c>
      <c r="AJ27" t="str">
        <f t="shared" si="1"/>
        <v>TECNOQUIMICAS</v>
      </c>
      <c r="AK27" t="str">
        <f>IF(ISNUMBER(SEARCH("FABRICANTE",AC27)),"FABRICANTE",IF(ISNUMBER(SEARCH("IMPORTADOR",AC27)),"IMPORTADOR","OTRO"))</f>
        <v>FABRICANTE</v>
      </c>
      <c r="AL27" t="str">
        <f>IF(LEFT(Y27,1)="A","Sistema digestivo",IF(LEFT(Y27,1)="B","Sangre",IF(LEFT(Y27,1)="C","Cardiovascular",IF(LEFT(Y27,1)="D","Dermatológico",IF(LEFT(Y27,1)="G","Genitourinario",IF(LEFT(Y27,1)="H","Hormonal",IF(LEFT(Y27,1)="J","Antiinfecciosos",IF(LEFT(Y27,1)="L","Oncológicos",IF(LEFT(Y27,1)="M","Musculoesquelético",IF(LEFT(Y27,1)="N","Sistema nervioso",IF(LEFT(Y27,1)="R","Respiratorio",IF(LEFT(Y27,1)="S","Oftálmico",IF(LEFT(Y27,1)="V","Varios","OTRO")))))))))))))</f>
        <v>Hormonal</v>
      </c>
      <c r="AM27" t="str">
        <f>IF(AG27="Vigente","ACTIVO",IF(ISNUMBER(SEARCH("Inactivo",J27)),"INACTIVO","REVISAR"))</f>
        <v>ACTIVO</v>
      </c>
      <c r="AN27" t="str">
        <f ca="1">IF(OR(AF27="",AF27="null"),"",ROUND((AF27-TODAY())/365.25,2))</f>
        <v/>
      </c>
      <c r="AO27" t="str">
        <f ca="1">IF(AND(AG27="Vigente",OR(AF27="",AF27="null",AF27&gt;TODAY())),"SI",IF(AND(NOT(OR(AF27="",AF27="null")),AF27&lt;=TODAY()),"NO",IF(AG27="Vigente","SI","DESCONOCIDO")))</f>
        <v>SI</v>
      </c>
      <c r="AP27" t="str">
        <f>IF(AND(ISNUMBER(SEARCH("IMPORTAR",AA27)),ISNUMBER(SEARCH("FABRICAR",AA27))),"MIXTO",IF(ISNUMBER(SEARCH("IMPORTAR",AA27)),"IMPORTADO",IF(ISNUMBER(SEARCH("FABRICAR",AA27)),"LOCAL","OTRO")))</f>
        <v>LOCAL</v>
      </c>
      <c r="AQ27" t="str">
        <f>IF(AD27="Si","SI",IF(AD27="No","NO",""))</f>
        <v>NO</v>
      </c>
      <c r="AR27" t="str">
        <f>IF(ISNUMBER(SEARCH("®",N27)),"MARCA/INNOVADOR","GENERICO")</f>
        <v>GENERICO</v>
      </c>
      <c r="AS27">
        <f ca="1">IF(AE27&gt;100,RANDBETWEEN(500,5000),IF(AND(AE27&gt;=10,AE27&lt;=100),RANDBETWEEN(100,1000),RANDBETWEEN(10,200)))</f>
        <v>464</v>
      </c>
      <c r="AT27">
        <f t="shared" ca="1" si="2"/>
        <v>88</v>
      </c>
      <c r="AU27">
        <f ca="1">INT(AS27*RANDBETWEEN(120,200)/100)</f>
        <v>914</v>
      </c>
      <c r="AV27" s="2">
        <f ca="1">IF(LEFT(Y27,1)="L",RANDBETWEEN(500000,5000000),IF(LEFT(Y27,1)="C",RANDBETWEEN(5000,50000),IF(LEFT(Y27,1)="N",RANDBETWEEN(10000,150000),IF(LEFT(Y27,1)="J",RANDBETWEEN(8000,200000),RANDBETWEEN(5000,100000)))))</f>
        <v>75144</v>
      </c>
      <c r="AW27" s="2">
        <f ca="1">INT(AV27*RANDBETWEEN(30,60)/100)</f>
        <v>27051</v>
      </c>
      <c r="AX27">
        <f ca="1">IF(Z27="ORAL",RANDBETWEEN(1000,10000),IF(OR(Z27="INTRAVENOSA",Z27="INTRAMUSCULAR"),RANDBETWEEN(100,2000),IF(OR(Z27="OFTÁLMICA",Z27="TOPICA (EXTERNA)"),RANDBETWEEN(200,3000),RANDBETWEEN(100,1500))))</f>
        <v>294</v>
      </c>
      <c r="AY27" s="2">
        <f ca="1">INT(AV27*RANDBETWEEN(90,130)/100)</f>
        <v>97687</v>
      </c>
      <c r="AZ27" t="str">
        <f t="shared" ca="1" si="3"/>
        <v>2.1%</v>
      </c>
      <c r="BA27" t="str">
        <f t="shared" ca="1" si="4"/>
        <v>ALTO</v>
      </c>
    </row>
    <row r="28" spans="4:53" x14ac:dyDescent="0.35">
      <c r="D28" t="s">
        <v>342</v>
      </c>
      <c r="E28" s="1">
        <v>36161</v>
      </c>
      <c r="F28" t="s">
        <v>343</v>
      </c>
      <c r="G28" t="s">
        <v>108</v>
      </c>
      <c r="H28" t="s">
        <v>344</v>
      </c>
      <c r="I28">
        <v>27674</v>
      </c>
      <c r="J28" t="s">
        <v>110</v>
      </c>
      <c r="K28">
        <v>1</v>
      </c>
      <c r="L28" t="s">
        <v>27</v>
      </c>
      <c r="M28" t="s">
        <v>345</v>
      </c>
      <c r="N28" t="s">
        <v>346</v>
      </c>
      <c r="O28" t="s">
        <v>347</v>
      </c>
      <c r="P28" t="s">
        <v>348</v>
      </c>
      <c r="Q28" s="1">
        <v>39031</v>
      </c>
      <c r="R28" t="s">
        <v>140</v>
      </c>
      <c r="S28" s="1">
        <v>42801</v>
      </c>
      <c r="T28" t="s">
        <v>349</v>
      </c>
      <c r="U28" t="s">
        <v>115</v>
      </c>
      <c r="V28" t="s">
        <v>350</v>
      </c>
      <c r="W28">
        <v>300</v>
      </c>
      <c r="X28">
        <v>27674</v>
      </c>
      <c r="Y28" t="s">
        <v>351</v>
      </c>
      <c r="Z28" t="s">
        <v>119</v>
      </c>
      <c r="AA28" t="s">
        <v>32</v>
      </c>
      <c r="AB28" t="s">
        <v>120</v>
      </c>
      <c r="AC28" t="s">
        <v>25</v>
      </c>
      <c r="AD28" t="s">
        <v>155</v>
      </c>
      <c r="AE28">
        <v>2</v>
      </c>
      <c r="AF28" t="s">
        <v>27</v>
      </c>
      <c r="AG28" t="s">
        <v>26</v>
      </c>
      <c r="AH28" t="s">
        <v>343</v>
      </c>
      <c r="AI28" t="str">
        <f t="shared" si="0"/>
        <v>NO</v>
      </c>
      <c r="AJ28" t="str">
        <f t="shared" si="1"/>
        <v>DAMUZI COMPANY</v>
      </c>
      <c r="AK28" t="str">
        <f>IF(ISNUMBER(SEARCH("FABRICANTE",AC28)),"FABRICANTE",IF(ISNUMBER(SEARCH("IMPORTADOR",AC28)),"IMPORTADOR","OTRO"))</f>
        <v>FABRICANTE</v>
      </c>
      <c r="AL28" t="str">
        <f>IF(LEFT(Y28,1)="A","Sistema digestivo",IF(LEFT(Y28,1)="B","Sangre",IF(LEFT(Y28,1)="C","Cardiovascular",IF(LEFT(Y28,1)="D","Dermatológico",IF(LEFT(Y28,1)="G","Genitourinario",IF(LEFT(Y28,1)="H","Hormonal",IF(LEFT(Y28,1)="J","Antiinfecciosos",IF(LEFT(Y28,1)="L","Oncológicos",IF(LEFT(Y28,1)="M","Musculoesquelético",IF(LEFT(Y28,1)="N","Sistema nervioso",IF(LEFT(Y28,1)="R","Respiratorio",IF(LEFT(Y28,1)="S","Oftálmico",IF(LEFT(Y28,1)="V","Varios","OTRO")))))))))))))</f>
        <v>Sistema nervioso</v>
      </c>
      <c r="AM28" t="str">
        <f>IF(AG28="Vigente","ACTIVO",IF(ISNUMBER(SEARCH("Inactivo",J28)),"INACTIVO","REVISAR"))</f>
        <v>ACTIVO</v>
      </c>
      <c r="AN28" t="str">
        <f ca="1">IF(OR(AF28="",AF28="null"),"",ROUND((AF28-TODAY())/365.25,2))</f>
        <v/>
      </c>
      <c r="AO28" t="str">
        <f ca="1">IF(AND(AG28="Vigente",OR(AF28="",AF28="null",AF28&gt;TODAY())),"SI",IF(AND(NOT(OR(AF28="",AF28="null")),AF28&lt;=TODAY()),"NO",IF(AG28="Vigente","SI","DESCONOCIDO")))</f>
        <v>SI</v>
      </c>
      <c r="AP28" t="str">
        <f>IF(AND(ISNUMBER(SEARCH("IMPORTAR",AA28)),ISNUMBER(SEARCH("FABRICAR",AA28))),"MIXTO",IF(ISNUMBER(SEARCH("IMPORTAR",AA28)),"IMPORTADO",IF(ISNUMBER(SEARCH("FABRICAR",AA28)),"LOCAL","OTRO")))</f>
        <v>IMPORTADO</v>
      </c>
      <c r="AQ28" t="str">
        <f>IF(AD28="Si","SI",IF(AD28="No","NO",""))</f>
        <v>SI</v>
      </c>
      <c r="AR28" t="str">
        <f>IF(ISNUMBER(SEARCH("®",N28)),"MARCA/INNOVADOR","GENERICO")</f>
        <v>MARCA/INNOVADOR</v>
      </c>
      <c r="AS28">
        <f ca="1">IF(AE28&gt;100,RANDBETWEEN(500,5000),IF(AND(AE28&gt;=10,AE28&lt;=100),RANDBETWEEN(100,1000),RANDBETWEEN(10,200)))</f>
        <v>96</v>
      </c>
      <c r="AT28">
        <f t="shared" ca="1" si="2"/>
        <v>28</v>
      </c>
      <c r="AU28">
        <f ca="1">INT(AS28*RANDBETWEEN(120,200)/100)</f>
        <v>168</v>
      </c>
      <c r="AV28" s="2">
        <f ca="1">IF(LEFT(Y28,1)="L",RANDBETWEEN(500000,5000000),IF(LEFT(Y28,1)="C",RANDBETWEEN(5000,50000),IF(LEFT(Y28,1)="N",RANDBETWEEN(10000,150000),IF(LEFT(Y28,1)="J",RANDBETWEEN(8000,200000),RANDBETWEEN(5000,100000)))))</f>
        <v>63875</v>
      </c>
      <c r="AW28" s="2">
        <f ca="1">INT(AV28*RANDBETWEEN(30,60)/100)</f>
        <v>28743</v>
      </c>
      <c r="AX28">
        <f ca="1">IF(Z28="ORAL",RANDBETWEEN(1000,10000),IF(OR(Z28="INTRAVENOSA",Z28="INTRAMUSCULAR"),RANDBETWEEN(100,2000),IF(OR(Z28="OFTÁLMICA",Z28="TOPICA (EXTERNA)"),RANDBETWEEN(200,3000),RANDBETWEEN(100,1500))))</f>
        <v>3242</v>
      </c>
      <c r="AY28" s="2">
        <f ca="1">INT(AV28*RANDBETWEEN(90,130)/100)</f>
        <v>68346</v>
      </c>
      <c r="AZ28" t="str">
        <f t="shared" ca="1" si="3"/>
        <v>22.5%</v>
      </c>
      <c r="BA28" t="str">
        <f t="shared" ca="1" si="4"/>
        <v>ALTO</v>
      </c>
    </row>
    <row r="29" spans="4:53" x14ac:dyDescent="0.35">
      <c r="D29" t="s">
        <v>352</v>
      </c>
      <c r="E29" s="1">
        <v>38989</v>
      </c>
      <c r="F29" t="s">
        <v>353</v>
      </c>
      <c r="G29" t="s">
        <v>108</v>
      </c>
      <c r="H29" t="s">
        <v>354</v>
      </c>
      <c r="I29">
        <v>19968257</v>
      </c>
      <c r="J29" t="s">
        <v>28</v>
      </c>
      <c r="K29">
        <v>12</v>
      </c>
      <c r="L29" t="s">
        <v>27</v>
      </c>
      <c r="M29" t="s">
        <v>355</v>
      </c>
      <c r="N29" t="s">
        <v>356</v>
      </c>
      <c r="O29" t="s">
        <v>357</v>
      </c>
      <c r="P29" t="s">
        <v>358</v>
      </c>
      <c r="Q29" s="1">
        <v>41220</v>
      </c>
      <c r="R29" t="s">
        <v>37</v>
      </c>
      <c r="S29" s="1">
        <v>44529</v>
      </c>
      <c r="T29" t="s">
        <v>354</v>
      </c>
      <c r="U29" t="s">
        <v>115</v>
      </c>
      <c r="V29" t="s">
        <v>53</v>
      </c>
      <c r="W29">
        <v>25</v>
      </c>
      <c r="X29">
        <v>19968257</v>
      </c>
      <c r="Y29" t="s">
        <v>359</v>
      </c>
      <c r="Z29" t="s">
        <v>119</v>
      </c>
      <c r="AA29" t="s">
        <v>32</v>
      </c>
      <c r="AB29" t="s">
        <v>120</v>
      </c>
      <c r="AC29" t="s">
        <v>38</v>
      </c>
      <c r="AD29" t="s">
        <v>155</v>
      </c>
      <c r="AE29">
        <v>10</v>
      </c>
      <c r="AF29" t="s">
        <v>27</v>
      </c>
      <c r="AG29" t="s">
        <v>26</v>
      </c>
      <c r="AH29" t="s">
        <v>53</v>
      </c>
      <c r="AI29" t="str">
        <f t="shared" si="0"/>
        <v>SI</v>
      </c>
      <c r="AJ29" t="str">
        <f t="shared" si="1"/>
        <v>PFIZER</v>
      </c>
      <c r="AK29" t="str">
        <f>IF(ISNUMBER(SEARCH("FABRICANTE",AC29)),"FABRICANTE",IF(ISNUMBER(SEARCH("IMPORTADOR",AC29)),"IMPORTADOR","OTRO"))</f>
        <v>IMPORTADOR</v>
      </c>
      <c r="AL29" t="str">
        <f>IF(LEFT(Y29,1)="A","Sistema digestivo",IF(LEFT(Y29,1)="B","Sangre",IF(LEFT(Y29,1)="C","Cardiovascular",IF(LEFT(Y29,1)="D","Dermatológico",IF(LEFT(Y29,1)="G","Genitourinario",IF(LEFT(Y29,1)="H","Hormonal",IF(LEFT(Y29,1)="J","Antiinfecciosos",IF(LEFT(Y29,1)="L","Oncológicos",IF(LEFT(Y29,1)="M","Musculoesquelético",IF(LEFT(Y29,1)="N","Sistema nervioso",IF(LEFT(Y29,1)="R","Respiratorio",IF(LEFT(Y29,1)="S","Oftálmico",IF(LEFT(Y29,1)="V","Varios","OTRO")))))))))))))</f>
        <v>Oncológicos</v>
      </c>
      <c r="AM29" t="str">
        <f>IF(AG29="Vigente","ACTIVO",IF(ISNUMBER(SEARCH("Inactivo",J29)),"INACTIVO","REVISAR"))</f>
        <v>ACTIVO</v>
      </c>
      <c r="AN29" t="str">
        <f ca="1">IF(OR(AF29="",AF29="null"),"",ROUND((AF29-TODAY())/365.25,2))</f>
        <v/>
      </c>
      <c r="AO29" t="str">
        <f ca="1">IF(AND(AG29="Vigente",OR(AF29="",AF29="null",AF29&gt;TODAY())),"SI",IF(AND(NOT(OR(AF29="",AF29="null")),AF29&lt;=TODAY()),"NO",IF(AG29="Vigente","SI","DESCONOCIDO")))</f>
        <v>SI</v>
      </c>
      <c r="AP29" t="str">
        <f>IF(AND(ISNUMBER(SEARCH("IMPORTAR",AA29)),ISNUMBER(SEARCH("FABRICAR",AA29))),"MIXTO",IF(ISNUMBER(SEARCH("IMPORTAR",AA29)),"IMPORTADO",IF(ISNUMBER(SEARCH("FABRICAR",AA29)),"LOCAL","OTRO")))</f>
        <v>IMPORTADO</v>
      </c>
      <c r="AQ29" t="str">
        <f>IF(AD29="Si","SI",IF(AD29="No","NO",""))</f>
        <v>SI</v>
      </c>
      <c r="AR29" t="str">
        <f>IF(ISNUMBER(SEARCH("®",N29)),"MARCA/INNOVADOR","GENERICO")</f>
        <v>MARCA/INNOVADOR</v>
      </c>
      <c r="AS29">
        <f ca="1">IF(AE29&gt;100,RANDBETWEEN(500,5000),IF(AND(AE29&gt;=10,AE29&lt;=100),RANDBETWEEN(100,1000),RANDBETWEEN(10,200)))</f>
        <v>233</v>
      </c>
      <c r="AT29">
        <f t="shared" ca="1" si="2"/>
        <v>60</v>
      </c>
      <c r="AU29">
        <f ca="1">INT(AS29*RANDBETWEEN(120,200)/100)</f>
        <v>354</v>
      </c>
      <c r="AV29" s="2">
        <f ca="1">IF(LEFT(Y29,1)="L",RANDBETWEEN(500000,5000000),IF(LEFT(Y29,1)="C",RANDBETWEEN(5000,50000),IF(LEFT(Y29,1)="N",RANDBETWEEN(10000,150000),IF(LEFT(Y29,1)="J",RANDBETWEEN(8000,200000),RANDBETWEEN(5000,100000)))))</f>
        <v>4001834</v>
      </c>
      <c r="AW29" s="2">
        <f ca="1">INT(AV29*RANDBETWEEN(30,60)/100)</f>
        <v>1760806</v>
      </c>
      <c r="AX29">
        <f ca="1">IF(Z29="ORAL",RANDBETWEEN(1000,10000),IF(OR(Z29="INTRAVENOSA",Z29="INTRAMUSCULAR"),RANDBETWEEN(100,2000),IF(OR(Z29="OFTÁLMICA",Z29="TOPICA (EXTERNA)"),RANDBETWEEN(200,3000),RANDBETWEEN(100,1500))))</f>
        <v>8843</v>
      </c>
      <c r="AY29" s="2">
        <f ca="1">INT(AV29*RANDBETWEEN(90,130)/100)</f>
        <v>4882237</v>
      </c>
      <c r="AZ29" t="str">
        <f t="shared" ca="1" si="3"/>
        <v>10.3%</v>
      </c>
      <c r="BA29" t="str">
        <f t="shared" ca="1" si="4"/>
        <v>BAJO</v>
      </c>
    </row>
    <row r="30" spans="4:53" x14ac:dyDescent="0.35">
      <c r="D30" t="s">
        <v>360</v>
      </c>
      <c r="E30" s="1">
        <v>39840</v>
      </c>
      <c r="F30" t="s">
        <v>361</v>
      </c>
      <c r="G30" t="s">
        <v>108</v>
      </c>
      <c r="H30" t="s">
        <v>362</v>
      </c>
      <c r="I30">
        <v>19993863</v>
      </c>
      <c r="J30" t="s">
        <v>28</v>
      </c>
      <c r="K30">
        <v>39</v>
      </c>
      <c r="L30" t="s">
        <v>27</v>
      </c>
      <c r="M30" t="s">
        <v>363</v>
      </c>
      <c r="N30" t="s">
        <v>364</v>
      </c>
      <c r="O30" t="s">
        <v>365</v>
      </c>
      <c r="P30" t="s">
        <v>366</v>
      </c>
      <c r="Q30" s="1">
        <v>43631</v>
      </c>
      <c r="R30" t="s">
        <v>67</v>
      </c>
      <c r="S30" t="s">
        <v>27</v>
      </c>
      <c r="T30" t="s">
        <v>367</v>
      </c>
      <c r="U30" t="s">
        <v>247</v>
      </c>
      <c r="V30" t="s">
        <v>248</v>
      </c>
      <c r="W30" t="s">
        <v>368</v>
      </c>
      <c r="X30">
        <v>19993863</v>
      </c>
      <c r="Y30" t="s">
        <v>249</v>
      </c>
      <c r="Z30" t="s">
        <v>119</v>
      </c>
      <c r="AA30" t="s">
        <v>32</v>
      </c>
      <c r="AB30" t="s">
        <v>250</v>
      </c>
      <c r="AC30" t="s">
        <v>38</v>
      </c>
      <c r="AD30" t="s">
        <v>155</v>
      </c>
      <c r="AE30">
        <v>1</v>
      </c>
      <c r="AF30" s="1">
        <v>401769</v>
      </c>
      <c r="AG30" t="s">
        <v>26</v>
      </c>
      <c r="AH30" t="s">
        <v>6726</v>
      </c>
      <c r="AI30" t="str">
        <f t="shared" si="0"/>
        <v>SI</v>
      </c>
      <c r="AJ30" t="str">
        <f t="shared" si="1"/>
        <v>LABORATORIOS PISA</v>
      </c>
      <c r="AK30" t="str">
        <f>IF(ISNUMBER(SEARCH("FABRICANTE",AC30)),"FABRICANTE",IF(ISNUMBER(SEARCH("IMPORTADOR",AC30)),"IMPORTADOR","OTRO"))</f>
        <v>IMPORTADOR</v>
      </c>
      <c r="AL30" t="str">
        <f>IF(LEFT(Y30,1)="A","Sistema digestivo",IF(LEFT(Y30,1)="B","Sangre",IF(LEFT(Y30,1)="C","Cardiovascular",IF(LEFT(Y30,1)="D","Dermatológico",IF(LEFT(Y30,1)="G","Genitourinario",IF(LEFT(Y30,1)="H","Hormonal",IF(LEFT(Y30,1)="J","Antiinfecciosos",IF(LEFT(Y30,1)="L","Oncológicos",IF(LEFT(Y30,1)="M","Musculoesquelético",IF(LEFT(Y30,1)="N","Sistema nervioso",IF(LEFT(Y30,1)="R","Respiratorio",IF(LEFT(Y30,1)="S","Oftálmico",IF(LEFT(Y30,1)="V","Varios","OTRO")))))))))))))</f>
        <v>Sistema digestivo</v>
      </c>
      <c r="AM30" t="str">
        <f>IF(AG30="Vigente","ACTIVO",IF(ISNUMBER(SEARCH("Inactivo",J30)),"INACTIVO","REVISAR"))</f>
        <v>ACTIVO</v>
      </c>
      <c r="AN30">
        <f ca="1">IF(OR(AF30="",AF30="null"),"",ROUND((AF30-TODAY())/365.25,2))</f>
        <v>973.58</v>
      </c>
      <c r="AO30" t="str">
        <f ca="1">IF(AND(AG30="Vigente",OR(AF30="",AF30="null",AF30&gt;TODAY())),"SI",IF(AND(NOT(OR(AF30="",AF30="null")),AF30&lt;=TODAY()),"NO",IF(AG30="Vigente","SI","DESCONOCIDO")))</f>
        <v>SI</v>
      </c>
      <c r="AP30" t="str">
        <f>IF(AND(ISNUMBER(SEARCH("IMPORTAR",AA30)),ISNUMBER(SEARCH("FABRICAR",AA30))),"MIXTO",IF(ISNUMBER(SEARCH("IMPORTAR",AA30)),"IMPORTADO",IF(ISNUMBER(SEARCH("FABRICAR",AA30)),"LOCAL","OTRO")))</f>
        <v>IMPORTADO</v>
      </c>
      <c r="AQ30" t="str">
        <f>IF(AD30="Si","SI",IF(AD30="No","NO",""))</f>
        <v>SI</v>
      </c>
      <c r="AR30" t="str">
        <f>IF(ISNUMBER(SEARCH("®",N30)),"MARCA/INNOVADOR","GENERICO")</f>
        <v>MARCA/INNOVADOR</v>
      </c>
      <c r="AS30">
        <f ca="1">IF(AE30&gt;100,RANDBETWEEN(500,5000),IF(AND(AE30&gt;=10,AE30&lt;=100),RANDBETWEEN(100,1000),RANDBETWEEN(10,200)))</f>
        <v>20</v>
      </c>
      <c r="AT30">
        <f t="shared" ca="1" si="2"/>
        <v>5</v>
      </c>
      <c r="AU30">
        <f ca="1">INT(AS30*RANDBETWEEN(120,200)/100)</f>
        <v>26</v>
      </c>
      <c r="AV30" s="2">
        <f ca="1">IF(LEFT(Y30,1)="L",RANDBETWEEN(500000,5000000),IF(LEFT(Y30,1)="C",RANDBETWEEN(5000,50000),IF(LEFT(Y30,1)="N",RANDBETWEEN(10000,150000),IF(LEFT(Y30,1)="J",RANDBETWEEN(8000,200000),RANDBETWEEN(5000,100000)))))</f>
        <v>95953</v>
      </c>
      <c r="AW30" s="2">
        <f ca="1">INT(AV30*RANDBETWEEN(30,60)/100)</f>
        <v>38381</v>
      </c>
      <c r="AX30">
        <f ca="1">IF(Z30="ORAL",RANDBETWEEN(1000,10000),IF(OR(Z30="INTRAVENOSA",Z30="INTRAMUSCULAR"),RANDBETWEEN(100,2000),IF(OR(Z30="OFTÁLMICA",Z30="TOPICA (EXTERNA)"),RANDBETWEEN(200,3000),RANDBETWEEN(100,1500))))</f>
        <v>3528</v>
      </c>
      <c r="AY30" s="2">
        <f ca="1">INT(AV30*RANDBETWEEN(90,130)/100)</f>
        <v>111305</v>
      </c>
      <c r="AZ30" t="str">
        <f t="shared" ca="1" si="3"/>
        <v>17.6%</v>
      </c>
      <c r="BA30" t="str">
        <f t="shared" ca="1" si="4"/>
        <v>BAJO</v>
      </c>
    </row>
    <row r="31" spans="4:53" x14ac:dyDescent="0.35">
      <c r="D31" t="s">
        <v>369</v>
      </c>
      <c r="E31" s="1">
        <v>36161</v>
      </c>
      <c r="F31" t="s">
        <v>370</v>
      </c>
      <c r="G31" t="s">
        <v>108</v>
      </c>
      <c r="H31" t="s">
        <v>371</v>
      </c>
      <c r="I31">
        <v>19905376</v>
      </c>
      <c r="J31" t="s">
        <v>28</v>
      </c>
      <c r="K31">
        <v>4</v>
      </c>
      <c r="L31" t="s">
        <v>27</v>
      </c>
      <c r="M31" t="s">
        <v>372</v>
      </c>
      <c r="N31" t="s">
        <v>373</v>
      </c>
      <c r="O31" t="s">
        <v>374</v>
      </c>
      <c r="P31" t="s">
        <v>27</v>
      </c>
      <c r="Q31" s="1">
        <v>42920</v>
      </c>
      <c r="R31" t="s">
        <v>375</v>
      </c>
      <c r="S31" t="s">
        <v>27</v>
      </c>
      <c r="T31" t="s">
        <v>376</v>
      </c>
      <c r="U31" t="s">
        <v>377</v>
      </c>
      <c r="V31" t="s">
        <v>378</v>
      </c>
      <c r="W31">
        <v>40</v>
      </c>
      <c r="X31">
        <v>19905376</v>
      </c>
      <c r="Y31" t="s">
        <v>379</v>
      </c>
      <c r="Z31" t="s">
        <v>213</v>
      </c>
      <c r="AA31" t="s">
        <v>32</v>
      </c>
      <c r="AB31" t="s">
        <v>239</v>
      </c>
      <c r="AC31" t="s">
        <v>25</v>
      </c>
      <c r="AD31" t="s">
        <v>121</v>
      </c>
      <c r="AE31">
        <v>1</v>
      </c>
      <c r="AF31" s="1">
        <v>401769</v>
      </c>
      <c r="AG31" t="s">
        <v>26</v>
      </c>
      <c r="AH31" t="s">
        <v>6727</v>
      </c>
      <c r="AI31" t="str">
        <f t="shared" si="0"/>
        <v>NO</v>
      </c>
      <c r="AJ31" t="str">
        <f t="shared" si="1"/>
        <v>GLAXOSMITHKLINE BIOLOGICALS</v>
      </c>
      <c r="AK31" t="str">
        <f>IF(ISNUMBER(SEARCH("FABRICANTE",AC31)),"FABRICANTE",IF(ISNUMBER(SEARCH("IMPORTADOR",AC31)),"IMPORTADOR","OTRO"))</f>
        <v>FABRICANTE</v>
      </c>
      <c r="AL31" t="str">
        <f>IF(LEFT(Y31,1)="A","Sistema digestivo",IF(LEFT(Y31,1)="B","Sangre",IF(LEFT(Y31,1)="C","Cardiovascular",IF(LEFT(Y31,1)="D","Dermatológico",IF(LEFT(Y31,1)="G","Genitourinario",IF(LEFT(Y31,1)="H","Hormonal",IF(LEFT(Y31,1)="J","Antiinfecciosos",IF(LEFT(Y31,1)="L","Oncológicos",IF(LEFT(Y31,1)="M","Musculoesquelético",IF(LEFT(Y31,1)="N","Sistema nervioso",IF(LEFT(Y31,1)="R","Respiratorio",IF(LEFT(Y31,1)="S","Oftálmico",IF(LEFT(Y31,1)="V","Varios","OTRO")))))))))))))</f>
        <v>Antiinfecciosos</v>
      </c>
      <c r="AM31" t="str">
        <f>IF(AG31="Vigente","ACTIVO",IF(ISNUMBER(SEARCH("Inactivo",J31)),"INACTIVO","REVISAR"))</f>
        <v>ACTIVO</v>
      </c>
      <c r="AN31">
        <f ca="1">IF(OR(AF31="",AF31="null"),"",ROUND((AF31-TODAY())/365.25,2))</f>
        <v>973.58</v>
      </c>
      <c r="AO31" t="str">
        <f ca="1">IF(AND(AG31="Vigente",OR(AF31="",AF31="null",AF31&gt;TODAY())),"SI",IF(AND(NOT(OR(AF31="",AF31="null")),AF31&lt;=TODAY()),"NO",IF(AG31="Vigente","SI","DESCONOCIDO")))</f>
        <v>SI</v>
      </c>
      <c r="AP31" t="str">
        <f>IF(AND(ISNUMBER(SEARCH("IMPORTAR",AA31)),ISNUMBER(SEARCH("FABRICAR",AA31))),"MIXTO",IF(ISNUMBER(SEARCH("IMPORTAR",AA31)),"IMPORTADO",IF(ISNUMBER(SEARCH("FABRICAR",AA31)),"LOCAL","OTRO")))</f>
        <v>IMPORTADO</v>
      </c>
      <c r="AQ31" t="str">
        <f>IF(AD31="Si","SI",IF(AD31="No","NO",""))</f>
        <v>NO</v>
      </c>
      <c r="AR31" t="str">
        <f>IF(ISNUMBER(SEARCH("®",N31)),"MARCA/INNOVADOR","GENERICO")</f>
        <v>GENERICO</v>
      </c>
      <c r="AS31">
        <f ca="1">IF(AE31&gt;100,RANDBETWEEN(500,5000),IF(AND(AE31&gt;=10,AE31&lt;=100),RANDBETWEEN(100,1000),RANDBETWEEN(10,200)))</f>
        <v>118</v>
      </c>
      <c r="AT31">
        <f t="shared" ca="1" si="2"/>
        <v>17</v>
      </c>
      <c r="AU31">
        <f ca="1">INT(AS31*RANDBETWEEN(120,200)/100)</f>
        <v>228</v>
      </c>
      <c r="AV31" s="2">
        <f ca="1">IF(LEFT(Y31,1)="L",RANDBETWEEN(500000,5000000),IF(LEFT(Y31,1)="C",RANDBETWEEN(5000,50000),IF(LEFT(Y31,1)="N",RANDBETWEEN(10000,150000),IF(LEFT(Y31,1)="J",RANDBETWEEN(8000,200000),RANDBETWEEN(5000,100000)))))</f>
        <v>194457</v>
      </c>
      <c r="AW31" s="2">
        <f ca="1">INT(AV31*RANDBETWEEN(30,60)/100)</f>
        <v>58337</v>
      </c>
      <c r="AX31">
        <f ca="1">IF(Z31="ORAL",RANDBETWEEN(1000,10000),IF(OR(Z31="INTRAVENOSA",Z31="INTRAMUSCULAR"),RANDBETWEEN(100,2000),IF(OR(Z31="OFTÁLMICA",Z31="TOPICA (EXTERNA)"),RANDBETWEEN(200,3000),RANDBETWEEN(100,1500))))</f>
        <v>1822</v>
      </c>
      <c r="AY31" s="2">
        <f ca="1">INT(AV31*RANDBETWEEN(90,130)/100)</f>
        <v>175011</v>
      </c>
      <c r="AZ31" t="str">
        <f t="shared" ca="1" si="3"/>
        <v>2.7%</v>
      </c>
      <c r="BA31" t="str">
        <f t="shared" ca="1" si="4"/>
        <v>BAJO</v>
      </c>
    </row>
    <row r="32" spans="4:53" x14ac:dyDescent="0.35">
      <c r="D32" t="s">
        <v>380</v>
      </c>
      <c r="E32" s="1">
        <v>44018</v>
      </c>
      <c r="F32" t="s">
        <v>381</v>
      </c>
      <c r="G32" t="s">
        <v>108</v>
      </c>
      <c r="H32" t="s">
        <v>382</v>
      </c>
      <c r="I32">
        <v>20150368</v>
      </c>
      <c r="J32" t="s">
        <v>28</v>
      </c>
      <c r="K32">
        <v>1</v>
      </c>
      <c r="L32" t="s">
        <v>383</v>
      </c>
      <c r="M32" t="s">
        <v>384</v>
      </c>
      <c r="N32" t="s">
        <v>385</v>
      </c>
      <c r="O32" t="s">
        <v>386</v>
      </c>
      <c r="P32" t="s">
        <v>387</v>
      </c>
      <c r="Q32" s="1">
        <v>43812</v>
      </c>
      <c r="R32" t="s">
        <v>50</v>
      </c>
      <c r="S32" t="s">
        <v>27</v>
      </c>
      <c r="T32" t="s">
        <v>382</v>
      </c>
      <c r="U32" t="s">
        <v>115</v>
      </c>
      <c r="V32" t="s">
        <v>339</v>
      </c>
      <c r="W32">
        <v>8</v>
      </c>
      <c r="X32">
        <v>20150368</v>
      </c>
      <c r="Y32" t="s">
        <v>340</v>
      </c>
      <c r="Z32" t="s">
        <v>388</v>
      </c>
      <c r="AA32" t="s">
        <v>32</v>
      </c>
      <c r="AB32" t="s">
        <v>120</v>
      </c>
      <c r="AC32" t="s">
        <v>25</v>
      </c>
      <c r="AD32" t="s">
        <v>121</v>
      </c>
      <c r="AE32">
        <v>1</v>
      </c>
      <c r="AF32" t="s">
        <v>27</v>
      </c>
      <c r="AG32" t="s">
        <v>26</v>
      </c>
      <c r="AH32" t="s">
        <v>6728</v>
      </c>
      <c r="AI32" t="str">
        <f t="shared" si="0"/>
        <v>NO</v>
      </c>
      <c r="AJ32" t="str">
        <f t="shared" si="1"/>
        <v>PRODUCTOS FARMACÉUTICOS DE C.V</v>
      </c>
      <c r="AK32" t="str">
        <f>IF(ISNUMBER(SEARCH("FABRICANTE",AC32)),"FABRICANTE",IF(ISNUMBER(SEARCH("IMPORTADOR",AC32)),"IMPORTADOR","OTRO"))</f>
        <v>FABRICANTE</v>
      </c>
      <c r="AL32" t="str">
        <f>IF(LEFT(Y32,1)="A","Sistema digestivo",IF(LEFT(Y32,1)="B","Sangre",IF(LEFT(Y32,1)="C","Cardiovascular",IF(LEFT(Y32,1)="D","Dermatológico",IF(LEFT(Y32,1)="G","Genitourinario",IF(LEFT(Y32,1)="H","Hormonal",IF(LEFT(Y32,1)="J","Antiinfecciosos",IF(LEFT(Y32,1)="L","Oncológicos",IF(LEFT(Y32,1)="M","Musculoesquelético",IF(LEFT(Y32,1)="N","Sistema nervioso",IF(LEFT(Y32,1)="R","Respiratorio",IF(LEFT(Y32,1)="S","Oftálmico",IF(LEFT(Y32,1)="V","Varios","OTRO")))))))))))))</f>
        <v>Hormonal</v>
      </c>
      <c r="AM32" t="str">
        <f>IF(AG32="Vigente","ACTIVO",IF(ISNUMBER(SEARCH("Inactivo",J32)),"INACTIVO","REVISAR"))</f>
        <v>ACTIVO</v>
      </c>
      <c r="AN32" t="str">
        <f ca="1">IF(OR(AF32="",AF32="null"),"",ROUND((AF32-TODAY())/365.25,2))</f>
        <v/>
      </c>
      <c r="AO32" t="str">
        <f ca="1">IF(AND(AG32="Vigente",OR(AF32="",AF32="null",AF32&gt;TODAY())),"SI",IF(AND(NOT(OR(AF32="",AF32="null")),AF32&lt;=TODAY()),"NO",IF(AG32="Vigente","SI","DESCONOCIDO")))</f>
        <v>SI</v>
      </c>
      <c r="AP32" t="str">
        <f>IF(AND(ISNUMBER(SEARCH("IMPORTAR",AA32)),ISNUMBER(SEARCH("FABRICAR",AA32))),"MIXTO",IF(ISNUMBER(SEARCH("IMPORTAR",AA32)),"IMPORTADO",IF(ISNUMBER(SEARCH("FABRICAR",AA32)),"LOCAL","OTRO")))</f>
        <v>IMPORTADO</v>
      </c>
      <c r="AQ32" t="str">
        <f>IF(AD32="Si","SI",IF(AD32="No","NO",""))</f>
        <v>NO</v>
      </c>
      <c r="AR32" t="str">
        <f>IF(ISNUMBER(SEARCH("®",N32)),"MARCA/INNOVADOR","GENERICO")</f>
        <v>MARCA/INNOVADOR</v>
      </c>
      <c r="AS32">
        <f ca="1">IF(AE32&gt;100,RANDBETWEEN(500,5000),IF(AND(AE32&gt;=10,AE32&lt;=100),RANDBETWEEN(100,1000),RANDBETWEEN(10,200)))</f>
        <v>147</v>
      </c>
      <c r="AT32">
        <f t="shared" ca="1" si="2"/>
        <v>24</v>
      </c>
      <c r="AU32">
        <f ca="1">INT(AS32*RANDBETWEEN(120,200)/100)</f>
        <v>211</v>
      </c>
      <c r="AV32" s="2">
        <f ca="1">IF(LEFT(Y32,1)="L",RANDBETWEEN(500000,5000000),IF(LEFT(Y32,1)="C",RANDBETWEEN(5000,50000),IF(LEFT(Y32,1)="N",RANDBETWEEN(10000,150000),IF(LEFT(Y32,1)="J",RANDBETWEEN(8000,200000),RANDBETWEEN(5000,100000)))))</f>
        <v>55704</v>
      </c>
      <c r="AW32" s="2">
        <f ca="1">INT(AV32*RANDBETWEEN(30,60)/100)</f>
        <v>20610</v>
      </c>
      <c r="AX32">
        <f ca="1">IF(Z32="ORAL",RANDBETWEEN(1000,10000),IF(OR(Z32="INTRAVENOSA",Z32="INTRAMUSCULAR"),RANDBETWEEN(100,2000),IF(OR(Z32="OFTÁLMICA",Z32="TOPICA (EXTERNA)"),RANDBETWEEN(200,3000),RANDBETWEEN(100,1500))))</f>
        <v>700</v>
      </c>
      <c r="AY32" s="2">
        <f ca="1">INT(AV32*RANDBETWEEN(90,130)/100)</f>
        <v>65173</v>
      </c>
      <c r="AZ32" t="str">
        <f t="shared" ca="1" si="3"/>
        <v>3.2%</v>
      </c>
      <c r="BA32" t="str">
        <f t="shared" ca="1" si="4"/>
        <v>BAJO</v>
      </c>
    </row>
    <row r="33" spans="4:53" x14ac:dyDescent="0.35">
      <c r="D33" t="s">
        <v>389</v>
      </c>
      <c r="E33" s="1">
        <v>38181</v>
      </c>
      <c r="F33" t="s">
        <v>390</v>
      </c>
      <c r="G33" t="s">
        <v>108</v>
      </c>
      <c r="H33" t="s">
        <v>391</v>
      </c>
      <c r="I33">
        <v>19943837</v>
      </c>
      <c r="J33" t="s">
        <v>110</v>
      </c>
      <c r="K33">
        <v>2</v>
      </c>
      <c r="L33" t="s">
        <v>27</v>
      </c>
      <c r="M33" t="s">
        <v>392</v>
      </c>
      <c r="N33" t="s">
        <v>393</v>
      </c>
      <c r="O33" t="s">
        <v>394</v>
      </c>
      <c r="P33" t="s">
        <v>395</v>
      </c>
      <c r="Q33" s="1">
        <v>39031</v>
      </c>
      <c r="R33" t="s">
        <v>396</v>
      </c>
      <c r="S33" s="1">
        <v>42167</v>
      </c>
      <c r="T33" t="s">
        <v>397</v>
      </c>
      <c r="U33" t="s">
        <v>247</v>
      </c>
      <c r="V33" t="s">
        <v>398</v>
      </c>
      <c r="W33">
        <v>3</v>
      </c>
      <c r="X33">
        <v>19943837</v>
      </c>
      <c r="Y33" t="s">
        <v>399</v>
      </c>
      <c r="Z33" t="s">
        <v>119</v>
      </c>
      <c r="AA33" t="s">
        <v>32</v>
      </c>
      <c r="AB33" t="s">
        <v>120</v>
      </c>
      <c r="AC33" t="s">
        <v>25</v>
      </c>
      <c r="AD33" t="s">
        <v>121</v>
      </c>
      <c r="AE33">
        <v>2</v>
      </c>
      <c r="AF33" t="s">
        <v>27</v>
      </c>
      <c r="AG33" t="s">
        <v>26</v>
      </c>
      <c r="AH33" t="s">
        <v>398</v>
      </c>
      <c r="AI33" t="str">
        <f t="shared" si="0"/>
        <v>SI</v>
      </c>
      <c r="AJ33" t="str">
        <f t="shared" si="1"/>
        <v>ZAMBON COLOMBIA</v>
      </c>
      <c r="AK33" t="str">
        <f>IF(ISNUMBER(SEARCH("FABRICANTE",AC33)),"FABRICANTE",IF(ISNUMBER(SEARCH("IMPORTADOR",AC33)),"IMPORTADOR","OTRO"))</f>
        <v>FABRICANTE</v>
      </c>
      <c r="AL33" t="str">
        <f>IF(LEFT(Y33,1)="A","Sistema digestivo",IF(LEFT(Y33,1)="B","Sangre",IF(LEFT(Y33,1)="C","Cardiovascular",IF(LEFT(Y33,1)="D","Dermatológico",IF(LEFT(Y33,1)="G","Genitourinario",IF(LEFT(Y33,1)="H","Hormonal",IF(LEFT(Y33,1)="J","Antiinfecciosos",IF(LEFT(Y33,1)="L","Oncológicos",IF(LEFT(Y33,1)="M","Musculoesquelético",IF(LEFT(Y33,1)="N","Sistema nervioso",IF(LEFT(Y33,1)="R","Respiratorio",IF(LEFT(Y33,1)="S","Oftálmico",IF(LEFT(Y33,1)="V","Varios","OTRO")))))))))))))</f>
        <v>Antiinfecciosos</v>
      </c>
      <c r="AM33" t="str">
        <f>IF(AG33="Vigente","ACTIVO",IF(ISNUMBER(SEARCH("Inactivo",J33)),"INACTIVO","REVISAR"))</f>
        <v>ACTIVO</v>
      </c>
      <c r="AN33" t="str">
        <f ca="1">IF(OR(AF33="",AF33="null"),"",ROUND((AF33-TODAY())/365.25,2))</f>
        <v/>
      </c>
      <c r="AO33" t="str">
        <f ca="1">IF(AND(AG33="Vigente",OR(AF33="",AF33="null",AF33&gt;TODAY())),"SI",IF(AND(NOT(OR(AF33="",AF33="null")),AF33&lt;=TODAY()),"NO",IF(AG33="Vigente","SI","DESCONOCIDO")))</f>
        <v>SI</v>
      </c>
      <c r="AP33" t="str">
        <f>IF(AND(ISNUMBER(SEARCH("IMPORTAR",AA33)),ISNUMBER(SEARCH("FABRICAR",AA33))),"MIXTO",IF(ISNUMBER(SEARCH("IMPORTAR",AA33)),"IMPORTADO",IF(ISNUMBER(SEARCH("FABRICAR",AA33)),"LOCAL","OTRO")))</f>
        <v>IMPORTADO</v>
      </c>
      <c r="AQ33" t="str">
        <f>IF(AD33="Si","SI",IF(AD33="No","NO",""))</f>
        <v>NO</v>
      </c>
      <c r="AR33" t="str">
        <f>IF(ISNUMBER(SEARCH("®",N33)),"MARCA/INNOVADOR","GENERICO")</f>
        <v>MARCA/INNOVADOR</v>
      </c>
      <c r="AS33">
        <f ca="1">IF(AE33&gt;100,RANDBETWEEN(500,5000),IF(AND(AE33&gt;=10,AE33&lt;=100),RANDBETWEEN(100,1000),RANDBETWEEN(10,200)))</f>
        <v>22</v>
      </c>
      <c r="AT33">
        <f t="shared" ca="1" si="2"/>
        <v>4</v>
      </c>
      <c r="AU33">
        <f ca="1">INT(AS33*RANDBETWEEN(120,200)/100)</f>
        <v>34</v>
      </c>
      <c r="AV33" s="2">
        <f ca="1">IF(LEFT(Y33,1)="L",RANDBETWEEN(500000,5000000),IF(LEFT(Y33,1)="C",RANDBETWEEN(5000,50000),IF(LEFT(Y33,1)="N",RANDBETWEEN(10000,150000),IF(LEFT(Y33,1)="J",RANDBETWEEN(8000,200000),RANDBETWEEN(5000,100000)))))</f>
        <v>100811</v>
      </c>
      <c r="AW33" s="2">
        <f ca="1">INT(AV33*RANDBETWEEN(30,60)/100)</f>
        <v>39316</v>
      </c>
      <c r="AX33">
        <f ca="1">IF(Z33="ORAL",RANDBETWEEN(1000,10000),IF(OR(Z33="INTRAVENOSA",Z33="INTRAMUSCULAR"),RANDBETWEEN(100,2000),IF(OR(Z33="OFTÁLMICA",Z33="TOPICA (EXTERNA)"),RANDBETWEEN(200,3000),RANDBETWEEN(100,1500))))</f>
        <v>4102</v>
      </c>
      <c r="AY33" s="2">
        <f ca="1">INT(AV33*RANDBETWEEN(90,130)/100)</f>
        <v>120973</v>
      </c>
      <c r="AZ33" t="str">
        <f t="shared" ca="1" si="3"/>
        <v>17.4%</v>
      </c>
      <c r="BA33" t="str">
        <f t="shared" ca="1" si="4"/>
        <v>ALTO</v>
      </c>
    </row>
    <row r="34" spans="4:53" x14ac:dyDescent="0.35">
      <c r="D34" t="s">
        <v>400</v>
      </c>
      <c r="E34" s="1">
        <v>41975</v>
      </c>
      <c r="F34" t="s">
        <v>401</v>
      </c>
      <c r="G34" t="s">
        <v>108</v>
      </c>
      <c r="H34" t="s">
        <v>146</v>
      </c>
      <c r="I34">
        <v>20069025</v>
      </c>
      <c r="J34" t="s">
        <v>28</v>
      </c>
      <c r="K34">
        <v>3</v>
      </c>
      <c r="L34" t="s">
        <v>27</v>
      </c>
      <c r="M34" t="s">
        <v>402</v>
      </c>
      <c r="N34" t="s">
        <v>403</v>
      </c>
      <c r="O34" t="s">
        <v>404</v>
      </c>
      <c r="P34" t="s">
        <v>405</v>
      </c>
      <c r="Q34" s="1">
        <v>41807</v>
      </c>
      <c r="R34" t="s">
        <v>50</v>
      </c>
      <c r="S34" t="s">
        <v>27</v>
      </c>
      <c r="T34" t="s">
        <v>406</v>
      </c>
      <c r="U34" t="s">
        <v>115</v>
      </c>
      <c r="V34" t="s">
        <v>401</v>
      </c>
      <c r="W34">
        <v>1000</v>
      </c>
      <c r="X34">
        <v>20069025</v>
      </c>
      <c r="Y34" t="s">
        <v>407</v>
      </c>
      <c r="Z34" t="s">
        <v>213</v>
      </c>
      <c r="AA34" t="s">
        <v>24</v>
      </c>
      <c r="AB34" t="s">
        <v>120</v>
      </c>
      <c r="AC34" t="s">
        <v>25</v>
      </c>
      <c r="AD34" t="s">
        <v>121</v>
      </c>
      <c r="AE34">
        <v>3</v>
      </c>
      <c r="AF34" t="s">
        <v>27</v>
      </c>
      <c r="AG34" t="s">
        <v>26</v>
      </c>
      <c r="AH34" t="s">
        <v>401</v>
      </c>
      <c r="AI34" t="str">
        <f t="shared" si="0"/>
        <v>NO</v>
      </c>
      <c r="AJ34" t="str">
        <f t="shared" si="1"/>
        <v>LABORATORIOS MK</v>
      </c>
      <c r="AK34" t="str">
        <f>IF(ISNUMBER(SEARCH("FABRICANTE",AC34)),"FABRICANTE",IF(ISNUMBER(SEARCH("IMPORTADOR",AC34)),"IMPORTADOR","OTRO"))</f>
        <v>FABRICANTE</v>
      </c>
      <c r="AL34" t="str">
        <f>IF(LEFT(Y34,1)="A","Sistema digestivo",IF(LEFT(Y34,1)="B","Sangre",IF(LEFT(Y34,1)="C","Cardiovascular",IF(LEFT(Y34,1)="D","Dermatológico",IF(LEFT(Y34,1)="G","Genitourinario",IF(LEFT(Y34,1)="H","Hormonal",IF(LEFT(Y34,1)="J","Antiinfecciosos",IF(LEFT(Y34,1)="L","Oncológicos",IF(LEFT(Y34,1)="M","Musculoesquelético",IF(LEFT(Y34,1)="N","Sistema nervioso",IF(LEFT(Y34,1)="R","Respiratorio",IF(LEFT(Y34,1)="S","Oftálmico",IF(LEFT(Y34,1)="V","Varios","OTRO")))))))))))))</f>
        <v>Musculoesquelético</v>
      </c>
      <c r="AM34" t="str">
        <f>IF(AG34="Vigente","ACTIVO",IF(ISNUMBER(SEARCH("Inactivo",J34)),"INACTIVO","REVISAR"))</f>
        <v>ACTIVO</v>
      </c>
      <c r="AN34" t="str">
        <f ca="1">IF(OR(AF34="",AF34="null"),"",ROUND((AF34-TODAY())/365.25,2))</f>
        <v/>
      </c>
      <c r="AO34" t="str">
        <f ca="1">IF(AND(AG34="Vigente",OR(AF34="",AF34="null",AF34&gt;TODAY())),"SI",IF(AND(NOT(OR(AF34="",AF34="null")),AF34&lt;=TODAY()),"NO",IF(AG34="Vigente","SI","DESCONOCIDO")))</f>
        <v>SI</v>
      </c>
      <c r="AP34" t="str">
        <f>IF(AND(ISNUMBER(SEARCH("IMPORTAR",AA34)),ISNUMBER(SEARCH("FABRICAR",AA34))),"MIXTO",IF(ISNUMBER(SEARCH("IMPORTAR",AA34)),"IMPORTADO",IF(ISNUMBER(SEARCH("FABRICAR",AA34)),"LOCAL","OTRO")))</f>
        <v>LOCAL</v>
      </c>
      <c r="AQ34" t="str">
        <f>IF(AD34="Si","SI",IF(AD34="No","NO",""))</f>
        <v>NO</v>
      </c>
      <c r="AR34" t="str">
        <f>IF(ISNUMBER(SEARCH("®",N34)),"MARCA/INNOVADOR","GENERICO")</f>
        <v>GENERICO</v>
      </c>
      <c r="AS34">
        <f ca="1">IF(AE34&gt;100,RANDBETWEEN(500,5000),IF(AND(AE34&gt;=10,AE34&lt;=100),RANDBETWEEN(100,1000),RANDBETWEEN(10,200)))</f>
        <v>63</v>
      </c>
      <c r="AT34">
        <f t="shared" ca="1" si="2"/>
        <v>17</v>
      </c>
      <c r="AU34">
        <f ca="1">INT(AS34*RANDBETWEEN(120,200)/100)</f>
        <v>88</v>
      </c>
      <c r="AV34" s="2">
        <f ca="1">IF(LEFT(Y34,1)="L",RANDBETWEEN(500000,5000000),IF(LEFT(Y34,1)="C",RANDBETWEEN(5000,50000),IF(LEFT(Y34,1)="N",RANDBETWEEN(10000,150000),IF(LEFT(Y34,1)="J",RANDBETWEEN(8000,200000),RANDBETWEEN(5000,100000)))))</f>
        <v>45042</v>
      </c>
      <c r="AW34" s="2">
        <f ca="1">INT(AV34*RANDBETWEEN(30,60)/100)</f>
        <v>22070</v>
      </c>
      <c r="AX34">
        <f ca="1">IF(Z34="ORAL",RANDBETWEEN(1000,10000),IF(OR(Z34="INTRAVENOSA",Z34="INTRAMUSCULAR"),RANDBETWEEN(100,2000),IF(OR(Z34="OFTÁLMICA",Z34="TOPICA (EXTERNA)"),RANDBETWEEN(200,3000),RANDBETWEEN(100,1500))))</f>
        <v>1392</v>
      </c>
      <c r="AY34" s="2">
        <f ca="1">INT(AV34*RANDBETWEEN(90,130)/100)</f>
        <v>52699</v>
      </c>
      <c r="AZ34" t="str">
        <f t="shared" ca="1" si="3"/>
        <v>9.3%</v>
      </c>
      <c r="BA34" t="str">
        <f t="shared" ca="1" si="4"/>
        <v>BAJO</v>
      </c>
    </row>
    <row r="35" spans="4:53" x14ac:dyDescent="0.35">
      <c r="D35" t="s">
        <v>408</v>
      </c>
      <c r="E35" s="1">
        <v>45369</v>
      </c>
      <c r="F35" t="s">
        <v>409</v>
      </c>
      <c r="G35" t="s">
        <v>108</v>
      </c>
      <c r="H35" t="s">
        <v>410</v>
      </c>
      <c r="I35">
        <v>20233534</v>
      </c>
      <c r="J35" t="s">
        <v>28</v>
      </c>
      <c r="K35">
        <v>10</v>
      </c>
      <c r="L35" t="s">
        <v>411</v>
      </c>
      <c r="M35" t="s">
        <v>412</v>
      </c>
      <c r="N35" t="s">
        <v>413</v>
      </c>
      <c r="O35" t="s">
        <v>414</v>
      </c>
      <c r="P35" t="s">
        <v>33</v>
      </c>
      <c r="Q35" s="1">
        <v>45345</v>
      </c>
      <c r="R35" t="s">
        <v>33</v>
      </c>
      <c r="S35" t="s">
        <v>27</v>
      </c>
      <c r="T35" t="s">
        <v>172</v>
      </c>
      <c r="U35" t="s">
        <v>115</v>
      </c>
      <c r="V35" t="s">
        <v>415</v>
      </c>
      <c r="W35">
        <v>50</v>
      </c>
      <c r="X35">
        <v>20233534</v>
      </c>
      <c r="Y35" t="s">
        <v>416</v>
      </c>
      <c r="Z35" t="s">
        <v>119</v>
      </c>
      <c r="AA35" t="s">
        <v>24</v>
      </c>
      <c r="AB35" t="s">
        <v>120</v>
      </c>
      <c r="AC35" t="s">
        <v>25</v>
      </c>
      <c r="AD35" t="s">
        <v>121</v>
      </c>
      <c r="AE35">
        <v>200</v>
      </c>
      <c r="AF35" s="1">
        <v>401769</v>
      </c>
      <c r="AG35" t="s">
        <v>26</v>
      </c>
      <c r="AH35" t="s">
        <v>324</v>
      </c>
      <c r="AI35" t="str">
        <f t="shared" si="0"/>
        <v>NO</v>
      </c>
      <c r="AJ35" t="str">
        <f t="shared" si="1"/>
        <v>NOVAMED</v>
      </c>
      <c r="AK35" t="str">
        <f>IF(ISNUMBER(SEARCH("FABRICANTE",AC35)),"FABRICANTE",IF(ISNUMBER(SEARCH("IMPORTADOR",AC35)),"IMPORTADOR","OTRO"))</f>
        <v>FABRICANTE</v>
      </c>
      <c r="AL35" t="str">
        <f>IF(LEFT(Y35,1)="A","Sistema digestivo",IF(LEFT(Y35,1)="B","Sangre",IF(LEFT(Y35,1)="C","Cardiovascular",IF(LEFT(Y35,1)="D","Dermatológico",IF(LEFT(Y35,1)="G","Genitourinario",IF(LEFT(Y35,1)="H","Hormonal",IF(LEFT(Y35,1)="J","Antiinfecciosos",IF(LEFT(Y35,1)="L","Oncológicos",IF(LEFT(Y35,1)="M","Musculoesquelético",IF(LEFT(Y35,1)="N","Sistema nervioso",IF(LEFT(Y35,1)="R","Respiratorio",IF(LEFT(Y35,1)="S","Oftálmico",IF(LEFT(Y35,1)="V","Varios","OTRO")))))))))))))</f>
        <v>Cardiovascular</v>
      </c>
      <c r="AM35" t="str">
        <f>IF(AG35="Vigente","ACTIVO",IF(ISNUMBER(SEARCH("Inactivo",J35)),"INACTIVO","REVISAR"))</f>
        <v>ACTIVO</v>
      </c>
      <c r="AN35">
        <f ca="1">IF(OR(AF35="",AF35="null"),"",ROUND((AF35-TODAY())/365.25,2))</f>
        <v>973.58</v>
      </c>
      <c r="AO35" t="str">
        <f ca="1">IF(AND(AG35="Vigente",OR(AF35="",AF35="null",AF35&gt;TODAY())),"SI",IF(AND(NOT(OR(AF35="",AF35="null")),AF35&lt;=TODAY()),"NO",IF(AG35="Vigente","SI","DESCONOCIDO")))</f>
        <v>SI</v>
      </c>
      <c r="AP35" t="str">
        <f>IF(AND(ISNUMBER(SEARCH("IMPORTAR",AA35)),ISNUMBER(SEARCH("FABRICAR",AA35))),"MIXTO",IF(ISNUMBER(SEARCH("IMPORTAR",AA35)),"IMPORTADO",IF(ISNUMBER(SEARCH("FABRICAR",AA35)),"LOCAL","OTRO")))</f>
        <v>LOCAL</v>
      </c>
      <c r="AQ35" t="str">
        <f>IF(AD35="Si","SI",IF(AD35="No","NO",""))</f>
        <v>NO</v>
      </c>
      <c r="AR35" t="str">
        <f>IF(ISNUMBER(SEARCH("®",N35)),"MARCA/INNOVADOR","GENERICO")</f>
        <v>MARCA/INNOVADOR</v>
      </c>
      <c r="AS35">
        <f ca="1">IF(AE35&gt;100,RANDBETWEEN(500,5000),IF(AND(AE35&gt;=10,AE35&lt;=100),RANDBETWEEN(100,1000),RANDBETWEEN(10,200)))</f>
        <v>1460</v>
      </c>
      <c r="AT35">
        <f t="shared" ca="1" si="2"/>
        <v>189</v>
      </c>
      <c r="AU35">
        <f ca="1">INT(AS35*RANDBETWEEN(120,200)/100)</f>
        <v>2219</v>
      </c>
      <c r="AV35" s="2">
        <f ca="1">IF(LEFT(Y35,1)="L",RANDBETWEEN(500000,5000000),IF(LEFT(Y35,1)="C",RANDBETWEEN(5000,50000),IF(LEFT(Y35,1)="N",RANDBETWEEN(10000,150000),IF(LEFT(Y35,1)="J",RANDBETWEEN(8000,200000),RANDBETWEEN(5000,100000)))))</f>
        <v>45595</v>
      </c>
      <c r="AW35" s="2">
        <f ca="1">INT(AV35*RANDBETWEEN(30,60)/100)</f>
        <v>17782</v>
      </c>
      <c r="AX35">
        <f ca="1">IF(Z35="ORAL",RANDBETWEEN(1000,10000),IF(OR(Z35="INTRAVENOSA",Z35="INTRAMUSCULAR"),RANDBETWEEN(100,2000),IF(OR(Z35="OFTÁLMICA",Z35="TOPICA (EXTERNA)"),RANDBETWEEN(200,3000),RANDBETWEEN(100,1500))))</f>
        <v>8089</v>
      </c>
      <c r="AY35" s="2">
        <f ca="1">INT(AV35*RANDBETWEEN(90,130)/100)</f>
        <v>49698</v>
      </c>
      <c r="AZ35" t="str">
        <f t="shared" ca="1" si="3"/>
        <v>13.7%</v>
      </c>
      <c r="BA35" t="str">
        <f t="shared" ca="1" si="4"/>
        <v>BAJO</v>
      </c>
    </row>
    <row r="36" spans="4:53" x14ac:dyDescent="0.35">
      <c r="D36" t="s">
        <v>417</v>
      </c>
      <c r="E36" s="1">
        <v>42202</v>
      </c>
      <c r="F36" t="s">
        <v>418</v>
      </c>
      <c r="G36" t="s">
        <v>108</v>
      </c>
      <c r="H36" t="s">
        <v>80</v>
      </c>
      <c r="I36">
        <v>20078742</v>
      </c>
      <c r="J36" t="s">
        <v>28</v>
      </c>
      <c r="K36">
        <v>37</v>
      </c>
      <c r="L36" t="s">
        <v>27</v>
      </c>
      <c r="M36" t="s">
        <v>419</v>
      </c>
      <c r="N36" t="s">
        <v>420</v>
      </c>
      <c r="O36" t="s">
        <v>421</v>
      </c>
      <c r="P36" t="s">
        <v>422</v>
      </c>
      <c r="Q36" s="1">
        <v>42396</v>
      </c>
      <c r="R36" t="s">
        <v>423</v>
      </c>
      <c r="S36" t="s">
        <v>27</v>
      </c>
      <c r="T36" t="s">
        <v>80</v>
      </c>
      <c r="U36" t="s">
        <v>115</v>
      </c>
      <c r="V36" t="s">
        <v>424</v>
      </c>
      <c r="W36">
        <v>25</v>
      </c>
      <c r="X36">
        <v>20078742</v>
      </c>
      <c r="Y36" t="s">
        <v>425</v>
      </c>
      <c r="Z36" t="s">
        <v>119</v>
      </c>
      <c r="AA36" t="s">
        <v>165</v>
      </c>
      <c r="AB36" t="s">
        <v>120</v>
      </c>
      <c r="AC36" t="s">
        <v>38</v>
      </c>
      <c r="AD36" t="s">
        <v>155</v>
      </c>
      <c r="AE36">
        <v>7</v>
      </c>
      <c r="AF36" t="s">
        <v>27</v>
      </c>
      <c r="AG36" t="s">
        <v>26</v>
      </c>
      <c r="AH36" t="s">
        <v>6729</v>
      </c>
      <c r="AI36" t="str">
        <f t="shared" si="0"/>
        <v>NO</v>
      </c>
      <c r="AJ36" t="str">
        <f t="shared" si="1"/>
        <v>TECNOQUIMICAS</v>
      </c>
      <c r="AK36" t="str">
        <f>IF(ISNUMBER(SEARCH("FABRICANTE",AC36)),"FABRICANTE",IF(ISNUMBER(SEARCH("IMPORTADOR",AC36)),"IMPORTADOR","OTRO"))</f>
        <v>IMPORTADOR</v>
      </c>
      <c r="AL36" t="str">
        <f>IF(LEFT(Y36,1)="A","Sistema digestivo",IF(LEFT(Y36,1)="B","Sangre",IF(LEFT(Y36,1)="C","Cardiovascular",IF(LEFT(Y36,1)="D","Dermatológico",IF(LEFT(Y36,1)="G","Genitourinario",IF(LEFT(Y36,1)="H","Hormonal",IF(LEFT(Y36,1)="J","Antiinfecciosos",IF(LEFT(Y36,1)="L","Oncológicos",IF(LEFT(Y36,1)="M","Musculoesquelético",IF(LEFT(Y36,1)="N","Sistema nervioso",IF(LEFT(Y36,1)="R","Respiratorio",IF(LEFT(Y36,1)="S","Oftálmico",IF(LEFT(Y36,1)="V","Varios","OTRO")))))))))))))</f>
        <v>Sistema nervioso</v>
      </c>
      <c r="AM36" t="str">
        <f>IF(AG36="Vigente","ACTIVO",IF(ISNUMBER(SEARCH("Inactivo",J36)),"INACTIVO","REVISAR"))</f>
        <v>ACTIVO</v>
      </c>
      <c r="AN36" t="str">
        <f ca="1">IF(OR(AF36="",AF36="null"),"",ROUND((AF36-TODAY())/365.25,2))</f>
        <v/>
      </c>
      <c r="AO36" t="str">
        <f ca="1">IF(AND(AG36="Vigente",OR(AF36="",AF36="null",AF36&gt;TODAY())),"SI",IF(AND(NOT(OR(AF36="",AF36="null")),AF36&lt;=TODAY()),"NO",IF(AG36="Vigente","SI","DESCONOCIDO")))</f>
        <v>SI</v>
      </c>
      <c r="AP36" t="str">
        <f>IF(AND(ISNUMBER(SEARCH("IMPORTAR",AA36)),ISNUMBER(SEARCH("FABRICAR",AA36))),"MIXTO",IF(ISNUMBER(SEARCH("IMPORTAR",AA36)),"IMPORTADO",IF(ISNUMBER(SEARCH("FABRICAR",AA36)),"LOCAL","OTRO")))</f>
        <v>IMPORTADO</v>
      </c>
      <c r="AQ36" t="str">
        <f>IF(AD36="Si","SI",IF(AD36="No","NO",""))</f>
        <v>SI</v>
      </c>
      <c r="AR36" t="str">
        <f>IF(ISNUMBER(SEARCH("®",N36)),"MARCA/INNOVADOR","GENERICO")</f>
        <v>MARCA/INNOVADOR</v>
      </c>
      <c r="AS36">
        <f ca="1">IF(AE36&gt;100,RANDBETWEEN(500,5000),IF(AND(AE36&gt;=10,AE36&lt;=100),RANDBETWEEN(100,1000),RANDBETWEEN(10,200)))</f>
        <v>117</v>
      </c>
      <c r="AT36">
        <f t="shared" ca="1" si="2"/>
        <v>16</v>
      </c>
      <c r="AU36">
        <f ca="1">INT(AS36*RANDBETWEEN(120,200)/100)</f>
        <v>141</v>
      </c>
      <c r="AV36" s="2">
        <f ca="1">IF(LEFT(Y36,1)="L",RANDBETWEEN(500000,5000000),IF(LEFT(Y36,1)="C",RANDBETWEEN(5000,50000),IF(LEFT(Y36,1)="N",RANDBETWEEN(10000,150000),IF(LEFT(Y36,1)="J",RANDBETWEEN(8000,200000),RANDBETWEEN(5000,100000)))))</f>
        <v>68510</v>
      </c>
      <c r="AW36" s="2">
        <f ca="1">INT(AV36*RANDBETWEEN(30,60)/100)</f>
        <v>28774</v>
      </c>
      <c r="AX36">
        <f ca="1">IF(Z36="ORAL",RANDBETWEEN(1000,10000),IF(OR(Z36="INTRAVENOSA",Z36="INTRAMUSCULAR"),RANDBETWEEN(100,2000),IF(OR(Z36="OFTÁLMICA",Z36="TOPICA (EXTERNA)"),RANDBETWEEN(200,3000),RANDBETWEEN(100,1500))))</f>
        <v>6090</v>
      </c>
      <c r="AY36" s="2">
        <f ca="1">INT(AV36*RANDBETWEEN(90,130)/100)</f>
        <v>69195</v>
      </c>
      <c r="AZ36" t="str">
        <f t="shared" ca="1" si="3"/>
        <v>20.4%</v>
      </c>
      <c r="BA36" t="str">
        <f t="shared" ca="1" si="4"/>
        <v>BAJO</v>
      </c>
    </row>
    <row r="37" spans="4:53" x14ac:dyDescent="0.35">
      <c r="D37" t="s">
        <v>426</v>
      </c>
      <c r="E37" s="1">
        <v>37720</v>
      </c>
      <c r="F37" t="s">
        <v>427</v>
      </c>
      <c r="G37" t="s">
        <v>108</v>
      </c>
      <c r="H37" t="s">
        <v>428</v>
      </c>
      <c r="I37">
        <v>19935777</v>
      </c>
      <c r="J37" t="s">
        <v>28</v>
      </c>
      <c r="K37">
        <v>14</v>
      </c>
      <c r="L37" t="s">
        <v>27</v>
      </c>
      <c r="M37" t="s">
        <v>429</v>
      </c>
      <c r="N37" t="s">
        <v>430</v>
      </c>
      <c r="O37" t="s">
        <v>431</v>
      </c>
      <c r="P37" t="s">
        <v>432</v>
      </c>
      <c r="Q37" s="1">
        <v>45394</v>
      </c>
      <c r="R37" t="s">
        <v>33</v>
      </c>
      <c r="S37" t="s">
        <v>27</v>
      </c>
      <c r="T37" t="s">
        <v>428</v>
      </c>
      <c r="U37" t="s">
        <v>115</v>
      </c>
      <c r="V37" t="s">
        <v>427</v>
      </c>
      <c r="W37" t="s">
        <v>433</v>
      </c>
      <c r="X37">
        <v>19935777</v>
      </c>
      <c r="Y37" t="s">
        <v>434</v>
      </c>
      <c r="Z37" t="s">
        <v>119</v>
      </c>
      <c r="AA37" t="s">
        <v>24</v>
      </c>
      <c r="AB37" t="s">
        <v>120</v>
      </c>
      <c r="AC37" t="s">
        <v>25</v>
      </c>
      <c r="AD37" t="s">
        <v>121</v>
      </c>
      <c r="AE37">
        <v>150</v>
      </c>
      <c r="AF37" s="1">
        <v>402133</v>
      </c>
      <c r="AG37" t="s">
        <v>26</v>
      </c>
      <c r="AH37" t="s">
        <v>427</v>
      </c>
      <c r="AI37" t="str">
        <f t="shared" si="0"/>
        <v>NO</v>
      </c>
      <c r="AJ37" t="str">
        <f t="shared" si="1"/>
        <v>LABORATORIOS SIEGFRIED</v>
      </c>
      <c r="AK37" t="str">
        <f>IF(ISNUMBER(SEARCH("FABRICANTE",AC37)),"FABRICANTE",IF(ISNUMBER(SEARCH("IMPORTADOR",AC37)),"IMPORTADOR","OTRO"))</f>
        <v>FABRICANTE</v>
      </c>
      <c r="AL37" t="str">
        <f>IF(LEFT(Y37,1)="A","Sistema digestivo",IF(LEFT(Y37,1)="B","Sangre",IF(LEFT(Y37,1)="C","Cardiovascular",IF(LEFT(Y37,1)="D","Dermatológico",IF(LEFT(Y37,1)="G","Genitourinario",IF(LEFT(Y37,1)="H","Hormonal",IF(LEFT(Y37,1)="J","Antiinfecciosos",IF(LEFT(Y37,1)="L","Oncológicos",IF(LEFT(Y37,1)="M","Musculoesquelético",IF(LEFT(Y37,1)="N","Sistema nervioso",IF(LEFT(Y37,1)="R","Respiratorio",IF(LEFT(Y37,1)="S","Oftálmico",IF(LEFT(Y37,1)="V","Varios","OTRO")))))))))))))</f>
        <v>Sistema nervioso</v>
      </c>
      <c r="AM37" t="str">
        <f>IF(AG37="Vigente","ACTIVO",IF(ISNUMBER(SEARCH("Inactivo",J37)),"INACTIVO","REVISAR"))</f>
        <v>ACTIVO</v>
      </c>
      <c r="AN37">
        <f ca="1">IF(OR(AF37="",AF37="null"),"",ROUND((AF37-TODAY())/365.25,2))</f>
        <v>974.58</v>
      </c>
      <c r="AO37" t="str">
        <f ca="1">IF(AND(AG37="Vigente",OR(AF37="",AF37="null",AF37&gt;TODAY())),"SI",IF(AND(NOT(OR(AF37="",AF37="null")),AF37&lt;=TODAY()),"NO",IF(AG37="Vigente","SI","DESCONOCIDO")))</f>
        <v>SI</v>
      </c>
      <c r="AP37" t="str">
        <f>IF(AND(ISNUMBER(SEARCH("IMPORTAR",AA37)),ISNUMBER(SEARCH("FABRICAR",AA37))),"MIXTO",IF(ISNUMBER(SEARCH("IMPORTAR",AA37)),"IMPORTADO",IF(ISNUMBER(SEARCH("FABRICAR",AA37)),"LOCAL","OTRO")))</f>
        <v>LOCAL</v>
      </c>
      <c r="AQ37" t="str">
        <f>IF(AD37="Si","SI",IF(AD37="No","NO",""))</f>
        <v>NO</v>
      </c>
      <c r="AR37" t="str">
        <f>IF(ISNUMBER(SEARCH("®",N37)),"MARCA/INNOVADOR","GENERICO")</f>
        <v>MARCA/INNOVADOR</v>
      </c>
      <c r="AS37">
        <f ca="1">IF(AE37&gt;100,RANDBETWEEN(500,5000),IF(AND(AE37&gt;=10,AE37&lt;=100),RANDBETWEEN(100,1000),RANDBETWEEN(10,200)))</f>
        <v>1891</v>
      </c>
      <c r="AT37">
        <f t="shared" ca="1" si="2"/>
        <v>340</v>
      </c>
      <c r="AU37">
        <f ca="1">INT(AS37*RANDBETWEEN(120,200)/100)</f>
        <v>2779</v>
      </c>
      <c r="AV37" s="2">
        <f ca="1">IF(LEFT(Y37,1)="L",RANDBETWEEN(500000,5000000),IF(LEFT(Y37,1)="C",RANDBETWEEN(5000,50000),IF(LEFT(Y37,1)="N",RANDBETWEEN(10000,150000),IF(LEFT(Y37,1)="J",RANDBETWEEN(8000,200000),RANDBETWEEN(5000,100000)))))</f>
        <v>118854</v>
      </c>
      <c r="AW37" s="2">
        <f ca="1">INT(AV37*RANDBETWEEN(30,60)/100)</f>
        <v>49918</v>
      </c>
      <c r="AX37">
        <f ca="1">IF(Z37="ORAL",RANDBETWEEN(1000,10000),IF(OR(Z37="INTRAVENOSA",Z37="INTRAMUSCULAR"),RANDBETWEEN(100,2000),IF(OR(Z37="OFTÁLMICA",Z37="TOPICA (EXTERNA)"),RANDBETWEEN(200,3000),RANDBETWEEN(100,1500))))</f>
        <v>6032</v>
      </c>
      <c r="AY37" s="2">
        <f ca="1">INT(AV37*RANDBETWEEN(90,130)/100)</f>
        <v>127173</v>
      </c>
      <c r="AZ37" t="str">
        <f t="shared" ca="1" si="3"/>
        <v>24.9%</v>
      </c>
      <c r="BA37" t="str">
        <f t="shared" ca="1" si="4"/>
        <v>BAJO</v>
      </c>
    </row>
    <row r="38" spans="4:53" x14ac:dyDescent="0.35">
      <c r="D38" t="s">
        <v>435</v>
      </c>
      <c r="E38" s="1">
        <v>43880</v>
      </c>
      <c r="F38" t="s">
        <v>436</v>
      </c>
      <c r="G38" t="s">
        <v>108</v>
      </c>
      <c r="H38" t="s">
        <v>437</v>
      </c>
      <c r="I38">
        <v>20135023</v>
      </c>
      <c r="J38" t="s">
        <v>28</v>
      </c>
      <c r="K38">
        <v>9</v>
      </c>
      <c r="L38" t="s">
        <v>438</v>
      </c>
      <c r="M38" t="s">
        <v>439</v>
      </c>
      <c r="N38" t="s">
        <v>440</v>
      </c>
      <c r="O38" t="s">
        <v>441</v>
      </c>
      <c r="P38" t="s">
        <v>33</v>
      </c>
      <c r="Q38" s="1">
        <v>43326</v>
      </c>
      <c r="R38" t="s">
        <v>33</v>
      </c>
      <c r="S38" t="s">
        <v>27</v>
      </c>
      <c r="T38" t="s">
        <v>114</v>
      </c>
      <c r="U38" t="s">
        <v>115</v>
      </c>
      <c r="V38" t="s">
        <v>436</v>
      </c>
      <c r="W38">
        <v>25</v>
      </c>
      <c r="X38">
        <v>20135023</v>
      </c>
      <c r="Y38" t="s">
        <v>442</v>
      </c>
      <c r="Z38" t="s">
        <v>119</v>
      </c>
      <c r="AA38" t="s">
        <v>32</v>
      </c>
      <c r="AB38" t="s">
        <v>120</v>
      </c>
      <c r="AC38" t="s">
        <v>25</v>
      </c>
      <c r="AD38" t="s">
        <v>155</v>
      </c>
      <c r="AE38">
        <v>10</v>
      </c>
      <c r="AF38" t="s">
        <v>27</v>
      </c>
      <c r="AG38" t="s">
        <v>26</v>
      </c>
      <c r="AH38" t="s">
        <v>436</v>
      </c>
      <c r="AI38" t="str">
        <f t="shared" si="0"/>
        <v>NO</v>
      </c>
      <c r="AJ38" t="str">
        <f t="shared" si="1"/>
        <v>LABORATORIOS LEGRAND</v>
      </c>
      <c r="AK38" t="str">
        <f>IF(ISNUMBER(SEARCH("FABRICANTE",AC38)),"FABRICANTE",IF(ISNUMBER(SEARCH("IMPORTADOR",AC38)),"IMPORTADOR","OTRO"))</f>
        <v>FABRICANTE</v>
      </c>
      <c r="AL38" t="str">
        <f>IF(LEFT(Y38,1)="A","Sistema digestivo",IF(LEFT(Y38,1)="B","Sangre",IF(LEFT(Y38,1)="C","Cardiovascular",IF(LEFT(Y38,1)="D","Dermatológico",IF(LEFT(Y38,1)="G","Genitourinario",IF(LEFT(Y38,1)="H","Hormonal",IF(LEFT(Y38,1)="J","Antiinfecciosos",IF(LEFT(Y38,1)="L","Oncológicos",IF(LEFT(Y38,1)="M","Musculoesquelético",IF(LEFT(Y38,1)="N","Sistema nervioso",IF(LEFT(Y38,1)="R","Respiratorio",IF(LEFT(Y38,1)="S","Oftálmico",IF(LEFT(Y38,1)="V","Varios","OTRO")))))))))))))</f>
        <v>Oncológicos</v>
      </c>
      <c r="AM38" t="str">
        <f>IF(AG38="Vigente","ACTIVO",IF(ISNUMBER(SEARCH("Inactivo",J38)),"INACTIVO","REVISAR"))</f>
        <v>ACTIVO</v>
      </c>
      <c r="AN38" t="str">
        <f ca="1">IF(OR(AF38="",AF38="null"),"",ROUND((AF38-TODAY())/365.25,2))</f>
        <v/>
      </c>
      <c r="AO38" t="str">
        <f ca="1">IF(AND(AG38="Vigente",OR(AF38="",AF38="null",AF38&gt;TODAY())),"SI",IF(AND(NOT(OR(AF38="",AF38="null")),AF38&lt;=TODAY()),"NO",IF(AG38="Vigente","SI","DESCONOCIDO")))</f>
        <v>SI</v>
      </c>
      <c r="AP38" t="str">
        <f>IF(AND(ISNUMBER(SEARCH("IMPORTAR",AA38)),ISNUMBER(SEARCH("FABRICAR",AA38))),"MIXTO",IF(ISNUMBER(SEARCH("IMPORTAR",AA38)),"IMPORTADO",IF(ISNUMBER(SEARCH("FABRICAR",AA38)),"LOCAL","OTRO")))</f>
        <v>IMPORTADO</v>
      </c>
      <c r="AQ38" t="str">
        <f>IF(AD38="Si","SI",IF(AD38="No","NO",""))</f>
        <v>SI</v>
      </c>
      <c r="AR38" t="str">
        <f>IF(ISNUMBER(SEARCH("®",N38)),"MARCA/INNOVADOR","GENERICO")</f>
        <v>MARCA/INNOVADOR</v>
      </c>
      <c r="AS38">
        <f ca="1">IF(AE38&gt;100,RANDBETWEEN(500,5000),IF(AND(AE38&gt;=10,AE38&lt;=100),RANDBETWEEN(100,1000),RANDBETWEEN(10,200)))</f>
        <v>840</v>
      </c>
      <c r="AT38">
        <f t="shared" ca="1" si="2"/>
        <v>218</v>
      </c>
      <c r="AU38">
        <f ca="1">INT(AS38*RANDBETWEEN(120,200)/100)</f>
        <v>1402</v>
      </c>
      <c r="AV38" s="2">
        <f ca="1">IF(LEFT(Y38,1)="L",RANDBETWEEN(500000,5000000),IF(LEFT(Y38,1)="C",RANDBETWEEN(5000,50000),IF(LEFT(Y38,1)="N",RANDBETWEEN(10000,150000),IF(LEFT(Y38,1)="J",RANDBETWEEN(8000,200000),RANDBETWEEN(5000,100000)))))</f>
        <v>2139553</v>
      </c>
      <c r="AW38" s="2">
        <f ca="1">INT(AV38*RANDBETWEEN(30,60)/100)</f>
        <v>1240940</v>
      </c>
      <c r="AX38">
        <f ca="1">IF(Z38="ORAL",RANDBETWEEN(1000,10000),IF(OR(Z38="INTRAVENOSA",Z38="INTRAMUSCULAR"),RANDBETWEEN(100,2000),IF(OR(Z38="OFTÁLMICA",Z38="TOPICA (EXTERNA)"),RANDBETWEEN(200,3000),RANDBETWEEN(100,1500))))</f>
        <v>6209</v>
      </c>
      <c r="AY38" s="2">
        <f ca="1">INT(AV38*RANDBETWEEN(90,130)/100)</f>
        <v>2246530</v>
      </c>
      <c r="AZ38" t="str">
        <f t="shared" ca="1" si="3"/>
        <v>7.5%</v>
      </c>
      <c r="BA38" t="str">
        <f t="shared" ca="1" si="4"/>
        <v>BAJO</v>
      </c>
    </row>
    <row r="39" spans="4:53" x14ac:dyDescent="0.35">
      <c r="D39" t="s">
        <v>443</v>
      </c>
      <c r="E39" s="1">
        <v>41502</v>
      </c>
      <c r="F39" t="s">
        <v>444</v>
      </c>
      <c r="G39" t="s">
        <v>108</v>
      </c>
      <c r="H39" t="s">
        <v>445</v>
      </c>
      <c r="I39">
        <v>20053867</v>
      </c>
      <c r="J39" t="s">
        <v>28</v>
      </c>
      <c r="K39">
        <v>3</v>
      </c>
      <c r="L39" t="s">
        <v>27</v>
      </c>
      <c r="M39" t="s">
        <v>446</v>
      </c>
      <c r="N39" t="s">
        <v>447</v>
      </c>
      <c r="O39" t="s">
        <v>448</v>
      </c>
      <c r="P39" t="s">
        <v>33</v>
      </c>
      <c r="Q39" s="1">
        <v>41488</v>
      </c>
      <c r="R39" t="s">
        <v>33</v>
      </c>
      <c r="S39" t="s">
        <v>27</v>
      </c>
      <c r="T39" t="s">
        <v>449</v>
      </c>
      <c r="U39" t="s">
        <v>115</v>
      </c>
      <c r="V39" t="s">
        <v>450</v>
      </c>
      <c r="W39">
        <v>500</v>
      </c>
      <c r="X39">
        <v>20053867</v>
      </c>
      <c r="Y39" t="s">
        <v>451</v>
      </c>
      <c r="Z39" t="s">
        <v>119</v>
      </c>
      <c r="AA39" t="s">
        <v>32</v>
      </c>
      <c r="AB39" t="s">
        <v>120</v>
      </c>
      <c r="AC39" t="s">
        <v>38</v>
      </c>
      <c r="AD39" t="s">
        <v>121</v>
      </c>
      <c r="AE39">
        <v>14</v>
      </c>
      <c r="AF39" t="s">
        <v>27</v>
      </c>
      <c r="AG39" t="s">
        <v>26</v>
      </c>
      <c r="AH39" t="s">
        <v>6730</v>
      </c>
      <c r="AI39" t="str">
        <f t="shared" si="0"/>
        <v>NO</v>
      </c>
      <c r="AJ39" t="str">
        <f t="shared" si="1"/>
        <v>MSN LABORATORIES PRIVATE</v>
      </c>
      <c r="AK39" t="str">
        <f>IF(ISNUMBER(SEARCH("FABRICANTE",AC39)),"FABRICANTE",IF(ISNUMBER(SEARCH("IMPORTADOR",AC39)),"IMPORTADOR","OTRO"))</f>
        <v>IMPORTADOR</v>
      </c>
      <c r="AL39" t="str">
        <f>IF(LEFT(Y39,1)="A","Sistema digestivo",IF(LEFT(Y39,1)="B","Sangre",IF(LEFT(Y39,1)="C","Cardiovascular",IF(LEFT(Y39,1)="D","Dermatológico",IF(LEFT(Y39,1)="G","Genitourinario",IF(LEFT(Y39,1)="H","Hormonal",IF(LEFT(Y39,1)="J","Antiinfecciosos",IF(LEFT(Y39,1)="L","Oncológicos",IF(LEFT(Y39,1)="M","Musculoesquelético",IF(LEFT(Y39,1)="N","Sistema nervioso",IF(LEFT(Y39,1)="R","Respiratorio",IF(LEFT(Y39,1)="S","Oftálmico",IF(LEFT(Y39,1)="V","Varios","OTRO")))))))))))))</f>
        <v>Antiinfecciosos</v>
      </c>
      <c r="AM39" t="str">
        <f>IF(AG39="Vigente","ACTIVO",IF(ISNUMBER(SEARCH("Inactivo",J39)),"INACTIVO","REVISAR"))</f>
        <v>ACTIVO</v>
      </c>
      <c r="AN39" t="str">
        <f ca="1">IF(OR(AF39="",AF39="null"),"",ROUND((AF39-TODAY())/365.25,2))</f>
        <v/>
      </c>
      <c r="AO39" t="str">
        <f ca="1">IF(AND(AG39="Vigente",OR(AF39="",AF39="null",AF39&gt;TODAY())),"SI",IF(AND(NOT(OR(AF39="",AF39="null")),AF39&lt;=TODAY()),"NO",IF(AG39="Vigente","SI","DESCONOCIDO")))</f>
        <v>SI</v>
      </c>
      <c r="AP39" t="str">
        <f>IF(AND(ISNUMBER(SEARCH("IMPORTAR",AA39)),ISNUMBER(SEARCH("FABRICAR",AA39))),"MIXTO",IF(ISNUMBER(SEARCH("IMPORTAR",AA39)),"IMPORTADO",IF(ISNUMBER(SEARCH("FABRICAR",AA39)),"LOCAL","OTRO")))</f>
        <v>IMPORTADO</v>
      </c>
      <c r="AQ39" t="str">
        <f>IF(AD39="Si","SI",IF(AD39="No","NO",""))</f>
        <v>NO</v>
      </c>
      <c r="AR39" t="str">
        <f>IF(ISNUMBER(SEARCH("®",N39)),"MARCA/INNOVADOR","GENERICO")</f>
        <v>MARCA/INNOVADOR</v>
      </c>
      <c r="AS39">
        <f ca="1">IF(AE39&gt;100,RANDBETWEEN(500,5000),IF(AND(AE39&gt;=10,AE39&lt;=100),RANDBETWEEN(100,1000),RANDBETWEEN(10,200)))</f>
        <v>476</v>
      </c>
      <c r="AT39">
        <f t="shared" ca="1" si="2"/>
        <v>90</v>
      </c>
      <c r="AU39">
        <f ca="1">INT(AS39*RANDBETWEEN(120,200)/100)</f>
        <v>899</v>
      </c>
      <c r="AV39" s="2">
        <f ca="1">IF(LEFT(Y39,1)="L",RANDBETWEEN(500000,5000000),IF(LEFT(Y39,1)="C",RANDBETWEEN(5000,50000),IF(LEFT(Y39,1)="N",RANDBETWEEN(10000,150000),IF(LEFT(Y39,1)="J",RANDBETWEEN(8000,200000),RANDBETWEEN(5000,100000)))))</f>
        <v>87135</v>
      </c>
      <c r="AW39" s="2">
        <f ca="1">INT(AV39*RANDBETWEEN(30,60)/100)</f>
        <v>35725</v>
      </c>
      <c r="AX39">
        <f ca="1">IF(Z39="ORAL",RANDBETWEEN(1000,10000),IF(OR(Z39="INTRAVENOSA",Z39="INTRAMUSCULAR"),RANDBETWEEN(100,2000),IF(OR(Z39="OFTÁLMICA",Z39="TOPICA (EXTERNA)"),RANDBETWEEN(200,3000),RANDBETWEEN(100,1500))))</f>
        <v>7914</v>
      </c>
      <c r="AY39" s="2">
        <f ca="1">INT(AV39*RANDBETWEEN(90,130)/100)</f>
        <v>113275</v>
      </c>
      <c r="AZ39" t="str">
        <f t="shared" ca="1" si="3"/>
        <v>8.1%</v>
      </c>
      <c r="BA39" t="str">
        <f t="shared" ca="1" si="4"/>
        <v>BAJO</v>
      </c>
    </row>
    <row r="40" spans="4:53" x14ac:dyDescent="0.35">
      <c r="D40" t="s">
        <v>452</v>
      </c>
      <c r="E40" s="1">
        <v>39427</v>
      </c>
      <c r="F40" t="s">
        <v>453</v>
      </c>
      <c r="G40" t="s">
        <v>108</v>
      </c>
      <c r="H40" t="s">
        <v>454</v>
      </c>
      <c r="I40">
        <v>19983547</v>
      </c>
      <c r="J40" t="s">
        <v>28</v>
      </c>
      <c r="K40">
        <v>42</v>
      </c>
      <c r="L40" t="s">
        <v>27</v>
      </c>
      <c r="M40" t="s">
        <v>455</v>
      </c>
      <c r="N40" t="s">
        <v>456</v>
      </c>
      <c r="O40" t="s">
        <v>457</v>
      </c>
      <c r="P40" t="s">
        <v>458</v>
      </c>
      <c r="Q40" s="1">
        <v>44592</v>
      </c>
      <c r="R40" t="s">
        <v>459</v>
      </c>
      <c r="S40" t="s">
        <v>27</v>
      </c>
      <c r="T40" t="s">
        <v>454</v>
      </c>
      <c r="U40" t="s">
        <v>115</v>
      </c>
      <c r="V40" t="s">
        <v>460</v>
      </c>
      <c r="W40">
        <v>100</v>
      </c>
      <c r="X40">
        <v>19983547</v>
      </c>
      <c r="Y40" t="s">
        <v>461</v>
      </c>
      <c r="Z40" t="s">
        <v>119</v>
      </c>
      <c r="AA40" t="s">
        <v>24</v>
      </c>
      <c r="AB40" t="s">
        <v>250</v>
      </c>
      <c r="AC40" t="s">
        <v>25</v>
      </c>
      <c r="AD40" t="s">
        <v>155</v>
      </c>
      <c r="AE40">
        <v>1</v>
      </c>
      <c r="AF40" t="s">
        <v>27</v>
      </c>
      <c r="AG40" t="s">
        <v>26</v>
      </c>
      <c r="AH40" t="s">
        <v>453</v>
      </c>
      <c r="AI40" t="str">
        <f t="shared" si="0"/>
        <v>NO</v>
      </c>
      <c r="AJ40" t="str">
        <f t="shared" si="1"/>
        <v>PROCAPS</v>
      </c>
      <c r="AK40" t="str">
        <f>IF(ISNUMBER(SEARCH("FABRICANTE",AC40)),"FABRICANTE",IF(ISNUMBER(SEARCH("IMPORTADOR",AC40)),"IMPORTADOR","OTRO"))</f>
        <v>FABRICANTE</v>
      </c>
      <c r="AL40" t="str">
        <f>IF(LEFT(Y40,1)="A","Sistema digestivo",IF(LEFT(Y40,1)="B","Sangre",IF(LEFT(Y40,1)="C","Cardiovascular",IF(LEFT(Y40,1)="D","Dermatológico",IF(LEFT(Y40,1)="G","Genitourinario",IF(LEFT(Y40,1)="H","Hormonal",IF(LEFT(Y40,1)="J","Antiinfecciosos",IF(LEFT(Y40,1)="L","Oncológicos",IF(LEFT(Y40,1)="M","Musculoesquelético",IF(LEFT(Y40,1)="N","Sistema nervioso",IF(LEFT(Y40,1)="R","Respiratorio",IF(LEFT(Y40,1)="S","Oftálmico",IF(LEFT(Y40,1)="V","Varios","OTRO")))))))))))))</f>
        <v>Respiratorio</v>
      </c>
      <c r="AM40" t="str">
        <f>IF(AG40="Vigente","ACTIVO",IF(ISNUMBER(SEARCH("Inactivo",J40)),"INACTIVO","REVISAR"))</f>
        <v>ACTIVO</v>
      </c>
      <c r="AN40" t="str">
        <f ca="1">IF(OR(AF40="",AF40="null"),"",ROUND((AF40-TODAY())/365.25,2))</f>
        <v/>
      </c>
      <c r="AO40" t="str">
        <f ca="1">IF(AND(AG40="Vigente",OR(AF40="",AF40="null",AF40&gt;TODAY())),"SI",IF(AND(NOT(OR(AF40="",AF40="null")),AF40&lt;=TODAY()),"NO",IF(AG40="Vigente","SI","DESCONOCIDO")))</f>
        <v>SI</v>
      </c>
      <c r="AP40" t="str">
        <f>IF(AND(ISNUMBER(SEARCH("IMPORTAR",AA40)),ISNUMBER(SEARCH("FABRICAR",AA40))),"MIXTO",IF(ISNUMBER(SEARCH("IMPORTAR",AA40)),"IMPORTADO",IF(ISNUMBER(SEARCH("FABRICAR",AA40)),"LOCAL","OTRO")))</f>
        <v>LOCAL</v>
      </c>
      <c r="AQ40" t="str">
        <f>IF(AD40="Si","SI",IF(AD40="No","NO",""))</f>
        <v>SI</v>
      </c>
      <c r="AR40" t="str">
        <f>IF(ISNUMBER(SEARCH("®",N40)),"MARCA/INNOVADOR","GENERICO")</f>
        <v>MARCA/INNOVADOR</v>
      </c>
      <c r="AS40">
        <f ca="1">IF(AE40&gt;100,RANDBETWEEN(500,5000),IF(AND(AE40&gt;=10,AE40&lt;=100),RANDBETWEEN(100,1000),RANDBETWEEN(10,200)))</f>
        <v>41</v>
      </c>
      <c r="AT40">
        <f t="shared" ca="1" si="2"/>
        <v>4</v>
      </c>
      <c r="AU40">
        <f ca="1">INT(AS40*RANDBETWEEN(120,200)/100)</f>
        <v>52</v>
      </c>
      <c r="AV40" s="2">
        <f ca="1">IF(LEFT(Y40,1)="L",RANDBETWEEN(500000,5000000),IF(LEFT(Y40,1)="C",RANDBETWEEN(5000,50000),IF(LEFT(Y40,1)="N",RANDBETWEEN(10000,150000),IF(LEFT(Y40,1)="J",RANDBETWEEN(8000,200000),RANDBETWEEN(5000,100000)))))</f>
        <v>91374</v>
      </c>
      <c r="AW40" s="2">
        <f ca="1">INT(AV40*RANDBETWEEN(30,60)/100)</f>
        <v>52083</v>
      </c>
      <c r="AX40">
        <f ca="1">IF(Z40="ORAL",RANDBETWEEN(1000,10000),IF(OR(Z40="INTRAVENOSA",Z40="INTRAMUSCULAR"),RANDBETWEEN(100,2000),IF(OR(Z40="OFTÁLMICA",Z40="TOPICA (EXTERNA)"),RANDBETWEEN(200,3000),RANDBETWEEN(100,1500))))</f>
        <v>2237</v>
      </c>
      <c r="AY40" s="2">
        <f ca="1">INT(AV40*RANDBETWEEN(90,130)/100)</f>
        <v>105993</v>
      </c>
      <c r="AZ40" t="str">
        <f t="shared" ca="1" si="3"/>
        <v>21.4%</v>
      </c>
      <c r="BA40" t="str">
        <f t="shared" ca="1" si="4"/>
        <v>BAJO</v>
      </c>
    </row>
    <row r="41" spans="4:53" x14ac:dyDescent="0.35">
      <c r="D41" t="s">
        <v>462</v>
      </c>
      <c r="E41" s="1">
        <v>39965</v>
      </c>
      <c r="F41" t="s">
        <v>463</v>
      </c>
      <c r="G41" t="s">
        <v>108</v>
      </c>
      <c r="H41" t="s">
        <v>464</v>
      </c>
      <c r="I41">
        <v>20002042</v>
      </c>
      <c r="J41" t="s">
        <v>28</v>
      </c>
      <c r="K41">
        <v>16</v>
      </c>
      <c r="L41" t="s">
        <v>27</v>
      </c>
      <c r="M41" t="s">
        <v>465</v>
      </c>
      <c r="N41" t="s">
        <v>466</v>
      </c>
      <c r="O41" t="s">
        <v>467</v>
      </c>
      <c r="P41" t="s">
        <v>468</v>
      </c>
      <c r="Q41" s="1">
        <v>45512</v>
      </c>
      <c r="R41" t="s">
        <v>50</v>
      </c>
      <c r="S41" t="s">
        <v>27</v>
      </c>
      <c r="T41" t="s">
        <v>464</v>
      </c>
      <c r="U41" t="s">
        <v>469</v>
      </c>
      <c r="V41" t="s">
        <v>470</v>
      </c>
      <c r="W41">
        <v>4000</v>
      </c>
      <c r="X41">
        <v>20002042</v>
      </c>
      <c r="Y41" t="s">
        <v>471</v>
      </c>
      <c r="Z41" t="s">
        <v>260</v>
      </c>
      <c r="AA41" t="s">
        <v>32</v>
      </c>
      <c r="AB41" t="s">
        <v>239</v>
      </c>
      <c r="AC41" t="s">
        <v>38</v>
      </c>
      <c r="AD41" t="s">
        <v>121</v>
      </c>
      <c r="AE41">
        <v>160</v>
      </c>
      <c r="AF41" t="s">
        <v>27</v>
      </c>
      <c r="AG41" t="s">
        <v>26</v>
      </c>
      <c r="AH41" t="s">
        <v>463</v>
      </c>
      <c r="AI41" t="str">
        <f t="shared" si="0"/>
        <v>NO</v>
      </c>
      <c r="AJ41" t="str">
        <f t="shared" si="1"/>
        <v>MEGALABS COLOMBIA</v>
      </c>
      <c r="AK41" t="str">
        <f>IF(ISNUMBER(SEARCH("FABRICANTE",AC41)),"FABRICANTE",IF(ISNUMBER(SEARCH("IMPORTADOR",AC41)),"IMPORTADOR","OTRO"))</f>
        <v>IMPORTADOR</v>
      </c>
      <c r="AL41" t="str">
        <f>IF(LEFT(Y41,1)="A","Sistema digestivo",IF(LEFT(Y41,1)="B","Sangre",IF(LEFT(Y41,1)="C","Cardiovascular",IF(LEFT(Y41,1)="D","Dermatológico",IF(LEFT(Y41,1)="G","Genitourinario",IF(LEFT(Y41,1)="H","Hormonal",IF(LEFT(Y41,1)="J","Antiinfecciosos",IF(LEFT(Y41,1)="L","Oncológicos",IF(LEFT(Y41,1)="M","Musculoesquelético",IF(LEFT(Y41,1)="N","Sistema nervioso",IF(LEFT(Y41,1)="R","Respiratorio",IF(LEFT(Y41,1)="S","Oftálmico",IF(LEFT(Y41,1)="V","Varios","OTRO")))))))))))))</f>
        <v>Sangre</v>
      </c>
      <c r="AM41" t="str">
        <f>IF(AG41="Vigente","ACTIVO",IF(ISNUMBER(SEARCH("Inactivo",J41)),"INACTIVO","REVISAR"))</f>
        <v>ACTIVO</v>
      </c>
      <c r="AN41" t="str">
        <f ca="1">IF(OR(AF41="",AF41="null"),"",ROUND((AF41-TODAY())/365.25,2))</f>
        <v/>
      </c>
      <c r="AO41" t="str">
        <f ca="1">IF(AND(AG41="Vigente",OR(AF41="",AF41="null",AF41&gt;TODAY())),"SI",IF(AND(NOT(OR(AF41="",AF41="null")),AF41&lt;=TODAY()),"NO",IF(AG41="Vigente","SI","DESCONOCIDO")))</f>
        <v>SI</v>
      </c>
      <c r="AP41" t="str">
        <f>IF(AND(ISNUMBER(SEARCH("IMPORTAR",AA41)),ISNUMBER(SEARCH("FABRICAR",AA41))),"MIXTO",IF(ISNUMBER(SEARCH("IMPORTAR",AA41)),"IMPORTADO",IF(ISNUMBER(SEARCH("FABRICAR",AA41)),"LOCAL","OTRO")))</f>
        <v>IMPORTADO</v>
      </c>
      <c r="AQ41" t="str">
        <f>IF(AD41="Si","SI",IF(AD41="No","NO",""))</f>
        <v>NO</v>
      </c>
      <c r="AR41" t="str">
        <f>IF(ISNUMBER(SEARCH("®",N41)),"MARCA/INNOVADOR","GENERICO")</f>
        <v>GENERICO</v>
      </c>
      <c r="AS41">
        <f ca="1">IF(AE41&gt;100,RANDBETWEEN(500,5000),IF(AND(AE41&gt;=10,AE41&lt;=100),RANDBETWEEN(100,1000),RANDBETWEEN(10,200)))</f>
        <v>671</v>
      </c>
      <c r="AT41">
        <f t="shared" ca="1" si="2"/>
        <v>114</v>
      </c>
      <c r="AU41">
        <f ca="1">INT(AS41*RANDBETWEEN(120,200)/100)</f>
        <v>1046</v>
      </c>
      <c r="AV41" s="2">
        <f ca="1">IF(LEFT(Y41,1)="L",RANDBETWEEN(500000,5000000),IF(LEFT(Y41,1)="C",RANDBETWEEN(5000,50000),IF(LEFT(Y41,1)="N",RANDBETWEEN(10000,150000),IF(LEFT(Y41,1)="J",RANDBETWEEN(8000,200000),RANDBETWEEN(5000,100000)))))</f>
        <v>95535</v>
      </c>
      <c r="AW41" s="2">
        <f ca="1">INT(AV41*RANDBETWEEN(30,60)/100)</f>
        <v>52544</v>
      </c>
      <c r="AX41">
        <f ca="1">IF(Z41="ORAL",RANDBETWEEN(1000,10000),IF(OR(Z41="INTRAVENOSA",Z41="INTRAMUSCULAR"),RANDBETWEEN(100,2000),IF(OR(Z41="OFTÁLMICA",Z41="TOPICA (EXTERNA)"),RANDBETWEEN(200,3000),RANDBETWEEN(100,1500))))</f>
        <v>1325</v>
      </c>
      <c r="AY41" s="2">
        <f ca="1">INT(AV41*RANDBETWEEN(90,130)/100)</f>
        <v>124195</v>
      </c>
      <c r="AZ41" t="str">
        <f t="shared" ca="1" si="3"/>
        <v>3.2%</v>
      </c>
      <c r="BA41" t="str">
        <f t="shared" ca="1" si="4"/>
        <v>BAJO</v>
      </c>
    </row>
    <row r="42" spans="4:53" x14ac:dyDescent="0.35">
      <c r="D42" t="s">
        <v>472</v>
      </c>
      <c r="E42" s="1">
        <v>41087</v>
      </c>
      <c r="F42" t="s">
        <v>473</v>
      </c>
      <c r="G42" t="s">
        <v>108</v>
      </c>
      <c r="H42" t="s">
        <v>146</v>
      </c>
      <c r="I42">
        <v>20039588</v>
      </c>
      <c r="J42" t="s">
        <v>28</v>
      </c>
      <c r="K42">
        <v>37</v>
      </c>
      <c r="L42" t="s">
        <v>27</v>
      </c>
      <c r="M42" t="s">
        <v>474</v>
      </c>
      <c r="N42" t="s">
        <v>475</v>
      </c>
      <c r="O42" t="s">
        <v>476</v>
      </c>
      <c r="P42" t="s">
        <v>477</v>
      </c>
      <c r="Q42" s="1">
        <v>42669</v>
      </c>
      <c r="R42" t="s">
        <v>67</v>
      </c>
      <c r="S42" t="s">
        <v>27</v>
      </c>
      <c r="T42" t="s">
        <v>80</v>
      </c>
      <c r="U42" t="s">
        <v>247</v>
      </c>
      <c r="V42" t="s">
        <v>248</v>
      </c>
      <c r="W42" t="s">
        <v>478</v>
      </c>
      <c r="X42">
        <v>20039588</v>
      </c>
      <c r="Y42" t="s">
        <v>249</v>
      </c>
      <c r="Z42" t="s">
        <v>119</v>
      </c>
      <c r="AA42" t="s">
        <v>24</v>
      </c>
      <c r="AB42" t="s">
        <v>120</v>
      </c>
      <c r="AC42" t="s">
        <v>25</v>
      </c>
      <c r="AD42" t="s">
        <v>155</v>
      </c>
      <c r="AE42">
        <v>5</v>
      </c>
      <c r="AF42" t="s">
        <v>27</v>
      </c>
      <c r="AG42" t="s">
        <v>26</v>
      </c>
      <c r="AH42" t="s">
        <v>6731</v>
      </c>
      <c r="AI42" t="str">
        <f t="shared" si="0"/>
        <v>NO</v>
      </c>
      <c r="AJ42" t="str">
        <f t="shared" si="1"/>
        <v>TECNOQUIMICAS</v>
      </c>
      <c r="AK42" t="str">
        <f>IF(ISNUMBER(SEARCH("FABRICANTE",AC42)),"FABRICANTE",IF(ISNUMBER(SEARCH("IMPORTADOR",AC42)),"IMPORTADOR","OTRO"))</f>
        <v>FABRICANTE</v>
      </c>
      <c r="AL42" t="str">
        <f>IF(LEFT(Y42,1)="A","Sistema digestivo",IF(LEFT(Y42,1)="B","Sangre",IF(LEFT(Y42,1)="C","Cardiovascular",IF(LEFT(Y42,1)="D","Dermatológico",IF(LEFT(Y42,1)="G","Genitourinario",IF(LEFT(Y42,1)="H","Hormonal",IF(LEFT(Y42,1)="J","Antiinfecciosos",IF(LEFT(Y42,1)="L","Oncológicos",IF(LEFT(Y42,1)="M","Musculoesquelético",IF(LEFT(Y42,1)="N","Sistema nervioso",IF(LEFT(Y42,1)="R","Respiratorio",IF(LEFT(Y42,1)="S","Oftálmico",IF(LEFT(Y42,1)="V","Varios","OTRO")))))))))))))</f>
        <v>Sistema digestivo</v>
      </c>
      <c r="AM42" t="str">
        <f>IF(AG42="Vigente","ACTIVO",IF(ISNUMBER(SEARCH("Inactivo",J42)),"INACTIVO","REVISAR"))</f>
        <v>ACTIVO</v>
      </c>
      <c r="AN42" t="str">
        <f ca="1">IF(OR(AF42="",AF42="null"),"",ROUND((AF42-TODAY())/365.25,2))</f>
        <v/>
      </c>
      <c r="AO42" t="str">
        <f ca="1">IF(AND(AG42="Vigente",OR(AF42="",AF42="null",AF42&gt;TODAY())),"SI",IF(AND(NOT(OR(AF42="",AF42="null")),AF42&lt;=TODAY()),"NO",IF(AG42="Vigente","SI","DESCONOCIDO")))</f>
        <v>SI</v>
      </c>
      <c r="AP42" t="str">
        <f>IF(AND(ISNUMBER(SEARCH("IMPORTAR",AA42)),ISNUMBER(SEARCH("FABRICAR",AA42))),"MIXTO",IF(ISNUMBER(SEARCH("IMPORTAR",AA42)),"IMPORTADO",IF(ISNUMBER(SEARCH("FABRICAR",AA42)),"LOCAL","OTRO")))</f>
        <v>LOCAL</v>
      </c>
      <c r="AQ42" t="str">
        <f>IF(AD42="Si","SI",IF(AD42="No","NO",""))</f>
        <v>SI</v>
      </c>
      <c r="AR42" t="str">
        <f>IF(ISNUMBER(SEARCH("®",N42)),"MARCA/INNOVADOR","GENERICO")</f>
        <v>MARCA/INNOVADOR</v>
      </c>
      <c r="AS42">
        <f ca="1">IF(AE42&gt;100,RANDBETWEEN(500,5000),IF(AND(AE42&gt;=10,AE42&lt;=100),RANDBETWEEN(100,1000),RANDBETWEEN(10,200)))</f>
        <v>94</v>
      </c>
      <c r="AT42">
        <f t="shared" ca="1" si="2"/>
        <v>15</v>
      </c>
      <c r="AU42">
        <f ca="1">INT(AS42*RANDBETWEEN(120,200)/100)</f>
        <v>129</v>
      </c>
      <c r="AV42" s="2">
        <f ca="1">IF(LEFT(Y42,1)="L",RANDBETWEEN(500000,5000000),IF(LEFT(Y42,1)="C",RANDBETWEEN(5000,50000),IF(LEFT(Y42,1)="N",RANDBETWEEN(10000,150000),IF(LEFT(Y42,1)="J",RANDBETWEEN(8000,200000),RANDBETWEEN(5000,100000)))))</f>
        <v>14842</v>
      </c>
      <c r="AW42" s="2">
        <f ca="1">INT(AV42*RANDBETWEEN(30,60)/100)</f>
        <v>5343</v>
      </c>
      <c r="AX42">
        <f ca="1">IF(Z42="ORAL",RANDBETWEEN(1000,10000),IF(OR(Z42="INTRAVENOSA",Z42="INTRAMUSCULAR"),RANDBETWEEN(100,2000),IF(OR(Z42="OFTÁLMICA",Z42="TOPICA (EXTERNA)"),RANDBETWEEN(200,3000),RANDBETWEEN(100,1500))))</f>
        <v>5525</v>
      </c>
      <c r="AY42" s="2">
        <f ca="1">INT(AV42*RANDBETWEEN(90,130)/100)</f>
        <v>13357</v>
      </c>
      <c r="AZ42" t="str">
        <f t="shared" ca="1" si="3"/>
        <v>14.6%</v>
      </c>
      <c r="BA42" t="str">
        <f t="shared" ca="1" si="4"/>
        <v>BAJO</v>
      </c>
    </row>
    <row r="43" spans="4:53" x14ac:dyDescent="0.35">
      <c r="D43" t="s">
        <v>479</v>
      </c>
      <c r="E43" s="1">
        <v>38650</v>
      </c>
      <c r="F43" t="s">
        <v>480</v>
      </c>
      <c r="G43" t="s">
        <v>108</v>
      </c>
      <c r="H43" t="s">
        <v>481</v>
      </c>
      <c r="I43">
        <v>19959519</v>
      </c>
      <c r="J43" t="s">
        <v>28</v>
      </c>
      <c r="K43">
        <v>3</v>
      </c>
      <c r="L43" t="s">
        <v>482</v>
      </c>
      <c r="M43" t="s">
        <v>483</v>
      </c>
      <c r="N43" t="s">
        <v>484</v>
      </c>
      <c r="O43" t="s">
        <v>485</v>
      </c>
      <c r="P43" t="s">
        <v>486</v>
      </c>
      <c r="Q43" s="1">
        <v>42354</v>
      </c>
      <c r="R43" t="s">
        <v>50</v>
      </c>
      <c r="S43" t="s">
        <v>27</v>
      </c>
      <c r="T43" t="s">
        <v>487</v>
      </c>
      <c r="U43" t="s">
        <v>115</v>
      </c>
      <c r="V43" t="s">
        <v>480</v>
      </c>
      <c r="W43">
        <v>6</v>
      </c>
      <c r="X43">
        <v>19959519</v>
      </c>
      <c r="Y43" t="s">
        <v>488</v>
      </c>
      <c r="Z43" t="s">
        <v>132</v>
      </c>
      <c r="AA43" t="s">
        <v>32</v>
      </c>
      <c r="AB43" t="s">
        <v>239</v>
      </c>
      <c r="AC43" t="s">
        <v>38</v>
      </c>
      <c r="AD43" t="s">
        <v>121</v>
      </c>
      <c r="AE43">
        <v>4</v>
      </c>
      <c r="AF43" t="s">
        <v>27</v>
      </c>
      <c r="AG43" t="s">
        <v>26</v>
      </c>
      <c r="AH43" t="s">
        <v>480</v>
      </c>
      <c r="AI43" t="str">
        <f t="shared" si="0"/>
        <v>NO</v>
      </c>
      <c r="AJ43" t="str">
        <f t="shared" si="1"/>
        <v>AMGEN MANUFACTURING</v>
      </c>
      <c r="AK43" t="str">
        <f>IF(ISNUMBER(SEARCH("FABRICANTE",AC43)),"FABRICANTE",IF(ISNUMBER(SEARCH("IMPORTADOR",AC43)),"IMPORTADOR","OTRO"))</f>
        <v>IMPORTADOR</v>
      </c>
      <c r="AL43" t="str">
        <f>IF(LEFT(Y43,1)="A","Sistema digestivo",IF(LEFT(Y43,1)="B","Sangre",IF(LEFT(Y43,1)="C","Cardiovascular",IF(LEFT(Y43,1)="D","Dermatológico",IF(LEFT(Y43,1)="G","Genitourinario",IF(LEFT(Y43,1)="H","Hormonal",IF(LEFT(Y43,1)="J","Antiinfecciosos",IF(LEFT(Y43,1)="L","Oncológicos",IF(LEFT(Y43,1)="M","Musculoesquelético",IF(LEFT(Y43,1)="N","Sistema nervioso",IF(LEFT(Y43,1)="R","Respiratorio",IF(LEFT(Y43,1)="S","Oftálmico",IF(LEFT(Y43,1)="V","Varios","OTRO")))))))))))))</f>
        <v>Oncológicos</v>
      </c>
      <c r="AM43" t="str">
        <f>IF(AG43="Vigente","ACTIVO",IF(ISNUMBER(SEARCH("Inactivo",J43)),"INACTIVO","REVISAR"))</f>
        <v>ACTIVO</v>
      </c>
      <c r="AN43" t="str">
        <f ca="1">IF(OR(AF43="",AF43="null"),"",ROUND((AF43-TODAY())/365.25,2))</f>
        <v/>
      </c>
      <c r="AO43" t="str">
        <f ca="1">IF(AND(AG43="Vigente",OR(AF43="",AF43="null",AF43&gt;TODAY())),"SI",IF(AND(NOT(OR(AF43="",AF43="null")),AF43&lt;=TODAY()),"NO",IF(AG43="Vigente","SI","DESCONOCIDO")))</f>
        <v>SI</v>
      </c>
      <c r="AP43" t="str">
        <f>IF(AND(ISNUMBER(SEARCH("IMPORTAR",AA43)),ISNUMBER(SEARCH("FABRICAR",AA43))),"MIXTO",IF(ISNUMBER(SEARCH("IMPORTAR",AA43)),"IMPORTADO",IF(ISNUMBER(SEARCH("FABRICAR",AA43)),"LOCAL","OTRO")))</f>
        <v>IMPORTADO</v>
      </c>
      <c r="AQ43" t="str">
        <f>IF(AD43="Si","SI",IF(AD43="No","NO",""))</f>
        <v>NO</v>
      </c>
      <c r="AR43" t="str">
        <f>IF(ISNUMBER(SEARCH("®",N43)),"MARCA/INNOVADOR","GENERICO")</f>
        <v>MARCA/INNOVADOR</v>
      </c>
      <c r="AS43">
        <f ca="1">IF(AE43&gt;100,RANDBETWEEN(500,5000),IF(AND(AE43&gt;=10,AE43&lt;=100),RANDBETWEEN(100,1000),RANDBETWEEN(10,200)))</f>
        <v>36</v>
      </c>
      <c r="AT43">
        <f t="shared" ca="1" si="2"/>
        <v>7</v>
      </c>
      <c r="AU43">
        <f ca="1">INT(AS43*RANDBETWEEN(120,200)/100)</f>
        <v>56</v>
      </c>
      <c r="AV43" s="2">
        <f ca="1">IF(LEFT(Y43,1)="L",RANDBETWEEN(500000,5000000),IF(LEFT(Y43,1)="C",RANDBETWEEN(5000,50000),IF(LEFT(Y43,1)="N",RANDBETWEEN(10000,150000),IF(LEFT(Y43,1)="J",RANDBETWEEN(8000,200000),RANDBETWEEN(5000,100000)))))</f>
        <v>4442763</v>
      </c>
      <c r="AW43" s="2">
        <f ca="1">INT(AV43*RANDBETWEEN(30,60)/100)</f>
        <v>2132526</v>
      </c>
      <c r="AX43">
        <f ca="1">IF(Z43="ORAL",RANDBETWEEN(1000,10000),IF(OR(Z43="INTRAVENOSA",Z43="INTRAMUSCULAR"),RANDBETWEEN(100,2000),IF(OR(Z43="OFTÁLMICA",Z43="TOPICA (EXTERNA)"),RANDBETWEEN(200,3000),RANDBETWEEN(100,1500))))</f>
        <v>528</v>
      </c>
      <c r="AY43" s="2">
        <f ca="1">INT(AV43*RANDBETWEEN(90,130)/100)</f>
        <v>5375743</v>
      </c>
      <c r="AZ43" t="str">
        <f t="shared" ca="1" si="3"/>
        <v>1.6%</v>
      </c>
      <c r="BA43" t="str">
        <f t="shared" ca="1" si="4"/>
        <v>BAJO</v>
      </c>
    </row>
    <row r="44" spans="4:53" x14ac:dyDescent="0.35">
      <c r="D44" t="s">
        <v>489</v>
      </c>
      <c r="E44" s="1">
        <v>37880</v>
      </c>
      <c r="F44" t="s">
        <v>490</v>
      </c>
      <c r="G44" t="s">
        <v>108</v>
      </c>
      <c r="H44" t="s">
        <v>158</v>
      </c>
      <c r="I44">
        <v>19939513</v>
      </c>
      <c r="J44" t="s">
        <v>110</v>
      </c>
      <c r="K44">
        <v>25</v>
      </c>
      <c r="L44" t="s">
        <v>27</v>
      </c>
      <c r="M44" t="s">
        <v>491</v>
      </c>
      <c r="N44" t="s">
        <v>492</v>
      </c>
      <c r="O44" t="s">
        <v>493</v>
      </c>
      <c r="P44" t="s">
        <v>494</v>
      </c>
      <c r="Q44" s="1">
        <v>41351</v>
      </c>
      <c r="R44" t="s">
        <v>495</v>
      </c>
      <c r="S44" s="1">
        <v>41585</v>
      </c>
      <c r="T44" t="s">
        <v>146</v>
      </c>
      <c r="U44" t="s">
        <v>115</v>
      </c>
      <c r="V44" t="s">
        <v>496</v>
      </c>
      <c r="W44" t="s">
        <v>497</v>
      </c>
      <c r="X44">
        <v>19939513</v>
      </c>
      <c r="Y44" t="s">
        <v>498</v>
      </c>
      <c r="Z44" t="s">
        <v>499</v>
      </c>
      <c r="AA44" t="s">
        <v>24</v>
      </c>
      <c r="AB44" t="s">
        <v>120</v>
      </c>
      <c r="AC44" t="s">
        <v>25</v>
      </c>
      <c r="AD44" t="s">
        <v>155</v>
      </c>
      <c r="AE44">
        <v>2</v>
      </c>
      <c r="AF44" t="s">
        <v>27</v>
      </c>
      <c r="AG44" t="s">
        <v>26</v>
      </c>
      <c r="AH44" t="s">
        <v>6732</v>
      </c>
      <c r="AI44" t="str">
        <f t="shared" si="0"/>
        <v>NO</v>
      </c>
      <c r="AJ44" t="str">
        <f t="shared" si="1"/>
        <v>TECNOFAR TQ</v>
      </c>
      <c r="AK44" t="str">
        <f>IF(ISNUMBER(SEARCH("FABRICANTE",AC44)),"FABRICANTE",IF(ISNUMBER(SEARCH("IMPORTADOR",AC44)),"IMPORTADOR","OTRO"))</f>
        <v>FABRICANTE</v>
      </c>
      <c r="AL44" t="str">
        <f>IF(LEFT(Y44,1)="A","Sistema digestivo",IF(LEFT(Y44,1)="B","Sangre",IF(LEFT(Y44,1)="C","Cardiovascular",IF(LEFT(Y44,1)="D","Dermatológico",IF(LEFT(Y44,1)="G","Genitourinario",IF(LEFT(Y44,1)="H","Hormonal",IF(LEFT(Y44,1)="J","Antiinfecciosos",IF(LEFT(Y44,1)="L","Oncológicos",IF(LEFT(Y44,1)="M","Musculoesquelético",IF(LEFT(Y44,1)="N","Sistema nervioso",IF(LEFT(Y44,1)="R","Respiratorio",IF(LEFT(Y44,1)="S","Oftálmico",IF(LEFT(Y44,1)="V","Varios","OTRO")))))))))))))</f>
        <v>Respiratorio</v>
      </c>
      <c r="AM44" t="str">
        <f>IF(AG44="Vigente","ACTIVO",IF(ISNUMBER(SEARCH("Inactivo",J44)),"INACTIVO","REVISAR"))</f>
        <v>ACTIVO</v>
      </c>
      <c r="AN44" t="str">
        <f ca="1">IF(OR(AF44="",AF44="null"),"",ROUND((AF44-TODAY())/365.25,2))</f>
        <v/>
      </c>
      <c r="AO44" t="str">
        <f ca="1">IF(AND(AG44="Vigente",OR(AF44="",AF44="null",AF44&gt;TODAY())),"SI",IF(AND(NOT(OR(AF44="",AF44="null")),AF44&lt;=TODAY()),"NO",IF(AG44="Vigente","SI","DESCONOCIDO")))</f>
        <v>SI</v>
      </c>
      <c r="AP44" t="str">
        <f>IF(AND(ISNUMBER(SEARCH("IMPORTAR",AA44)),ISNUMBER(SEARCH("FABRICAR",AA44))),"MIXTO",IF(ISNUMBER(SEARCH("IMPORTAR",AA44)),"IMPORTADO",IF(ISNUMBER(SEARCH("FABRICAR",AA44)),"LOCAL","OTRO")))</f>
        <v>LOCAL</v>
      </c>
      <c r="AQ44" t="str">
        <f>IF(AD44="Si","SI",IF(AD44="No","NO",""))</f>
        <v>SI</v>
      </c>
      <c r="AR44" t="str">
        <f>IF(ISNUMBER(SEARCH("®",N44)),"MARCA/INNOVADOR","GENERICO")</f>
        <v>GENERICO</v>
      </c>
      <c r="AS44">
        <f ca="1">IF(AE44&gt;100,RANDBETWEEN(500,5000),IF(AND(AE44&gt;=10,AE44&lt;=100),RANDBETWEEN(100,1000),RANDBETWEEN(10,200)))</f>
        <v>64</v>
      </c>
      <c r="AT44">
        <f t="shared" ca="1" si="2"/>
        <v>14</v>
      </c>
      <c r="AU44">
        <f ca="1">INT(AS44*RANDBETWEEN(120,200)/100)</f>
        <v>107</v>
      </c>
      <c r="AV44" s="2">
        <f ca="1">IF(LEFT(Y44,1)="L",RANDBETWEEN(500000,5000000),IF(LEFT(Y44,1)="C",RANDBETWEEN(5000,50000),IF(LEFT(Y44,1)="N",RANDBETWEEN(10000,150000),IF(LEFT(Y44,1)="J",RANDBETWEEN(8000,200000),RANDBETWEEN(5000,100000)))))</f>
        <v>24255</v>
      </c>
      <c r="AW44" s="2">
        <f ca="1">INT(AV44*RANDBETWEEN(30,60)/100)</f>
        <v>14067</v>
      </c>
      <c r="AX44">
        <f ca="1">IF(Z44="ORAL",RANDBETWEEN(1000,10000),IF(OR(Z44="INTRAVENOSA",Z44="INTRAMUSCULAR"),RANDBETWEEN(100,2000),IF(OR(Z44="OFTÁLMICA",Z44="TOPICA (EXTERNA)"),RANDBETWEEN(200,3000),RANDBETWEEN(100,1500))))</f>
        <v>308</v>
      </c>
      <c r="AY44" s="2">
        <f ca="1">INT(AV44*RANDBETWEEN(90,130)/100)</f>
        <v>28620</v>
      </c>
      <c r="AZ44" t="str">
        <f t="shared" ca="1" si="3"/>
        <v>1.5%</v>
      </c>
      <c r="BA44" t="str">
        <f t="shared" ca="1" si="4"/>
        <v>ALTO</v>
      </c>
    </row>
    <row r="45" spans="4:53" x14ac:dyDescent="0.35">
      <c r="D45" t="s">
        <v>500</v>
      </c>
      <c r="E45" s="1">
        <v>39843</v>
      </c>
      <c r="F45" t="s">
        <v>501</v>
      </c>
      <c r="G45" t="s">
        <v>502</v>
      </c>
      <c r="H45" t="s">
        <v>503</v>
      </c>
      <c r="I45">
        <v>19997621</v>
      </c>
      <c r="J45" t="s">
        <v>28</v>
      </c>
      <c r="K45">
        <v>3</v>
      </c>
      <c r="L45" t="s">
        <v>27</v>
      </c>
      <c r="M45" t="s">
        <v>504</v>
      </c>
      <c r="N45" t="s">
        <v>505</v>
      </c>
      <c r="O45" t="s">
        <v>506</v>
      </c>
      <c r="P45" t="s">
        <v>507</v>
      </c>
      <c r="Q45" s="1">
        <v>39756</v>
      </c>
      <c r="R45" t="s">
        <v>50</v>
      </c>
      <c r="S45" t="s">
        <v>27</v>
      </c>
      <c r="T45" t="s">
        <v>508</v>
      </c>
      <c r="U45" t="s">
        <v>115</v>
      </c>
      <c r="V45" t="s">
        <v>339</v>
      </c>
      <c r="W45">
        <v>4</v>
      </c>
      <c r="X45">
        <v>19997621</v>
      </c>
      <c r="Y45" t="s">
        <v>340</v>
      </c>
      <c r="Z45" t="s">
        <v>260</v>
      </c>
      <c r="AA45" t="s">
        <v>24</v>
      </c>
      <c r="AB45" t="s">
        <v>120</v>
      </c>
      <c r="AC45" t="s">
        <v>25</v>
      </c>
      <c r="AD45" t="s">
        <v>121</v>
      </c>
      <c r="AE45">
        <v>5</v>
      </c>
      <c r="AF45" s="1">
        <v>401769</v>
      </c>
      <c r="AG45" t="s">
        <v>26</v>
      </c>
      <c r="AH45" t="s">
        <v>6615</v>
      </c>
      <c r="AI45" t="str">
        <f t="shared" si="0"/>
        <v>SI</v>
      </c>
      <c r="AJ45" t="str">
        <f t="shared" si="1"/>
        <v>PRODUCTORA DE CAPSULAS DE GELATINA. PROCAPS</v>
      </c>
      <c r="AK45" t="str">
        <f>IF(ISNUMBER(SEARCH("FABRICANTE",AC45)),"FABRICANTE",IF(ISNUMBER(SEARCH("IMPORTADOR",AC45)),"IMPORTADOR","OTRO"))</f>
        <v>FABRICANTE</v>
      </c>
      <c r="AL45" t="str">
        <f>IF(LEFT(Y45,1)="A","Sistema digestivo",IF(LEFT(Y45,1)="B","Sangre",IF(LEFT(Y45,1)="C","Cardiovascular",IF(LEFT(Y45,1)="D","Dermatológico",IF(LEFT(Y45,1)="G","Genitourinario",IF(LEFT(Y45,1)="H","Hormonal",IF(LEFT(Y45,1)="J","Antiinfecciosos",IF(LEFT(Y45,1)="L","Oncológicos",IF(LEFT(Y45,1)="M","Musculoesquelético",IF(LEFT(Y45,1)="N","Sistema nervioso",IF(LEFT(Y45,1)="R","Respiratorio",IF(LEFT(Y45,1)="S","Oftálmico",IF(LEFT(Y45,1)="V","Varios","OTRO")))))))))))))</f>
        <v>Hormonal</v>
      </c>
      <c r="AM45" t="str">
        <f>IF(AG45="Vigente","ACTIVO",IF(ISNUMBER(SEARCH("Inactivo",J45)),"INACTIVO","REVISAR"))</f>
        <v>ACTIVO</v>
      </c>
      <c r="AN45">
        <f ca="1">IF(OR(AF45="",AF45="null"),"",ROUND((AF45-TODAY())/365.25,2))</f>
        <v>973.58</v>
      </c>
      <c r="AO45" t="str">
        <f ca="1">IF(AND(AG45="Vigente",OR(AF45="",AF45="null",AF45&gt;TODAY())),"SI",IF(AND(NOT(OR(AF45="",AF45="null")),AF45&lt;=TODAY()),"NO",IF(AG45="Vigente","SI","DESCONOCIDO")))</f>
        <v>SI</v>
      </c>
      <c r="AP45" t="str">
        <f>IF(AND(ISNUMBER(SEARCH("IMPORTAR",AA45)),ISNUMBER(SEARCH("FABRICAR",AA45))),"MIXTO",IF(ISNUMBER(SEARCH("IMPORTAR",AA45)),"IMPORTADO",IF(ISNUMBER(SEARCH("FABRICAR",AA45)),"LOCAL","OTRO")))</f>
        <v>LOCAL</v>
      </c>
      <c r="AQ45" t="str">
        <f>IF(AD45="Si","SI",IF(AD45="No","NO",""))</f>
        <v>NO</v>
      </c>
      <c r="AR45" t="str">
        <f>IF(ISNUMBER(SEARCH("®",N45)),"MARCA/INNOVADOR","GENERICO")</f>
        <v>GENERICO</v>
      </c>
      <c r="AS45">
        <f ca="1">IF(AE45&gt;100,RANDBETWEEN(500,5000),IF(AND(AE45&gt;=10,AE45&lt;=100),RANDBETWEEN(100,1000),RANDBETWEEN(10,200)))</f>
        <v>103</v>
      </c>
      <c r="AT45">
        <f t="shared" ca="1" si="2"/>
        <v>10</v>
      </c>
      <c r="AU45">
        <f ca="1">INT(AS45*RANDBETWEEN(120,200)/100)</f>
        <v>199</v>
      </c>
      <c r="AV45" s="2">
        <f ca="1">IF(LEFT(Y45,1)="L",RANDBETWEEN(500000,5000000),IF(LEFT(Y45,1)="C",RANDBETWEEN(5000,50000),IF(LEFT(Y45,1)="N",RANDBETWEEN(10000,150000),IF(LEFT(Y45,1)="J",RANDBETWEEN(8000,200000),RANDBETWEEN(5000,100000)))))</f>
        <v>16965</v>
      </c>
      <c r="AW45" s="2">
        <f ca="1">INT(AV45*RANDBETWEEN(30,60)/100)</f>
        <v>7634</v>
      </c>
      <c r="AX45">
        <f ca="1">IF(Z45="ORAL",RANDBETWEEN(1000,10000),IF(OR(Z45="INTRAVENOSA",Z45="INTRAMUSCULAR"),RANDBETWEEN(100,2000),IF(OR(Z45="OFTÁLMICA",Z45="TOPICA (EXTERNA)"),RANDBETWEEN(200,3000),RANDBETWEEN(100,1500))))</f>
        <v>1676</v>
      </c>
      <c r="AY45" s="2">
        <f ca="1">INT(AV45*RANDBETWEEN(90,130)/100)</f>
        <v>19679</v>
      </c>
      <c r="AZ45" t="str">
        <f t="shared" ca="1" si="3"/>
        <v>3.9%</v>
      </c>
      <c r="BA45" t="str">
        <f t="shared" ca="1" si="4"/>
        <v>BAJO</v>
      </c>
    </row>
    <row r="46" spans="4:53" x14ac:dyDescent="0.35">
      <c r="D46" t="s">
        <v>509</v>
      </c>
      <c r="E46" s="1">
        <v>39736</v>
      </c>
      <c r="F46" t="s">
        <v>510</v>
      </c>
      <c r="G46" t="s">
        <v>108</v>
      </c>
      <c r="H46" t="s">
        <v>428</v>
      </c>
      <c r="I46">
        <v>19984369</v>
      </c>
      <c r="J46" t="s">
        <v>28</v>
      </c>
      <c r="K46">
        <v>11</v>
      </c>
      <c r="L46" t="s">
        <v>27</v>
      </c>
      <c r="M46" t="s">
        <v>511</v>
      </c>
      <c r="N46" t="s">
        <v>512</v>
      </c>
      <c r="O46" t="s">
        <v>513</v>
      </c>
      <c r="P46" t="s">
        <v>266</v>
      </c>
      <c r="Q46" s="1">
        <v>43165</v>
      </c>
      <c r="R46" t="s">
        <v>200</v>
      </c>
      <c r="S46" t="s">
        <v>27</v>
      </c>
      <c r="T46" t="s">
        <v>428</v>
      </c>
      <c r="U46" t="s">
        <v>115</v>
      </c>
      <c r="V46" t="s">
        <v>460</v>
      </c>
      <c r="W46">
        <v>20</v>
      </c>
      <c r="X46">
        <v>19984369</v>
      </c>
      <c r="Y46" t="s">
        <v>461</v>
      </c>
      <c r="Z46" t="s">
        <v>119</v>
      </c>
      <c r="AA46" t="s">
        <v>24</v>
      </c>
      <c r="AB46" t="s">
        <v>120</v>
      </c>
      <c r="AC46" t="s">
        <v>25</v>
      </c>
      <c r="AD46" t="s">
        <v>121</v>
      </c>
      <c r="AE46">
        <v>72</v>
      </c>
      <c r="AF46" t="s">
        <v>27</v>
      </c>
      <c r="AG46" t="s">
        <v>26</v>
      </c>
      <c r="AH46" t="s">
        <v>966</v>
      </c>
      <c r="AI46" t="str">
        <f t="shared" si="0"/>
        <v>NO</v>
      </c>
      <c r="AJ46" t="str">
        <f t="shared" si="1"/>
        <v>LABORATORIOS SIEGFRIED</v>
      </c>
      <c r="AK46" t="str">
        <f>IF(ISNUMBER(SEARCH("FABRICANTE",AC46)),"FABRICANTE",IF(ISNUMBER(SEARCH("IMPORTADOR",AC46)),"IMPORTADOR","OTRO"))</f>
        <v>FABRICANTE</v>
      </c>
      <c r="AL46" t="str">
        <f>IF(LEFT(Y46,1)="A","Sistema digestivo",IF(LEFT(Y46,1)="B","Sangre",IF(LEFT(Y46,1)="C","Cardiovascular",IF(LEFT(Y46,1)="D","Dermatológico",IF(LEFT(Y46,1)="G","Genitourinario",IF(LEFT(Y46,1)="H","Hormonal",IF(LEFT(Y46,1)="J","Antiinfecciosos",IF(LEFT(Y46,1)="L","Oncológicos",IF(LEFT(Y46,1)="M","Musculoesquelético",IF(LEFT(Y46,1)="N","Sistema nervioso",IF(LEFT(Y46,1)="R","Respiratorio",IF(LEFT(Y46,1)="S","Oftálmico",IF(LEFT(Y46,1)="V","Varios","OTRO")))))))))))))</f>
        <v>Respiratorio</v>
      </c>
      <c r="AM46" t="str">
        <f>IF(AG46="Vigente","ACTIVO",IF(ISNUMBER(SEARCH("Inactivo",J46)),"INACTIVO","REVISAR"))</f>
        <v>ACTIVO</v>
      </c>
      <c r="AN46" t="str">
        <f ca="1">IF(OR(AF46="",AF46="null"),"",ROUND((AF46-TODAY())/365.25,2))</f>
        <v/>
      </c>
      <c r="AO46" t="str">
        <f ca="1">IF(AND(AG46="Vigente",OR(AF46="",AF46="null",AF46&gt;TODAY())),"SI",IF(AND(NOT(OR(AF46="",AF46="null")),AF46&lt;=TODAY()),"NO",IF(AG46="Vigente","SI","DESCONOCIDO")))</f>
        <v>SI</v>
      </c>
      <c r="AP46" t="str">
        <f>IF(AND(ISNUMBER(SEARCH("IMPORTAR",AA46)),ISNUMBER(SEARCH("FABRICAR",AA46))),"MIXTO",IF(ISNUMBER(SEARCH("IMPORTAR",AA46)),"IMPORTADO",IF(ISNUMBER(SEARCH("FABRICAR",AA46)),"LOCAL","OTRO")))</f>
        <v>LOCAL</v>
      </c>
      <c r="AQ46" t="str">
        <f>IF(AD46="Si","SI",IF(AD46="No","NO",""))</f>
        <v>NO</v>
      </c>
      <c r="AR46" t="str">
        <f>IF(ISNUMBER(SEARCH("®",N46)),"MARCA/INNOVADOR","GENERICO")</f>
        <v>MARCA/INNOVADOR</v>
      </c>
      <c r="AS46">
        <f ca="1">IF(AE46&gt;100,RANDBETWEEN(500,5000),IF(AND(AE46&gt;=10,AE46&lt;=100),RANDBETWEEN(100,1000),RANDBETWEEN(10,200)))</f>
        <v>696</v>
      </c>
      <c r="AT46">
        <f t="shared" ca="1" si="2"/>
        <v>187</v>
      </c>
      <c r="AU46">
        <f ca="1">INT(AS46*RANDBETWEEN(120,200)/100)</f>
        <v>876</v>
      </c>
      <c r="AV46" s="2">
        <f ca="1">IF(LEFT(Y46,1)="L",RANDBETWEEN(500000,5000000),IF(LEFT(Y46,1)="C",RANDBETWEEN(5000,50000),IF(LEFT(Y46,1)="N",RANDBETWEEN(10000,150000),IF(LEFT(Y46,1)="J",RANDBETWEEN(8000,200000),RANDBETWEEN(5000,100000)))))</f>
        <v>86273</v>
      </c>
      <c r="AW46" s="2">
        <f ca="1">INT(AV46*RANDBETWEEN(30,60)/100)</f>
        <v>38822</v>
      </c>
      <c r="AX46">
        <f ca="1">IF(Z46="ORAL",RANDBETWEEN(1000,10000),IF(OR(Z46="INTRAVENOSA",Z46="INTRAMUSCULAR"),RANDBETWEEN(100,2000),IF(OR(Z46="OFTÁLMICA",Z46="TOPICA (EXTERNA)"),RANDBETWEEN(200,3000),RANDBETWEEN(100,1500))))</f>
        <v>4296</v>
      </c>
      <c r="AY46" s="2">
        <f ca="1">INT(AV46*RANDBETWEEN(90,130)/100)</f>
        <v>81096</v>
      </c>
      <c r="AZ46" t="str">
        <f t="shared" ca="1" si="3"/>
        <v>12.6%</v>
      </c>
      <c r="BA46" t="str">
        <f t="shared" ca="1" si="4"/>
        <v>BAJO</v>
      </c>
    </row>
    <row r="47" spans="4:53" x14ac:dyDescent="0.35">
      <c r="D47" t="s">
        <v>514</v>
      </c>
      <c r="E47" s="1">
        <v>42226</v>
      </c>
      <c r="F47" t="s">
        <v>515</v>
      </c>
      <c r="G47" t="s">
        <v>108</v>
      </c>
      <c r="H47" t="s">
        <v>516</v>
      </c>
      <c r="I47">
        <v>20080371</v>
      </c>
      <c r="J47" t="s">
        <v>28</v>
      </c>
      <c r="K47">
        <v>2</v>
      </c>
      <c r="L47" t="s">
        <v>27</v>
      </c>
      <c r="M47" t="s">
        <v>517</v>
      </c>
      <c r="N47" t="s">
        <v>518</v>
      </c>
      <c r="O47" t="s">
        <v>519</v>
      </c>
      <c r="P47" t="s">
        <v>33</v>
      </c>
      <c r="Q47" s="1">
        <v>42080</v>
      </c>
      <c r="R47" t="s">
        <v>33</v>
      </c>
      <c r="S47" s="1">
        <v>44077</v>
      </c>
      <c r="T47" t="s">
        <v>520</v>
      </c>
      <c r="U47" t="s">
        <v>115</v>
      </c>
      <c r="V47" t="s">
        <v>162</v>
      </c>
      <c r="W47">
        <v>400</v>
      </c>
      <c r="X47">
        <v>20080371</v>
      </c>
      <c r="Y47" t="s">
        <v>164</v>
      </c>
      <c r="Z47" t="s">
        <v>119</v>
      </c>
      <c r="AA47" t="s">
        <v>32</v>
      </c>
      <c r="AB47" t="s">
        <v>120</v>
      </c>
      <c r="AC47" t="s">
        <v>25</v>
      </c>
      <c r="AD47" t="s">
        <v>121</v>
      </c>
      <c r="AE47">
        <v>20</v>
      </c>
      <c r="AF47" t="s">
        <v>27</v>
      </c>
      <c r="AG47" t="s">
        <v>26</v>
      </c>
      <c r="AH47" t="s">
        <v>515</v>
      </c>
      <c r="AI47" t="str">
        <f t="shared" si="0"/>
        <v>NO</v>
      </c>
      <c r="AJ47" t="str">
        <f t="shared" si="1"/>
        <v>HALEON COLOMBIA</v>
      </c>
      <c r="AK47" t="str">
        <f>IF(ISNUMBER(SEARCH("FABRICANTE",AC47)),"FABRICANTE",IF(ISNUMBER(SEARCH("IMPORTADOR",AC47)),"IMPORTADOR","OTRO"))</f>
        <v>FABRICANTE</v>
      </c>
      <c r="AL47" t="str">
        <f>IF(LEFT(Y47,1)="A","Sistema digestivo",IF(LEFT(Y47,1)="B","Sangre",IF(LEFT(Y47,1)="C","Cardiovascular",IF(LEFT(Y47,1)="D","Dermatológico",IF(LEFT(Y47,1)="G","Genitourinario",IF(LEFT(Y47,1)="H","Hormonal",IF(LEFT(Y47,1)="J","Antiinfecciosos",IF(LEFT(Y47,1)="L","Oncológicos",IF(LEFT(Y47,1)="M","Musculoesquelético",IF(LEFT(Y47,1)="N","Sistema nervioso",IF(LEFT(Y47,1)="R","Respiratorio",IF(LEFT(Y47,1)="S","Oftálmico",IF(LEFT(Y47,1)="V","Varios","OTRO")))))))))))))</f>
        <v>Musculoesquelético</v>
      </c>
      <c r="AM47" t="str">
        <f>IF(AG47="Vigente","ACTIVO",IF(ISNUMBER(SEARCH("Inactivo",J47)),"INACTIVO","REVISAR"))</f>
        <v>ACTIVO</v>
      </c>
      <c r="AN47" t="str">
        <f ca="1">IF(OR(AF47="",AF47="null"),"",ROUND((AF47-TODAY())/365.25,2))</f>
        <v/>
      </c>
      <c r="AO47" t="str">
        <f ca="1">IF(AND(AG47="Vigente",OR(AF47="",AF47="null",AF47&gt;TODAY())),"SI",IF(AND(NOT(OR(AF47="",AF47="null")),AF47&lt;=TODAY()),"NO",IF(AG47="Vigente","SI","DESCONOCIDO")))</f>
        <v>SI</v>
      </c>
      <c r="AP47" t="str">
        <f>IF(AND(ISNUMBER(SEARCH("IMPORTAR",AA47)),ISNUMBER(SEARCH("FABRICAR",AA47))),"MIXTO",IF(ISNUMBER(SEARCH("IMPORTAR",AA47)),"IMPORTADO",IF(ISNUMBER(SEARCH("FABRICAR",AA47)),"LOCAL","OTRO")))</f>
        <v>IMPORTADO</v>
      </c>
      <c r="AQ47" t="str">
        <f>IF(AD47="Si","SI",IF(AD47="No","NO",""))</f>
        <v>NO</v>
      </c>
      <c r="AR47" t="str">
        <f>IF(ISNUMBER(SEARCH("®",N47)),"MARCA/INNOVADOR","GENERICO")</f>
        <v>MARCA/INNOVADOR</v>
      </c>
      <c r="AS47">
        <f ca="1">IF(AE47&gt;100,RANDBETWEEN(500,5000),IF(AND(AE47&gt;=10,AE47&lt;=100),RANDBETWEEN(100,1000),RANDBETWEEN(10,200)))</f>
        <v>310</v>
      </c>
      <c r="AT47">
        <f t="shared" ca="1" si="2"/>
        <v>40</v>
      </c>
      <c r="AU47">
        <f ca="1">INT(AS47*RANDBETWEEN(120,200)/100)</f>
        <v>446</v>
      </c>
      <c r="AV47" s="2">
        <f ca="1">IF(LEFT(Y47,1)="L",RANDBETWEEN(500000,5000000),IF(LEFT(Y47,1)="C",RANDBETWEEN(5000,50000),IF(LEFT(Y47,1)="N",RANDBETWEEN(10000,150000),IF(LEFT(Y47,1)="J",RANDBETWEEN(8000,200000),RANDBETWEEN(5000,100000)))))</f>
        <v>63868</v>
      </c>
      <c r="AW47" s="2">
        <f ca="1">INT(AV47*RANDBETWEEN(30,60)/100)</f>
        <v>37043</v>
      </c>
      <c r="AX47">
        <f ca="1">IF(Z47="ORAL",RANDBETWEEN(1000,10000),IF(OR(Z47="INTRAVENOSA",Z47="INTRAMUSCULAR"),RANDBETWEEN(100,2000),IF(OR(Z47="OFTÁLMICA",Z47="TOPICA (EXTERNA)"),RANDBETWEEN(200,3000),RANDBETWEEN(100,1500))))</f>
        <v>3104</v>
      </c>
      <c r="AY47" s="2">
        <f ca="1">INT(AV47*RANDBETWEEN(90,130)/100)</f>
        <v>78557</v>
      </c>
      <c r="AZ47" t="str">
        <f t="shared" ca="1" si="3"/>
        <v>11.1%</v>
      </c>
      <c r="BA47" t="str">
        <f t="shared" ca="1" si="4"/>
        <v>BAJO</v>
      </c>
    </row>
    <row r="48" spans="4:53" x14ac:dyDescent="0.35">
      <c r="D48" t="s">
        <v>521</v>
      </c>
      <c r="E48" s="1">
        <v>41401</v>
      </c>
      <c r="F48" t="s">
        <v>522</v>
      </c>
      <c r="G48" t="s">
        <v>108</v>
      </c>
      <c r="H48" t="s">
        <v>454</v>
      </c>
      <c r="I48">
        <v>20058810</v>
      </c>
      <c r="J48" t="s">
        <v>28</v>
      </c>
      <c r="K48">
        <v>10</v>
      </c>
      <c r="L48" t="s">
        <v>27</v>
      </c>
      <c r="M48" t="s">
        <v>523</v>
      </c>
      <c r="N48" t="s">
        <v>524</v>
      </c>
      <c r="O48" t="s">
        <v>525</v>
      </c>
      <c r="P48" t="s">
        <v>526</v>
      </c>
      <c r="Q48" s="1">
        <v>43732</v>
      </c>
      <c r="R48" t="s">
        <v>527</v>
      </c>
      <c r="S48" t="s">
        <v>27</v>
      </c>
      <c r="T48" t="s">
        <v>520</v>
      </c>
      <c r="U48" t="s">
        <v>115</v>
      </c>
      <c r="V48" t="s">
        <v>528</v>
      </c>
      <c r="W48">
        <v>500</v>
      </c>
      <c r="X48">
        <v>20058810</v>
      </c>
      <c r="Y48" t="s">
        <v>529</v>
      </c>
      <c r="Z48" t="s">
        <v>119</v>
      </c>
      <c r="AA48" t="s">
        <v>24</v>
      </c>
      <c r="AB48" t="s">
        <v>120</v>
      </c>
      <c r="AC48" t="s">
        <v>25</v>
      </c>
      <c r="AD48" t="s">
        <v>121</v>
      </c>
      <c r="AE48">
        <v>10</v>
      </c>
      <c r="AF48" t="s">
        <v>27</v>
      </c>
      <c r="AG48" t="s">
        <v>26</v>
      </c>
      <c r="AH48" t="s">
        <v>522</v>
      </c>
      <c r="AI48" t="str">
        <f t="shared" si="0"/>
        <v>NO</v>
      </c>
      <c r="AJ48" t="str">
        <f t="shared" si="1"/>
        <v>HALEON COLOMBIA</v>
      </c>
      <c r="AK48" t="str">
        <f>IF(ISNUMBER(SEARCH("FABRICANTE",AC48)),"FABRICANTE",IF(ISNUMBER(SEARCH("IMPORTADOR",AC48)),"IMPORTADOR","OTRO"))</f>
        <v>FABRICANTE</v>
      </c>
      <c r="AL48" t="str">
        <f>IF(LEFT(Y48,1)="A","Sistema digestivo",IF(LEFT(Y48,1)="B","Sangre",IF(LEFT(Y48,1)="C","Cardiovascular",IF(LEFT(Y48,1)="D","Dermatológico",IF(LEFT(Y48,1)="G","Genitourinario",IF(LEFT(Y48,1)="H","Hormonal",IF(LEFT(Y48,1)="J","Antiinfecciosos",IF(LEFT(Y48,1)="L","Oncológicos",IF(LEFT(Y48,1)="M","Musculoesquelético",IF(LEFT(Y48,1)="N","Sistema nervioso",IF(LEFT(Y48,1)="R","Respiratorio",IF(LEFT(Y48,1)="S","Oftálmico",IF(LEFT(Y48,1)="V","Varios","OTRO")))))))))))))</f>
        <v>Sistema nervioso</v>
      </c>
      <c r="AM48" t="str">
        <f>IF(AG48="Vigente","ACTIVO",IF(ISNUMBER(SEARCH("Inactivo",J48)),"INACTIVO","REVISAR"))</f>
        <v>ACTIVO</v>
      </c>
      <c r="AN48" t="str">
        <f ca="1">IF(OR(AF48="",AF48="null"),"",ROUND((AF48-TODAY())/365.25,2))</f>
        <v/>
      </c>
      <c r="AO48" t="str">
        <f ca="1">IF(AND(AG48="Vigente",OR(AF48="",AF48="null",AF48&gt;TODAY())),"SI",IF(AND(NOT(OR(AF48="",AF48="null")),AF48&lt;=TODAY()),"NO",IF(AG48="Vigente","SI","DESCONOCIDO")))</f>
        <v>SI</v>
      </c>
      <c r="AP48" t="str">
        <f>IF(AND(ISNUMBER(SEARCH("IMPORTAR",AA48)),ISNUMBER(SEARCH("FABRICAR",AA48))),"MIXTO",IF(ISNUMBER(SEARCH("IMPORTAR",AA48)),"IMPORTADO",IF(ISNUMBER(SEARCH("FABRICAR",AA48)),"LOCAL","OTRO")))</f>
        <v>LOCAL</v>
      </c>
      <c r="AQ48" t="str">
        <f>IF(AD48="Si","SI",IF(AD48="No","NO",""))</f>
        <v>NO</v>
      </c>
      <c r="AR48" t="str">
        <f>IF(ISNUMBER(SEARCH("®",N48)),"MARCA/INNOVADOR","GENERICO")</f>
        <v>MARCA/INNOVADOR</v>
      </c>
      <c r="AS48">
        <f ca="1">IF(AE48&gt;100,RANDBETWEEN(500,5000),IF(AND(AE48&gt;=10,AE48&lt;=100),RANDBETWEEN(100,1000),RANDBETWEEN(10,200)))</f>
        <v>243</v>
      </c>
      <c r="AT48">
        <f t="shared" ca="1" si="2"/>
        <v>38</v>
      </c>
      <c r="AU48">
        <f ca="1">INT(AS48*RANDBETWEEN(120,200)/100)</f>
        <v>444</v>
      </c>
      <c r="AV48" s="2">
        <f ca="1">IF(LEFT(Y48,1)="L",RANDBETWEEN(500000,5000000),IF(LEFT(Y48,1)="C",RANDBETWEEN(5000,50000),IF(LEFT(Y48,1)="N",RANDBETWEEN(10000,150000),IF(LEFT(Y48,1)="J",RANDBETWEEN(8000,200000),RANDBETWEEN(5000,100000)))))</f>
        <v>16204</v>
      </c>
      <c r="AW48" s="2">
        <f ca="1">INT(AV48*RANDBETWEEN(30,60)/100)</f>
        <v>8588</v>
      </c>
      <c r="AX48">
        <f ca="1">IF(Z48="ORAL",RANDBETWEEN(1000,10000),IF(OR(Z48="INTRAVENOSA",Z48="INTRAMUSCULAR"),RANDBETWEEN(100,2000),IF(OR(Z48="OFTÁLMICA",Z48="TOPICA (EXTERNA)"),RANDBETWEEN(200,3000),RANDBETWEEN(100,1500))))</f>
        <v>4855</v>
      </c>
      <c r="AY48" s="2">
        <f ca="1">INT(AV48*RANDBETWEEN(90,130)/100)</f>
        <v>19930</v>
      </c>
      <c r="AZ48" t="str">
        <f t="shared" ca="1" si="3"/>
        <v>9.6%</v>
      </c>
      <c r="BA48" t="str">
        <f t="shared" ca="1" si="4"/>
        <v>BAJO</v>
      </c>
    </row>
    <row r="49" spans="4:53" x14ac:dyDescent="0.35">
      <c r="D49" t="s">
        <v>530</v>
      </c>
      <c r="E49" s="1">
        <v>41227</v>
      </c>
      <c r="F49" t="s">
        <v>531</v>
      </c>
      <c r="G49" t="s">
        <v>108</v>
      </c>
      <c r="H49" t="s">
        <v>532</v>
      </c>
      <c r="I49">
        <v>20045158</v>
      </c>
      <c r="J49" t="s">
        <v>110</v>
      </c>
      <c r="K49">
        <v>8</v>
      </c>
      <c r="L49" t="s">
        <v>27</v>
      </c>
      <c r="M49" t="s">
        <v>533</v>
      </c>
      <c r="N49" t="s">
        <v>534</v>
      </c>
      <c r="O49" t="s">
        <v>535</v>
      </c>
      <c r="P49" t="s">
        <v>536</v>
      </c>
      <c r="Q49" s="1">
        <v>42536</v>
      </c>
      <c r="R49" t="s">
        <v>33</v>
      </c>
      <c r="S49" t="s">
        <v>27</v>
      </c>
      <c r="T49" t="s">
        <v>532</v>
      </c>
      <c r="U49" t="s">
        <v>115</v>
      </c>
      <c r="V49" t="s">
        <v>75</v>
      </c>
      <c r="W49" t="s">
        <v>537</v>
      </c>
      <c r="X49">
        <v>20045158</v>
      </c>
      <c r="Y49" t="s">
        <v>72</v>
      </c>
      <c r="Z49" t="s">
        <v>119</v>
      </c>
      <c r="AA49" t="s">
        <v>32</v>
      </c>
      <c r="AB49" t="s">
        <v>120</v>
      </c>
      <c r="AC49" t="s">
        <v>38</v>
      </c>
      <c r="AD49" t="s">
        <v>121</v>
      </c>
      <c r="AE49">
        <v>28</v>
      </c>
      <c r="AF49" t="s">
        <v>27</v>
      </c>
      <c r="AG49" t="s">
        <v>26</v>
      </c>
      <c r="AH49" t="s">
        <v>79</v>
      </c>
      <c r="AI49" t="str">
        <f t="shared" si="0"/>
        <v>NO</v>
      </c>
      <c r="AJ49" t="str">
        <f t="shared" si="1"/>
        <v>FAES FARMA COLOMBIA</v>
      </c>
      <c r="AK49" t="str">
        <f>IF(ISNUMBER(SEARCH("FABRICANTE",AC49)),"FABRICANTE",IF(ISNUMBER(SEARCH("IMPORTADOR",AC49)),"IMPORTADOR","OTRO"))</f>
        <v>IMPORTADOR</v>
      </c>
      <c r="AL49" t="str">
        <f>IF(LEFT(Y49,1)="A","Sistema digestivo",IF(LEFT(Y49,1)="B","Sangre",IF(LEFT(Y49,1)="C","Cardiovascular",IF(LEFT(Y49,1)="D","Dermatológico",IF(LEFT(Y49,1)="G","Genitourinario",IF(LEFT(Y49,1)="H","Hormonal",IF(LEFT(Y49,1)="J","Antiinfecciosos",IF(LEFT(Y49,1)="L","Oncológicos",IF(LEFT(Y49,1)="M","Musculoesquelético",IF(LEFT(Y49,1)="N","Sistema nervioso",IF(LEFT(Y49,1)="R","Respiratorio",IF(LEFT(Y49,1)="S","Oftálmico",IF(LEFT(Y49,1)="V","Varios","OTRO")))))))))))))</f>
        <v>Antiinfecciosos</v>
      </c>
      <c r="AM49" t="str">
        <f>IF(AG49="Vigente","ACTIVO",IF(ISNUMBER(SEARCH("Inactivo",J49)),"INACTIVO","REVISAR"))</f>
        <v>ACTIVO</v>
      </c>
      <c r="AN49" t="str">
        <f ca="1">IF(OR(AF49="",AF49="null"),"",ROUND((AF49-TODAY())/365.25,2))</f>
        <v/>
      </c>
      <c r="AO49" t="str">
        <f ca="1">IF(AND(AG49="Vigente",OR(AF49="",AF49="null",AF49&gt;TODAY())),"SI",IF(AND(NOT(OR(AF49="",AF49="null")),AF49&lt;=TODAY()),"NO",IF(AG49="Vigente","SI","DESCONOCIDO")))</f>
        <v>SI</v>
      </c>
      <c r="AP49" t="str">
        <f>IF(AND(ISNUMBER(SEARCH("IMPORTAR",AA49)),ISNUMBER(SEARCH("FABRICAR",AA49))),"MIXTO",IF(ISNUMBER(SEARCH("IMPORTAR",AA49)),"IMPORTADO",IF(ISNUMBER(SEARCH("FABRICAR",AA49)),"LOCAL","OTRO")))</f>
        <v>IMPORTADO</v>
      </c>
      <c r="AQ49" t="str">
        <f>IF(AD49="Si","SI",IF(AD49="No","NO",""))</f>
        <v>NO</v>
      </c>
      <c r="AR49" t="str">
        <f>IF(ISNUMBER(SEARCH("®",N49)),"MARCA/INNOVADOR","GENERICO")</f>
        <v>GENERICO</v>
      </c>
      <c r="AS49">
        <f ca="1">IF(AE49&gt;100,RANDBETWEEN(500,5000),IF(AND(AE49&gt;=10,AE49&lt;=100),RANDBETWEEN(100,1000),RANDBETWEEN(10,200)))</f>
        <v>421</v>
      </c>
      <c r="AT49">
        <f t="shared" ca="1" si="2"/>
        <v>92</v>
      </c>
      <c r="AU49">
        <f ca="1">INT(AS49*RANDBETWEEN(120,200)/100)</f>
        <v>606</v>
      </c>
      <c r="AV49" s="2">
        <f ca="1">IF(LEFT(Y49,1)="L",RANDBETWEEN(500000,5000000),IF(LEFT(Y49,1)="C",RANDBETWEEN(5000,50000),IF(LEFT(Y49,1)="N",RANDBETWEEN(10000,150000),IF(LEFT(Y49,1)="J",RANDBETWEEN(8000,200000),RANDBETWEEN(5000,100000)))))</f>
        <v>12584</v>
      </c>
      <c r="AW49" s="2">
        <f ca="1">INT(AV49*RANDBETWEEN(30,60)/100)</f>
        <v>3775</v>
      </c>
      <c r="AX49">
        <f ca="1">IF(Z49="ORAL",RANDBETWEEN(1000,10000),IF(OR(Z49="INTRAVENOSA",Z49="INTRAMUSCULAR"),RANDBETWEEN(100,2000),IF(OR(Z49="OFTÁLMICA",Z49="TOPICA (EXTERNA)"),RANDBETWEEN(200,3000),RANDBETWEEN(100,1500))))</f>
        <v>1427</v>
      </c>
      <c r="AY49" s="2">
        <f ca="1">INT(AV49*RANDBETWEEN(90,130)/100)</f>
        <v>11828</v>
      </c>
      <c r="AZ49" t="str">
        <f t="shared" ca="1" si="3"/>
        <v>13.6%</v>
      </c>
      <c r="BA49" t="str">
        <f t="shared" ca="1" si="4"/>
        <v>ALTO</v>
      </c>
    </row>
    <row r="50" spans="4:53" x14ac:dyDescent="0.35">
      <c r="D50" t="s">
        <v>538</v>
      </c>
      <c r="E50" s="1">
        <v>43327</v>
      </c>
      <c r="F50" t="s">
        <v>539</v>
      </c>
      <c r="G50" t="s">
        <v>108</v>
      </c>
      <c r="H50" t="s">
        <v>540</v>
      </c>
      <c r="I50">
        <v>20120348</v>
      </c>
      <c r="J50" t="s">
        <v>28</v>
      </c>
      <c r="K50">
        <v>10</v>
      </c>
      <c r="L50" t="s">
        <v>541</v>
      </c>
      <c r="M50" t="s">
        <v>542</v>
      </c>
      <c r="N50" t="s">
        <v>543</v>
      </c>
      <c r="O50" t="s">
        <v>544</v>
      </c>
      <c r="P50" t="s">
        <v>29</v>
      </c>
      <c r="Q50" s="1">
        <v>43306</v>
      </c>
      <c r="R50" t="s">
        <v>29</v>
      </c>
      <c r="S50" t="s">
        <v>27</v>
      </c>
      <c r="T50" t="s">
        <v>545</v>
      </c>
      <c r="U50" t="s">
        <v>115</v>
      </c>
      <c r="V50" t="s">
        <v>539</v>
      </c>
      <c r="W50">
        <v>25</v>
      </c>
      <c r="X50">
        <v>20120348</v>
      </c>
      <c r="Y50" t="s">
        <v>546</v>
      </c>
      <c r="Z50" t="s">
        <v>119</v>
      </c>
      <c r="AA50" t="s">
        <v>32</v>
      </c>
      <c r="AB50" t="s">
        <v>120</v>
      </c>
      <c r="AC50" t="s">
        <v>25</v>
      </c>
      <c r="AD50" t="s">
        <v>121</v>
      </c>
      <c r="AE50">
        <v>500</v>
      </c>
      <c r="AF50" t="s">
        <v>27</v>
      </c>
      <c r="AG50" t="s">
        <v>26</v>
      </c>
      <c r="AH50" t="s">
        <v>539</v>
      </c>
      <c r="AI50" t="str">
        <f t="shared" si="0"/>
        <v>NO</v>
      </c>
      <c r="AJ50" t="str">
        <f t="shared" si="1"/>
        <v>IPCA LABORATORIES</v>
      </c>
      <c r="AK50" t="str">
        <f>IF(ISNUMBER(SEARCH("FABRICANTE",AC50)),"FABRICANTE",IF(ISNUMBER(SEARCH("IMPORTADOR",AC50)),"IMPORTADOR","OTRO"))</f>
        <v>FABRICANTE</v>
      </c>
      <c r="AL50" t="str">
        <f>IF(LEFT(Y50,1)="A","Sistema digestivo",IF(LEFT(Y50,1)="B","Sangre",IF(LEFT(Y50,1)="C","Cardiovascular",IF(LEFT(Y50,1)="D","Dermatológico",IF(LEFT(Y50,1)="G","Genitourinario",IF(LEFT(Y50,1)="H","Hormonal",IF(LEFT(Y50,1)="J","Antiinfecciosos",IF(LEFT(Y50,1)="L","Oncológicos",IF(LEFT(Y50,1)="M","Musculoesquelético",IF(LEFT(Y50,1)="N","Sistema nervioso",IF(LEFT(Y50,1)="R","Respiratorio",IF(LEFT(Y50,1)="S","Oftálmico",IF(LEFT(Y50,1)="V","Varios","OTRO")))))))))))))</f>
        <v>Cardiovascular</v>
      </c>
      <c r="AM50" t="str">
        <f>IF(AG50="Vigente","ACTIVO",IF(ISNUMBER(SEARCH("Inactivo",J50)),"INACTIVO","REVISAR"))</f>
        <v>ACTIVO</v>
      </c>
      <c r="AN50" t="str">
        <f ca="1">IF(OR(AF50="",AF50="null"),"",ROUND((AF50-TODAY())/365.25,2))</f>
        <v/>
      </c>
      <c r="AO50" t="str">
        <f ca="1">IF(AND(AG50="Vigente",OR(AF50="",AF50="null",AF50&gt;TODAY())),"SI",IF(AND(NOT(OR(AF50="",AF50="null")),AF50&lt;=TODAY()),"NO",IF(AG50="Vigente","SI","DESCONOCIDO")))</f>
        <v>SI</v>
      </c>
      <c r="AP50" t="str">
        <f>IF(AND(ISNUMBER(SEARCH("IMPORTAR",AA50)),ISNUMBER(SEARCH("FABRICAR",AA50))),"MIXTO",IF(ISNUMBER(SEARCH("IMPORTAR",AA50)),"IMPORTADO",IF(ISNUMBER(SEARCH("FABRICAR",AA50)),"LOCAL","OTRO")))</f>
        <v>IMPORTADO</v>
      </c>
      <c r="AQ50" t="str">
        <f>IF(AD50="Si","SI",IF(AD50="No","NO",""))</f>
        <v>NO</v>
      </c>
      <c r="AR50" t="str">
        <f>IF(ISNUMBER(SEARCH("®",N50)),"MARCA/INNOVADOR","GENERICO")</f>
        <v>MARCA/INNOVADOR</v>
      </c>
      <c r="AS50">
        <f ca="1">IF(AE50&gt;100,RANDBETWEEN(500,5000),IF(AND(AE50&gt;=10,AE50&lt;=100),RANDBETWEEN(100,1000),RANDBETWEEN(10,200)))</f>
        <v>2173</v>
      </c>
      <c r="AT50">
        <f t="shared" ca="1" si="2"/>
        <v>412</v>
      </c>
      <c r="AU50">
        <f ca="1">INT(AS50*RANDBETWEEN(120,200)/100)</f>
        <v>4346</v>
      </c>
      <c r="AV50" s="2">
        <f ca="1">IF(LEFT(Y50,1)="L",RANDBETWEEN(500000,5000000),IF(LEFT(Y50,1)="C",RANDBETWEEN(5000,50000),IF(LEFT(Y50,1)="N",RANDBETWEEN(10000,150000),IF(LEFT(Y50,1)="J",RANDBETWEEN(8000,200000),RANDBETWEEN(5000,100000)))))</f>
        <v>44243</v>
      </c>
      <c r="AW50" s="2">
        <f ca="1">INT(AV50*RANDBETWEEN(30,60)/100)</f>
        <v>17697</v>
      </c>
      <c r="AX50">
        <f ca="1">IF(Z50="ORAL",RANDBETWEEN(1000,10000),IF(OR(Z50="INTRAVENOSA",Z50="INTRAMUSCULAR"),RANDBETWEEN(100,2000),IF(OR(Z50="OFTÁLMICA",Z50="TOPICA (EXTERNA)"),RANDBETWEEN(200,3000),RANDBETWEEN(100,1500))))</f>
        <v>5204</v>
      </c>
      <c r="AY50" s="2">
        <f ca="1">INT(AV50*RANDBETWEEN(90,130)/100)</f>
        <v>46012</v>
      </c>
      <c r="AZ50" t="str">
        <f t="shared" ca="1" si="3"/>
        <v>12.8%</v>
      </c>
      <c r="BA50" t="str">
        <f t="shared" ca="1" si="4"/>
        <v>BAJO</v>
      </c>
    </row>
    <row r="51" spans="4:53" x14ac:dyDescent="0.35">
      <c r="D51" t="s">
        <v>547</v>
      </c>
      <c r="E51" s="1">
        <v>35787</v>
      </c>
      <c r="F51" t="s">
        <v>548</v>
      </c>
      <c r="G51" t="s">
        <v>108</v>
      </c>
      <c r="H51" t="s">
        <v>549</v>
      </c>
      <c r="I51">
        <v>208141</v>
      </c>
      <c r="J51" t="s">
        <v>28</v>
      </c>
      <c r="K51">
        <v>32</v>
      </c>
      <c r="L51" t="s">
        <v>27</v>
      </c>
      <c r="M51" t="s">
        <v>550</v>
      </c>
      <c r="N51" t="s">
        <v>551</v>
      </c>
      <c r="O51" t="s">
        <v>552</v>
      </c>
      <c r="P51" t="s">
        <v>553</v>
      </c>
      <c r="Q51" s="1">
        <v>45377</v>
      </c>
      <c r="R51" t="s">
        <v>50</v>
      </c>
      <c r="S51" t="s">
        <v>27</v>
      </c>
      <c r="T51" t="s">
        <v>549</v>
      </c>
      <c r="U51" t="s">
        <v>247</v>
      </c>
      <c r="V51" t="s">
        <v>554</v>
      </c>
      <c r="W51" t="s">
        <v>555</v>
      </c>
      <c r="X51">
        <v>208141</v>
      </c>
      <c r="Y51" t="s">
        <v>556</v>
      </c>
      <c r="Z51" t="s">
        <v>260</v>
      </c>
      <c r="AA51" t="s">
        <v>32</v>
      </c>
      <c r="AB51" t="s">
        <v>120</v>
      </c>
      <c r="AC51" t="s">
        <v>38</v>
      </c>
      <c r="AD51" t="s">
        <v>155</v>
      </c>
      <c r="AE51">
        <v>1</v>
      </c>
      <c r="AF51" t="s">
        <v>27</v>
      </c>
      <c r="AG51" t="s">
        <v>26</v>
      </c>
      <c r="AH51" t="s">
        <v>6616</v>
      </c>
      <c r="AI51" t="str">
        <f t="shared" si="0"/>
        <v>NO</v>
      </c>
      <c r="AJ51" t="str">
        <f t="shared" si="1"/>
        <v>LABORATORIOS BAXTER</v>
      </c>
      <c r="AK51" t="str">
        <f>IF(ISNUMBER(SEARCH("FABRICANTE",AC51)),"FABRICANTE",IF(ISNUMBER(SEARCH("IMPORTADOR",AC51)),"IMPORTADOR","OTRO"))</f>
        <v>IMPORTADOR</v>
      </c>
      <c r="AL51" t="str">
        <f>IF(LEFT(Y51,1)="A","Sistema digestivo",IF(LEFT(Y51,1)="B","Sangre",IF(LEFT(Y51,1)="C","Cardiovascular",IF(LEFT(Y51,1)="D","Dermatológico",IF(LEFT(Y51,1)="G","Genitourinario",IF(LEFT(Y51,1)="H","Hormonal",IF(LEFT(Y51,1)="J","Antiinfecciosos",IF(LEFT(Y51,1)="L","Oncológicos",IF(LEFT(Y51,1)="M","Musculoesquelético",IF(LEFT(Y51,1)="N","Sistema nervioso",IF(LEFT(Y51,1)="R","Respiratorio",IF(LEFT(Y51,1)="S","Oftálmico",IF(LEFT(Y51,1)="V","Varios","OTRO")))))))))))))</f>
        <v>Sangre</v>
      </c>
      <c r="AM51" t="str">
        <f>IF(AG51="Vigente","ACTIVO",IF(ISNUMBER(SEARCH("Inactivo",J51)),"INACTIVO","REVISAR"))</f>
        <v>ACTIVO</v>
      </c>
      <c r="AN51" t="str">
        <f ca="1">IF(OR(AF51="",AF51="null"),"",ROUND((AF51-TODAY())/365.25,2))</f>
        <v/>
      </c>
      <c r="AO51" t="str">
        <f ca="1">IF(AND(AG51="Vigente",OR(AF51="",AF51="null",AF51&gt;TODAY())),"SI",IF(AND(NOT(OR(AF51="",AF51="null")),AF51&lt;=TODAY()),"NO",IF(AG51="Vigente","SI","DESCONOCIDO")))</f>
        <v>SI</v>
      </c>
      <c r="AP51" t="str">
        <f>IF(AND(ISNUMBER(SEARCH("IMPORTAR",AA51)),ISNUMBER(SEARCH("FABRICAR",AA51))),"MIXTO",IF(ISNUMBER(SEARCH("IMPORTAR",AA51)),"IMPORTADO",IF(ISNUMBER(SEARCH("FABRICAR",AA51)),"LOCAL","OTRO")))</f>
        <v>IMPORTADO</v>
      </c>
      <c r="AQ51" t="str">
        <f>IF(AD51="Si","SI",IF(AD51="No","NO",""))</f>
        <v>SI</v>
      </c>
      <c r="AR51" t="str">
        <f>IF(ISNUMBER(SEARCH("®",N51)),"MARCA/INNOVADOR","GENERICO")</f>
        <v>GENERICO</v>
      </c>
      <c r="AS51">
        <f ca="1">IF(AE51&gt;100,RANDBETWEEN(500,5000),IF(AND(AE51&gt;=10,AE51&lt;=100),RANDBETWEEN(100,1000),RANDBETWEEN(10,200)))</f>
        <v>121</v>
      </c>
      <c r="AT51">
        <f t="shared" ca="1" si="2"/>
        <v>26</v>
      </c>
      <c r="AU51">
        <f ca="1">INT(AS51*RANDBETWEEN(120,200)/100)</f>
        <v>150</v>
      </c>
      <c r="AV51" s="2">
        <f ca="1">IF(LEFT(Y51,1)="L",RANDBETWEEN(500000,5000000),IF(LEFT(Y51,1)="C",RANDBETWEEN(5000,50000),IF(LEFT(Y51,1)="N",RANDBETWEEN(10000,150000),IF(LEFT(Y51,1)="J",RANDBETWEEN(8000,200000),RANDBETWEEN(5000,100000)))))</f>
        <v>43858</v>
      </c>
      <c r="AW51" s="2">
        <f ca="1">INT(AV51*RANDBETWEEN(30,60)/100)</f>
        <v>16666</v>
      </c>
      <c r="AX51">
        <f ca="1">IF(Z51="ORAL",RANDBETWEEN(1000,10000),IF(OR(Z51="INTRAVENOSA",Z51="INTRAMUSCULAR"),RANDBETWEEN(100,2000),IF(OR(Z51="OFTÁLMICA",Z51="TOPICA (EXTERNA)"),RANDBETWEEN(200,3000),RANDBETWEEN(100,1500))))</f>
        <v>1757</v>
      </c>
      <c r="AY51" s="2">
        <f ca="1">INT(AV51*RANDBETWEEN(90,130)/100)</f>
        <v>57015</v>
      </c>
      <c r="AZ51" t="str">
        <f t="shared" ca="1" si="3"/>
        <v>1.5%</v>
      </c>
      <c r="BA51" t="str">
        <f t="shared" ca="1" si="4"/>
        <v>BAJO</v>
      </c>
    </row>
    <row r="52" spans="4:53" x14ac:dyDescent="0.35">
      <c r="D52" t="s">
        <v>557</v>
      </c>
      <c r="E52" s="1">
        <v>36273</v>
      </c>
      <c r="F52" t="s">
        <v>558</v>
      </c>
      <c r="G52" t="s">
        <v>502</v>
      </c>
      <c r="H52" t="s">
        <v>559</v>
      </c>
      <c r="I52">
        <v>219143</v>
      </c>
      <c r="J52" t="s">
        <v>110</v>
      </c>
      <c r="K52">
        <v>3</v>
      </c>
      <c r="L52" t="s">
        <v>27</v>
      </c>
      <c r="M52" t="s">
        <v>560</v>
      </c>
      <c r="N52" t="s">
        <v>561</v>
      </c>
      <c r="O52" t="s">
        <v>562</v>
      </c>
      <c r="P52" t="s">
        <v>563</v>
      </c>
      <c r="Q52" s="1">
        <v>39031</v>
      </c>
      <c r="R52" t="s">
        <v>564</v>
      </c>
      <c r="S52" t="s">
        <v>27</v>
      </c>
      <c r="T52" t="s">
        <v>559</v>
      </c>
      <c r="U52" t="s">
        <v>247</v>
      </c>
      <c r="V52" t="s">
        <v>558</v>
      </c>
      <c r="W52">
        <v>8</v>
      </c>
      <c r="X52">
        <v>219143</v>
      </c>
      <c r="Y52" t="s">
        <v>565</v>
      </c>
      <c r="Z52" t="s">
        <v>566</v>
      </c>
      <c r="AA52" t="s">
        <v>24</v>
      </c>
      <c r="AB52" t="s">
        <v>250</v>
      </c>
      <c r="AC52" t="s">
        <v>25</v>
      </c>
      <c r="AD52" t="s">
        <v>121</v>
      </c>
      <c r="AE52">
        <v>120</v>
      </c>
      <c r="AF52" t="s">
        <v>27</v>
      </c>
      <c r="AG52" t="s">
        <v>26</v>
      </c>
      <c r="AH52" t="s">
        <v>558</v>
      </c>
      <c r="AI52" t="str">
        <f t="shared" si="0"/>
        <v>NO</v>
      </c>
      <c r="AJ52" t="str">
        <f t="shared" si="1"/>
        <v>QUIRUMEDICAS</v>
      </c>
      <c r="AK52" t="str">
        <f>IF(ISNUMBER(SEARCH("FABRICANTE",AC52)),"FABRICANTE",IF(ISNUMBER(SEARCH("IMPORTADOR",AC52)),"IMPORTADOR","OTRO"))</f>
        <v>FABRICANTE</v>
      </c>
      <c r="AL52" t="str">
        <f>IF(LEFT(Y52,1)="A","Sistema digestivo",IF(LEFT(Y52,1)="B","Sangre",IF(LEFT(Y52,1)="C","Cardiovascular",IF(LEFT(Y52,1)="D","Dermatológico",IF(LEFT(Y52,1)="G","Genitourinario",IF(LEFT(Y52,1)="H","Hormonal",IF(LEFT(Y52,1)="J","Antiinfecciosos",IF(LEFT(Y52,1)="L","Oncológicos",IF(LEFT(Y52,1)="M","Musculoesquelético",IF(LEFT(Y52,1)="N","Sistema nervioso",IF(LEFT(Y52,1)="R","Respiratorio",IF(LEFT(Y52,1)="S","Oftálmico",IF(LEFT(Y52,1)="V","Varios","OTRO")))))))))))))</f>
        <v>Dermatológico</v>
      </c>
      <c r="AM52" t="str">
        <f>IF(AG52="Vigente","ACTIVO",IF(ISNUMBER(SEARCH("Inactivo",J52)),"INACTIVO","REVISAR"))</f>
        <v>ACTIVO</v>
      </c>
      <c r="AN52" t="str">
        <f ca="1">IF(OR(AF52="",AF52="null"),"",ROUND((AF52-TODAY())/365.25,2))</f>
        <v/>
      </c>
      <c r="AO52" t="str">
        <f ca="1">IF(AND(AG52="Vigente",OR(AF52="",AF52="null",AF52&gt;TODAY())),"SI",IF(AND(NOT(OR(AF52="",AF52="null")),AF52&lt;=TODAY()),"NO",IF(AG52="Vigente","SI","DESCONOCIDO")))</f>
        <v>SI</v>
      </c>
      <c r="AP52" t="str">
        <f>IF(AND(ISNUMBER(SEARCH("IMPORTAR",AA52)),ISNUMBER(SEARCH("FABRICAR",AA52))),"MIXTO",IF(ISNUMBER(SEARCH("IMPORTAR",AA52)),"IMPORTADO",IF(ISNUMBER(SEARCH("FABRICAR",AA52)),"LOCAL","OTRO")))</f>
        <v>LOCAL</v>
      </c>
      <c r="AQ52" t="str">
        <f>IF(AD52="Si","SI",IF(AD52="No","NO",""))</f>
        <v>NO</v>
      </c>
      <c r="AR52" t="str">
        <f>IF(ISNUMBER(SEARCH("®",N52)),"MARCA/INNOVADOR","GENERICO")</f>
        <v>GENERICO</v>
      </c>
      <c r="AS52">
        <f ca="1">IF(AE52&gt;100,RANDBETWEEN(500,5000),IF(AND(AE52&gt;=10,AE52&lt;=100),RANDBETWEEN(100,1000),RANDBETWEEN(10,200)))</f>
        <v>2064</v>
      </c>
      <c r="AT52">
        <f t="shared" ca="1" si="2"/>
        <v>454</v>
      </c>
      <c r="AU52">
        <f ca="1">INT(AS52*RANDBETWEEN(120,200)/100)</f>
        <v>2889</v>
      </c>
      <c r="AV52" s="2">
        <f ca="1">IF(LEFT(Y52,1)="L",RANDBETWEEN(500000,5000000),IF(LEFT(Y52,1)="C",RANDBETWEEN(5000,50000),IF(LEFT(Y52,1)="N",RANDBETWEEN(10000,150000),IF(LEFT(Y52,1)="J",RANDBETWEEN(8000,200000),RANDBETWEEN(5000,100000)))))</f>
        <v>86088</v>
      </c>
      <c r="AW52" s="2">
        <f ca="1">INT(AV52*RANDBETWEEN(30,60)/100)</f>
        <v>40461</v>
      </c>
      <c r="AX52">
        <f ca="1">IF(Z52="ORAL",RANDBETWEEN(1000,10000),IF(OR(Z52="INTRAVENOSA",Z52="INTRAMUSCULAR"),RANDBETWEEN(100,2000),IF(OR(Z52="OFTÁLMICA",Z52="TOPICA (EXTERNA)"),RANDBETWEEN(200,3000),RANDBETWEEN(100,1500))))</f>
        <v>408</v>
      </c>
      <c r="AY52" s="2">
        <f ca="1">INT(AV52*RANDBETWEEN(90,130)/100)</f>
        <v>103305</v>
      </c>
      <c r="AZ52" t="str">
        <f t="shared" ca="1" si="3"/>
        <v>9.3%</v>
      </c>
      <c r="BA52" t="str">
        <f t="shared" ca="1" si="4"/>
        <v>ALTO</v>
      </c>
    </row>
    <row r="53" spans="4:53" x14ac:dyDescent="0.35">
      <c r="D53" t="s">
        <v>567</v>
      </c>
      <c r="E53" s="1">
        <v>37314</v>
      </c>
      <c r="F53" t="s">
        <v>568</v>
      </c>
      <c r="G53" t="s">
        <v>108</v>
      </c>
      <c r="H53" t="s">
        <v>569</v>
      </c>
      <c r="I53">
        <v>19915315</v>
      </c>
      <c r="J53" t="s">
        <v>28</v>
      </c>
      <c r="K53">
        <v>6</v>
      </c>
      <c r="L53" t="s">
        <v>570</v>
      </c>
      <c r="M53" t="s">
        <v>571</v>
      </c>
      <c r="N53" t="s">
        <v>572</v>
      </c>
      <c r="O53" t="s">
        <v>573</v>
      </c>
      <c r="P53" t="s">
        <v>574</v>
      </c>
      <c r="Q53" s="1">
        <v>41887</v>
      </c>
      <c r="R53" t="s">
        <v>29</v>
      </c>
      <c r="S53" t="s">
        <v>27</v>
      </c>
      <c r="T53" t="s">
        <v>575</v>
      </c>
      <c r="U53" t="s">
        <v>115</v>
      </c>
      <c r="V53" t="s">
        <v>576</v>
      </c>
      <c r="W53">
        <v>5</v>
      </c>
      <c r="X53">
        <v>19915315</v>
      </c>
      <c r="Y53" t="s">
        <v>577</v>
      </c>
      <c r="Z53" t="s">
        <v>119</v>
      </c>
      <c r="AA53" t="s">
        <v>32</v>
      </c>
      <c r="AB53" t="s">
        <v>120</v>
      </c>
      <c r="AC53" t="s">
        <v>25</v>
      </c>
      <c r="AD53" t="s">
        <v>155</v>
      </c>
      <c r="AE53">
        <v>14</v>
      </c>
      <c r="AF53" t="s">
        <v>27</v>
      </c>
      <c r="AG53" t="s">
        <v>26</v>
      </c>
      <c r="AH53" t="s">
        <v>576</v>
      </c>
      <c r="AI53" t="str">
        <f t="shared" si="0"/>
        <v>SI</v>
      </c>
      <c r="AJ53" t="str">
        <f t="shared" si="1"/>
        <v>MENARINI INTERNATIONAL OPERATIONS LUXEMBOURG</v>
      </c>
      <c r="AK53" t="str">
        <f>IF(ISNUMBER(SEARCH("FABRICANTE",AC53)),"FABRICANTE",IF(ISNUMBER(SEARCH("IMPORTADOR",AC53)),"IMPORTADOR","OTRO"))</f>
        <v>FABRICANTE</v>
      </c>
      <c r="AL53" t="str">
        <f>IF(LEFT(Y53,1)="A","Sistema digestivo",IF(LEFT(Y53,1)="B","Sangre",IF(LEFT(Y53,1)="C","Cardiovascular",IF(LEFT(Y53,1)="D","Dermatológico",IF(LEFT(Y53,1)="G","Genitourinario",IF(LEFT(Y53,1)="H","Hormonal",IF(LEFT(Y53,1)="J","Antiinfecciosos",IF(LEFT(Y53,1)="L","Oncológicos",IF(LEFT(Y53,1)="M","Musculoesquelético",IF(LEFT(Y53,1)="N","Sistema nervioso",IF(LEFT(Y53,1)="R","Respiratorio",IF(LEFT(Y53,1)="S","Oftálmico",IF(LEFT(Y53,1)="V","Varios","OTRO")))))))))))))</f>
        <v>Cardiovascular</v>
      </c>
      <c r="AM53" t="str">
        <f>IF(AG53="Vigente","ACTIVO",IF(ISNUMBER(SEARCH("Inactivo",J53)),"INACTIVO","REVISAR"))</f>
        <v>ACTIVO</v>
      </c>
      <c r="AN53" t="str">
        <f ca="1">IF(OR(AF53="",AF53="null"),"",ROUND((AF53-TODAY())/365.25,2))</f>
        <v/>
      </c>
      <c r="AO53" t="str">
        <f ca="1">IF(AND(AG53="Vigente",OR(AF53="",AF53="null",AF53&gt;TODAY())),"SI",IF(AND(NOT(OR(AF53="",AF53="null")),AF53&lt;=TODAY()),"NO",IF(AG53="Vigente","SI","DESCONOCIDO")))</f>
        <v>SI</v>
      </c>
      <c r="AP53" t="str">
        <f>IF(AND(ISNUMBER(SEARCH("IMPORTAR",AA53)),ISNUMBER(SEARCH("FABRICAR",AA53))),"MIXTO",IF(ISNUMBER(SEARCH("IMPORTAR",AA53)),"IMPORTADO",IF(ISNUMBER(SEARCH("FABRICAR",AA53)),"LOCAL","OTRO")))</f>
        <v>IMPORTADO</v>
      </c>
      <c r="AQ53" t="str">
        <f>IF(AD53="Si","SI",IF(AD53="No","NO",""))</f>
        <v>SI</v>
      </c>
      <c r="AR53" t="str">
        <f>IF(ISNUMBER(SEARCH("®",N53)),"MARCA/INNOVADOR","GENERICO")</f>
        <v>MARCA/INNOVADOR</v>
      </c>
      <c r="AS53">
        <f ca="1">IF(AE53&gt;100,RANDBETWEEN(500,5000),IF(AND(AE53&gt;=10,AE53&lt;=100),RANDBETWEEN(100,1000),RANDBETWEEN(10,200)))</f>
        <v>598</v>
      </c>
      <c r="AT53">
        <f t="shared" ca="1" si="2"/>
        <v>107</v>
      </c>
      <c r="AU53">
        <f ca="1">INT(AS53*RANDBETWEEN(120,200)/100)</f>
        <v>753</v>
      </c>
      <c r="AV53" s="2">
        <f ca="1">IF(LEFT(Y53,1)="L",RANDBETWEEN(500000,5000000),IF(LEFT(Y53,1)="C",RANDBETWEEN(5000,50000),IF(LEFT(Y53,1)="N",RANDBETWEEN(10000,150000),IF(LEFT(Y53,1)="J",RANDBETWEEN(8000,200000),RANDBETWEEN(5000,100000)))))</f>
        <v>49082</v>
      </c>
      <c r="AW53" s="2">
        <f ca="1">INT(AV53*RANDBETWEEN(30,60)/100)</f>
        <v>17669</v>
      </c>
      <c r="AX53">
        <f ca="1">IF(Z53="ORAL",RANDBETWEEN(1000,10000),IF(OR(Z53="INTRAVENOSA",Z53="INTRAMUSCULAR"),RANDBETWEEN(100,2000),IF(OR(Z53="OFTÁLMICA",Z53="TOPICA (EXTERNA)"),RANDBETWEEN(200,3000),RANDBETWEEN(100,1500))))</f>
        <v>4304</v>
      </c>
      <c r="AY53" s="2">
        <f ca="1">INT(AV53*RANDBETWEEN(90,130)/100)</f>
        <v>61843</v>
      </c>
      <c r="AZ53" t="str">
        <f t="shared" ca="1" si="3"/>
        <v>20.2%</v>
      </c>
      <c r="BA53" t="str">
        <f t="shared" ca="1" si="4"/>
        <v>BAJO</v>
      </c>
    </row>
    <row r="54" spans="4:53" x14ac:dyDescent="0.35">
      <c r="D54" t="s">
        <v>578</v>
      </c>
      <c r="E54" s="1">
        <v>38308</v>
      </c>
      <c r="F54" t="s">
        <v>579</v>
      </c>
      <c r="G54" t="s">
        <v>108</v>
      </c>
      <c r="H54" t="s">
        <v>83</v>
      </c>
      <c r="I54">
        <v>19947032</v>
      </c>
      <c r="J54" t="s">
        <v>28</v>
      </c>
      <c r="K54">
        <v>6</v>
      </c>
      <c r="L54" t="s">
        <v>27</v>
      </c>
      <c r="M54" t="s">
        <v>580</v>
      </c>
      <c r="N54" t="s">
        <v>581</v>
      </c>
      <c r="O54" t="s">
        <v>582</v>
      </c>
      <c r="P54" t="s">
        <v>583</v>
      </c>
      <c r="Q54" s="1">
        <v>41368</v>
      </c>
      <c r="R54" t="s">
        <v>584</v>
      </c>
      <c r="S54" s="1">
        <v>44085</v>
      </c>
      <c r="T54" t="s">
        <v>83</v>
      </c>
      <c r="U54" t="s">
        <v>115</v>
      </c>
      <c r="V54" t="s">
        <v>585</v>
      </c>
      <c r="W54">
        <v>20</v>
      </c>
      <c r="X54">
        <v>19947032</v>
      </c>
      <c r="Y54" t="s">
        <v>586</v>
      </c>
      <c r="Z54" t="s">
        <v>119</v>
      </c>
      <c r="AA54" t="s">
        <v>24</v>
      </c>
      <c r="AB54" t="s">
        <v>120</v>
      </c>
      <c r="AC54" t="s">
        <v>25</v>
      </c>
      <c r="AD54" t="s">
        <v>121</v>
      </c>
      <c r="AE54">
        <v>14</v>
      </c>
      <c r="AF54" t="s">
        <v>27</v>
      </c>
      <c r="AG54" t="s">
        <v>26</v>
      </c>
      <c r="AH54" t="s">
        <v>585</v>
      </c>
      <c r="AI54" t="str">
        <f t="shared" si="0"/>
        <v>SI</v>
      </c>
      <c r="AJ54" t="str">
        <f t="shared" si="1"/>
        <v>LABORATORIOS LA SANTÉ</v>
      </c>
      <c r="AK54" t="str">
        <f>IF(ISNUMBER(SEARCH("FABRICANTE",AC54)),"FABRICANTE",IF(ISNUMBER(SEARCH("IMPORTADOR",AC54)),"IMPORTADOR","OTRO"))</f>
        <v>FABRICANTE</v>
      </c>
      <c r="AL54" t="str">
        <f>IF(LEFT(Y54,1)="A","Sistema digestivo",IF(LEFT(Y54,1)="B","Sangre",IF(LEFT(Y54,1)="C","Cardiovascular",IF(LEFT(Y54,1)="D","Dermatológico",IF(LEFT(Y54,1)="G","Genitourinario",IF(LEFT(Y54,1)="H","Hormonal",IF(LEFT(Y54,1)="J","Antiinfecciosos",IF(LEFT(Y54,1)="L","Oncológicos",IF(LEFT(Y54,1)="M","Musculoesquelético",IF(LEFT(Y54,1)="N","Sistema nervioso",IF(LEFT(Y54,1)="R","Respiratorio",IF(LEFT(Y54,1)="S","Oftálmico",IF(LEFT(Y54,1)="V","Varios","OTRO")))))))))))))</f>
        <v>Sistema digestivo</v>
      </c>
      <c r="AM54" t="str">
        <f>IF(AG54="Vigente","ACTIVO",IF(ISNUMBER(SEARCH("Inactivo",J54)),"INACTIVO","REVISAR"))</f>
        <v>ACTIVO</v>
      </c>
      <c r="AN54" t="str">
        <f ca="1">IF(OR(AF54="",AF54="null"),"",ROUND((AF54-TODAY())/365.25,2))</f>
        <v/>
      </c>
      <c r="AO54" t="str">
        <f ca="1">IF(AND(AG54="Vigente",OR(AF54="",AF54="null",AF54&gt;TODAY())),"SI",IF(AND(NOT(OR(AF54="",AF54="null")),AF54&lt;=TODAY()),"NO",IF(AG54="Vigente","SI","DESCONOCIDO")))</f>
        <v>SI</v>
      </c>
      <c r="AP54" t="str">
        <f>IF(AND(ISNUMBER(SEARCH("IMPORTAR",AA54)),ISNUMBER(SEARCH("FABRICAR",AA54))),"MIXTO",IF(ISNUMBER(SEARCH("IMPORTAR",AA54)),"IMPORTADO",IF(ISNUMBER(SEARCH("FABRICAR",AA54)),"LOCAL","OTRO")))</f>
        <v>LOCAL</v>
      </c>
      <c r="AQ54" t="str">
        <f>IF(AD54="Si","SI",IF(AD54="No","NO",""))</f>
        <v>NO</v>
      </c>
      <c r="AR54" t="str">
        <f>IF(ISNUMBER(SEARCH("®",N54)),"MARCA/INNOVADOR","GENERICO")</f>
        <v>GENERICO</v>
      </c>
      <c r="AS54">
        <f ca="1">IF(AE54&gt;100,RANDBETWEEN(500,5000),IF(AND(AE54&gt;=10,AE54&lt;=100),RANDBETWEEN(100,1000),RANDBETWEEN(10,200)))</f>
        <v>610</v>
      </c>
      <c r="AT54">
        <f t="shared" ca="1" si="2"/>
        <v>61</v>
      </c>
      <c r="AU54">
        <f ca="1">INT(AS54*RANDBETWEEN(120,200)/100)</f>
        <v>1213</v>
      </c>
      <c r="AV54" s="2">
        <f ca="1">IF(LEFT(Y54,1)="L",RANDBETWEEN(500000,5000000),IF(LEFT(Y54,1)="C",RANDBETWEEN(5000,50000),IF(LEFT(Y54,1)="N",RANDBETWEEN(10000,150000),IF(LEFT(Y54,1)="J",RANDBETWEEN(8000,200000),RANDBETWEEN(5000,100000)))))</f>
        <v>35085</v>
      </c>
      <c r="AW54" s="2">
        <f ca="1">INT(AV54*RANDBETWEEN(30,60)/100)</f>
        <v>12279</v>
      </c>
      <c r="AX54">
        <f ca="1">IF(Z54="ORAL",RANDBETWEEN(1000,10000),IF(OR(Z54="INTRAVENOSA",Z54="INTRAMUSCULAR"),RANDBETWEEN(100,2000),IF(OR(Z54="OFTÁLMICA",Z54="TOPICA (EXTERNA)"),RANDBETWEEN(200,3000),RANDBETWEEN(100,1500))))</f>
        <v>7185</v>
      </c>
      <c r="AY54" s="2">
        <f ca="1">INT(AV54*RANDBETWEEN(90,130)/100)</f>
        <v>35085</v>
      </c>
      <c r="AZ54" t="str">
        <f t="shared" ca="1" si="3"/>
        <v>22.6%</v>
      </c>
      <c r="BA54" t="str">
        <f t="shared" ca="1" si="4"/>
        <v>BAJO</v>
      </c>
    </row>
    <row r="55" spans="4:53" x14ac:dyDescent="0.35">
      <c r="D55" t="s">
        <v>587</v>
      </c>
      <c r="E55" s="1">
        <v>45264</v>
      </c>
      <c r="F55" t="s">
        <v>588</v>
      </c>
      <c r="G55" t="s">
        <v>108</v>
      </c>
      <c r="H55" t="s">
        <v>589</v>
      </c>
      <c r="I55">
        <v>20209565</v>
      </c>
      <c r="J55" t="s">
        <v>28</v>
      </c>
      <c r="K55">
        <v>2</v>
      </c>
      <c r="L55" t="s">
        <v>27</v>
      </c>
      <c r="M55" t="s">
        <v>590</v>
      </c>
      <c r="N55" t="s">
        <v>591</v>
      </c>
      <c r="O55" t="s">
        <v>592</v>
      </c>
      <c r="P55" t="s">
        <v>234</v>
      </c>
      <c r="Q55" s="1">
        <v>45203</v>
      </c>
      <c r="R55" t="s">
        <v>50</v>
      </c>
      <c r="S55" t="s">
        <v>27</v>
      </c>
      <c r="T55" t="s">
        <v>589</v>
      </c>
      <c r="U55" t="s">
        <v>115</v>
      </c>
      <c r="V55" t="s">
        <v>588</v>
      </c>
      <c r="W55">
        <v>5</v>
      </c>
      <c r="X55">
        <v>20209565</v>
      </c>
      <c r="Y55" t="s">
        <v>593</v>
      </c>
      <c r="Z55" t="s">
        <v>594</v>
      </c>
      <c r="AA55" t="s">
        <v>32</v>
      </c>
      <c r="AB55" t="s">
        <v>120</v>
      </c>
      <c r="AC55" t="s">
        <v>25</v>
      </c>
      <c r="AD55" t="s">
        <v>121</v>
      </c>
      <c r="AE55">
        <v>50</v>
      </c>
      <c r="AF55" s="1">
        <v>401769</v>
      </c>
      <c r="AG55" t="s">
        <v>26</v>
      </c>
      <c r="AH55" t="s">
        <v>588</v>
      </c>
      <c r="AI55" t="str">
        <f t="shared" si="0"/>
        <v>NO</v>
      </c>
      <c r="AJ55" t="str">
        <f t="shared" si="1"/>
        <v>LABORATORIOS SERRA PAMIES</v>
      </c>
      <c r="AK55" t="str">
        <f>IF(ISNUMBER(SEARCH("FABRICANTE",AC55)),"FABRICANTE",IF(ISNUMBER(SEARCH("IMPORTADOR",AC55)),"IMPORTADOR","OTRO"))</f>
        <v>FABRICANTE</v>
      </c>
      <c r="AL55" t="str">
        <f>IF(LEFT(Y55,1)="A","Sistema digestivo",IF(LEFT(Y55,1)="B","Sangre",IF(LEFT(Y55,1)="C","Cardiovascular",IF(LEFT(Y55,1)="D","Dermatológico",IF(LEFT(Y55,1)="G","Genitourinario",IF(LEFT(Y55,1)="H","Hormonal",IF(LEFT(Y55,1)="J","Antiinfecciosos",IF(LEFT(Y55,1)="L","Oncológicos",IF(LEFT(Y55,1)="M","Musculoesquelético",IF(LEFT(Y55,1)="N","Sistema nervioso",IF(LEFT(Y55,1)="R","Respiratorio",IF(LEFT(Y55,1)="S","Oftálmico",IF(LEFT(Y55,1)="V","Varios","OTRO")))))))))))))</f>
        <v>Sistema nervioso</v>
      </c>
      <c r="AM55" t="str">
        <f>IF(AG55="Vigente","ACTIVO",IF(ISNUMBER(SEARCH("Inactivo",J55)),"INACTIVO","REVISAR"))</f>
        <v>ACTIVO</v>
      </c>
      <c r="AN55">
        <f ca="1">IF(OR(AF55="",AF55="null"),"",ROUND((AF55-TODAY())/365.25,2))</f>
        <v>973.58</v>
      </c>
      <c r="AO55" t="str">
        <f ca="1">IF(AND(AG55="Vigente",OR(AF55="",AF55="null",AF55&gt;TODAY())),"SI",IF(AND(NOT(OR(AF55="",AF55="null")),AF55&lt;=TODAY()),"NO",IF(AG55="Vigente","SI","DESCONOCIDO")))</f>
        <v>SI</v>
      </c>
      <c r="AP55" t="str">
        <f>IF(AND(ISNUMBER(SEARCH("IMPORTAR",AA55)),ISNUMBER(SEARCH("FABRICAR",AA55))),"MIXTO",IF(ISNUMBER(SEARCH("IMPORTAR",AA55)),"IMPORTADO",IF(ISNUMBER(SEARCH("FABRICAR",AA55)),"LOCAL","OTRO")))</f>
        <v>IMPORTADO</v>
      </c>
      <c r="AQ55" t="str">
        <f>IF(AD55="Si","SI",IF(AD55="No","NO",""))</f>
        <v>NO</v>
      </c>
      <c r="AR55" t="str">
        <f>IF(ISNUMBER(SEARCH("®",N55)),"MARCA/INNOVADOR","GENERICO")</f>
        <v>GENERICO</v>
      </c>
      <c r="AS55">
        <f ca="1">IF(AE55&gt;100,RANDBETWEEN(500,5000),IF(AND(AE55&gt;=10,AE55&lt;=100),RANDBETWEEN(100,1000),RANDBETWEEN(10,200)))</f>
        <v>314</v>
      </c>
      <c r="AT55">
        <f t="shared" ca="1" si="2"/>
        <v>50</v>
      </c>
      <c r="AU55">
        <f ca="1">INT(AS55*RANDBETWEEN(120,200)/100)</f>
        <v>420</v>
      </c>
      <c r="AV55" s="2">
        <f ca="1">IF(LEFT(Y55,1)="L",RANDBETWEEN(500000,5000000),IF(LEFT(Y55,1)="C",RANDBETWEEN(5000,50000),IF(LEFT(Y55,1)="N",RANDBETWEEN(10000,150000),IF(LEFT(Y55,1)="J",RANDBETWEEN(8000,200000),RANDBETWEEN(5000,100000)))))</f>
        <v>36762</v>
      </c>
      <c r="AW55" s="2">
        <f ca="1">INT(AV55*RANDBETWEEN(30,60)/100)</f>
        <v>15807</v>
      </c>
      <c r="AX55">
        <f ca="1">IF(Z55="ORAL",RANDBETWEEN(1000,10000),IF(OR(Z55="INTRAVENOSA",Z55="INTRAMUSCULAR"),RANDBETWEEN(100,2000),IF(OR(Z55="OFTÁLMICA",Z55="TOPICA (EXTERNA)"),RANDBETWEEN(200,3000),RANDBETWEEN(100,1500))))</f>
        <v>806</v>
      </c>
      <c r="AY55" s="2">
        <f ca="1">INT(AV55*RANDBETWEEN(90,130)/100)</f>
        <v>33453</v>
      </c>
      <c r="AZ55" t="str">
        <f t="shared" ca="1" si="3"/>
        <v>4%</v>
      </c>
      <c r="BA55" t="str">
        <f t="shared" ca="1" si="4"/>
        <v>BAJO</v>
      </c>
    </row>
    <row r="56" spans="4:53" x14ac:dyDescent="0.35">
      <c r="D56" t="s">
        <v>595</v>
      </c>
      <c r="E56" s="1">
        <v>38034</v>
      </c>
      <c r="F56" t="s">
        <v>596</v>
      </c>
      <c r="G56" t="s">
        <v>108</v>
      </c>
      <c r="H56" t="s">
        <v>597</v>
      </c>
      <c r="I56">
        <v>19940721</v>
      </c>
      <c r="J56" t="s">
        <v>28</v>
      </c>
      <c r="K56">
        <v>23</v>
      </c>
      <c r="L56" t="s">
        <v>27</v>
      </c>
      <c r="M56" t="s">
        <v>598</v>
      </c>
      <c r="N56" t="s">
        <v>599</v>
      </c>
      <c r="O56" t="s">
        <v>600</v>
      </c>
      <c r="P56" t="s">
        <v>601</v>
      </c>
      <c r="Q56" s="1">
        <v>42891</v>
      </c>
      <c r="R56" t="s">
        <v>211</v>
      </c>
      <c r="S56" t="s">
        <v>27</v>
      </c>
      <c r="T56" t="s">
        <v>129</v>
      </c>
      <c r="U56" t="s">
        <v>115</v>
      </c>
      <c r="V56" t="s">
        <v>602</v>
      </c>
      <c r="W56">
        <v>100</v>
      </c>
      <c r="X56">
        <v>19940721</v>
      </c>
      <c r="Y56" t="s">
        <v>603</v>
      </c>
      <c r="Z56" t="s">
        <v>213</v>
      </c>
      <c r="AA56" t="s">
        <v>24</v>
      </c>
      <c r="AB56" t="s">
        <v>120</v>
      </c>
      <c r="AC56" t="s">
        <v>25</v>
      </c>
      <c r="AD56" t="s">
        <v>121</v>
      </c>
      <c r="AE56">
        <v>6</v>
      </c>
      <c r="AF56" t="s">
        <v>27</v>
      </c>
      <c r="AG56" t="s">
        <v>26</v>
      </c>
      <c r="AH56" t="s">
        <v>602</v>
      </c>
      <c r="AI56" t="str">
        <f t="shared" si="0"/>
        <v>SI</v>
      </c>
      <c r="AJ56" t="str">
        <f t="shared" si="1"/>
        <v>VITALIS</v>
      </c>
      <c r="AK56" t="str">
        <f>IF(ISNUMBER(SEARCH("FABRICANTE",AC56)),"FABRICANTE",IF(ISNUMBER(SEARCH("IMPORTADOR",AC56)),"IMPORTADOR","OTRO"))</f>
        <v>FABRICANTE</v>
      </c>
      <c r="AL56" t="str">
        <f>IF(LEFT(Y56,1)="A","Sistema digestivo",IF(LEFT(Y56,1)="B","Sangre",IF(LEFT(Y56,1)="C","Cardiovascular",IF(LEFT(Y56,1)="D","Dermatológico",IF(LEFT(Y56,1)="G","Genitourinario",IF(LEFT(Y56,1)="H","Hormonal",IF(LEFT(Y56,1)="J","Antiinfecciosos",IF(LEFT(Y56,1)="L","Oncológicos",IF(LEFT(Y56,1)="M","Musculoesquelético",IF(LEFT(Y56,1)="N","Sistema nervioso",IF(LEFT(Y56,1)="R","Respiratorio",IF(LEFT(Y56,1)="S","Oftálmico",IF(LEFT(Y56,1)="V","Varios","OTRO")))))))))))))</f>
        <v>Hormonal</v>
      </c>
      <c r="AM56" t="str">
        <f>IF(AG56="Vigente","ACTIVO",IF(ISNUMBER(SEARCH("Inactivo",J56)),"INACTIVO","REVISAR"))</f>
        <v>ACTIVO</v>
      </c>
      <c r="AN56" t="str">
        <f ca="1">IF(OR(AF56="",AF56="null"),"",ROUND((AF56-TODAY())/365.25,2))</f>
        <v/>
      </c>
      <c r="AO56" t="str">
        <f ca="1">IF(AND(AG56="Vigente",OR(AF56="",AF56="null",AF56&gt;TODAY())),"SI",IF(AND(NOT(OR(AF56="",AF56="null")),AF56&lt;=TODAY()),"NO",IF(AG56="Vigente","SI","DESCONOCIDO")))</f>
        <v>SI</v>
      </c>
      <c r="AP56" t="str">
        <f>IF(AND(ISNUMBER(SEARCH("IMPORTAR",AA56)),ISNUMBER(SEARCH("FABRICAR",AA56))),"MIXTO",IF(ISNUMBER(SEARCH("IMPORTAR",AA56)),"IMPORTADO",IF(ISNUMBER(SEARCH("FABRICAR",AA56)),"LOCAL","OTRO")))</f>
        <v>LOCAL</v>
      </c>
      <c r="AQ56" t="str">
        <f>IF(AD56="Si","SI",IF(AD56="No","NO",""))</f>
        <v>NO</v>
      </c>
      <c r="AR56" t="str">
        <f>IF(ISNUMBER(SEARCH("®",N56)),"MARCA/INNOVADOR","GENERICO")</f>
        <v>GENERICO</v>
      </c>
      <c r="AS56">
        <f ca="1">IF(AE56&gt;100,RANDBETWEEN(500,5000),IF(AND(AE56&gt;=10,AE56&lt;=100),RANDBETWEEN(100,1000),RANDBETWEEN(10,200)))</f>
        <v>17</v>
      </c>
      <c r="AT56">
        <f t="shared" ca="1" si="2"/>
        <v>2</v>
      </c>
      <c r="AU56">
        <f ca="1">INT(AS56*RANDBETWEEN(120,200)/100)</f>
        <v>30</v>
      </c>
      <c r="AV56" s="2">
        <f ca="1">IF(LEFT(Y56,1)="L",RANDBETWEEN(500000,5000000),IF(LEFT(Y56,1)="C",RANDBETWEEN(5000,50000),IF(LEFT(Y56,1)="N",RANDBETWEEN(10000,150000),IF(LEFT(Y56,1)="J",RANDBETWEEN(8000,200000),RANDBETWEEN(5000,100000)))))</f>
        <v>91446</v>
      </c>
      <c r="AW56" s="2">
        <f ca="1">INT(AV56*RANDBETWEEN(30,60)/100)</f>
        <v>48466</v>
      </c>
      <c r="AX56">
        <f ca="1">IF(Z56="ORAL",RANDBETWEEN(1000,10000),IF(OR(Z56="INTRAVENOSA",Z56="INTRAMUSCULAR"),RANDBETWEEN(100,2000),IF(OR(Z56="OFTÁLMICA",Z56="TOPICA (EXTERNA)"),RANDBETWEEN(200,3000),RANDBETWEEN(100,1500))))</f>
        <v>528</v>
      </c>
      <c r="AY56" s="2">
        <f ca="1">INT(AV56*RANDBETWEEN(90,130)/100)</f>
        <v>93274</v>
      </c>
      <c r="AZ56" t="str">
        <f t="shared" ca="1" si="3"/>
        <v>6.6%</v>
      </c>
      <c r="BA56" t="str">
        <f t="shared" ca="1" si="4"/>
        <v>BAJO</v>
      </c>
    </row>
    <row r="57" spans="4:53" x14ac:dyDescent="0.35">
      <c r="D57" t="s">
        <v>604</v>
      </c>
      <c r="E57" s="1">
        <v>40675</v>
      </c>
      <c r="F57" t="s">
        <v>605</v>
      </c>
      <c r="G57" t="s">
        <v>108</v>
      </c>
      <c r="H57" t="s">
        <v>312</v>
      </c>
      <c r="I57">
        <v>20022622</v>
      </c>
      <c r="J57" t="s">
        <v>110</v>
      </c>
      <c r="K57">
        <v>3</v>
      </c>
      <c r="L57" t="s">
        <v>27</v>
      </c>
      <c r="M57" t="s">
        <v>606</v>
      </c>
      <c r="N57" t="s">
        <v>607</v>
      </c>
      <c r="O57" t="s">
        <v>608</v>
      </c>
      <c r="P57" t="s">
        <v>609</v>
      </c>
      <c r="Q57" s="1">
        <v>40672</v>
      </c>
      <c r="R57" t="s">
        <v>258</v>
      </c>
      <c r="S57" s="1">
        <v>42697</v>
      </c>
      <c r="T57" t="s">
        <v>610</v>
      </c>
      <c r="U57" t="s">
        <v>115</v>
      </c>
      <c r="V57" t="s">
        <v>64</v>
      </c>
      <c r="W57" s="2">
        <v>2496</v>
      </c>
      <c r="X57">
        <v>20022622</v>
      </c>
      <c r="Y57" t="s">
        <v>259</v>
      </c>
      <c r="Z57" t="s">
        <v>260</v>
      </c>
      <c r="AA57" t="s">
        <v>32</v>
      </c>
      <c r="AB57" t="s">
        <v>133</v>
      </c>
      <c r="AC57" t="s">
        <v>38</v>
      </c>
      <c r="AD57" t="s">
        <v>121</v>
      </c>
      <c r="AE57">
        <v>1</v>
      </c>
      <c r="AF57" s="1">
        <v>401769</v>
      </c>
      <c r="AG57" t="s">
        <v>26</v>
      </c>
      <c r="AH57" t="s">
        <v>6733</v>
      </c>
      <c r="AI57" t="str">
        <f t="shared" si="0"/>
        <v>NO</v>
      </c>
      <c r="AJ57" t="str">
        <f t="shared" si="1"/>
        <v>B. BRAUN MELSUNGEN</v>
      </c>
      <c r="AK57" t="str">
        <f>IF(ISNUMBER(SEARCH("FABRICANTE",AC57)),"FABRICANTE",IF(ISNUMBER(SEARCH("IMPORTADOR",AC57)),"IMPORTADOR","OTRO"))</f>
        <v>IMPORTADOR</v>
      </c>
      <c r="AL57" t="str">
        <f>IF(LEFT(Y57,1)="A","Sistema digestivo",IF(LEFT(Y57,1)="B","Sangre",IF(LEFT(Y57,1)="C","Cardiovascular",IF(LEFT(Y57,1)="D","Dermatológico",IF(LEFT(Y57,1)="G","Genitourinario",IF(LEFT(Y57,1)="H","Hormonal",IF(LEFT(Y57,1)="J","Antiinfecciosos",IF(LEFT(Y57,1)="L","Oncológicos",IF(LEFT(Y57,1)="M","Musculoesquelético",IF(LEFT(Y57,1)="N","Sistema nervioso",IF(LEFT(Y57,1)="R","Respiratorio",IF(LEFT(Y57,1)="S","Oftálmico",IF(LEFT(Y57,1)="V","Varios","OTRO")))))))))))))</f>
        <v>Sangre</v>
      </c>
      <c r="AM57" t="str">
        <f>IF(AG57="Vigente","ACTIVO",IF(ISNUMBER(SEARCH("Inactivo",J57)),"INACTIVO","REVISAR"))</f>
        <v>ACTIVO</v>
      </c>
      <c r="AN57">
        <f ca="1">IF(OR(AF57="",AF57="null"),"",ROUND((AF57-TODAY())/365.25,2))</f>
        <v>973.58</v>
      </c>
      <c r="AO57" t="str">
        <f ca="1">IF(AND(AG57="Vigente",OR(AF57="",AF57="null",AF57&gt;TODAY())),"SI",IF(AND(NOT(OR(AF57="",AF57="null")),AF57&lt;=TODAY()),"NO",IF(AG57="Vigente","SI","DESCONOCIDO")))</f>
        <v>SI</v>
      </c>
      <c r="AP57" t="str">
        <f>IF(AND(ISNUMBER(SEARCH("IMPORTAR",AA57)),ISNUMBER(SEARCH("FABRICAR",AA57))),"MIXTO",IF(ISNUMBER(SEARCH("IMPORTAR",AA57)),"IMPORTADO",IF(ISNUMBER(SEARCH("FABRICAR",AA57)),"LOCAL","OTRO")))</f>
        <v>IMPORTADO</v>
      </c>
      <c r="AQ57" t="str">
        <f>IF(AD57="Si","SI",IF(AD57="No","NO",""))</f>
        <v>NO</v>
      </c>
      <c r="AR57" t="str">
        <f>IF(ISNUMBER(SEARCH("®",N57)),"MARCA/INNOVADOR","GENERICO")</f>
        <v>GENERICO</v>
      </c>
      <c r="AS57">
        <f ca="1">IF(AE57&gt;100,RANDBETWEEN(500,5000),IF(AND(AE57&gt;=10,AE57&lt;=100),RANDBETWEEN(100,1000),RANDBETWEEN(10,200)))</f>
        <v>178</v>
      </c>
      <c r="AT57">
        <f t="shared" ca="1" si="2"/>
        <v>19</v>
      </c>
      <c r="AU57">
        <f ca="1">INT(AS57*RANDBETWEEN(120,200)/100)</f>
        <v>291</v>
      </c>
      <c r="AV57" s="2">
        <f ca="1">IF(LEFT(Y57,1)="L",RANDBETWEEN(500000,5000000),IF(LEFT(Y57,1)="C",RANDBETWEEN(5000,50000),IF(LEFT(Y57,1)="N",RANDBETWEEN(10000,150000),IF(LEFT(Y57,1)="J",RANDBETWEEN(8000,200000),RANDBETWEEN(5000,100000)))))</f>
        <v>28820</v>
      </c>
      <c r="AW57" s="2">
        <f ca="1">INT(AV57*RANDBETWEEN(30,60)/100)</f>
        <v>16427</v>
      </c>
      <c r="AX57">
        <f ca="1">IF(Z57="ORAL",RANDBETWEEN(1000,10000),IF(OR(Z57="INTRAVENOSA",Z57="INTRAMUSCULAR"),RANDBETWEEN(100,2000),IF(OR(Z57="OFTÁLMICA",Z57="TOPICA (EXTERNA)"),RANDBETWEEN(200,3000),RANDBETWEEN(100,1500))))</f>
        <v>1710</v>
      </c>
      <c r="AY57" s="2">
        <f ca="1">INT(AV57*RANDBETWEEN(90,130)/100)</f>
        <v>34007</v>
      </c>
      <c r="AZ57" t="str">
        <f t="shared" ca="1" si="3"/>
        <v>2.1%</v>
      </c>
      <c r="BA57" t="str">
        <f t="shared" ca="1" si="4"/>
        <v>MEDIO</v>
      </c>
    </row>
    <row r="58" spans="4:53" x14ac:dyDescent="0.35">
      <c r="D58" t="s">
        <v>611</v>
      </c>
      <c r="E58" s="1">
        <v>38478</v>
      </c>
      <c r="F58" t="s">
        <v>612</v>
      </c>
      <c r="G58" t="s">
        <v>108</v>
      </c>
      <c r="H58" t="s">
        <v>503</v>
      </c>
      <c r="I58">
        <v>19950452</v>
      </c>
      <c r="J58" t="s">
        <v>28</v>
      </c>
      <c r="K58">
        <v>148</v>
      </c>
      <c r="L58" t="s">
        <v>27</v>
      </c>
      <c r="M58" t="s">
        <v>613</v>
      </c>
      <c r="N58" t="s">
        <v>614</v>
      </c>
      <c r="O58" t="s">
        <v>615</v>
      </c>
      <c r="P58" t="s">
        <v>616</v>
      </c>
      <c r="Q58" s="1">
        <v>43959</v>
      </c>
      <c r="R58" t="s">
        <v>50</v>
      </c>
      <c r="S58" s="1">
        <v>44287</v>
      </c>
      <c r="T58" t="s">
        <v>454</v>
      </c>
      <c r="U58" t="s">
        <v>115</v>
      </c>
      <c r="V58" t="s">
        <v>275</v>
      </c>
      <c r="W58">
        <v>100</v>
      </c>
      <c r="X58">
        <v>19950452</v>
      </c>
      <c r="Y58" t="s">
        <v>276</v>
      </c>
      <c r="Z58" t="s">
        <v>132</v>
      </c>
      <c r="AA58" t="s">
        <v>24</v>
      </c>
      <c r="AB58" t="s">
        <v>239</v>
      </c>
      <c r="AC58" t="s">
        <v>25</v>
      </c>
      <c r="AD58" t="s">
        <v>121</v>
      </c>
      <c r="AE58">
        <v>10</v>
      </c>
      <c r="AF58" s="1">
        <v>401769</v>
      </c>
      <c r="AG58" t="s">
        <v>26</v>
      </c>
      <c r="AH58" t="s">
        <v>869</v>
      </c>
      <c r="AI58" t="str">
        <f t="shared" si="0"/>
        <v>NO</v>
      </c>
      <c r="AJ58" t="str">
        <f t="shared" si="1"/>
        <v>PROCAPS</v>
      </c>
      <c r="AK58" t="str">
        <f>IF(ISNUMBER(SEARCH("FABRICANTE",AC58)),"FABRICANTE",IF(ISNUMBER(SEARCH("IMPORTADOR",AC58)),"IMPORTADOR","OTRO"))</f>
        <v>FABRICANTE</v>
      </c>
      <c r="AL58" t="str">
        <f>IF(LEFT(Y58,1)="A","Sistema digestivo",IF(LEFT(Y58,1)="B","Sangre",IF(LEFT(Y58,1)="C","Cardiovascular",IF(LEFT(Y58,1)="D","Dermatológico",IF(LEFT(Y58,1)="G","Genitourinario",IF(LEFT(Y58,1)="H","Hormonal",IF(LEFT(Y58,1)="J","Antiinfecciosos",IF(LEFT(Y58,1)="L","Oncológicos",IF(LEFT(Y58,1)="M","Musculoesquelético",IF(LEFT(Y58,1)="N","Sistema nervioso",IF(LEFT(Y58,1)="R","Respiratorio",IF(LEFT(Y58,1)="S","Oftálmico",IF(LEFT(Y58,1)="V","Varios","OTRO")))))))))))))</f>
        <v>Sangre</v>
      </c>
      <c r="AM58" t="str">
        <f>IF(AG58="Vigente","ACTIVO",IF(ISNUMBER(SEARCH("Inactivo",J58)),"INACTIVO","REVISAR"))</f>
        <v>ACTIVO</v>
      </c>
      <c r="AN58">
        <f ca="1">IF(OR(AF58="",AF58="null"),"",ROUND((AF58-TODAY())/365.25,2))</f>
        <v>973.58</v>
      </c>
      <c r="AO58" t="str">
        <f ca="1">IF(AND(AG58="Vigente",OR(AF58="",AF58="null",AF58&gt;TODAY())),"SI",IF(AND(NOT(OR(AF58="",AF58="null")),AF58&lt;=TODAY()),"NO",IF(AG58="Vigente","SI","DESCONOCIDO")))</f>
        <v>SI</v>
      </c>
      <c r="AP58" t="str">
        <f>IF(AND(ISNUMBER(SEARCH("IMPORTAR",AA58)),ISNUMBER(SEARCH("FABRICAR",AA58))),"MIXTO",IF(ISNUMBER(SEARCH("IMPORTAR",AA58)),"IMPORTADO",IF(ISNUMBER(SEARCH("FABRICAR",AA58)),"LOCAL","OTRO")))</f>
        <v>LOCAL</v>
      </c>
      <c r="AQ58" t="str">
        <f>IF(AD58="Si","SI",IF(AD58="No","NO",""))</f>
        <v>NO</v>
      </c>
      <c r="AR58" t="str">
        <f>IF(ISNUMBER(SEARCH("®",N58)),"MARCA/INNOVADOR","GENERICO")</f>
        <v>MARCA/INNOVADOR</v>
      </c>
      <c r="AS58">
        <f ca="1">IF(AE58&gt;100,RANDBETWEEN(500,5000),IF(AND(AE58&gt;=10,AE58&lt;=100),RANDBETWEEN(100,1000),RANDBETWEEN(10,200)))</f>
        <v>553</v>
      </c>
      <c r="AT58">
        <f t="shared" ca="1" si="2"/>
        <v>138</v>
      </c>
      <c r="AU58">
        <f ca="1">INT(AS58*RANDBETWEEN(120,200)/100)</f>
        <v>741</v>
      </c>
      <c r="AV58" s="2">
        <f ca="1">IF(LEFT(Y58,1)="L",RANDBETWEEN(500000,5000000),IF(LEFT(Y58,1)="C",RANDBETWEEN(5000,50000),IF(LEFT(Y58,1)="N",RANDBETWEEN(10000,150000),IF(LEFT(Y58,1)="J",RANDBETWEEN(8000,200000),RANDBETWEEN(5000,100000)))))</f>
        <v>38293</v>
      </c>
      <c r="AW58" s="2">
        <f ca="1">INT(AV58*RANDBETWEEN(30,60)/100)</f>
        <v>20295</v>
      </c>
      <c r="AX58">
        <f ca="1">IF(Z58="ORAL",RANDBETWEEN(1000,10000),IF(OR(Z58="INTRAVENOSA",Z58="INTRAMUSCULAR"),RANDBETWEEN(100,2000),IF(OR(Z58="OFTÁLMICA",Z58="TOPICA (EXTERNA)"),RANDBETWEEN(200,3000),RANDBETWEEN(100,1500))))</f>
        <v>1144</v>
      </c>
      <c r="AY58" s="2">
        <f ca="1">INT(AV58*RANDBETWEEN(90,130)/100)</f>
        <v>47866</v>
      </c>
      <c r="AZ58" t="str">
        <f t="shared" ca="1" si="3"/>
        <v>9%</v>
      </c>
      <c r="BA58" t="str">
        <f t="shared" ca="1" si="4"/>
        <v>BAJO</v>
      </c>
    </row>
    <row r="59" spans="4:53" x14ac:dyDescent="0.35">
      <c r="D59" t="s">
        <v>617</v>
      </c>
      <c r="E59" s="1">
        <v>41044</v>
      </c>
      <c r="F59" t="s">
        <v>123</v>
      </c>
      <c r="G59" t="s">
        <v>108</v>
      </c>
      <c r="H59" t="s">
        <v>124</v>
      </c>
      <c r="I59">
        <v>20045072</v>
      </c>
      <c r="J59" t="s">
        <v>28</v>
      </c>
      <c r="K59">
        <v>12</v>
      </c>
      <c r="L59" t="s">
        <v>27</v>
      </c>
      <c r="M59" t="s">
        <v>618</v>
      </c>
      <c r="N59" t="s">
        <v>619</v>
      </c>
      <c r="O59" t="s">
        <v>620</v>
      </c>
      <c r="P59" t="s">
        <v>621</v>
      </c>
      <c r="Q59" s="1">
        <v>42957</v>
      </c>
      <c r="R59" t="s">
        <v>50</v>
      </c>
      <c r="S59" s="1">
        <v>44226</v>
      </c>
      <c r="T59" t="s">
        <v>129</v>
      </c>
      <c r="U59" t="s">
        <v>115</v>
      </c>
      <c r="V59" t="s">
        <v>130</v>
      </c>
      <c r="W59">
        <v>100</v>
      </c>
      <c r="X59">
        <v>20045072</v>
      </c>
      <c r="Y59" t="s">
        <v>131</v>
      </c>
      <c r="Z59" t="s">
        <v>260</v>
      </c>
      <c r="AA59" t="s">
        <v>24</v>
      </c>
      <c r="AB59" t="s">
        <v>120</v>
      </c>
      <c r="AC59" t="s">
        <v>25</v>
      </c>
      <c r="AD59" t="s">
        <v>121</v>
      </c>
      <c r="AE59">
        <v>3</v>
      </c>
      <c r="AF59" t="s">
        <v>27</v>
      </c>
      <c r="AG59" t="s">
        <v>26</v>
      </c>
      <c r="AH59" t="s">
        <v>123</v>
      </c>
      <c r="AI59" t="str">
        <f t="shared" si="0"/>
        <v>NO</v>
      </c>
      <c r="AJ59" t="str">
        <f t="shared" si="1"/>
        <v>VITALIS</v>
      </c>
      <c r="AK59" t="str">
        <f>IF(ISNUMBER(SEARCH("FABRICANTE",AC59)),"FABRICANTE",IF(ISNUMBER(SEARCH("IMPORTADOR",AC59)),"IMPORTADOR","OTRO"))</f>
        <v>FABRICANTE</v>
      </c>
      <c r="AL59" t="str">
        <f>IF(LEFT(Y59,1)="A","Sistema digestivo",IF(LEFT(Y59,1)="B","Sangre",IF(LEFT(Y59,1)="C","Cardiovascular",IF(LEFT(Y59,1)="D","Dermatológico",IF(LEFT(Y59,1)="G","Genitourinario",IF(LEFT(Y59,1)="H","Hormonal",IF(LEFT(Y59,1)="J","Antiinfecciosos",IF(LEFT(Y59,1)="L","Oncológicos",IF(LEFT(Y59,1)="M","Musculoesquelético",IF(LEFT(Y59,1)="N","Sistema nervioso",IF(LEFT(Y59,1)="R","Respiratorio",IF(LEFT(Y59,1)="S","Oftálmico",IF(LEFT(Y59,1)="V","Varios","OTRO")))))))))))))</f>
        <v>Sistema nervioso</v>
      </c>
      <c r="AM59" t="str">
        <f>IF(AG59="Vigente","ACTIVO",IF(ISNUMBER(SEARCH("Inactivo",J59)),"INACTIVO","REVISAR"))</f>
        <v>ACTIVO</v>
      </c>
      <c r="AN59" t="str">
        <f ca="1">IF(OR(AF59="",AF59="null"),"",ROUND((AF59-TODAY())/365.25,2))</f>
        <v/>
      </c>
      <c r="AO59" t="str">
        <f ca="1">IF(AND(AG59="Vigente",OR(AF59="",AF59="null",AF59&gt;TODAY())),"SI",IF(AND(NOT(OR(AF59="",AF59="null")),AF59&lt;=TODAY()),"NO",IF(AG59="Vigente","SI","DESCONOCIDO")))</f>
        <v>SI</v>
      </c>
      <c r="AP59" t="str">
        <f>IF(AND(ISNUMBER(SEARCH("IMPORTAR",AA59)),ISNUMBER(SEARCH("FABRICAR",AA59))),"MIXTO",IF(ISNUMBER(SEARCH("IMPORTAR",AA59)),"IMPORTADO",IF(ISNUMBER(SEARCH("FABRICAR",AA59)),"LOCAL","OTRO")))</f>
        <v>LOCAL</v>
      </c>
      <c r="AQ59" t="str">
        <f>IF(AD59="Si","SI",IF(AD59="No","NO",""))</f>
        <v>NO</v>
      </c>
      <c r="AR59" t="str">
        <f>IF(ISNUMBER(SEARCH("®",N59)),"MARCA/INNOVADOR","GENERICO")</f>
        <v>GENERICO</v>
      </c>
      <c r="AS59">
        <f ca="1">IF(AE59&gt;100,RANDBETWEEN(500,5000),IF(AND(AE59&gt;=10,AE59&lt;=100),RANDBETWEEN(100,1000),RANDBETWEEN(10,200)))</f>
        <v>111</v>
      </c>
      <c r="AT59">
        <f t="shared" ca="1" si="2"/>
        <v>12</v>
      </c>
      <c r="AU59">
        <f ca="1">INT(AS59*RANDBETWEEN(120,200)/100)</f>
        <v>135</v>
      </c>
      <c r="AV59" s="2">
        <f ca="1">IF(LEFT(Y59,1)="L",RANDBETWEEN(500000,5000000),IF(LEFT(Y59,1)="C",RANDBETWEEN(5000,50000),IF(LEFT(Y59,1)="N",RANDBETWEEN(10000,150000),IF(LEFT(Y59,1)="J",RANDBETWEEN(8000,200000),RANDBETWEEN(5000,100000)))))</f>
        <v>63233</v>
      </c>
      <c r="AW59" s="2">
        <f ca="1">INT(AV59*RANDBETWEEN(30,60)/100)</f>
        <v>30984</v>
      </c>
      <c r="AX59">
        <f ca="1">IF(Z59="ORAL",RANDBETWEEN(1000,10000),IF(OR(Z59="INTRAVENOSA",Z59="INTRAMUSCULAR"),RANDBETWEEN(100,2000),IF(OR(Z59="OFTÁLMICA",Z59="TOPICA (EXTERNA)"),RANDBETWEEN(200,3000),RANDBETWEEN(100,1500))))</f>
        <v>686</v>
      </c>
      <c r="AY59" s="2">
        <f ca="1">INT(AV59*RANDBETWEEN(90,130)/100)</f>
        <v>63233</v>
      </c>
      <c r="AZ59" t="str">
        <f t="shared" ca="1" si="3"/>
        <v>4.3%</v>
      </c>
      <c r="BA59" t="str">
        <f t="shared" ca="1" si="4"/>
        <v>BAJO</v>
      </c>
    </row>
    <row r="60" spans="4:53" x14ac:dyDescent="0.35">
      <c r="D60" t="s">
        <v>622</v>
      </c>
      <c r="E60" s="1">
        <v>43138</v>
      </c>
      <c r="F60" t="s">
        <v>623</v>
      </c>
      <c r="G60" t="s">
        <v>108</v>
      </c>
      <c r="H60" t="s">
        <v>624</v>
      </c>
      <c r="I60">
        <v>20103268</v>
      </c>
      <c r="J60" t="s">
        <v>28</v>
      </c>
      <c r="K60">
        <v>6</v>
      </c>
      <c r="L60" t="s">
        <v>27</v>
      </c>
      <c r="M60" t="s">
        <v>625</v>
      </c>
      <c r="N60" t="s">
        <v>626</v>
      </c>
      <c r="O60" t="s">
        <v>627</v>
      </c>
      <c r="P60" t="s">
        <v>628</v>
      </c>
      <c r="Q60" s="1">
        <v>43131</v>
      </c>
      <c r="R60" t="s">
        <v>33</v>
      </c>
      <c r="S60" t="s">
        <v>27</v>
      </c>
      <c r="T60" t="s">
        <v>624</v>
      </c>
      <c r="U60" t="s">
        <v>115</v>
      </c>
      <c r="V60" t="s">
        <v>629</v>
      </c>
      <c r="W60">
        <v>25</v>
      </c>
      <c r="X60">
        <v>20103268</v>
      </c>
      <c r="Y60" t="s">
        <v>630</v>
      </c>
      <c r="Z60" t="s">
        <v>119</v>
      </c>
      <c r="AA60" t="s">
        <v>32</v>
      </c>
      <c r="AB60" t="s">
        <v>120</v>
      </c>
      <c r="AC60" t="s">
        <v>38</v>
      </c>
      <c r="AD60" t="s">
        <v>121</v>
      </c>
      <c r="AE60">
        <v>100</v>
      </c>
      <c r="AF60" t="s">
        <v>27</v>
      </c>
      <c r="AG60" t="s">
        <v>26</v>
      </c>
      <c r="AH60" t="s">
        <v>629</v>
      </c>
      <c r="AI60" t="str">
        <f t="shared" si="0"/>
        <v>SI</v>
      </c>
      <c r="AJ60" t="str">
        <f t="shared" si="1"/>
        <v>GALENICUM HEALTH COLOMBIA</v>
      </c>
      <c r="AK60" t="str">
        <f>IF(ISNUMBER(SEARCH("FABRICANTE",AC60)),"FABRICANTE",IF(ISNUMBER(SEARCH("IMPORTADOR",AC60)),"IMPORTADOR","OTRO"))</f>
        <v>IMPORTADOR</v>
      </c>
      <c r="AL60" t="str">
        <f>IF(LEFT(Y60,1)="A","Sistema digestivo",IF(LEFT(Y60,1)="B","Sangre",IF(LEFT(Y60,1)="C","Cardiovascular",IF(LEFT(Y60,1)="D","Dermatológico",IF(LEFT(Y60,1)="G","Genitourinario",IF(LEFT(Y60,1)="H","Hormonal",IF(LEFT(Y60,1)="J","Antiinfecciosos",IF(LEFT(Y60,1)="L","Oncológicos",IF(LEFT(Y60,1)="M","Musculoesquelético",IF(LEFT(Y60,1)="N","Sistema nervioso",IF(LEFT(Y60,1)="R","Respiratorio",IF(LEFT(Y60,1)="S","Oftálmico",IF(LEFT(Y60,1)="V","Varios","OTRO")))))))))))))</f>
        <v>Musculoesquelético</v>
      </c>
      <c r="AM60" t="str">
        <f>IF(AG60="Vigente","ACTIVO",IF(ISNUMBER(SEARCH("Inactivo",J60)),"INACTIVO","REVISAR"))</f>
        <v>ACTIVO</v>
      </c>
      <c r="AN60" t="str">
        <f ca="1">IF(OR(AF60="",AF60="null"),"",ROUND((AF60-TODAY())/365.25,2))</f>
        <v/>
      </c>
      <c r="AO60" t="str">
        <f ca="1">IF(AND(AG60="Vigente",OR(AF60="",AF60="null",AF60&gt;TODAY())),"SI",IF(AND(NOT(OR(AF60="",AF60="null")),AF60&lt;=TODAY()),"NO",IF(AG60="Vigente","SI","DESCONOCIDO")))</f>
        <v>SI</v>
      </c>
      <c r="AP60" t="str">
        <f>IF(AND(ISNUMBER(SEARCH("IMPORTAR",AA60)),ISNUMBER(SEARCH("FABRICAR",AA60))),"MIXTO",IF(ISNUMBER(SEARCH("IMPORTAR",AA60)),"IMPORTADO",IF(ISNUMBER(SEARCH("FABRICAR",AA60)),"LOCAL","OTRO")))</f>
        <v>IMPORTADO</v>
      </c>
      <c r="AQ60" t="str">
        <f>IF(AD60="Si","SI",IF(AD60="No","NO",""))</f>
        <v>NO</v>
      </c>
      <c r="AR60" t="str">
        <f>IF(ISNUMBER(SEARCH("®",N60)),"MARCA/INNOVADOR","GENERICO")</f>
        <v>MARCA/INNOVADOR</v>
      </c>
      <c r="AS60">
        <f ca="1">IF(AE60&gt;100,RANDBETWEEN(500,5000),IF(AND(AE60&gt;=10,AE60&lt;=100),RANDBETWEEN(100,1000),RANDBETWEEN(10,200)))</f>
        <v>576</v>
      </c>
      <c r="AT60">
        <f t="shared" ca="1" si="2"/>
        <v>69</v>
      </c>
      <c r="AU60">
        <f ca="1">INT(AS60*RANDBETWEEN(120,200)/100)</f>
        <v>915</v>
      </c>
      <c r="AV60" s="2">
        <f ca="1">IF(LEFT(Y60,1)="L",RANDBETWEEN(500000,5000000),IF(LEFT(Y60,1)="C",RANDBETWEEN(5000,50000),IF(LEFT(Y60,1)="N",RANDBETWEEN(10000,150000),IF(LEFT(Y60,1)="J",RANDBETWEEN(8000,200000),RANDBETWEEN(5000,100000)))))</f>
        <v>72064</v>
      </c>
      <c r="AW60" s="2">
        <f ca="1">INT(AV60*RANDBETWEEN(30,60)/100)</f>
        <v>27384</v>
      </c>
      <c r="AX60">
        <f ca="1">IF(Z60="ORAL",RANDBETWEEN(1000,10000),IF(OR(Z60="INTRAVENOSA",Z60="INTRAMUSCULAR"),RANDBETWEEN(100,2000),IF(OR(Z60="OFTÁLMICA",Z60="TOPICA (EXTERNA)"),RANDBETWEEN(200,3000),RANDBETWEEN(100,1500))))</f>
        <v>6316</v>
      </c>
      <c r="AY60" s="2">
        <f ca="1">INT(AV60*RANDBETWEEN(90,130)/100)</f>
        <v>70622</v>
      </c>
      <c r="AZ60" t="str">
        <f t="shared" ca="1" si="3"/>
        <v>23.8%</v>
      </c>
      <c r="BA60" t="str">
        <f t="shared" ca="1" si="4"/>
        <v>BAJO</v>
      </c>
    </row>
    <row r="61" spans="4:53" x14ac:dyDescent="0.35">
      <c r="D61" t="s">
        <v>631</v>
      </c>
      <c r="E61" s="1">
        <v>42466</v>
      </c>
      <c r="F61" t="s">
        <v>632</v>
      </c>
      <c r="G61" t="s">
        <v>108</v>
      </c>
      <c r="H61" t="s">
        <v>633</v>
      </c>
      <c r="I61">
        <v>20077141</v>
      </c>
      <c r="J61" t="s">
        <v>28</v>
      </c>
      <c r="K61">
        <v>24</v>
      </c>
      <c r="L61" t="s">
        <v>634</v>
      </c>
      <c r="M61" t="s">
        <v>635</v>
      </c>
      <c r="N61" t="s">
        <v>636</v>
      </c>
      <c r="O61" t="s">
        <v>637</v>
      </c>
      <c r="P61" t="s">
        <v>638</v>
      </c>
      <c r="Q61" s="1">
        <v>43535</v>
      </c>
      <c r="R61" t="s">
        <v>200</v>
      </c>
      <c r="S61" t="s">
        <v>27</v>
      </c>
      <c r="T61" t="s">
        <v>639</v>
      </c>
      <c r="U61" t="s">
        <v>115</v>
      </c>
      <c r="V61" t="s">
        <v>640</v>
      </c>
      <c r="W61" t="s">
        <v>641</v>
      </c>
      <c r="X61">
        <v>20077141</v>
      </c>
      <c r="Y61" t="s">
        <v>642</v>
      </c>
      <c r="Z61" t="s">
        <v>119</v>
      </c>
      <c r="AA61" t="s">
        <v>32</v>
      </c>
      <c r="AB61" t="s">
        <v>120</v>
      </c>
      <c r="AC61" t="s">
        <v>25</v>
      </c>
      <c r="AD61" t="s">
        <v>121</v>
      </c>
      <c r="AE61">
        <v>60</v>
      </c>
      <c r="AF61" s="1">
        <v>401769</v>
      </c>
      <c r="AG61" t="s">
        <v>26</v>
      </c>
      <c r="AH61" t="s">
        <v>4512</v>
      </c>
      <c r="AI61" t="str">
        <f t="shared" si="0"/>
        <v>NO</v>
      </c>
      <c r="AJ61" t="str">
        <f t="shared" si="1"/>
        <v>EXELTIS</v>
      </c>
      <c r="AK61" t="str">
        <f>IF(ISNUMBER(SEARCH("FABRICANTE",AC61)),"FABRICANTE",IF(ISNUMBER(SEARCH("IMPORTADOR",AC61)),"IMPORTADOR","OTRO"))</f>
        <v>FABRICANTE</v>
      </c>
      <c r="AL61" t="str">
        <f>IF(LEFT(Y61,1)="A","Sistema digestivo",IF(LEFT(Y61,1)="B","Sangre",IF(LEFT(Y61,1)="C","Cardiovascular",IF(LEFT(Y61,1)="D","Dermatológico",IF(LEFT(Y61,1)="G","Genitourinario",IF(LEFT(Y61,1)="H","Hormonal",IF(LEFT(Y61,1)="J","Antiinfecciosos",IF(LEFT(Y61,1)="L","Oncológicos",IF(LEFT(Y61,1)="M","Musculoesquelético",IF(LEFT(Y61,1)="N","Sistema nervioso",IF(LEFT(Y61,1)="R","Respiratorio",IF(LEFT(Y61,1)="S","Oftálmico",IF(LEFT(Y61,1)="V","Varios","OTRO")))))))))))))</f>
        <v>Genitourinario</v>
      </c>
      <c r="AM61" t="str">
        <f>IF(AG61="Vigente","ACTIVO",IF(ISNUMBER(SEARCH("Inactivo",J61)),"INACTIVO","REVISAR"))</f>
        <v>ACTIVO</v>
      </c>
      <c r="AN61">
        <f ca="1">IF(OR(AF61="",AF61="null"),"",ROUND((AF61-TODAY())/365.25,2))</f>
        <v>973.58</v>
      </c>
      <c r="AO61" t="str">
        <f ca="1">IF(AND(AG61="Vigente",OR(AF61="",AF61="null",AF61&gt;TODAY())),"SI",IF(AND(NOT(OR(AF61="",AF61="null")),AF61&lt;=TODAY()),"NO",IF(AG61="Vigente","SI","DESCONOCIDO")))</f>
        <v>SI</v>
      </c>
      <c r="AP61" t="str">
        <f>IF(AND(ISNUMBER(SEARCH("IMPORTAR",AA61)),ISNUMBER(SEARCH("FABRICAR",AA61))),"MIXTO",IF(ISNUMBER(SEARCH("IMPORTAR",AA61)),"IMPORTADO",IF(ISNUMBER(SEARCH("FABRICAR",AA61)),"LOCAL","OTRO")))</f>
        <v>IMPORTADO</v>
      </c>
      <c r="AQ61" t="str">
        <f>IF(AD61="Si","SI",IF(AD61="No","NO",""))</f>
        <v>NO</v>
      </c>
      <c r="AR61" t="str">
        <f>IF(ISNUMBER(SEARCH("®",N61)),"MARCA/INNOVADOR","GENERICO")</f>
        <v>MARCA/INNOVADOR</v>
      </c>
      <c r="AS61">
        <f ca="1">IF(AE61&gt;100,RANDBETWEEN(500,5000),IF(AND(AE61&gt;=10,AE61&lt;=100),RANDBETWEEN(100,1000),RANDBETWEEN(10,200)))</f>
        <v>753</v>
      </c>
      <c r="AT61">
        <f t="shared" ca="1" si="2"/>
        <v>165</v>
      </c>
      <c r="AU61">
        <f ca="1">INT(AS61*RANDBETWEEN(120,200)/100)</f>
        <v>1400</v>
      </c>
      <c r="AV61" s="2">
        <f ca="1">IF(LEFT(Y61,1)="L",RANDBETWEEN(500000,5000000),IF(LEFT(Y61,1)="C",RANDBETWEEN(5000,50000),IF(LEFT(Y61,1)="N",RANDBETWEEN(10000,150000),IF(LEFT(Y61,1)="J",RANDBETWEEN(8000,200000),RANDBETWEEN(5000,100000)))))</f>
        <v>24814</v>
      </c>
      <c r="AW61" s="2">
        <f ca="1">INT(AV61*RANDBETWEEN(30,60)/100)</f>
        <v>12903</v>
      </c>
      <c r="AX61">
        <f ca="1">IF(Z61="ORAL",RANDBETWEEN(1000,10000),IF(OR(Z61="INTRAVENOSA",Z61="INTRAMUSCULAR"),RANDBETWEEN(100,2000),IF(OR(Z61="OFTÁLMICA",Z61="TOPICA (EXTERNA)"),RANDBETWEEN(200,3000),RANDBETWEEN(100,1500))))</f>
        <v>3419</v>
      </c>
      <c r="AY61" s="2">
        <f ca="1">INT(AV61*RANDBETWEEN(90,130)/100)</f>
        <v>23077</v>
      </c>
      <c r="AZ61" t="str">
        <f t="shared" ca="1" si="3"/>
        <v>21.8%</v>
      </c>
      <c r="BA61" t="str">
        <f t="shared" ca="1" si="4"/>
        <v>BAJO</v>
      </c>
    </row>
    <row r="62" spans="4:53" x14ac:dyDescent="0.35">
      <c r="D62" t="s">
        <v>643</v>
      </c>
      <c r="E62" s="1">
        <v>42559</v>
      </c>
      <c r="F62" t="s">
        <v>644</v>
      </c>
      <c r="G62" t="s">
        <v>247</v>
      </c>
      <c r="H62" t="s">
        <v>645</v>
      </c>
      <c r="I62">
        <v>20099444</v>
      </c>
      <c r="J62" t="s">
        <v>28</v>
      </c>
      <c r="K62">
        <v>1</v>
      </c>
      <c r="L62" t="s">
        <v>646</v>
      </c>
      <c r="M62" t="s">
        <v>647</v>
      </c>
      <c r="N62" t="s">
        <v>648</v>
      </c>
      <c r="O62" t="s">
        <v>649</v>
      </c>
      <c r="P62" t="s">
        <v>27</v>
      </c>
      <c r="Q62" s="1">
        <v>42375</v>
      </c>
      <c r="R62" t="s">
        <v>62</v>
      </c>
      <c r="S62" t="s">
        <v>27</v>
      </c>
      <c r="T62" t="s">
        <v>650</v>
      </c>
      <c r="U62" t="s">
        <v>247</v>
      </c>
      <c r="V62" t="s">
        <v>651</v>
      </c>
      <c r="W62" t="s">
        <v>433</v>
      </c>
      <c r="X62">
        <v>20099444</v>
      </c>
      <c r="Y62" t="s">
        <v>652</v>
      </c>
      <c r="Z62" t="s">
        <v>566</v>
      </c>
      <c r="AA62" t="s">
        <v>24</v>
      </c>
      <c r="AB62" t="s">
        <v>653</v>
      </c>
      <c r="AC62" t="s">
        <v>25</v>
      </c>
      <c r="AD62" t="s">
        <v>121</v>
      </c>
      <c r="AE62">
        <v>20</v>
      </c>
      <c r="AF62" t="s">
        <v>27</v>
      </c>
      <c r="AG62" t="s">
        <v>26</v>
      </c>
      <c r="AH62" t="s">
        <v>5550</v>
      </c>
      <c r="AI62" t="str">
        <f t="shared" si="0"/>
        <v>NO</v>
      </c>
      <c r="AJ62" t="str">
        <f t="shared" si="1"/>
        <v>QUIRUPOS</v>
      </c>
      <c r="AK62" t="str">
        <f>IF(ISNUMBER(SEARCH("FABRICANTE",AC62)),"FABRICANTE",IF(ISNUMBER(SEARCH("IMPORTADOR",AC62)),"IMPORTADOR","OTRO"))</f>
        <v>FABRICANTE</v>
      </c>
      <c r="AL62" t="str">
        <f>IF(LEFT(Y62,1)="A","Sistema digestivo",IF(LEFT(Y62,1)="B","Sangre",IF(LEFT(Y62,1)="C","Cardiovascular",IF(LEFT(Y62,1)="D","Dermatológico",IF(LEFT(Y62,1)="G","Genitourinario",IF(LEFT(Y62,1)="H","Hormonal",IF(LEFT(Y62,1)="J","Antiinfecciosos",IF(LEFT(Y62,1)="L","Oncológicos",IF(LEFT(Y62,1)="M","Musculoesquelético",IF(LEFT(Y62,1)="N","Sistema nervioso",IF(LEFT(Y62,1)="R","Respiratorio",IF(LEFT(Y62,1)="S","Oftálmico",IF(LEFT(Y62,1)="V","Varios","OTRO")))))))))))))</f>
        <v>Dermatológico</v>
      </c>
      <c r="AM62" t="str">
        <f>IF(AG62="Vigente","ACTIVO",IF(ISNUMBER(SEARCH("Inactivo",J62)),"INACTIVO","REVISAR"))</f>
        <v>ACTIVO</v>
      </c>
      <c r="AN62" t="str">
        <f ca="1">IF(OR(AF62="",AF62="null"),"",ROUND((AF62-TODAY())/365.25,2))</f>
        <v/>
      </c>
      <c r="AO62" t="str">
        <f ca="1">IF(AND(AG62="Vigente",OR(AF62="",AF62="null",AF62&gt;TODAY())),"SI",IF(AND(NOT(OR(AF62="",AF62="null")),AF62&lt;=TODAY()),"NO",IF(AG62="Vigente","SI","DESCONOCIDO")))</f>
        <v>SI</v>
      </c>
      <c r="AP62" t="str">
        <f>IF(AND(ISNUMBER(SEARCH("IMPORTAR",AA62)),ISNUMBER(SEARCH("FABRICAR",AA62))),"MIXTO",IF(ISNUMBER(SEARCH("IMPORTAR",AA62)),"IMPORTADO",IF(ISNUMBER(SEARCH("FABRICAR",AA62)),"LOCAL","OTRO")))</f>
        <v>LOCAL</v>
      </c>
      <c r="AQ62" t="str">
        <f>IF(AD62="Si","SI",IF(AD62="No","NO",""))</f>
        <v>NO</v>
      </c>
      <c r="AR62" t="str">
        <f>IF(ISNUMBER(SEARCH("®",N62)),"MARCA/INNOVADOR","GENERICO")</f>
        <v>MARCA/INNOVADOR</v>
      </c>
      <c r="AS62">
        <f ca="1">IF(AE62&gt;100,RANDBETWEEN(500,5000),IF(AND(AE62&gt;=10,AE62&lt;=100),RANDBETWEEN(100,1000),RANDBETWEEN(10,200)))</f>
        <v>295</v>
      </c>
      <c r="AT62">
        <f t="shared" ca="1" si="2"/>
        <v>56</v>
      </c>
      <c r="AU62">
        <f ca="1">INT(AS62*RANDBETWEEN(120,200)/100)</f>
        <v>383</v>
      </c>
      <c r="AV62" s="2">
        <f ca="1">IF(LEFT(Y62,1)="L",RANDBETWEEN(500000,5000000),IF(LEFT(Y62,1)="C",RANDBETWEEN(5000,50000),IF(LEFT(Y62,1)="N",RANDBETWEEN(10000,150000),IF(LEFT(Y62,1)="J",RANDBETWEEN(8000,200000),RANDBETWEEN(5000,100000)))))</f>
        <v>54022</v>
      </c>
      <c r="AW62" s="2">
        <f ca="1">INT(AV62*RANDBETWEEN(30,60)/100)</f>
        <v>19447</v>
      </c>
      <c r="AX62">
        <f ca="1">IF(Z62="ORAL",RANDBETWEEN(1000,10000),IF(OR(Z62="INTRAVENOSA",Z62="INTRAMUSCULAR"),RANDBETWEEN(100,2000),IF(OR(Z62="OFTÁLMICA",Z62="TOPICA (EXTERNA)"),RANDBETWEEN(200,3000),RANDBETWEEN(100,1500))))</f>
        <v>638</v>
      </c>
      <c r="AY62" s="2">
        <f ca="1">INT(AV62*RANDBETWEEN(90,130)/100)</f>
        <v>55642</v>
      </c>
      <c r="AZ62" t="str">
        <f t="shared" ca="1" si="3"/>
        <v>11.8%</v>
      </c>
      <c r="BA62" t="str">
        <f t="shared" ca="1" si="4"/>
        <v>BAJO</v>
      </c>
    </row>
    <row r="63" spans="4:53" x14ac:dyDescent="0.35">
      <c r="D63" t="s">
        <v>654</v>
      </c>
      <c r="E63" s="1">
        <v>39777</v>
      </c>
      <c r="F63" t="s">
        <v>655</v>
      </c>
      <c r="G63" t="s">
        <v>108</v>
      </c>
      <c r="H63" t="s">
        <v>454</v>
      </c>
      <c r="I63">
        <v>19988267</v>
      </c>
      <c r="J63" t="s">
        <v>28</v>
      </c>
      <c r="K63">
        <v>12</v>
      </c>
      <c r="L63" t="s">
        <v>27</v>
      </c>
      <c r="M63" t="s">
        <v>656</v>
      </c>
      <c r="N63" t="s">
        <v>657</v>
      </c>
      <c r="O63" t="s">
        <v>658</v>
      </c>
      <c r="P63" t="s">
        <v>659</v>
      </c>
      <c r="Q63" s="1">
        <v>39923</v>
      </c>
      <c r="R63" t="s">
        <v>527</v>
      </c>
      <c r="S63" t="s">
        <v>27</v>
      </c>
      <c r="T63" t="s">
        <v>454</v>
      </c>
      <c r="U63" t="s">
        <v>115</v>
      </c>
      <c r="V63" t="s">
        <v>660</v>
      </c>
      <c r="W63">
        <v>10</v>
      </c>
      <c r="X63">
        <v>19988267</v>
      </c>
      <c r="Y63" t="s">
        <v>661</v>
      </c>
      <c r="Z63" t="s">
        <v>119</v>
      </c>
      <c r="AA63" t="s">
        <v>24</v>
      </c>
      <c r="AB63" t="s">
        <v>120</v>
      </c>
      <c r="AC63" t="s">
        <v>25</v>
      </c>
      <c r="AD63" t="s">
        <v>121</v>
      </c>
      <c r="AE63">
        <v>2</v>
      </c>
      <c r="AF63" s="1">
        <v>401769</v>
      </c>
      <c r="AG63" t="s">
        <v>26</v>
      </c>
      <c r="AH63" t="s">
        <v>6617</v>
      </c>
      <c r="AI63" t="str">
        <f t="shared" si="0"/>
        <v>SI</v>
      </c>
      <c r="AJ63" t="str">
        <f t="shared" si="1"/>
        <v>PROCAPS</v>
      </c>
      <c r="AK63" t="str">
        <f>IF(ISNUMBER(SEARCH("FABRICANTE",AC63)),"FABRICANTE",IF(ISNUMBER(SEARCH("IMPORTADOR",AC63)),"IMPORTADOR","OTRO"))</f>
        <v>FABRICANTE</v>
      </c>
      <c r="AL63" t="str">
        <f>IF(LEFT(Y63,1)="A","Sistema digestivo",IF(LEFT(Y63,1)="B","Sangre",IF(LEFT(Y63,1)="C","Cardiovascular",IF(LEFT(Y63,1)="D","Dermatológico",IF(LEFT(Y63,1)="G","Genitourinario",IF(LEFT(Y63,1)="H","Hormonal",IF(LEFT(Y63,1)="J","Antiinfecciosos",IF(LEFT(Y63,1)="L","Oncológicos",IF(LEFT(Y63,1)="M","Musculoesquelético",IF(LEFT(Y63,1)="N","Sistema nervioso",IF(LEFT(Y63,1)="R","Respiratorio",IF(LEFT(Y63,1)="S","Oftálmico",IF(LEFT(Y63,1)="V","Varios","OTRO")))))))))))))</f>
        <v>Cardiovascular</v>
      </c>
      <c r="AM63" t="str">
        <f>IF(AG63="Vigente","ACTIVO",IF(ISNUMBER(SEARCH("Inactivo",J63)),"INACTIVO","REVISAR"))</f>
        <v>ACTIVO</v>
      </c>
      <c r="AN63">
        <f ca="1">IF(OR(AF63="",AF63="null"),"",ROUND((AF63-TODAY())/365.25,2))</f>
        <v>973.58</v>
      </c>
      <c r="AO63" t="str">
        <f ca="1">IF(AND(AG63="Vigente",OR(AF63="",AF63="null",AF63&gt;TODAY())),"SI",IF(AND(NOT(OR(AF63="",AF63="null")),AF63&lt;=TODAY()),"NO",IF(AG63="Vigente","SI","DESCONOCIDO")))</f>
        <v>SI</v>
      </c>
      <c r="AP63" t="str">
        <f>IF(AND(ISNUMBER(SEARCH("IMPORTAR",AA63)),ISNUMBER(SEARCH("FABRICAR",AA63))),"MIXTO",IF(ISNUMBER(SEARCH("IMPORTAR",AA63)),"IMPORTADO",IF(ISNUMBER(SEARCH("FABRICAR",AA63)),"LOCAL","OTRO")))</f>
        <v>LOCAL</v>
      </c>
      <c r="AQ63" t="str">
        <f>IF(AD63="Si","SI",IF(AD63="No","NO",""))</f>
        <v>NO</v>
      </c>
      <c r="AR63" t="str">
        <f>IF(ISNUMBER(SEARCH("®",N63)),"MARCA/INNOVADOR","GENERICO")</f>
        <v>MARCA/INNOVADOR</v>
      </c>
      <c r="AS63">
        <f ca="1">IF(AE63&gt;100,RANDBETWEEN(500,5000),IF(AND(AE63&gt;=10,AE63&lt;=100),RANDBETWEEN(100,1000),RANDBETWEEN(10,200)))</f>
        <v>51</v>
      </c>
      <c r="AT63">
        <f t="shared" ca="1" si="2"/>
        <v>9</v>
      </c>
      <c r="AU63">
        <f ca="1">INT(AS63*RANDBETWEEN(120,200)/100)</f>
        <v>99</v>
      </c>
      <c r="AV63" s="2">
        <f ca="1">IF(LEFT(Y63,1)="L",RANDBETWEEN(500000,5000000),IF(LEFT(Y63,1)="C",RANDBETWEEN(5000,50000),IF(LEFT(Y63,1)="N",RANDBETWEEN(10000,150000),IF(LEFT(Y63,1)="J",RANDBETWEEN(8000,200000),RANDBETWEEN(5000,100000)))))</f>
        <v>42355</v>
      </c>
      <c r="AW63" s="2">
        <f ca="1">INT(AV63*RANDBETWEEN(30,60)/100)</f>
        <v>20330</v>
      </c>
      <c r="AX63">
        <f ca="1">IF(Z63="ORAL",RANDBETWEEN(1000,10000),IF(OR(Z63="INTRAVENOSA",Z63="INTRAMUSCULAR"),RANDBETWEEN(100,2000),IF(OR(Z63="OFTÁLMICA",Z63="TOPICA (EXTERNA)"),RANDBETWEEN(200,3000),RANDBETWEEN(100,1500))))</f>
        <v>7832</v>
      </c>
      <c r="AY63" s="2">
        <f ca="1">INT(AV63*RANDBETWEEN(90,130)/100)</f>
        <v>44896</v>
      </c>
      <c r="AZ63" t="str">
        <f t="shared" ca="1" si="3"/>
        <v>8.5%</v>
      </c>
      <c r="BA63" t="str">
        <f t="shared" ca="1" si="4"/>
        <v>BAJO</v>
      </c>
    </row>
    <row r="64" spans="4:53" x14ac:dyDescent="0.35">
      <c r="D64" t="s">
        <v>662</v>
      </c>
      <c r="E64" s="1">
        <v>40210</v>
      </c>
      <c r="F64" t="s">
        <v>663</v>
      </c>
      <c r="G64" t="s">
        <v>108</v>
      </c>
      <c r="H64" t="s">
        <v>454</v>
      </c>
      <c r="I64">
        <v>20004313</v>
      </c>
      <c r="J64" t="s">
        <v>28</v>
      </c>
      <c r="K64">
        <v>14</v>
      </c>
      <c r="L64" t="s">
        <v>27</v>
      </c>
      <c r="M64" t="s">
        <v>664</v>
      </c>
      <c r="N64" t="s">
        <v>665</v>
      </c>
      <c r="O64" t="s">
        <v>666</v>
      </c>
      <c r="P64" t="s">
        <v>527</v>
      </c>
      <c r="Q64" s="1">
        <v>40805</v>
      </c>
      <c r="R64" t="s">
        <v>527</v>
      </c>
      <c r="S64" t="s">
        <v>27</v>
      </c>
      <c r="T64" t="s">
        <v>454</v>
      </c>
      <c r="U64" t="s">
        <v>115</v>
      </c>
      <c r="V64" t="s">
        <v>667</v>
      </c>
      <c r="W64">
        <v>10</v>
      </c>
      <c r="X64">
        <v>20004313</v>
      </c>
      <c r="Y64" t="s">
        <v>668</v>
      </c>
      <c r="Z64" t="s">
        <v>119</v>
      </c>
      <c r="AA64" t="s">
        <v>24</v>
      </c>
      <c r="AB64" t="s">
        <v>120</v>
      </c>
      <c r="AC64" t="s">
        <v>25</v>
      </c>
      <c r="AD64" t="s">
        <v>121</v>
      </c>
      <c r="AE64">
        <v>50</v>
      </c>
      <c r="AF64" t="s">
        <v>27</v>
      </c>
      <c r="AG64" t="s">
        <v>26</v>
      </c>
      <c r="AH64" t="s">
        <v>667</v>
      </c>
      <c r="AI64" t="str">
        <f t="shared" si="0"/>
        <v>SI</v>
      </c>
      <c r="AJ64" t="str">
        <f t="shared" si="1"/>
        <v>PROCAPS</v>
      </c>
      <c r="AK64" t="str">
        <f>IF(ISNUMBER(SEARCH("FABRICANTE",AC64)),"FABRICANTE",IF(ISNUMBER(SEARCH("IMPORTADOR",AC64)),"IMPORTADOR","OTRO"))</f>
        <v>FABRICANTE</v>
      </c>
      <c r="AL64" t="str">
        <f>IF(LEFT(Y64,1)="A","Sistema digestivo",IF(LEFT(Y64,1)="B","Sangre",IF(LEFT(Y64,1)="C","Cardiovascular",IF(LEFT(Y64,1)="D","Dermatológico",IF(LEFT(Y64,1)="G","Genitourinario",IF(LEFT(Y64,1)="H","Hormonal",IF(LEFT(Y64,1)="J","Antiinfecciosos",IF(LEFT(Y64,1)="L","Oncológicos",IF(LEFT(Y64,1)="M","Musculoesquelético",IF(LEFT(Y64,1)="N","Sistema nervioso",IF(LEFT(Y64,1)="R","Respiratorio",IF(LEFT(Y64,1)="S","Oftálmico",IF(LEFT(Y64,1)="V","Varios","OTRO")))))))))))))</f>
        <v>Cardiovascular</v>
      </c>
      <c r="AM64" t="str">
        <f>IF(AG64="Vigente","ACTIVO",IF(ISNUMBER(SEARCH("Inactivo",J64)),"INACTIVO","REVISAR"))</f>
        <v>ACTIVO</v>
      </c>
      <c r="AN64" t="str">
        <f ca="1">IF(OR(AF64="",AF64="null"),"",ROUND((AF64-TODAY())/365.25,2))</f>
        <v/>
      </c>
      <c r="AO64" t="str">
        <f ca="1">IF(AND(AG64="Vigente",OR(AF64="",AF64="null",AF64&gt;TODAY())),"SI",IF(AND(NOT(OR(AF64="",AF64="null")),AF64&lt;=TODAY()),"NO",IF(AG64="Vigente","SI","DESCONOCIDO")))</f>
        <v>SI</v>
      </c>
      <c r="AP64" t="str">
        <f>IF(AND(ISNUMBER(SEARCH("IMPORTAR",AA64)),ISNUMBER(SEARCH("FABRICAR",AA64))),"MIXTO",IF(ISNUMBER(SEARCH("IMPORTAR",AA64)),"IMPORTADO",IF(ISNUMBER(SEARCH("FABRICAR",AA64)),"LOCAL","OTRO")))</f>
        <v>LOCAL</v>
      </c>
      <c r="AQ64" t="str">
        <f>IF(AD64="Si","SI",IF(AD64="No","NO",""))</f>
        <v>NO</v>
      </c>
      <c r="AR64" t="str">
        <f>IF(ISNUMBER(SEARCH("®",N64)),"MARCA/INNOVADOR","GENERICO")</f>
        <v>MARCA/INNOVADOR</v>
      </c>
      <c r="AS64">
        <f ca="1">IF(AE64&gt;100,RANDBETWEEN(500,5000),IF(AND(AE64&gt;=10,AE64&lt;=100),RANDBETWEEN(100,1000),RANDBETWEEN(10,200)))</f>
        <v>914</v>
      </c>
      <c r="AT64">
        <f t="shared" ca="1" si="2"/>
        <v>274</v>
      </c>
      <c r="AU64">
        <f ca="1">INT(AS64*RANDBETWEEN(120,200)/100)</f>
        <v>1252</v>
      </c>
      <c r="AV64" s="2">
        <f ca="1">IF(LEFT(Y64,1)="L",RANDBETWEEN(500000,5000000),IF(LEFT(Y64,1)="C",RANDBETWEEN(5000,50000),IF(LEFT(Y64,1)="N",RANDBETWEEN(10000,150000),IF(LEFT(Y64,1)="J",RANDBETWEEN(8000,200000),RANDBETWEEN(5000,100000)))))</f>
        <v>46533</v>
      </c>
      <c r="AW64" s="2">
        <f ca="1">INT(AV64*RANDBETWEEN(30,60)/100)</f>
        <v>25127</v>
      </c>
      <c r="AX64">
        <f ca="1">IF(Z64="ORAL",RANDBETWEEN(1000,10000),IF(OR(Z64="INTRAVENOSA",Z64="INTRAMUSCULAR"),RANDBETWEEN(100,2000),IF(OR(Z64="OFTÁLMICA",Z64="TOPICA (EXTERNA)"),RANDBETWEEN(200,3000),RANDBETWEEN(100,1500))))</f>
        <v>9190</v>
      </c>
      <c r="AY64" s="2">
        <f ca="1">INT(AV64*RANDBETWEEN(90,130)/100)</f>
        <v>48394</v>
      </c>
      <c r="AZ64" t="str">
        <f t="shared" ca="1" si="3"/>
        <v>8.3%</v>
      </c>
      <c r="BA64" t="str">
        <f t="shared" ca="1" si="4"/>
        <v>BAJO</v>
      </c>
    </row>
    <row r="65" spans="4:53" x14ac:dyDescent="0.35">
      <c r="D65" t="s">
        <v>669</v>
      </c>
      <c r="E65" s="1">
        <v>43721</v>
      </c>
      <c r="F65" t="s">
        <v>670</v>
      </c>
      <c r="G65" t="s">
        <v>108</v>
      </c>
      <c r="H65" t="s">
        <v>671</v>
      </c>
      <c r="I65">
        <v>20157001</v>
      </c>
      <c r="J65" t="s">
        <v>28</v>
      </c>
      <c r="K65">
        <v>3</v>
      </c>
      <c r="L65" t="s">
        <v>672</v>
      </c>
      <c r="M65" t="s">
        <v>673</v>
      </c>
      <c r="N65" t="s">
        <v>674</v>
      </c>
      <c r="O65" t="s">
        <v>675</v>
      </c>
      <c r="P65" t="s">
        <v>676</v>
      </c>
      <c r="Q65" s="1">
        <v>44473</v>
      </c>
      <c r="R65" t="s">
        <v>33</v>
      </c>
      <c r="S65" t="s">
        <v>27</v>
      </c>
      <c r="T65" t="s">
        <v>677</v>
      </c>
      <c r="U65" t="s">
        <v>115</v>
      </c>
      <c r="V65" t="s">
        <v>670</v>
      </c>
      <c r="W65">
        <v>2</v>
      </c>
      <c r="X65">
        <v>20157001</v>
      </c>
      <c r="Y65" t="s">
        <v>678</v>
      </c>
      <c r="Z65" t="s">
        <v>119</v>
      </c>
      <c r="AA65" t="s">
        <v>32</v>
      </c>
      <c r="AB65" t="s">
        <v>120</v>
      </c>
      <c r="AC65" t="s">
        <v>38</v>
      </c>
      <c r="AD65" t="s">
        <v>121</v>
      </c>
      <c r="AE65">
        <v>28</v>
      </c>
      <c r="AF65" t="s">
        <v>27</v>
      </c>
      <c r="AG65" t="s">
        <v>26</v>
      </c>
      <c r="AH65" t="s">
        <v>670</v>
      </c>
      <c r="AI65" t="str">
        <f t="shared" si="0"/>
        <v>NO</v>
      </c>
      <c r="AJ65" t="str">
        <f t="shared" si="1"/>
        <v>ELI LILLY AND COMPANY</v>
      </c>
      <c r="AK65" t="str">
        <f>IF(ISNUMBER(SEARCH("FABRICANTE",AC65)),"FABRICANTE",IF(ISNUMBER(SEARCH("IMPORTADOR",AC65)),"IMPORTADOR","OTRO"))</f>
        <v>IMPORTADOR</v>
      </c>
      <c r="AL65" t="str">
        <f>IF(LEFT(Y65,1)="A","Sistema digestivo",IF(LEFT(Y65,1)="B","Sangre",IF(LEFT(Y65,1)="C","Cardiovascular",IF(LEFT(Y65,1)="D","Dermatológico",IF(LEFT(Y65,1)="G","Genitourinario",IF(LEFT(Y65,1)="H","Hormonal",IF(LEFT(Y65,1)="J","Antiinfecciosos",IF(LEFT(Y65,1)="L","Oncológicos",IF(LEFT(Y65,1)="M","Musculoesquelético",IF(LEFT(Y65,1)="N","Sistema nervioso",IF(LEFT(Y65,1)="R","Respiratorio",IF(LEFT(Y65,1)="S","Oftálmico",IF(LEFT(Y65,1)="V","Varios","OTRO")))))))))))))</f>
        <v>Oncológicos</v>
      </c>
      <c r="AM65" t="str">
        <f>IF(AG65="Vigente","ACTIVO",IF(ISNUMBER(SEARCH("Inactivo",J65)),"INACTIVO","REVISAR"))</f>
        <v>ACTIVO</v>
      </c>
      <c r="AN65" t="str">
        <f ca="1">IF(OR(AF65="",AF65="null"),"",ROUND((AF65-TODAY())/365.25,2))</f>
        <v/>
      </c>
      <c r="AO65" t="str">
        <f ca="1">IF(AND(AG65="Vigente",OR(AF65="",AF65="null",AF65&gt;TODAY())),"SI",IF(AND(NOT(OR(AF65="",AF65="null")),AF65&lt;=TODAY()),"NO",IF(AG65="Vigente","SI","DESCONOCIDO")))</f>
        <v>SI</v>
      </c>
      <c r="AP65" t="str">
        <f>IF(AND(ISNUMBER(SEARCH("IMPORTAR",AA65)),ISNUMBER(SEARCH("FABRICAR",AA65))),"MIXTO",IF(ISNUMBER(SEARCH("IMPORTAR",AA65)),"IMPORTADO",IF(ISNUMBER(SEARCH("FABRICAR",AA65)),"LOCAL","OTRO")))</f>
        <v>IMPORTADO</v>
      </c>
      <c r="AQ65" t="str">
        <f>IF(AD65="Si","SI",IF(AD65="No","NO",""))</f>
        <v>NO</v>
      </c>
      <c r="AR65" t="str">
        <f>IF(ISNUMBER(SEARCH("®",N65)),"MARCA/INNOVADOR","GENERICO")</f>
        <v>GENERICO</v>
      </c>
      <c r="AS65">
        <f ca="1">IF(AE65&gt;100,RANDBETWEEN(500,5000),IF(AND(AE65&gt;=10,AE65&lt;=100),RANDBETWEEN(100,1000),RANDBETWEEN(10,200)))</f>
        <v>704</v>
      </c>
      <c r="AT65">
        <f t="shared" ca="1" si="2"/>
        <v>168</v>
      </c>
      <c r="AU65">
        <f ca="1">INT(AS65*RANDBETWEEN(120,200)/100)</f>
        <v>1070</v>
      </c>
      <c r="AV65" s="2">
        <f ca="1">IF(LEFT(Y65,1)="L",RANDBETWEEN(500000,5000000),IF(LEFT(Y65,1)="C",RANDBETWEEN(5000,50000),IF(LEFT(Y65,1)="N",RANDBETWEEN(10000,150000),IF(LEFT(Y65,1)="J",RANDBETWEEN(8000,200000),RANDBETWEEN(5000,100000)))))</f>
        <v>1717774</v>
      </c>
      <c r="AW65" s="2">
        <f ca="1">INT(AV65*RANDBETWEEN(30,60)/100)</f>
        <v>979131</v>
      </c>
      <c r="AX65">
        <f ca="1">IF(Z65="ORAL",RANDBETWEEN(1000,10000),IF(OR(Z65="INTRAVENOSA",Z65="INTRAMUSCULAR"),RANDBETWEEN(100,2000),IF(OR(Z65="OFTÁLMICA",Z65="TOPICA (EXTERNA)"),RANDBETWEEN(200,3000),RANDBETWEEN(100,1500))))</f>
        <v>2175</v>
      </c>
      <c r="AY65" s="2">
        <f ca="1">INT(AV65*RANDBETWEEN(90,130)/100)</f>
        <v>1786484</v>
      </c>
      <c r="AZ65" t="str">
        <f t="shared" ca="1" si="3"/>
        <v>24.2%</v>
      </c>
      <c r="BA65" t="str">
        <f t="shared" ca="1" si="4"/>
        <v>BAJO</v>
      </c>
    </row>
    <row r="66" spans="4:53" x14ac:dyDescent="0.35">
      <c r="D66" t="s">
        <v>679</v>
      </c>
      <c r="E66" s="1">
        <v>35787</v>
      </c>
      <c r="F66" t="s">
        <v>680</v>
      </c>
      <c r="G66" t="s">
        <v>108</v>
      </c>
      <c r="H66" t="s">
        <v>681</v>
      </c>
      <c r="I66">
        <v>208141</v>
      </c>
      <c r="J66" t="s">
        <v>110</v>
      </c>
      <c r="K66">
        <v>28</v>
      </c>
      <c r="L66" t="s">
        <v>27</v>
      </c>
      <c r="M66" t="s">
        <v>550</v>
      </c>
      <c r="N66" t="s">
        <v>551</v>
      </c>
      <c r="O66" t="s">
        <v>682</v>
      </c>
      <c r="P66" t="s">
        <v>553</v>
      </c>
      <c r="Q66" s="1">
        <v>39225</v>
      </c>
      <c r="R66" t="s">
        <v>50</v>
      </c>
      <c r="S66" t="s">
        <v>27</v>
      </c>
      <c r="T66" t="s">
        <v>549</v>
      </c>
      <c r="U66" t="s">
        <v>247</v>
      </c>
      <c r="V66" t="s">
        <v>554</v>
      </c>
      <c r="W66">
        <v>1</v>
      </c>
      <c r="X66">
        <v>208141</v>
      </c>
      <c r="Y66" t="s">
        <v>556</v>
      </c>
      <c r="Z66" t="s">
        <v>260</v>
      </c>
      <c r="AA66" t="s">
        <v>32</v>
      </c>
      <c r="AB66" t="s">
        <v>120</v>
      </c>
      <c r="AC66" t="s">
        <v>25</v>
      </c>
      <c r="AD66" t="s">
        <v>121</v>
      </c>
      <c r="AE66">
        <v>1</v>
      </c>
      <c r="AF66" t="s">
        <v>27</v>
      </c>
      <c r="AG66" t="s">
        <v>26</v>
      </c>
      <c r="AH66" t="s">
        <v>6618</v>
      </c>
      <c r="AI66" t="str">
        <f t="shared" si="0"/>
        <v>NO</v>
      </c>
      <c r="AJ66" t="str">
        <f t="shared" si="1"/>
        <v>LABORATORIOS BAXTER</v>
      </c>
      <c r="AK66" t="str">
        <f>IF(ISNUMBER(SEARCH("FABRICANTE",AC66)),"FABRICANTE",IF(ISNUMBER(SEARCH("IMPORTADOR",AC66)),"IMPORTADOR","OTRO"))</f>
        <v>FABRICANTE</v>
      </c>
      <c r="AL66" t="str">
        <f>IF(LEFT(Y66,1)="A","Sistema digestivo",IF(LEFT(Y66,1)="B","Sangre",IF(LEFT(Y66,1)="C","Cardiovascular",IF(LEFT(Y66,1)="D","Dermatológico",IF(LEFT(Y66,1)="G","Genitourinario",IF(LEFT(Y66,1)="H","Hormonal",IF(LEFT(Y66,1)="J","Antiinfecciosos",IF(LEFT(Y66,1)="L","Oncológicos",IF(LEFT(Y66,1)="M","Musculoesquelético",IF(LEFT(Y66,1)="N","Sistema nervioso",IF(LEFT(Y66,1)="R","Respiratorio",IF(LEFT(Y66,1)="S","Oftálmico",IF(LEFT(Y66,1)="V","Varios","OTRO")))))))))))))</f>
        <v>Sangre</v>
      </c>
      <c r="AM66" t="str">
        <f>IF(AG66="Vigente","ACTIVO",IF(ISNUMBER(SEARCH("Inactivo",J66)),"INACTIVO","REVISAR"))</f>
        <v>ACTIVO</v>
      </c>
      <c r="AN66" t="str">
        <f ca="1">IF(OR(AF66="",AF66="null"),"",ROUND((AF66-TODAY())/365.25,2))</f>
        <v/>
      </c>
      <c r="AO66" t="str">
        <f ca="1">IF(AND(AG66="Vigente",OR(AF66="",AF66="null",AF66&gt;TODAY())),"SI",IF(AND(NOT(OR(AF66="",AF66="null")),AF66&lt;=TODAY()),"NO",IF(AG66="Vigente","SI","DESCONOCIDO")))</f>
        <v>SI</v>
      </c>
      <c r="AP66" t="str">
        <f>IF(AND(ISNUMBER(SEARCH("IMPORTAR",AA66)),ISNUMBER(SEARCH("FABRICAR",AA66))),"MIXTO",IF(ISNUMBER(SEARCH("IMPORTAR",AA66)),"IMPORTADO",IF(ISNUMBER(SEARCH("FABRICAR",AA66)),"LOCAL","OTRO")))</f>
        <v>IMPORTADO</v>
      </c>
      <c r="AQ66" t="str">
        <f>IF(AD66="Si","SI",IF(AD66="No","NO",""))</f>
        <v>NO</v>
      </c>
      <c r="AR66" t="str">
        <f>IF(ISNUMBER(SEARCH("®",N66)),"MARCA/INNOVADOR","GENERICO")</f>
        <v>GENERICO</v>
      </c>
      <c r="AS66">
        <f ca="1">IF(AE66&gt;100,RANDBETWEEN(500,5000),IF(AND(AE66&gt;=10,AE66&lt;=100),RANDBETWEEN(100,1000),RANDBETWEEN(10,200)))</f>
        <v>61</v>
      </c>
      <c r="AT66">
        <f t="shared" ca="1" si="2"/>
        <v>15</v>
      </c>
      <c r="AU66">
        <f ca="1">INT(AS66*RANDBETWEEN(120,200)/100)</f>
        <v>89</v>
      </c>
      <c r="AV66" s="2">
        <f ca="1">IF(LEFT(Y66,1)="L",RANDBETWEEN(500000,5000000),IF(LEFT(Y66,1)="C",RANDBETWEEN(5000,50000),IF(LEFT(Y66,1)="N",RANDBETWEEN(10000,150000),IF(LEFT(Y66,1)="J",RANDBETWEEN(8000,200000),RANDBETWEEN(5000,100000)))))</f>
        <v>8794</v>
      </c>
      <c r="AW66" s="2">
        <f ca="1">INT(AV66*RANDBETWEEN(30,60)/100)</f>
        <v>4045</v>
      </c>
      <c r="AX66">
        <f ca="1">IF(Z66="ORAL",RANDBETWEEN(1000,10000),IF(OR(Z66="INTRAVENOSA",Z66="INTRAMUSCULAR"),RANDBETWEEN(100,2000),IF(OR(Z66="OFTÁLMICA",Z66="TOPICA (EXTERNA)"),RANDBETWEEN(200,3000),RANDBETWEEN(100,1500))))</f>
        <v>718</v>
      </c>
      <c r="AY66" s="2">
        <f ca="1">INT(AV66*RANDBETWEEN(90,130)/100)</f>
        <v>10728</v>
      </c>
      <c r="AZ66" t="str">
        <f t="shared" ca="1" si="3"/>
        <v>2.2%</v>
      </c>
      <c r="BA66" t="str">
        <f t="shared" ca="1" si="4"/>
        <v>ALTO</v>
      </c>
    </row>
    <row r="67" spans="4:53" x14ac:dyDescent="0.35">
      <c r="D67" t="s">
        <v>683</v>
      </c>
      <c r="E67" s="1">
        <v>41227</v>
      </c>
      <c r="F67" t="s">
        <v>522</v>
      </c>
      <c r="G67" t="s">
        <v>108</v>
      </c>
      <c r="H67" t="s">
        <v>684</v>
      </c>
      <c r="I67">
        <v>20046741</v>
      </c>
      <c r="J67" t="s">
        <v>28</v>
      </c>
      <c r="K67">
        <v>5</v>
      </c>
      <c r="L67" t="s">
        <v>27</v>
      </c>
      <c r="M67" t="s">
        <v>685</v>
      </c>
      <c r="N67" t="s">
        <v>686</v>
      </c>
      <c r="O67" t="s">
        <v>687</v>
      </c>
      <c r="P67" t="s">
        <v>29</v>
      </c>
      <c r="Q67" s="1">
        <v>43889</v>
      </c>
      <c r="R67" t="s">
        <v>29</v>
      </c>
      <c r="S67" t="s">
        <v>27</v>
      </c>
      <c r="T67" t="s">
        <v>688</v>
      </c>
      <c r="U67" t="s">
        <v>115</v>
      </c>
      <c r="V67" t="s">
        <v>689</v>
      </c>
      <c r="W67">
        <v>325</v>
      </c>
      <c r="X67">
        <v>20046741</v>
      </c>
      <c r="Y67" t="s">
        <v>690</v>
      </c>
      <c r="Z67" t="s">
        <v>119</v>
      </c>
      <c r="AA67" t="s">
        <v>24</v>
      </c>
      <c r="AB67" t="s">
        <v>120</v>
      </c>
      <c r="AC67" t="s">
        <v>25</v>
      </c>
      <c r="AD67" t="s">
        <v>121</v>
      </c>
      <c r="AE67">
        <v>300</v>
      </c>
      <c r="AF67" t="s">
        <v>27</v>
      </c>
      <c r="AG67" t="s">
        <v>26</v>
      </c>
      <c r="AH67" t="s">
        <v>522</v>
      </c>
      <c r="AI67" t="str">
        <f t="shared" ref="AI67:AI130" si="5">IF(OR(ISNUMBER(SEARCH("+",F67)),ISNUMBER(SEARCH(".",F67))),"SI","NO")</f>
        <v>NO</v>
      </c>
      <c r="AJ67" t="str">
        <f t="shared" ref="AJ67:AJ130" si="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67)," S.A.S.",""),"S.A.S.","")," S.A.S",""),"S.A.S","")," S.A.C.I.","")," S.A.C.I","")," SAS","")," S.A.","")," S.A","")," LTDA.","")," LTDA","")," LIMITED","")," LTD.","")," LTD","")," INC.","")," INC","")," GMBH &amp; CO. KG.","")," GMBH","")," LLC","")," A.G.","")," A.G","")," A/S","")," S.R.L.","")," S.R.L","")," S.P.A.","")," DE C.V.","")," AG",""),"  "," "))</f>
        <v>SALUS PHARMA LABS</v>
      </c>
      <c r="AK67" t="str">
        <f>IF(ISNUMBER(SEARCH("FABRICANTE",AC67)),"FABRICANTE",IF(ISNUMBER(SEARCH("IMPORTADOR",AC67)),"IMPORTADOR","OTRO"))</f>
        <v>FABRICANTE</v>
      </c>
      <c r="AL67" t="str">
        <f>IF(LEFT(Y67,1)="A","Sistema digestivo",IF(LEFT(Y67,1)="B","Sangre",IF(LEFT(Y67,1)="C","Cardiovascular",IF(LEFT(Y67,1)="D","Dermatológico",IF(LEFT(Y67,1)="G","Genitourinario",IF(LEFT(Y67,1)="H","Hormonal",IF(LEFT(Y67,1)="J","Antiinfecciosos",IF(LEFT(Y67,1)="L","Oncológicos",IF(LEFT(Y67,1)="M","Musculoesquelético",IF(LEFT(Y67,1)="N","Sistema nervioso",IF(LEFT(Y67,1)="R","Respiratorio",IF(LEFT(Y67,1)="S","Oftálmico",IF(LEFT(Y67,1)="V","Varios","OTRO")))))))))))))</f>
        <v>Sistema nervioso</v>
      </c>
      <c r="AM67" t="str">
        <f>IF(AG67="Vigente","ACTIVO",IF(ISNUMBER(SEARCH("Inactivo",J67)),"INACTIVO","REVISAR"))</f>
        <v>ACTIVO</v>
      </c>
      <c r="AN67" t="str">
        <f ca="1">IF(OR(AF67="",AF67="null"),"",ROUND((AF67-TODAY())/365.25,2))</f>
        <v/>
      </c>
      <c r="AO67" t="str">
        <f ca="1">IF(AND(AG67="Vigente",OR(AF67="",AF67="null",AF67&gt;TODAY())),"SI",IF(AND(NOT(OR(AF67="",AF67="null")),AF67&lt;=TODAY()),"NO",IF(AG67="Vigente","SI","DESCONOCIDO")))</f>
        <v>SI</v>
      </c>
      <c r="AP67" t="str">
        <f>IF(AND(ISNUMBER(SEARCH("IMPORTAR",AA67)),ISNUMBER(SEARCH("FABRICAR",AA67))),"MIXTO",IF(ISNUMBER(SEARCH("IMPORTAR",AA67)),"IMPORTADO",IF(ISNUMBER(SEARCH("FABRICAR",AA67)),"LOCAL","OTRO")))</f>
        <v>LOCAL</v>
      </c>
      <c r="AQ67" t="str">
        <f>IF(AD67="Si","SI",IF(AD67="No","NO",""))</f>
        <v>NO</v>
      </c>
      <c r="AR67" t="str">
        <f>IF(ISNUMBER(SEARCH("®",N67)),"MARCA/INNOVADOR","GENERICO")</f>
        <v>MARCA/INNOVADOR</v>
      </c>
      <c r="AS67">
        <f ca="1">IF(AE67&gt;100,RANDBETWEEN(500,5000),IF(AND(AE67&gt;=10,AE67&lt;=100),RANDBETWEEN(100,1000),RANDBETWEEN(10,200)))</f>
        <v>712</v>
      </c>
      <c r="AT67">
        <f t="shared" ref="AT67:AT130" ca="1" si="7">INT(AS67*RANDBETWEEN(10,30)/100)</f>
        <v>199</v>
      </c>
      <c r="AU67">
        <f ca="1">INT(AS67*RANDBETWEEN(120,200)/100)</f>
        <v>1018</v>
      </c>
      <c r="AV67" s="2">
        <f ca="1">IF(LEFT(Y67,1)="L",RANDBETWEEN(500000,5000000),IF(LEFT(Y67,1)="C",RANDBETWEEN(5000,50000),IF(LEFT(Y67,1)="N",RANDBETWEEN(10000,150000),IF(LEFT(Y67,1)="J",RANDBETWEEN(8000,200000),RANDBETWEEN(5000,100000)))))</f>
        <v>38353</v>
      </c>
      <c r="AW67" s="2">
        <f ca="1">INT(AV67*RANDBETWEEN(30,60)/100)</f>
        <v>18409</v>
      </c>
      <c r="AX67">
        <f ca="1">IF(Z67="ORAL",RANDBETWEEN(1000,10000),IF(OR(Z67="INTRAVENOSA",Z67="INTRAMUSCULAR"),RANDBETWEEN(100,2000),IF(OR(Z67="OFTÁLMICA",Z67="TOPICA (EXTERNA)"),RANDBETWEEN(200,3000),RANDBETWEEN(100,1500))))</f>
        <v>7216</v>
      </c>
      <c r="AY67" s="2">
        <f ca="1">INT(AV67*RANDBETWEEN(90,130)/100)</f>
        <v>35284</v>
      </c>
      <c r="AZ67" t="str">
        <f t="shared" ref="AZ67:AZ130" ca="1" si="8">IF(Z67="ORAL",RANDBETWEEN(50,250)/10,IF(OR(Z67="TOPICA (EXTERNA)",Z67="OFTÁLMICA"),RANDBETWEEN(20,150)/10,IF(OR(Z67="SUBCUTANEA",Z67="INTRAMUSCULAR"),RANDBETWEEN(10,100)/10,IF(Z67="INTRAVENOSA",RANDBETWEEN(1,50)/10,RANDBETWEEN(5,80)/10))))&amp;"%"</f>
        <v>19.8%</v>
      </c>
      <c r="BA67" t="str">
        <f t="shared" ref="BA67:BA130" ca="1" si="9">IF(OR(AG67&lt;&gt;"Vigente",AND(ISNUMBER(AF67),AF67&lt;TODAY()),AND(J67="Inactivo",NOT(ISNUMBER(AF67)))),"ALTO",IF(OR(AND(J67="Inactivo",ISNUMBER(AF67)),AND(ISNUMBER(AF67),AF67&gt;TODAY(),AF67&lt;=TODAY()+1825)),"MEDIO","BAJO"))</f>
        <v>BAJO</v>
      </c>
    </row>
    <row r="68" spans="4:53" x14ac:dyDescent="0.35">
      <c r="D68" t="s">
        <v>691</v>
      </c>
      <c r="E68" s="1">
        <v>39777</v>
      </c>
      <c r="F68" t="s">
        <v>692</v>
      </c>
      <c r="G68" t="s">
        <v>108</v>
      </c>
      <c r="H68" t="s">
        <v>693</v>
      </c>
      <c r="I68">
        <v>19991762</v>
      </c>
      <c r="J68" t="s">
        <v>28</v>
      </c>
      <c r="K68">
        <v>9</v>
      </c>
      <c r="L68" t="s">
        <v>27</v>
      </c>
      <c r="M68" t="s">
        <v>694</v>
      </c>
      <c r="N68" t="s">
        <v>695</v>
      </c>
      <c r="O68" t="s">
        <v>696</v>
      </c>
      <c r="P68" t="s">
        <v>697</v>
      </c>
      <c r="Q68" s="1">
        <v>41604</v>
      </c>
      <c r="R68" t="s">
        <v>50</v>
      </c>
      <c r="S68" t="s">
        <v>27</v>
      </c>
      <c r="T68" t="s">
        <v>698</v>
      </c>
      <c r="U68" t="s">
        <v>115</v>
      </c>
      <c r="V68" t="s">
        <v>692</v>
      </c>
      <c r="W68">
        <v>200</v>
      </c>
      <c r="X68">
        <v>19991762</v>
      </c>
      <c r="Y68" t="s">
        <v>699</v>
      </c>
      <c r="Z68" t="s">
        <v>260</v>
      </c>
      <c r="AA68" t="s">
        <v>32</v>
      </c>
      <c r="AB68" t="s">
        <v>120</v>
      </c>
      <c r="AC68" t="s">
        <v>38</v>
      </c>
      <c r="AD68" t="s">
        <v>121</v>
      </c>
      <c r="AE68">
        <v>50</v>
      </c>
      <c r="AF68" t="s">
        <v>27</v>
      </c>
      <c r="AG68" t="s">
        <v>26</v>
      </c>
      <c r="AH68" t="s">
        <v>692</v>
      </c>
      <c r="AI68" t="str">
        <f t="shared" si="5"/>
        <v>NO</v>
      </c>
      <c r="AJ68" t="str">
        <f t="shared" si="6"/>
        <v>LABORATORIO SANDERSON</v>
      </c>
      <c r="AK68" t="str">
        <f>IF(ISNUMBER(SEARCH("FABRICANTE",AC68)),"FABRICANTE",IF(ISNUMBER(SEARCH("IMPORTADOR",AC68)),"IMPORTADOR","OTRO"))</f>
        <v>IMPORTADOR</v>
      </c>
      <c r="AL68" t="str">
        <f>IF(LEFT(Y68,1)="A","Sistema digestivo",IF(LEFT(Y68,1)="B","Sangre",IF(LEFT(Y68,1)="C","Cardiovascular",IF(LEFT(Y68,1)="D","Dermatológico",IF(LEFT(Y68,1)="G","Genitourinario",IF(LEFT(Y68,1)="H","Hormonal",IF(LEFT(Y68,1)="J","Antiinfecciosos",IF(LEFT(Y68,1)="L","Oncológicos",IF(LEFT(Y68,1)="M","Musculoesquelético",IF(LEFT(Y68,1)="N","Sistema nervioso",IF(LEFT(Y68,1)="R","Respiratorio",IF(LEFT(Y68,1)="S","Oftálmico",IF(LEFT(Y68,1)="V","Varios","OTRO")))))))))))))</f>
        <v>Antiinfecciosos</v>
      </c>
      <c r="AM68" t="str">
        <f>IF(AG68="Vigente","ACTIVO",IF(ISNUMBER(SEARCH("Inactivo",J68)),"INACTIVO","REVISAR"))</f>
        <v>ACTIVO</v>
      </c>
      <c r="AN68" t="str">
        <f ca="1">IF(OR(AF68="",AF68="null"),"",ROUND((AF68-TODAY())/365.25,2))</f>
        <v/>
      </c>
      <c r="AO68" t="str">
        <f ca="1">IF(AND(AG68="Vigente",OR(AF68="",AF68="null",AF68&gt;TODAY())),"SI",IF(AND(NOT(OR(AF68="",AF68="null")),AF68&lt;=TODAY()),"NO",IF(AG68="Vigente","SI","DESCONOCIDO")))</f>
        <v>SI</v>
      </c>
      <c r="AP68" t="str">
        <f>IF(AND(ISNUMBER(SEARCH("IMPORTAR",AA68)),ISNUMBER(SEARCH("FABRICAR",AA68))),"MIXTO",IF(ISNUMBER(SEARCH("IMPORTAR",AA68)),"IMPORTADO",IF(ISNUMBER(SEARCH("FABRICAR",AA68)),"LOCAL","OTRO")))</f>
        <v>IMPORTADO</v>
      </c>
      <c r="AQ68" t="str">
        <f>IF(AD68="Si","SI",IF(AD68="No","NO",""))</f>
        <v>NO</v>
      </c>
      <c r="AR68" t="str">
        <f>IF(ISNUMBER(SEARCH("®",N68)),"MARCA/INNOVADOR","GENERICO")</f>
        <v>GENERICO</v>
      </c>
      <c r="AS68">
        <f ca="1">IF(AE68&gt;100,RANDBETWEEN(500,5000),IF(AND(AE68&gt;=10,AE68&lt;=100),RANDBETWEEN(100,1000),RANDBETWEEN(10,200)))</f>
        <v>861</v>
      </c>
      <c r="AT68">
        <f t="shared" ca="1" si="7"/>
        <v>129</v>
      </c>
      <c r="AU68">
        <f ca="1">INT(AS68*RANDBETWEEN(120,200)/100)</f>
        <v>1248</v>
      </c>
      <c r="AV68" s="2">
        <f ca="1">IF(LEFT(Y68,1)="L",RANDBETWEEN(500000,5000000),IF(LEFT(Y68,1)="C",RANDBETWEEN(5000,50000),IF(LEFT(Y68,1)="N",RANDBETWEEN(10000,150000),IF(LEFT(Y68,1)="J",RANDBETWEEN(8000,200000),RANDBETWEEN(5000,100000)))))</f>
        <v>179655</v>
      </c>
      <c r="AW68" s="2">
        <f ca="1">INT(AV68*RANDBETWEEN(30,60)/100)</f>
        <v>88030</v>
      </c>
      <c r="AX68">
        <f ca="1">IF(Z68="ORAL",RANDBETWEEN(1000,10000),IF(OR(Z68="INTRAVENOSA",Z68="INTRAMUSCULAR"),RANDBETWEEN(100,2000),IF(OR(Z68="OFTÁLMICA",Z68="TOPICA (EXTERNA)"),RANDBETWEEN(200,3000),RANDBETWEEN(100,1500))))</f>
        <v>1001</v>
      </c>
      <c r="AY68" s="2">
        <f ca="1">INT(AV68*RANDBETWEEN(90,130)/100)</f>
        <v>176061</v>
      </c>
      <c r="AZ68" t="str">
        <f t="shared" ca="1" si="8"/>
        <v>3.5%</v>
      </c>
      <c r="BA68" t="str">
        <f t="shared" ca="1" si="9"/>
        <v>BAJO</v>
      </c>
    </row>
    <row r="69" spans="4:53" x14ac:dyDescent="0.35">
      <c r="D69" t="s">
        <v>700</v>
      </c>
      <c r="E69" s="1">
        <v>37519</v>
      </c>
      <c r="F69" t="s">
        <v>701</v>
      </c>
      <c r="G69" t="s">
        <v>108</v>
      </c>
      <c r="H69" t="s">
        <v>702</v>
      </c>
      <c r="I69">
        <v>19931776</v>
      </c>
      <c r="J69" t="s">
        <v>28</v>
      </c>
      <c r="K69">
        <v>34</v>
      </c>
      <c r="L69" t="s">
        <v>27</v>
      </c>
      <c r="M69" t="s">
        <v>703</v>
      </c>
      <c r="N69" t="s">
        <v>704</v>
      </c>
      <c r="O69" t="s">
        <v>705</v>
      </c>
      <c r="P69" t="s">
        <v>29</v>
      </c>
      <c r="Q69" s="1">
        <v>41213</v>
      </c>
      <c r="R69" t="s">
        <v>29</v>
      </c>
      <c r="S69" t="s">
        <v>27</v>
      </c>
      <c r="T69" t="s">
        <v>172</v>
      </c>
      <c r="U69" t="s">
        <v>115</v>
      </c>
      <c r="V69" t="s">
        <v>706</v>
      </c>
      <c r="W69">
        <v>30</v>
      </c>
      <c r="X69">
        <v>19931776</v>
      </c>
      <c r="Y69" t="s">
        <v>707</v>
      </c>
      <c r="Z69" t="s">
        <v>119</v>
      </c>
      <c r="AA69" t="s">
        <v>165</v>
      </c>
      <c r="AB69" t="s">
        <v>120</v>
      </c>
      <c r="AC69" t="s">
        <v>25</v>
      </c>
      <c r="AD69" t="s">
        <v>155</v>
      </c>
      <c r="AE69">
        <v>2</v>
      </c>
      <c r="AF69" t="s">
        <v>27</v>
      </c>
      <c r="AG69" t="s">
        <v>26</v>
      </c>
      <c r="AH69" t="s">
        <v>1525</v>
      </c>
      <c r="AI69" t="str">
        <f t="shared" si="5"/>
        <v>SI</v>
      </c>
      <c r="AJ69" t="str">
        <f t="shared" si="6"/>
        <v>NOVAMED</v>
      </c>
      <c r="AK69" t="str">
        <f>IF(ISNUMBER(SEARCH("FABRICANTE",AC69)),"FABRICANTE",IF(ISNUMBER(SEARCH("IMPORTADOR",AC69)),"IMPORTADOR","OTRO"))</f>
        <v>FABRICANTE</v>
      </c>
      <c r="AL69" t="str">
        <f>IF(LEFT(Y69,1)="A","Sistema digestivo",IF(LEFT(Y69,1)="B","Sangre",IF(LEFT(Y69,1)="C","Cardiovascular",IF(LEFT(Y69,1)="D","Dermatológico",IF(LEFT(Y69,1)="G","Genitourinario",IF(LEFT(Y69,1)="H","Hormonal",IF(LEFT(Y69,1)="J","Antiinfecciosos",IF(LEFT(Y69,1)="L","Oncológicos",IF(LEFT(Y69,1)="M","Musculoesquelético",IF(LEFT(Y69,1)="N","Sistema nervioso",IF(LEFT(Y69,1)="R","Respiratorio",IF(LEFT(Y69,1)="S","Oftálmico",IF(LEFT(Y69,1)="V","Varios","OTRO")))))))))))))</f>
        <v>Sistema nervioso</v>
      </c>
      <c r="AM69" t="str">
        <f>IF(AG69="Vigente","ACTIVO",IF(ISNUMBER(SEARCH("Inactivo",J69)),"INACTIVO","REVISAR"))</f>
        <v>ACTIVO</v>
      </c>
      <c r="AN69" t="str">
        <f ca="1">IF(OR(AF69="",AF69="null"),"",ROUND((AF69-TODAY())/365.25,2))</f>
        <v/>
      </c>
      <c r="AO69" t="str">
        <f ca="1">IF(AND(AG69="Vigente",OR(AF69="",AF69="null",AF69&gt;TODAY())),"SI",IF(AND(NOT(OR(AF69="",AF69="null")),AF69&lt;=TODAY()),"NO",IF(AG69="Vigente","SI","DESCONOCIDO")))</f>
        <v>SI</v>
      </c>
      <c r="AP69" t="str">
        <f>IF(AND(ISNUMBER(SEARCH("IMPORTAR",AA69)),ISNUMBER(SEARCH("FABRICAR",AA69))),"MIXTO",IF(ISNUMBER(SEARCH("IMPORTAR",AA69)),"IMPORTADO",IF(ISNUMBER(SEARCH("FABRICAR",AA69)),"LOCAL","OTRO")))</f>
        <v>IMPORTADO</v>
      </c>
      <c r="AQ69" t="str">
        <f>IF(AD69="Si","SI",IF(AD69="No","NO",""))</f>
        <v>SI</v>
      </c>
      <c r="AR69" t="str">
        <f>IF(ISNUMBER(SEARCH("®",N69)),"MARCA/INNOVADOR","GENERICO")</f>
        <v>MARCA/INNOVADOR</v>
      </c>
      <c r="AS69">
        <f ca="1">IF(AE69&gt;100,RANDBETWEEN(500,5000),IF(AND(AE69&gt;=10,AE69&lt;=100),RANDBETWEEN(100,1000),RANDBETWEEN(10,200)))</f>
        <v>52</v>
      </c>
      <c r="AT69">
        <f t="shared" ca="1" si="7"/>
        <v>5</v>
      </c>
      <c r="AU69">
        <f ca="1">INT(AS69*RANDBETWEEN(120,200)/100)</f>
        <v>92</v>
      </c>
      <c r="AV69" s="2">
        <f ca="1">IF(LEFT(Y69,1)="L",RANDBETWEEN(500000,5000000),IF(LEFT(Y69,1)="C",RANDBETWEEN(5000,50000),IF(LEFT(Y69,1)="N",RANDBETWEEN(10000,150000),IF(LEFT(Y69,1)="J",RANDBETWEEN(8000,200000),RANDBETWEEN(5000,100000)))))</f>
        <v>107874</v>
      </c>
      <c r="AW69" s="2">
        <f ca="1">INT(AV69*RANDBETWEEN(30,60)/100)</f>
        <v>47464</v>
      </c>
      <c r="AX69">
        <f ca="1">IF(Z69="ORAL",RANDBETWEEN(1000,10000),IF(OR(Z69="INTRAVENOSA",Z69="INTRAMUSCULAR"),RANDBETWEEN(100,2000),IF(OR(Z69="OFTÁLMICA",Z69="TOPICA (EXTERNA)"),RANDBETWEEN(200,3000),RANDBETWEEN(100,1500))))</f>
        <v>8611</v>
      </c>
      <c r="AY69" s="2">
        <f ca="1">INT(AV69*RANDBETWEEN(90,130)/100)</f>
        <v>117582</v>
      </c>
      <c r="AZ69" t="str">
        <f t="shared" ca="1" si="8"/>
        <v>11.8%</v>
      </c>
      <c r="BA69" t="str">
        <f t="shared" ca="1" si="9"/>
        <v>BAJO</v>
      </c>
    </row>
    <row r="70" spans="4:53" x14ac:dyDescent="0.35">
      <c r="D70" t="s">
        <v>708</v>
      </c>
      <c r="E70" s="1">
        <v>45819</v>
      </c>
      <c r="F70" t="s">
        <v>709</v>
      </c>
      <c r="G70" t="s">
        <v>108</v>
      </c>
      <c r="H70" t="s">
        <v>710</v>
      </c>
      <c r="I70">
        <v>20242577</v>
      </c>
      <c r="J70" t="s">
        <v>28</v>
      </c>
      <c r="K70">
        <v>1</v>
      </c>
      <c r="L70" t="s">
        <v>711</v>
      </c>
      <c r="M70" t="s">
        <v>712</v>
      </c>
      <c r="N70" t="s">
        <v>713</v>
      </c>
      <c r="O70" t="s">
        <v>714</v>
      </c>
      <c r="P70" t="s">
        <v>459</v>
      </c>
      <c r="Q70" s="1">
        <v>45125</v>
      </c>
      <c r="R70" t="s">
        <v>459</v>
      </c>
      <c r="S70" t="s">
        <v>27</v>
      </c>
      <c r="T70" t="s">
        <v>715</v>
      </c>
      <c r="U70" t="s">
        <v>247</v>
      </c>
      <c r="V70" t="s">
        <v>64</v>
      </c>
      <c r="W70">
        <v>2</v>
      </c>
      <c r="X70">
        <v>20242577</v>
      </c>
      <c r="Y70" t="s">
        <v>716</v>
      </c>
      <c r="Z70" t="s">
        <v>119</v>
      </c>
      <c r="AA70" t="s">
        <v>24</v>
      </c>
      <c r="AB70" t="s">
        <v>250</v>
      </c>
      <c r="AC70" t="s">
        <v>25</v>
      </c>
      <c r="AD70" t="s">
        <v>121</v>
      </c>
      <c r="AE70">
        <v>1</v>
      </c>
      <c r="AF70" s="1">
        <v>47660</v>
      </c>
      <c r="AG70" t="s">
        <v>26</v>
      </c>
      <c r="AH70" t="s">
        <v>709</v>
      </c>
      <c r="AI70" t="str">
        <f t="shared" si="5"/>
        <v>NO</v>
      </c>
      <c r="AJ70" t="str">
        <f t="shared" si="6"/>
        <v>COMERCIALIZADORA RUECAM</v>
      </c>
      <c r="AK70" t="str">
        <f>IF(ISNUMBER(SEARCH("FABRICANTE",AC70)),"FABRICANTE",IF(ISNUMBER(SEARCH("IMPORTADOR",AC70)),"IMPORTADOR","OTRO"))</f>
        <v>FABRICANTE</v>
      </c>
      <c r="AL70" t="str">
        <f>IF(LEFT(Y70,1)="A","Sistema digestivo",IF(LEFT(Y70,1)="B","Sangre",IF(LEFT(Y70,1)="C","Cardiovascular",IF(LEFT(Y70,1)="D","Dermatológico",IF(LEFT(Y70,1)="G","Genitourinario",IF(LEFT(Y70,1)="H","Hormonal",IF(LEFT(Y70,1)="J","Antiinfecciosos",IF(LEFT(Y70,1)="L","Oncológicos",IF(LEFT(Y70,1)="M","Musculoesquelético",IF(LEFT(Y70,1)="N","Sistema nervioso",IF(LEFT(Y70,1)="R","Respiratorio",IF(LEFT(Y70,1)="S","Oftálmico",IF(LEFT(Y70,1)="V","Varios","OTRO")))))))))))))</f>
        <v>Respiratorio</v>
      </c>
      <c r="AM70" t="str">
        <f>IF(AG70="Vigente","ACTIVO",IF(ISNUMBER(SEARCH("Inactivo",J70)),"INACTIVO","REVISAR"))</f>
        <v>ACTIVO</v>
      </c>
      <c r="AN70">
        <f ca="1">IF(OR(AF70="",AF70="null"),"",ROUND((AF70-TODAY())/365.25,2))</f>
        <v>4.08</v>
      </c>
      <c r="AO70" t="str">
        <f ca="1">IF(AND(AG70="Vigente",OR(AF70="",AF70="null",AF70&gt;TODAY())),"SI",IF(AND(NOT(OR(AF70="",AF70="null")),AF70&lt;=TODAY()),"NO",IF(AG70="Vigente","SI","DESCONOCIDO")))</f>
        <v>SI</v>
      </c>
      <c r="AP70" t="str">
        <f>IF(AND(ISNUMBER(SEARCH("IMPORTAR",AA70)),ISNUMBER(SEARCH("FABRICAR",AA70))),"MIXTO",IF(ISNUMBER(SEARCH("IMPORTAR",AA70)),"IMPORTADO",IF(ISNUMBER(SEARCH("FABRICAR",AA70)),"LOCAL","OTRO")))</f>
        <v>LOCAL</v>
      </c>
      <c r="AQ70" t="str">
        <f>IF(AD70="Si","SI",IF(AD70="No","NO",""))</f>
        <v>NO</v>
      </c>
      <c r="AR70" t="str">
        <f>IF(ISNUMBER(SEARCH("®",N70)),"MARCA/INNOVADOR","GENERICO")</f>
        <v>GENERICO</v>
      </c>
      <c r="AS70">
        <f ca="1">IF(AE70&gt;100,RANDBETWEEN(500,5000),IF(AND(AE70&gt;=10,AE70&lt;=100),RANDBETWEEN(100,1000),RANDBETWEEN(10,200)))</f>
        <v>50</v>
      </c>
      <c r="AT70">
        <f t="shared" ca="1" si="7"/>
        <v>10</v>
      </c>
      <c r="AU70">
        <f ca="1">INT(AS70*RANDBETWEEN(120,200)/100)</f>
        <v>64</v>
      </c>
      <c r="AV70" s="2">
        <f ca="1">IF(LEFT(Y70,1)="L",RANDBETWEEN(500000,5000000),IF(LEFT(Y70,1)="C",RANDBETWEEN(5000,50000),IF(LEFT(Y70,1)="N",RANDBETWEEN(10000,150000),IF(LEFT(Y70,1)="J",RANDBETWEEN(8000,200000),RANDBETWEEN(5000,100000)))))</f>
        <v>74026</v>
      </c>
      <c r="AW70" s="2">
        <f ca="1">INT(AV70*RANDBETWEEN(30,60)/100)</f>
        <v>26649</v>
      </c>
      <c r="AX70">
        <f ca="1">IF(Z70="ORAL",RANDBETWEEN(1000,10000),IF(OR(Z70="INTRAVENOSA",Z70="INTRAMUSCULAR"),RANDBETWEEN(100,2000),IF(OR(Z70="OFTÁLMICA",Z70="TOPICA (EXTERNA)"),RANDBETWEEN(200,3000),RANDBETWEEN(100,1500))))</f>
        <v>5450</v>
      </c>
      <c r="AY70" s="2">
        <f ca="1">INT(AV70*RANDBETWEEN(90,130)/100)</f>
        <v>66623</v>
      </c>
      <c r="AZ70" t="str">
        <f t="shared" ca="1" si="8"/>
        <v>15.5%</v>
      </c>
      <c r="BA70" t="str">
        <f t="shared" ca="1" si="9"/>
        <v>MEDIO</v>
      </c>
    </row>
    <row r="71" spans="4:53" x14ac:dyDescent="0.35">
      <c r="D71" t="s">
        <v>717</v>
      </c>
      <c r="E71" s="1">
        <v>37910</v>
      </c>
      <c r="F71" t="s">
        <v>718</v>
      </c>
      <c r="G71" t="s">
        <v>108</v>
      </c>
      <c r="H71" t="s">
        <v>454</v>
      </c>
      <c r="I71">
        <v>19939607</v>
      </c>
      <c r="J71" t="s">
        <v>110</v>
      </c>
      <c r="K71">
        <v>7</v>
      </c>
      <c r="L71" t="s">
        <v>27</v>
      </c>
      <c r="M71" t="s">
        <v>719</v>
      </c>
      <c r="N71" t="s">
        <v>720</v>
      </c>
      <c r="O71" t="s">
        <v>721</v>
      </c>
      <c r="P71" t="s">
        <v>181</v>
      </c>
      <c r="Q71" s="1">
        <v>40785</v>
      </c>
      <c r="R71" t="s">
        <v>37</v>
      </c>
      <c r="S71" t="s">
        <v>27</v>
      </c>
      <c r="T71" t="s">
        <v>454</v>
      </c>
      <c r="U71" t="s">
        <v>115</v>
      </c>
      <c r="V71" t="s">
        <v>722</v>
      </c>
      <c r="W71">
        <v>15</v>
      </c>
      <c r="X71">
        <v>19939607</v>
      </c>
      <c r="Y71" t="s">
        <v>723</v>
      </c>
      <c r="Z71" t="s">
        <v>119</v>
      </c>
      <c r="AA71" t="s">
        <v>165</v>
      </c>
      <c r="AB71" t="s">
        <v>120</v>
      </c>
      <c r="AC71" t="s">
        <v>38</v>
      </c>
      <c r="AD71" t="s">
        <v>155</v>
      </c>
      <c r="AE71">
        <v>2</v>
      </c>
      <c r="AF71" t="s">
        <v>27</v>
      </c>
      <c r="AG71" t="s">
        <v>26</v>
      </c>
      <c r="AH71" t="s">
        <v>722</v>
      </c>
      <c r="AI71" t="str">
        <f t="shared" si="5"/>
        <v>SI</v>
      </c>
      <c r="AJ71" t="str">
        <f t="shared" si="6"/>
        <v>PROCAPS</v>
      </c>
      <c r="AK71" t="str">
        <f>IF(ISNUMBER(SEARCH("FABRICANTE",AC71)),"FABRICANTE",IF(ISNUMBER(SEARCH("IMPORTADOR",AC71)),"IMPORTADOR","OTRO"))</f>
        <v>IMPORTADOR</v>
      </c>
      <c r="AL71" t="str">
        <f>IF(LEFT(Y71,1)="A","Sistema digestivo",IF(LEFT(Y71,1)="B","Sangre",IF(LEFT(Y71,1)="C","Cardiovascular",IF(LEFT(Y71,1)="D","Dermatológico",IF(LEFT(Y71,1)="G","Genitourinario",IF(LEFT(Y71,1)="H","Hormonal",IF(LEFT(Y71,1)="J","Antiinfecciosos",IF(LEFT(Y71,1)="L","Oncológicos",IF(LEFT(Y71,1)="M","Musculoesquelético",IF(LEFT(Y71,1)="N","Sistema nervioso",IF(LEFT(Y71,1)="R","Respiratorio",IF(LEFT(Y71,1)="S","Oftálmico",IF(LEFT(Y71,1)="V","Varios","OTRO")))))))))))))</f>
        <v>Sistema digestivo</v>
      </c>
      <c r="AM71" t="str">
        <f>IF(AG71="Vigente","ACTIVO",IF(ISNUMBER(SEARCH("Inactivo",J71)),"INACTIVO","REVISAR"))</f>
        <v>ACTIVO</v>
      </c>
      <c r="AN71" t="str">
        <f ca="1">IF(OR(AF71="",AF71="null"),"",ROUND((AF71-TODAY())/365.25,2))</f>
        <v/>
      </c>
      <c r="AO71" t="str">
        <f ca="1">IF(AND(AG71="Vigente",OR(AF71="",AF71="null",AF71&gt;TODAY())),"SI",IF(AND(NOT(OR(AF71="",AF71="null")),AF71&lt;=TODAY()),"NO",IF(AG71="Vigente","SI","DESCONOCIDO")))</f>
        <v>SI</v>
      </c>
      <c r="AP71" t="str">
        <f>IF(AND(ISNUMBER(SEARCH("IMPORTAR",AA71)),ISNUMBER(SEARCH("FABRICAR",AA71))),"MIXTO",IF(ISNUMBER(SEARCH("IMPORTAR",AA71)),"IMPORTADO",IF(ISNUMBER(SEARCH("FABRICAR",AA71)),"LOCAL","OTRO")))</f>
        <v>IMPORTADO</v>
      </c>
      <c r="AQ71" t="str">
        <f>IF(AD71="Si","SI",IF(AD71="No","NO",""))</f>
        <v>SI</v>
      </c>
      <c r="AR71" t="str">
        <f>IF(ISNUMBER(SEARCH("®",N71)),"MARCA/INNOVADOR","GENERICO")</f>
        <v>MARCA/INNOVADOR</v>
      </c>
      <c r="AS71">
        <f ca="1">IF(AE71&gt;100,RANDBETWEEN(500,5000),IF(AND(AE71&gt;=10,AE71&lt;=100),RANDBETWEEN(100,1000),RANDBETWEEN(10,200)))</f>
        <v>181</v>
      </c>
      <c r="AT71">
        <f t="shared" ca="1" si="7"/>
        <v>47</v>
      </c>
      <c r="AU71">
        <f ca="1">INT(AS71*RANDBETWEEN(120,200)/100)</f>
        <v>257</v>
      </c>
      <c r="AV71" s="2">
        <f ca="1">IF(LEFT(Y71,1)="L",RANDBETWEEN(500000,5000000),IF(LEFT(Y71,1)="C",RANDBETWEEN(5000,50000),IF(LEFT(Y71,1)="N",RANDBETWEEN(10000,150000),IF(LEFT(Y71,1)="J",RANDBETWEEN(8000,200000),RANDBETWEEN(5000,100000)))))</f>
        <v>5766</v>
      </c>
      <c r="AW71" s="2">
        <f ca="1">INT(AV71*RANDBETWEEN(30,60)/100)</f>
        <v>3171</v>
      </c>
      <c r="AX71">
        <f ca="1">IF(Z71="ORAL",RANDBETWEEN(1000,10000),IF(OR(Z71="INTRAVENOSA",Z71="INTRAMUSCULAR"),RANDBETWEEN(100,2000),IF(OR(Z71="OFTÁLMICA",Z71="TOPICA (EXTERNA)"),RANDBETWEEN(200,3000),RANDBETWEEN(100,1500))))</f>
        <v>2337</v>
      </c>
      <c r="AY71" s="2">
        <f ca="1">INT(AV71*RANDBETWEEN(90,130)/100)</f>
        <v>5535</v>
      </c>
      <c r="AZ71" t="str">
        <f t="shared" ca="1" si="8"/>
        <v>14.8%</v>
      </c>
      <c r="BA71" t="str">
        <f t="shared" ca="1" si="9"/>
        <v>ALTO</v>
      </c>
    </row>
    <row r="72" spans="4:53" x14ac:dyDescent="0.35">
      <c r="D72" t="s">
        <v>724</v>
      </c>
      <c r="E72" s="1">
        <v>38237</v>
      </c>
      <c r="F72" t="s">
        <v>725</v>
      </c>
      <c r="G72" t="s">
        <v>108</v>
      </c>
      <c r="H72" t="s">
        <v>158</v>
      </c>
      <c r="I72">
        <v>19943271</v>
      </c>
      <c r="J72" t="s">
        <v>28</v>
      </c>
      <c r="K72">
        <v>5</v>
      </c>
      <c r="L72" t="s">
        <v>27</v>
      </c>
      <c r="M72" t="s">
        <v>726</v>
      </c>
      <c r="N72" t="s">
        <v>727</v>
      </c>
      <c r="O72" t="s">
        <v>728</v>
      </c>
      <c r="P72" t="s">
        <v>266</v>
      </c>
      <c r="Q72" s="1">
        <v>39031</v>
      </c>
      <c r="R72" t="s">
        <v>200</v>
      </c>
      <c r="S72" t="s">
        <v>27</v>
      </c>
      <c r="T72" t="s">
        <v>80</v>
      </c>
      <c r="U72" t="s">
        <v>115</v>
      </c>
      <c r="V72" t="s">
        <v>729</v>
      </c>
      <c r="W72">
        <v>200</v>
      </c>
      <c r="X72">
        <v>19943271</v>
      </c>
      <c r="Y72" t="s">
        <v>730</v>
      </c>
      <c r="Z72" t="s">
        <v>119</v>
      </c>
      <c r="AA72" t="s">
        <v>24</v>
      </c>
      <c r="AB72" t="s">
        <v>120</v>
      </c>
      <c r="AC72" t="s">
        <v>25</v>
      </c>
      <c r="AD72" t="s">
        <v>121</v>
      </c>
      <c r="AE72">
        <v>60</v>
      </c>
      <c r="AF72" t="s">
        <v>27</v>
      </c>
      <c r="AG72" t="s">
        <v>26</v>
      </c>
      <c r="AH72" t="s">
        <v>6734</v>
      </c>
      <c r="AI72" t="str">
        <f t="shared" si="5"/>
        <v>NO</v>
      </c>
      <c r="AJ72" t="str">
        <f t="shared" si="6"/>
        <v>TECNOQUIMICAS</v>
      </c>
      <c r="AK72" t="str">
        <f>IF(ISNUMBER(SEARCH("FABRICANTE",AC72)),"FABRICANTE",IF(ISNUMBER(SEARCH("IMPORTADOR",AC72)),"IMPORTADOR","OTRO"))</f>
        <v>FABRICANTE</v>
      </c>
      <c r="AL72" t="str">
        <f>IF(LEFT(Y72,1)="A","Sistema digestivo",IF(LEFT(Y72,1)="B","Sangre",IF(LEFT(Y72,1)="C","Cardiovascular",IF(LEFT(Y72,1)="D","Dermatológico",IF(LEFT(Y72,1)="G","Genitourinario",IF(LEFT(Y72,1)="H","Hormonal",IF(LEFT(Y72,1)="J","Antiinfecciosos",IF(LEFT(Y72,1)="L","Oncológicos",IF(LEFT(Y72,1)="M","Musculoesquelético",IF(LEFT(Y72,1)="N","Sistema nervioso",IF(LEFT(Y72,1)="R","Respiratorio",IF(LEFT(Y72,1)="S","Oftálmico",IF(LEFT(Y72,1)="V","Varios","OTRO")))))))))))))</f>
        <v>Sistema digestivo</v>
      </c>
      <c r="AM72" t="str">
        <f>IF(AG72="Vigente","ACTIVO",IF(ISNUMBER(SEARCH("Inactivo",J72)),"INACTIVO","REVISAR"))</f>
        <v>ACTIVO</v>
      </c>
      <c r="AN72" t="str">
        <f ca="1">IF(OR(AF72="",AF72="null"),"",ROUND((AF72-TODAY())/365.25,2))</f>
        <v/>
      </c>
      <c r="AO72" t="str">
        <f ca="1">IF(AND(AG72="Vigente",OR(AF72="",AF72="null",AF72&gt;TODAY())),"SI",IF(AND(NOT(OR(AF72="",AF72="null")),AF72&lt;=TODAY()),"NO",IF(AG72="Vigente","SI","DESCONOCIDO")))</f>
        <v>SI</v>
      </c>
      <c r="AP72" t="str">
        <f>IF(AND(ISNUMBER(SEARCH("IMPORTAR",AA72)),ISNUMBER(SEARCH("FABRICAR",AA72))),"MIXTO",IF(ISNUMBER(SEARCH("IMPORTAR",AA72)),"IMPORTADO",IF(ISNUMBER(SEARCH("FABRICAR",AA72)),"LOCAL","OTRO")))</f>
        <v>LOCAL</v>
      </c>
      <c r="AQ72" t="str">
        <f>IF(AD72="Si","SI",IF(AD72="No","NO",""))</f>
        <v>NO</v>
      </c>
      <c r="AR72" t="str">
        <f>IF(ISNUMBER(SEARCH("®",N72)),"MARCA/INNOVADOR","GENERICO")</f>
        <v>GENERICO</v>
      </c>
      <c r="AS72">
        <f ca="1">IF(AE72&gt;100,RANDBETWEEN(500,5000),IF(AND(AE72&gt;=10,AE72&lt;=100),RANDBETWEEN(100,1000),RANDBETWEEN(10,200)))</f>
        <v>416</v>
      </c>
      <c r="AT72">
        <f t="shared" ca="1" si="7"/>
        <v>91</v>
      </c>
      <c r="AU72">
        <f ca="1">INT(AS72*RANDBETWEEN(120,200)/100)</f>
        <v>624</v>
      </c>
      <c r="AV72" s="2">
        <f ca="1">IF(LEFT(Y72,1)="L",RANDBETWEEN(500000,5000000),IF(LEFT(Y72,1)="C",RANDBETWEEN(5000,50000),IF(LEFT(Y72,1)="N",RANDBETWEEN(10000,150000),IF(LEFT(Y72,1)="J",RANDBETWEEN(8000,200000),RANDBETWEEN(5000,100000)))))</f>
        <v>80406</v>
      </c>
      <c r="AW72" s="2">
        <f ca="1">INT(AV72*RANDBETWEEN(30,60)/100)</f>
        <v>36182</v>
      </c>
      <c r="AX72">
        <f ca="1">IF(Z72="ORAL",RANDBETWEEN(1000,10000),IF(OR(Z72="INTRAVENOSA",Z72="INTRAMUSCULAR"),RANDBETWEEN(100,2000),IF(OR(Z72="OFTÁLMICA",Z72="TOPICA (EXTERNA)"),RANDBETWEEN(200,3000),RANDBETWEEN(100,1500))))</f>
        <v>8715</v>
      </c>
      <c r="AY72" s="2">
        <f ca="1">INT(AV72*RANDBETWEEN(90,130)/100)</f>
        <v>75581</v>
      </c>
      <c r="AZ72" t="str">
        <f t="shared" ca="1" si="8"/>
        <v>8.9%</v>
      </c>
      <c r="BA72" t="str">
        <f t="shared" ca="1" si="9"/>
        <v>BAJO</v>
      </c>
    </row>
    <row r="73" spans="4:53" x14ac:dyDescent="0.35">
      <c r="D73" t="s">
        <v>731</v>
      </c>
      <c r="E73" s="1">
        <v>39840</v>
      </c>
      <c r="F73" t="s">
        <v>70</v>
      </c>
      <c r="G73" t="s">
        <v>108</v>
      </c>
      <c r="H73" t="s">
        <v>362</v>
      </c>
      <c r="I73">
        <v>19993863</v>
      </c>
      <c r="J73" t="s">
        <v>28</v>
      </c>
      <c r="K73">
        <v>36</v>
      </c>
      <c r="L73" t="s">
        <v>27</v>
      </c>
      <c r="M73" t="s">
        <v>363</v>
      </c>
      <c r="N73" t="s">
        <v>364</v>
      </c>
      <c r="O73" t="s">
        <v>732</v>
      </c>
      <c r="P73" t="s">
        <v>366</v>
      </c>
      <c r="Q73" s="1">
        <v>43631</v>
      </c>
      <c r="R73" t="s">
        <v>67</v>
      </c>
      <c r="S73" t="s">
        <v>27</v>
      </c>
      <c r="T73" t="s">
        <v>367</v>
      </c>
      <c r="U73" t="s">
        <v>247</v>
      </c>
      <c r="V73" t="s">
        <v>248</v>
      </c>
      <c r="W73" t="s">
        <v>733</v>
      </c>
      <c r="X73">
        <v>19993863</v>
      </c>
      <c r="Y73" t="s">
        <v>249</v>
      </c>
      <c r="Z73" t="s">
        <v>119</v>
      </c>
      <c r="AA73" t="s">
        <v>32</v>
      </c>
      <c r="AB73" t="s">
        <v>250</v>
      </c>
      <c r="AC73" t="s">
        <v>38</v>
      </c>
      <c r="AD73" t="s">
        <v>155</v>
      </c>
      <c r="AE73">
        <v>1</v>
      </c>
      <c r="AF73" s="1">
        <v>401769</v>
      </c>
      <c r="AG73" t="s">
        <v>26</v>
      </c>
      <c r="AH73" t="s">
        <v>6735</v>
      </c>
      <c r="AI73" t="str">
        <f t="shared" si="5"/>
        <v>NO</v>
      </c>
      <c r="AJ73" t="str">
        <f t="shared" si="6"/>
        <v>LABORATORIOS PISA</v>
      </c>
      <c r="AK73" t="str">
        <f>IF(ISNUMBER(SEARCH("FABRICANTE",AC73)),"FABRICANTE",IF(ISNUMBER(SEARCH("IMPORTADOR",AC73)),"IMPORTADOR","OTRO"))</f>
        <v>IMPORTADOR</v>
      </c>
      <c r="AL73" t="str">
        <f>IF(LEFT(Y73,1)="A","Sistema digestivo",IF(LEFT(Y73,1)="B","Sangre",IF(LEFT(Y73,1)="C","Cardiovascular",IF(LEFT(Y73,1)="D","Dermatológico",IF(LEFT(Y73,1)="G","Genitourinario",IF(LEFT(Y73,1)="H","Hormonal",IF(LEFT(Y73,1)="J","Antiinfecciosos",IF(LEFT(Y73,1)="L","Oncológicos",IF(LEFT(Y73,1)="M","Musculoesquelético",IF(LEFT(Y73,1)="N","Sistema nervioso",IF(LEFT(Y73,1)="R","Respiratorio",IF(LEFT(Y73,1)="S","Oftálmico",IF(LEFT(Y73,1)="V","Varios","OTRO")))))))))))))</f>
        <v>Sistema digestivo</v>
      </c>
      <c r="AM73" t="str">
        <f>IF(AG73="Vigente","ACTIVO",IF(ISNUMBER(SEARCH("Inactivo",J73)),"INACTIVO","REVISAR"))</f>
        <v>ACTIVO</v>
      </c>
      <c r="AN73">
        <f ca="1">IF(OR(AF73="",AF73="null"),"",ROUND((AF73-TODAY())/365.25,2))</f>
        <v>973.58</v>
      </c>
      <c r="AO73" t="str">
        <f ca="1">IF(AND(AG73="Vigente",OR(AF73="",AF73="null",AF73&gt;TODAY())),"SI",IF(AND(NOT(OR(AF73="",AF73="null")),AF73&lt;=TODAY()),"NO",IF(AG73="Vigente","SI","DESCONOCIDO")))</f>
        <v>SI</v>
      </c>
      <c r="AP73" t="str">
        <f>IF(AND(ISNUMBER(SEARCH("IMPORTAR",AA73)),ISNUMBER(SEARCH("FABRICAR",AA73))),"MIXTO",IF(ISNUMBER(SEARCH("IMPORTAR",AA73)),"IMPORTADO",IF(ISNUMBER(SEARCH("FABRICAR",AA73)),"LOCAL","OTRO")))</f>
        <v>IMPORTADO</v>
      </c>
      <c r="AQ73" t="str">
        <f>IF(AD73="Si","SI",IF(AD73="No","NO",""))</f>
        <v>SI</v>
      </c>
      <c r="AR73" t="str">
        <f>IF(ISNUMBER(SEARCH("®",N73)),"MARCA/INNOVADOR","GENERICO")</f>
        <v>MARCA/INNOVADOR</v>
      </c>
      <c r="AS73">
        <f ca="1">IF(AE73&gt;100,RANDBETWEEN(500,5000),IF(AND(AE73&gt;=10,AE73&lt;=100),RANDBETWEEN(100,1000),RANDBETWEEN(10,200)))</f>
        <v>89</v>
      </c>
      <c r="AT73">
        <f t="shared" ca="1" si="7"/>
        <v>23</v>
      </c>
      <c r="AU73">
        <f ca="1">INT(AS73*RANDBETWEEN(120,200)/100)</f>
        <v>132</v>
      </c>
      <c r="AV73" s="2">
        <f ca="1">IF(LEFT(Y73,1)="L",RANDBETWEEN(500000,5000000),IF(LEFT(Y73,1)="C",RANDBETWEEN(5000,50000),IF(LEFT(Y73,1)="N",RANDBETWEEN(10000,150000),IF(LEFT(Y73,1)="J",RANDBETWEEN(8000,200000),RANDBETWEEN(5000,100000)))))</f>
        <v>17508</v>
      </c>
      <c r="AW73" s="2">
        <f ca="1">INT(AV73*RANDBETWEEN(30,60)/100)</f>
        <v>6302</v>
      </c>
      <c r="AX73">
        <f ca="1">IF(Z73="ORAL",RANDBETWEEN(1000,10000),IF(OR(Z73="INTRAVENOSA",Z73="INTRAMUSCULAR"),RANDBETWEEN(100,2000),IF(OR(Z73="OFTÁLMICA",Z73="TOPICA (EXTERNA)"),RANDBETWEEN(200,3000),RANDBETWEEN(100,1500))))</f>
        <v>6941</v>
      </c>
      <c r="AY73" s="2">
        <f ca="1">INT(AV73*RANDBETWEEN(90,130)/100)</f>
        <v>18033</v>
      </c>
      <c r="AZ73" t="str">
        <f t="shared" ca="1" si="8"/>
        <v>20.6%</v>
      </c>
      <c r="BA73" t="str">
        <f t="shared" ca="1" si="9"/>
        <v>BAJO</v>
      </c>
    </row>
    <row r="74" spans="4:53" x14ac:dyDescent="0.35">
      <c r="D74" t="s">
        <v>734</v>
      </c>
      <c r="E74" s="1">
        <v>42493</v>
      </c>
      <c r="F74" t="s">
        <v>735</v>
      </c>
      <c r="G74" t="s">
        <v>108</v>
      </c>
      <c r="H74" t="s">
        <v>736</v>
      </c>
      <c r="I74">
        <v>20093972</v>
      </c>
      <c r="J74" t="s">
        <v>28</v>
      </c>
      <c r="K74">
        <v>2</v>
      </c>
      <c r="L74" t="s">
        <v>27</v>
      </c>
      <c r="M74" t="s">
        <v>737</v>
      </c>
      <c r="N74" t="s">
        <v>738</v>
      </c>
      <c r="O74" t="s">
        <v>739</v>
      </c>
      <c r="P74" t="s">
        <v>33</v>
      </c>
      <c r="Q74" s="1">
        <v>42256</v>
      </c>
      <c r="R74" t="s">
        <v>33</v>
      </c>
      <c r="S74" s="1">
        <v>44470</v>
      </c>
      <c r="T74" t="s">
        <v>736</v>
      </c>
      <c r="U74" t="s">
        <v>115</v>
      </c>
      <c r="V74" t="s">
        <v>740</v>
      </c>
      <c r="W74">
        <v>500</v>
      </c>
      <c r="X74">
        <v>20093972</v>
      </c>
      <c r="Y74" t="s">
        <v>741</v>
      </c>
      <c r="Z74" t="s">
        <v>119</v>
      </c>
      <c r="AA74" t="s">
        <v>24</v>
      </c>
      <c r="AB74" t="s">
        <v>120</v>
      </c>
      <c r="AC74" t="s">
        <v>25</v>
      </c>
      <c r="AD74" t="s">
        <v>121</v>
      </c>
      <c r="AE74">
        <v>4</v>
      </c>
      <c r="AF74" s="1">
        <v>401769</v>
      </c>
      <c r="AG74" t="s">
        <v>26</v>
      </c>
      <c r="AH74" t="s">
        <v>302</v>
      </c>
      <c r="AI74" t="str">
        <f t="shared" si="5"/>
        <v>NO</v>
      </c>
      <c r="AJ74" t="str">
        <f t="shared" si="6"/>
        <v>LABORATORIO FRANCO COLOMBIANO LAFRANCOL</v>
      </c>
      <c r="AK74" t="str">
        <f>IF(ISNUMBER(SEARCH("FABRICANTE",AC74)),"FABRICANTE",IF(ISNUMBER(SEARCH("IMPORTADOR",AC74)),"IMPORTADOR","OTRO"))</f>
        <v>FABRICANTE</v>
      </c>
      <c r="AL74" t="str">
        <f>IF(LEFT(Y74,1)="A","Sistema digestivo",IF(LEFT(Y74,1)="B","Sangre",IF(LEFT(Y74,1)="C","Cardiovascular",IF(LEFT(Y74,1)="D","Dermatológico",IF(LEFT(Y74,1)="G","Genitourinario",IF(LEFT(Y74,1)="H","Hormonal",IF(LEFT(Y74,1)="J","Antiinfecciosos",IF(LEFT(Y74,1)="L","Oncológicos",IF(LEFT(Y74,1)="M","Musculoesquelético",IF(LEFT(Y74,1)="N","Sistema nervioso",IF(LEFT(Y74,1)="R","Respiratorio",IF(LEFT(Y74,1)="S","Oftálmico",IF(LEFT(Y74,1)="V","Varios","OTRO")))))))))))))</f>
        <v>Sistema nervioso</v>
      </c>
      <c r="AM74" t="str">
        <f>IF(AG74="Vigente","ACTIVO",IF(ISNUMBER(SEARCH("Inactivo",J74)),"INACTIVO","REVISAR"))</f>
        <v>ACTIVO</v>
      </c>
      <c r="AN74">
        <f ca="1">IF(OR(AF74="",AF74="null"),"",ROUND((AF74-TODAY())/365.25,2))</f>
        <v>973.58</v>
      </c>
      <c r="AO74" t="str">
        <f ca="1">IF(AND(AG74="Vigente",OR(AF74="",AF74="null",AF74&gt;TODAY())),"SI",IF(AND(NOT(OR(AF74="",AF74="null")),AF74&lt;=TODAY()),"NO",IF(AG74="Vigente","SI","DESCONOCIDO")))</f>
        <v>SI</v>
      </c>
      <c r="AP74" t="str">
        <f>IF(AND(ISNUMBER(SEARCH("IMPORTAR",AA74)),ISNUMBER(SEARCH("FABRICAR",AA74))),"MIXTO",IF(ISNUMBER(SEARCH("IMPORTAR",AA74)),"IMPORTADO",IF(ISNUMBER(SEARCH("FABRICAR",AA74)),"LOCAL","OTRO")))</f>
        <v>LOCAL</v>
      </c>
      <c r="AQ74" t="str">
        <f>IF(AD74="Si","SI",IF(AD74="No","NO",""))</f>
        <v>NO</v>
      </c>
      <c r="AR74" t="str">
        <f>IF(ISNUMBER(SEARCH("®",N74)),"MARCA/INNOVADOR","GENERICO")</f>
        <v>MARCA/INNOVADOR</v>
      </c>
      <c r="AS74">
        <f ca="1">IF(AE74&gt;100,RANDBETWEEN(500,5000),IF(AND(AE74&gt;=10,AE74&lt;=100),RANDBETWEEN(100,1000),RANDBETWEEN(10,200)))</f>
        <v>30</v>
      </c>
      <c r="AT74">
        <f t="shared" ca="1" si="7"/>
        <v>6</v>
      </c>
      <c r="AU74">
        <f ca="1">INT(AS74*RANDBETWEEN(120,200)/100)</f>
        <v>57</v>
      </c>
      <c r="AV74" s="2">
        <f ca="1">IF(LEFT(Y74,1)="L",RANDBETWEEN(500000,5000000),IF(LEFT(Y74,1)="C",RANDBETWEEN(5000,50000),IF(LEFT(Y74,1)="N",RANDBETWEEN(10000,150000),IF(LEFT(Y74,1)="J",RANDBETWEEN(8000,200000),RANDBETWEEN(5000,100000)))))</f>
        <v>92865</v>
      </c>
      <c r="AW74" s="2">
        <f ca="1">INT(AV74*RANDBETWEEN(30,60)/100)</f>
        <v>42717</v>
      </c>
      <c r="AX74">
        <f ca="1">IF(Z74="ORAL",RANDBETWEEN(1000,10000),IF(OR(Z74="INTRAVENOSA",Z74="INTRAMUSCULAR"),RANDBETWEEN(100,2000),IF(OR(Z74="OFTÁLMICA",Z74="TOPICA (EXTERNA)"),RANDBETWEEN(200,3000),RANDBETWEEN(100,1500))))</f>
        <v>8880</v>
      </c>
      <c r="AY74" s="2">
        <f ca="1">INT(AV74*RANDBETWEEN(90,130)/100)</f>
        <v>84507</v>
      </c>
      <c r="AZ74" t="str">
        <f t="shared" ca="1" si="8"/>
        <v>9%</v>
      </c>
      <c r="BA74" t="str">
        <f t="shared" ca="1" si="9"/>
        <v>BAJO</v>
      </c>
    </row>
    <row r="75" spans="4:53" x14ac:dyDescent="0.35">
      <c r="D75" t="s">
        <v>742</v>
      </c>
      <c r="E75" s="1">
        <v>41473</v>
      </c>
      <c r="F75" t="s">
        <v>743</v>
      </c>
      <c r="G75" t="s">
        <v>108</v>
      </c>
      <c r="H75" t="s">
        <v>354</v>
      </c>
      <c r="I75">
        <v>20050749</v>
      </c>
      <c r="J75" t="s">
        <v>28</v>
      </c>
      <c r="K75">
        <v>27</v>
      </c>
      <c r="L75" t="s">
        <v>27</v>
      </c>
      <c r="M75" t="s">
        <v>744</v>
      </c>
      <c r="N75" t="s">
        <v>745</v>
      </c>
      <c r="O75" t="s">
        <v>746</v>
      </c>
      <c r="P75" t="s">
        <v>33</v>
      </c>
      <c r="Q75" s="1">
        <v>41348</v>
      </c>
      <c r="R75" t="s">
        <v>200</v>
      </c>
      <c r="S75" t="s">
        <v>27</v>
      </c>
      <c r="T75" t="s">
        <v>354</v>
      </c>
      <c r="U75" t="s">
        <v>115</v>
      </c>
      <c r="V75" t="s">
        <v>743</v>
      </c>
      <c r="W75">
        <v>5</v>
      </c>
      <c r="X75">
        <v>20050749</v>
      </c>
      <c r="Y75" t="s">
        <v>747</v>
      </c>
      <c r="Z75" t="s">
        <v>119</v>
      </c>
      <c r="AA75" t="s">
        <v>32</v>
      </c>
      <c r="AB75" t="s">
        <v>120</v>
      </c>
      <c r="AC75" t="s">
        <v>38</v>
      </c>
      <c r="AD75" t="s">
        <v>121</v>
      </c>
      <c r="AE75">
        <v>60</v>
      </c>
      <c r="AF75" t="s">
        <v>27</v>
      </c>
      <c r="AG75" t="s">
        <v>26</v>
      </c>
      <c r="AH75" t="s">
        <v>743</v>
      </c>
      <c r="AI75" t="str">
        <f t="shared" si="5"/>
        <v>NO</v>
      </c>
      <c r="AJ75" t="str">
        <f t="shared" si="6"/>
        <v>PFIZER</v>
      </c>
      <c r="AK75" t="str">
        <f>IF(ISNUMBER(SEARCH("FABRICANTE",AC75)),"FABRICANTE",IF(ISNUMBER(SEARCH("IMPORTADOR",AC75)),"IMPORTADOR","OTRO"))</f>
        <v>IMPORTADOR</v>
      </c>
      <c r="AL75" t="str">
        <f>IF(LEFT(Y75,1)="A","Sistema digestivo",IF(LEFT(Y75,1)="B","Sangre",IF(LEFT(Y75,1)="C","Cardiovascular",IF(LEFT(Y75,1)="D","Dermatológico",IF(LEFT(Y75,1)="G","Genitourinario",IF(LEFT(Y75,1)="H","Hormonal",IF(LEFT(Y75,1)="J","Antiinfecciosos",IF(LEFT(Y75,1)="L","Oncológicos",IF(LEFT(Y75,1)="M","Musculoesquelético",IF(LEFT(Y75,1)="N","Sistema nervioso",IF(LEFT(Y75,1)="R","Respiratorio",IF(LEFT(Y75,1)="S","Oftálmico",IF(LEFT(Y75,1)="V","Varios","OTRO")))))))))))))</f>
        <v>Oncológicos</v>
      </c>
      <c r="AM75" t="str">
        <f>IF(AG75="Vigente","ACTIVO",IF(ISNUMBER(SEARCH("Inactivo",J75)),"INACTIVO","REVISAR"))</f>
        <v>ACTIVO</v>
      </c>
      <c r="AN75" t="str">
        <f ca="1">IF(OR(AF75="",AF75="null"),"",ROUND((AF75-TODAY())/365.25,2))</f>
        <v/>
      </c>
      <c r="AO75" t="str">
        <f ca="1">IF(AND(AG75="Vigente",OR(AF75="",AF75="null",AF75&gt;TODAY())),"SI",IF(AND(NOT(OR(AF75="",AF75="null")),AF75&lt;=TODAY()),"NO",IF(AG75="Vigente","SI","DESCONOCIDO")))</f>
        <v>SI</v>
      </c>
      <c r="AP75" t="str">
        <f>IF(AND(ISNUMBER(SEARCH("IMPORTAR",AA75)),ISNUMBER(SEARCH("FABRICAR",AA75))),"MIXTO",IF(ISNUMBER(SEARCH("IMPORTAR",AA75)),"IMPORTADO",IF(ISNUMBER(SEARCH("FABRICAR",AA75)),"LOCAL","OTRO")))</f>
        <v>IMPORTADO</v>
      </c>
      <c r="AQ75" t="str">
        <f>IF(AD75="Si","SI",IF(AD75="No","NO",""))</f>
        <v>NO</v>
      </c>
      <c r="AR75" t="str">
        <f>IF(ISNUMBER(SEARCH("®",N75)),"MARCA/INNOVADOR","GENERICO")</f>
        <v>MARCA/INNOVADOR</v>
      </c>
      <c r="AS75">
        <f ca="1">IF(AE75&gt;100,RANDBETWEEN(500,5000),IF(AND(AE75&gt;=10,AE75&lt;=100),RANDBETWEEN(100,1000),RANDBETWEEN(10,200)))</f>
        <v>774</v>
      </c>
      <c r="AT75">
        <f t="shared" ca="1" si="7"/>
        <v>185</v>
      </c>
      <c r="AU75">
        <f ca="1">INT(AS75*RANDBETWEEN(120,200)/100)</f>
        <v>1486</v>
      </c>
      <c r="AV75" s="2">
        <f ca="1">IF(LEFT(Y75,1)="L",RANDBETWEEN(500000,5000000),IF(LEFT(Y75,1)="C",RANDBETWEEN(5000,50000),IF(LEFT(Y75,1)="N",RANDBETWEEN(10000,150000),IF(LEFT(Y75,1)="J",RANDBETWEEN(8000,200000),RANDBETWEEN(5000,100000)))))</f>
        <v>3446038</v>
      </c>
      <c r="AW75" s="2">
        <f ca="1">INT(AV75*RANDBETWEEN(30,60)/100)</f>
        <v>1378415</v>
      </c>
      <c r="AX75">
        <f ca="1">IF(Z75="ORAL",RANDBETWEEN(1000,10000),IF(OR(Z75="INTRAVENOSA",Z75="INTRAMUSCULAR"),RANDBETWEEN(100,2000),IF(OR(Z75="OFTÁLMICA",Z75="TOPICA (EXTERNA)"),RANDBETWEEN(200,3000),RANDBETWEEN(100,1500))))</f>
        <v>3641</v>
      </c>
      <c r="AY75" s="2">
        <f ca="1">INT(AV75*RANDBETWEEN(90,130)/100)</f>
        <v>3135894</v>
      </c>
      <c r="AZ75" t="str">
        <f t="shared" ca="1" si="8"/>
        <v>25%</v>
      </c>
      <c r="BA75" t="str">
        <f t="shared" ca="1" si="9"/>
        <v>BAJO</v>
      </c>
    </row>
    <row r="76" spans="4:53" x14ac:dyDescent="0.35">
      <c r="D76" t="s">
        <v>748</v>
      </c>
      <c r="E76" s="1">
        <v>38769</v>
      </c>
      <c r="F76" t="s">
        <v>749</v>
      </c>
      <c r="G76" t="s">
        <v>108</v>
      </c>
      <c r="H76" t="s">
        <v>750</v>
      </c>
      <c r="I76">
        <v>19950974</v>
      </c>
      <c r="J76" t="s">
        <v>28</v>
      </c>
      <c r="K76">
        <v>1</v>
      </c>
      <c r="L76" t="s">
        <v>27</v>
      </c>
      <c r="M76" t="s">
        <v>751</v>
      </c>
      <c r="N76" t="s">
        <v>752</v>
      </c>
      <c r="O76" t="s">
        <v>753</v>
      </c>
      <c r="P76" t="s">
        <v>754</v>
      </c>
      <c r="Q76" s="1">
        <v>39031</v>
      </c>
      <c r="R76" t="s">
        <v>50</v>
      </c>
      <c r="S76" t="s">
        <v>27</v>
      </c>
      <c r="T76" t="s">
        <v>750</v>
      </c>
      <c r="U76" t="s">
        <v>115</v>
      </c>
      <c r="V76" t="s">
        <v>755</v>
      </c>
      <c r="W76">
        <v>480</v>
      </c>
      <c r="X76">
        <v>19950974</v>
      </c>
      <c r="Y76" t="s">
        <v>756</v>
      </c>
      <c r="Z76" t="s">
        <v>757</v>
      </c>
      <c r="AA76" t="s">
        <v>32</v>
      </c>
      <c r="AB76" t="s">
        <v>133</v>
      </c>
      <c r="AC76" t="s">
        <v>25</v>
      </c>
      <c r="AD76" t="s">
        <v>121</v>
      </c>
      <c r="AE76">
        <v>4</v>
      </c>
      <c r="AF76" t="s">
        <v>27</v>
      </c>
      <c r="AG76" t="s">
        <v>26</v>
      </c>
      <c r="AH76" t="s">
        <v>6736</v>
      </c>
      <c r="AI76" t="str">
        <f t="shared" si="5"/>
        <v>NO</v>
      </c>
      <c r="AJ76" t="str">
        <f t="shared" si="6"/>
        <v>GUERBET</v>
      </c>
      <c r="AK76" t="str">
        <f>IF(ISNUMBER(SEARCH("FABRICANTE",AC76)),"FABRICANTE",IF(ISNUMBER(SEARCH("IMPORTADOR",AC76)),"IMPORTADOR","OTRO"))</f>
        <v>FABRICANTE</v>
      </c>
      <c r="AL76" t="str">
        <f>IF(LEFT(Y76,1)="A","Sistema digestivo",IF(LEFT(Y76,1)="B","Sangre",IF(LEFT(Y76,1)="C","Cardiovascular",IF(LEFT(Y76,1)="D","Dermatológico",IF(LEFT(Y76,1)="G","Genitourinario",IF(LEFT(Y76,1)="H","Hormonal",IF(LEFT(Y76,1)="J","Antiinfecciosos",IF(LEFT(Y76,1)="L","Oncológicos",IF(LEFT(Y76,1)="M","Musculoesquelético",IF(LEFT(Y76,1)="N","Sistema nervioso",IF(LEFT(Y76,1)="R","Respiratorio",IF(LEFT(Y76,1)="S","Oftálmico",IF(LEFT(Y76,1)="V","Varios","OTRO")))))))))))))</f>
        <v>Varios</v>
      </c>
      <c r="AM76" t="str">
        <f>IF(AG76="Vigente","ACTIVO",IF(ISNUMBER(SEARCH("Inactivo",J76)),"INACTIVO","REVISAR"))</f>
        <v>ACTIVO</v>
      </c>
      <c r="AN76" t="str">
        <f ca="1">IF(OR(AF76="",AF76="null"),"",ROUND((AF76-TODAY())/365.25,2))</f>
        <v/>
      </c>
      <c r="AO76" t="str">
        <f ca="1">IF(AND(AG76="Vigente",OR(AF76="",AF76="null",AF76&gt;TODAY())),"SI",IF(AND(NOT(OR(AF76="",AF76="null")),AF76&lt;=TODAY()),"NO",IF(AG76="Vigente","SI","DESCONOCIDO")))</f>
        <v>SI</v>
      </c>
      <c r="AP76" t="str">
        <f>IF(AND(ISNUMBER(SEARCH("IMPORTAR",AA76)),ISNUMBER(SEARCH("FABRICAR",AA76))),"MIXTO",IF(ISNUMBER(SEARCH("IMPORTAR",AA76)),"IMPORTADO",IF(ISNUMBER(SEARCH("FABRICAR",AA76)),"LOCAL","OTRO")))</f>
        <v>IMPORTADO</v>
      </c>
      <c r="AQ76" t="str">
        <f>IF(AD76="Si","SI",IF(AD76="No","NO",""))</f>
        <v>NO</v>
      </c>
      <c r="AR76" t="str">
        <f>IF(ISNUMBER(SEARCH("®",N76)),"MARCA/INNOVADOR","GENERICO")</f>
        <v>MARCA/INNOVADOR</v>
      </c>
      <c r="AS76">
        <f ca="1">IF(AE76&gt;100,RANDBETWEEN(500,5000),IF(AND(AE76&gt;=10,AE76&lt;=100),RANDBETWEEN(100,1000),RANDBETWEEN(10,200)))</f>
        <v>147</v>
      </c>
      <c r="AT76">
        <f t="shared" ca="1" si="7"/>
        <v>41</v>
      </c>
      <c r="AU76">
        <f ca="1">INT(AS76*RANDBETWEEN(120,200)/100)</f>
        <v>176</v>
      </c>
      <c r="AV76" s="2">
        <f ca="1">IF(LEFT(Y76,1)="L",RANDBETWEEN(500000,5000000),IF(LEFT(Y76,1)="C",RANDBETWEEN(5000,50000),IF(LEFT(Y76,1)="N",RANDBETWEEN(10000,150000),IF(LEFT(Y76,1)="J",RANDBETWEEN(8000,200000),RANDBETWEEN(5000,100000)))))</f>
        <v>97371</v>
      </c>
      <c r="AW76" s="2">
        <f ca="1">INT(AV76*RANDBETWEEN(30,60)/100)</f>
        <v>44790</v>
      </c>
      <c r="AX76">
        <f ca="1">IF(Z76="ORAL",RANDBETWEEN(1000,10000),IF(OR(Z76="INTRAVENOSA",Z76="INTRAMUSCULAR"),RANDBETWEEN(100,2000),IF(OR(Z76="OFTÁLMICA",Z76="TOPICA (EXTERNA)"),RANDBETWEEN(200,3000),RANDBETWEEN(100,1500))))</f>
        <v>861</v>
      </c>
      <c r="AY76" s="2">
        <f ca="1">INT(AV76*RANDBETWEEN(90,130)/100)</f>
        <v>103213</v>
      </c>
      <c r="AZ76" t="str">
        <f t="shared" ca="1" si="8"/>
        <v>6.9%</v>
      </c>
      <c r="BA76" t="str">
        <f t="shared" ca="1" si="9"/>
        <v>BAJO</v>
      </c>
    </row>
    <row r="77" spans="4:53" x14ac:dyDescent="0.35">
      <c r="D77" t="s">
        <v>758</v>
      </c>
      <c r="E77" s="1">
        <v>39241</v>
      </c>
      <c r="F77" t="s">
        <v>759</v>
      </c>
      <c r="G77" t="s">
        <v>108</v>
      </c>
      <c r="H77" t="s">
        <v>760</v>
      </c>
      <c r="I77">
        <v>19974254</v>
      </c>
      <c r="J77" t="s">
        <v>28</v>
      </c>
      <c r="K77">
        <v>8</v>
      </c>
      <c r="L77" t="s">
        <v>27</v>
      </c>
      <c r="M77" t="s">
        <v>761</v>
      </c>
      <c r="N77" t="s">
        <v>762</v>
      </c>
      <c r="O77" t="s">
        <v>763</v>
      </c>
      <c r="P77" t="s">
        <v>764</v>
      </c>
      <c r="Q77" s="1">
        <v>44046</v>
      </c>
      <c r="R77" t="s">
        <v>211</v>
      </c>
      <c r="S77" t="s">
        <v>27</v>
      </c>
      <c r="T77" t="s">
        <v>51</v>
      </c>
      <c r="U77" t="s">
        <v>247</v>
      </c>
      <c r="V77" t="s">
        <v>765</v>
      </c>
      <c r="W77" t="s">
        <v>433</v>
      </c>
      <c r="X77">
        <v>19974254</v>
      </c>
      <c r="Y77" t="s">
        <v>766</v>
      </c>
      <c r="Z77" t="s">
        <v>213</v>
      </c>
      <c r="AA77" t="s">
        <v>32</v>
      </c>
      <c r="AB77" t="s">
        <v>120</v>
      </c>
      <c r="AC77" t="s">
        <v>25</v>
      </c>
      <c r="AD77" t="s">
        <v>121</v>
      </c>
      <c r="AE77">
        <v>10</v>
      </c>
      <c r="AF77" t="s">
        <v>27</v>
      </c>
      <c r="AG77" t="s">
        <v>26</v>
      </c>
      <c r="AH77" t="s">
        <v>6619</v>
      </c>
      <c r="AI77" t="str">
        <f t="shared" si="5"/>
        <v>SI</v>
      </c>
      <c r="AJ77" t="str">
        <f t="shared" si="6"/>
        <v>BLAU FARMACÉUTICA COLOMBIA</v>
      </c>
      <c r="AK77" t="str">
        <f>IF(ISNUMBER(SEARCH("FABRICANTE",AC77)),"FABRICANTE",IF(ISNUMBER(SEARCH("IMPORTADOR",AC77)),"IMPORTADOR","OTRO"))</f>
        <v>FABRICANTE</v>
      </c>
      <c r="AL77" t="str">
        <f>IF(LEFT(Y77,1)="A","Sistema digestivo",IF(LEFT(Y77,1)="B","Sangre",IF(LEFT(Y77,1)="C","Cardiovascular",IF(LEFT(Y77,1)="D","Dermatológico",IF(LEFT(Y77,1)="G","Genitourinario",IF(LEFT(Y77,1)="H","Hormonal",IF(LEFT(Y77,1)="J","Antiinfecciosos",IF(LEFT(Y77,1)="L","Oncológicos",IF(LEFT(Y77,1)="M","Musculoesquelético",IF(LEFT(Y77,1)="N","Sistema nervioso",IF(LEFT(Y77,1)="R","Respiratorio",IF(LEFT(Y77,1)="S","Oftálmico",IF(LEFT(Y77,1)="V","Varios","OTRO")))))))))))))</f>
        <v>Antiinfecciosos</v>
      </c>
      <c r="AM77" t="str">
        <f>IF(AG77="Vigente","ACTIVO",IF(ISNUMBER(SEARCH("Inactivo",J77)),"INACTIVO","REVISAR"))</f>
        <v>ACTIVO</v>
      </c>
      <c r="AN77" t="str">
        <f ca="1">IF(OR(AF77="",AF77="null"),"",ROUND((AF77-TODAY())/365.25,2))</f>
        <v/>
      </c>
      <c r="AO77" t="str">
        <f ca="1">IF(AND(AG77="Vigente",OR(AF77="",AF77="null",AF77&gt;TODAY())),"SI",IF(AND(NOT(OR(AF77="",AF77="null")),AF77&lt;=TODAY()),"NO",IF(AG77="Vigente","SI","DESCONOCIDO")))</f>
        <v>SI</v>
      </c>
      <c r="AP77" t="str">
        <f>IF(AND(ISNUMBER(SEARCH("IMPORTAR",AA77)),ISNUMBER(SEARCH("FABRICAR",AA77))),"MIXTO",IF(ISNUMBER(SEARCH("IMPORTAR",AA77)),"IMPORTADO",IF(ISNUMBER(SEARCH("FABRICAR",AA77)),"LOCAL","OTRO")))</f>
        <v>IMPORTADO</v>
      </c>
      <c r="AQ77" t="str">
        <f>IF(AD77="Si","SI",IF(AD77="No","NO",""))</f>
        <v>NO</v>
      </c>
      <c r="AR77" t="str">
        <f>IF(ISNUMBER(SEARCH("®",N77)),"MARCA/INNOVADOR","GENERICO")</f>
        <v>MARCA/INNOVADOR</v>
      </c>
      <c r="AS77">
        <f ca="1">IF(AE77&gt;100,RANDBETWEEN(500,5000),IF(AND(AE77&gt;=10,AE77&lt;=100),RANDBETWEEN(100,1000),RANDBETWEEN(10,200)))</f>
        <v>142</v>
      </c>
      <c r="AT77">
        <f t="shared" ca="1" si="7"/>
        <v>21</v>
      </c>
      <c r="AU77">
        <f ca="1">INT(AS77*RANDBETWEEN(120,200)/100)</f>
        <v>203</v>
      </c>
      <c r="AV77" s="2">
        <f ca="1">IF(LEFT(Y77,1)="L",RANDBETWEEN(500000,5000000),IF(LEFT(Y77,1)="C",RANDBETWEEN(5000,50000),IF(LEFT(Y77,1)="N",RANDBETWEEN(10000,150000),IF(LEFT(Y77,1)="J",RANDBETWEEN(8000,200000),RANDBETWEEN(5000,100000)))))</f>
        <v>144539</v>
      </c>
      <c r="AW77" s="2">
        <f ca="1">INT(AV77*RANDBETWEEN(30,60)/100)</f>
        <v>83832</v>
      </c>
      <c r="AX77">
        <f ca="1">IF(Z77="ORAL",RANDBETWEEN(1000,10000),IF(OR(Z77="INTRAVENOSA",Z77="INTRAMUSCULAR"),RANDBETWEEN(100,2000),IF(OR(Z77="OFTÁLMICA",Z77="TOPICA (EXTERNA)"),RANDBETWEEN(200,3000),RANDBETWEEN(100,1500))))</f>
        <v>1920</v>
      </c>
      <c r="AY77" s="2">
        <f ca="1">INT(AV77*RANDBETWEEN(90,130)/100)</f>
        <v>185009</v>
      </c>
      <c r="AZ77" t="str">
        <f t="shared" ca="1" si="8"/>
        <v>5.5%</v>
      </c>
      <c r="BA77" t="str">
        <f t="shared" ca="1" si="9"/>
        <v>BAJO</v>
      </c>
    </row>
    <row r="78" spans="4:53" x14ac:dyDescent="0.35">
      <c r="D78" t="s">
        <v>767</v>
      </c>
      <c r="E78" s="1">
        <v>36161</v>
      </c>
      <c r="F78" t="s">
        <v>768</v>
      </c>
      <c r="G78" t="s">
        <v>108</v>
      </c>
      <c r="H78" t="s">
        <v>769</v>
      </c>
      <c r="I78">
        <v>35644</v>
      </c>
      <c r="J78" t="s">
        <v>28</v>
      </c>
      <c r="K78">
        <v>3</v>
      </c>
      <c r="L78" t="s">
        <v>27</v>
      </c>
      <c r="M78" t="s">
        <v>770</v>
      </c>
      <c r="N78" t="s">
        <v>771</v>
      </c>
      <c r="O78" t="s">
        <v>772</v>
      </c>
      <c r="P78" t="s">
        <v>33</v>
      </c>
      <c r="Q78" s="1">
        <v>39031</v>
      </c>
      <c r="R78" t="s">
        <v>33</v>
      </c>
      <c r="S78" t="s">
        <v>27</v>
      </c>
      <c r="T78" t="s">
        <v>769</v>
      </c>
      <c r="U78" t="s">
        <v>115</v>
      </c>
      <c r="V78" t="s">
        <v>773</v>
      </c>
      <c r="W78">
        <v>500</v>
      </c>
      <c r="X78">
        <v>35644</v>
      </c>
      <c r="Y78" t="s">
        <v>774</v>
      </c>
      <c r="Z78" t="s">
        <v>119</v>
      </c>
      <c r="AA78" t="s">
        <v>24</v>
      </c>
      <c r="AB78" t="s">
        <v>120</v>
      </c>
      <c r="AC78" t="s">
        <v>25</v>
      </c>
      <c r="AD78" t="s">
        <v>121</v>
      </c>
      <c r="AE78">
        <v>10</v>
      </c>
      <c r="AF78" s="1">
        <v>401769</v>
      </c>
      <c r="AG78" t="s">
        <v>26</v>
      </c>
      <c r="AH78" t="s">
        <v>773</v>
      </c>
      <c r="AI78" t="str">
        <f t="shared" si="5"/>
        <v>NO</v>
      </c>
      <c r="AJ78" t="str">
        <f t="shared" si="6"/>
        <v>LABORATORIOS BUSSIÉ</v>
      </c>
      <c r="AK78" t="str">
        <f>IF(ISNUMBER(SEARCH("FABRICANTE",AC78)),"FABRICANTE",IF(ISNUMBER(SEARCH("IMPORTADOR",AC78)),"IMPORTADOR","OTRO"))</f>
        <v>FABRICANTE</v>
      </c>
      <c r="AL78" t="str">
        <f>IF(LEFT(Y78,1)="A","Sistema digestivo",IF(LEFT(Y78,1)="B","Sangre",IF(LEFT(Y78,1)="C","Cardiovascular",IF(LEFT(Y78,1)="D","Dermatológico",IF(LEFT(Y78,1)="G","Genitourinario",IF(LEFT(Y78,1)="H","Hormonal",IF(LEFT(Y78,1)="J","Antiinfecciosos",IF(LEFT(Y78,1)="L","Oncológicos",IF(LEFT(Y78,1)="M","Musculoesquelético",IF(LEFT(Y78,1)="N","Sistema nervioso",IF(LEFT(Y78,1)="R","Respiratorio",IF(LEFT(Y78,1)="S","Oftálmico",IF(LEFT(Y78,1)="V","Varios","OTRO")))))))))))))</f>
        <v>Antiinfecciosos</v>
      </c>
      <c r="AM78" t="str">
        <f>IF(AG78="Vigente","ACTIVO",IF(ISNUMBER(SEARCH("Inactivo",J78)),"INACTIVO","REVISAR"))</f>
        <v>ACTIVO</v>
      </c>
      <c r="AN78">
        <f ca="1">IF(OR(AF78="",AF78="null"),"",ROUND((AF78-TODAY())/365.25,2))</f>
        <v>973.58</v>
      </c>
      <c r="AO78" t="str">
        <f ca="1">IF(AND(AG78="Vigente",OR(AF78="",AF78="null",AF78&gt;TODAY())),"SI",IF(AND(NOT(OR(AF78="",AF78="null")),AF78&lt;=TODAY()),"NO",IF(AG78="Vigente","SI","DESCONOCIDO")))</f>
        <v>SI</v>
      </c>
      <c r="AP78" t="str">
        <f>IF(AND(ISNUMBER(SEARCH("IMPORTAR",AA78)),ISNUMBER(SEARCH("FABRICAR",AA78))),"MIXTO",IF(ISNUMBER(SEARCH("IMPORTAR",AA78)),"IMPORTADO",IF(ISNUMBER(SEARCH("FABRICAR",AA78)),"LOCAL","OTRO")))</f>
        <v>LOCAL</v>
      </c>
      <c r="AQ78" t="str">
        <f>IF(AD78="Si","SI",IF(AD78="No","NO",""))</f>
        <v>NO</v>
      </c>
      <c r="AR78" t="str">
        <f>IF(ISNUMBER(SEARCH("®",N78)),"MARCA/INNOVADOR","GENERICO")</f>
        <v>GENERICO</v>
      </c>
      <c r="AS78">
        <f ca="1">IF(AE78&gt;100,RANDBETWEEN(500,5000),IF(AND(AE78&gt;=10,AE78&lt;=100),RANDBETWEEN(100,1000),RANDBETWEEN(10,200)))</f>
        <v>371</v>
      </c>
      <c r="AT78">
        <f t="shared" ca="1" si="7"/>
        <v>107</v>
      </c>
      <c r="AU78">
        <f ca="1">INT(AS78*RANDBETWEEN(120,200)/100)</f>
        <v>597</v>
      </c>
      <c r="AV78" s="2">
        <f ca="1">IF(LEFT(Y78,1)="L",RANDBETWEEN(500000,5000000),IF(LEFT(Y78,1)="C",RANDBETWEEN(5000,50000),IF(LEFT(Y78,1)="N",RANDBETWEEN(10000,150000),IF(LEFT(Y78,1)="J",RANDBETWEEN(8000,200000),RANDBETWEEN(5000,100000)))))</f>
        <v>165411</v>
      </c>
      <c r="AW78" s="2">
        <f ca="1">INT(AV78*RANDBETWEEN(30,60)/100)</f>
        <v>69472</v>
      </c>
      <c r="AX78">
        <f ca="1">IF(Z78="ORAL",RANDBETWEEN(1000,10000),IF(OR(Z78="INTRAVENOSA",Z78="INTRAMUSCULAR"),RANDBETWEEN(100,2000),IF(OR(Z78="OFTÁLMICA",Z78="TOPICA (EXTERNA)"),RANDBETWEEN(200,3000),RANDBETWEEN(100,1500))))</f>
        <v>9341</v>
      </c>
      <c r="AY78" s="2">
        <f ca="1">INT(AV78*RANDBETWEEN(90,130)/100)</f>
        <v>188568</v>
      </c>
      <c r="AZ78" t="str">
        <f t="shared" ca="1" si="8"/>
        <v>6.9%</v>
      </c>
      <c r="BA78" t="str">
        <f t="shared" ca="1" si="9"/>
        <v>BAJO</v>
      </c>
    </row>
    <row r="79" spans="4:53" x14ac:dyDescent="0.35">
      <c r="D79" t="s">
        <v>775</v>
      </c>
      <c r="E79" s="1">
        <v>39981</v>
      </c>
      <c r="F79" t="s">
        <v>776</v>
      </c>
      <c r="G79" t="s">
        <v>108</v>
      </c>
      <c r="H79" t="s">
        <v>83</v>
      </c>
      <c r="I79">
        <v>20003211</v>
      </c>
      <c r="J79" t="s">
        <v>28</v>
      </c>
      <c r="K79">
        <v>3</v>
      </c>
      <c r="L79" t="s">
        <v>27</v>
      </c>
      <c r="M79" t="s">
        <v>777</v>
      </c>
      <c r="N79" t="s">
        <v>778</v>
      </c>
      <c r="O79" t="s">
        <v>779</v>
      </c>
      <c r="P79" t="s">
        <v>659</v>
      </c>
      <c r="Q79" s="1">
        <v>39896</v>
      </c>
      <c r="R79" t="s">
        <v>780</v>
      </c>
      <c r="S79" t="s">
        <v>27</v>
      </c>
      <c r="T79" t="s">
        <v>83</v>
      </c>
      <c r="U79" t="s">
        <v>781</v>
      </c>
      <c r="V79" t="s">
        <v>782</v>
      </c>
      <c r="W79">
        <v>150</v>
      </c>
      <c r="X79">
        <v>20003211</v>
      </c>
      <c r="Y79" t="s">
        <v>783</v>
      </c>
      <c r="Z79" t="s">
        <v>119</v>
      </c>
      <c r="AA79" t="s">
        <v>165</v>
      </c>
      <c r="AB79" t="s">
        <v>120</v>
      </c>
      <c r="AC79" t="s">
        <v>25</v>
      </c>
      <c r="AD79" t="s">
        <v>121</v>
      </c>
      <c r="AE79">
        <v>30</v>
      </c>
      <c r="AF79" s="1">
        <v>401769</v>
      </c>
      <c r="AG79" t="s">
        <v>26</v>
      </c>
      <c r="AH79" t="s">
        <v>782</v>
      </c>
      <c r="AI79" t="str">
        <f t="shared" si="5"/>
        <v>SI</v>
      </c>
      <c r="AJ79" t="str">
        <f t="shared" si="6"/>
        <v>LABORATORIOS LA SANTÉ</v>
      </c>
      <c r="AK79" t="str">
        <f>IF(ISNUMBER(SEARCH("FABRICANTE",AC79)),"FABRICANTE",IF(ISNUMBER(SEARCH("IMPORTADOR",AC79)),"IMPORTADOR","OTRO"))</f>
        <v>FABRICANTE</v>
      </c>
      <c r="AL79" t="str">
        <f>IF(LEFT(Y79,1)="A","Sistema digestivo",IF(LEFT(Y79,1)="B","Sangre",IF(LEFT(Y79,1)="C","Cardiovascular",IF(LEFT(Y79,1)="D","Dermatológico",IF(LEFT(Y79,1)="G","Genitourinario",IF(LEFT(Y79,1)="H","Hormonal",IF(LEFT(Y79,1)="J","Antiinfecciosos",IF(LEFT(Y79,1)="L","Oncológicos",IF(LEFT(Y79,1)="M","Musculoesquelético",IF(LEFT(Y79,1)="N","Sistema nervioso",IF(LEFT(Y79,1)="R","Respiratorio",IF(LEFT(Y79,1)="S","Oftálmico",IF(LEFT(Y79,1)="V","Varios","OTRO")))))))))))))</f>
        <v>Sistema nervioso</v>
      </c>
      <c r="AM79" t="str">
        <f>IF(AG79="Vigente","ACTIVO",IF(ISNUMBER(SEARCH("Inactivo",J79)),"INACTIVO","REVISAR"))</f>
        <v>ACTIVO</v>
      </c>
      <c r="AN79">
        <f ca="1">IF(OR(AF79="",AF79="null"),"",ROUND((AF79-TODAY())/365.25,2))</f>
        <v>973.58</v>
      </c>
      <c r="AO79" t="str">
        <f ca="1">IF(AND(AG79="Vigente",OR(AF79="",AF79="null",AF79&gt;TODAY())),"SI",IF(AND(NOT(OR(AF79="",AF79="null")),AF79&lt;=TODAY()),"NO",IF(AG79="Vigente","SI","DESCONOCIDO")))</f>
        <v>SI</v>
      </c>
      <c r="AP79" t="str">
        <f>IF(AND(ISNUMBER(SEARCH("IMPORTAR",AA79)),ISNUMBER(SEARCH("FABRICAR",AA79))),"MIXTO",IF(ISNUMBER(SEARCH("IMPORTAR",AA79)),"IMPORTADO",IF(ISNUMBER(SEARCH("FABRICAR",AA79)),"LOCAL","OTRO")))</f>
        <v>IMPORTADO</v>
      </c>
      <c r="AQ79" t="str">
        <f>IF(AD79="Si","SI",IF(AD79="No","NO",""))</f>
        <v>NO</v>
      </c>
      <c r="AR79" t="str">
        <f>IF(ISNUMBER(SEARCH("®",N79)),"MARCA/INNOVADOR","GENERICO")</f>
        <v>GENERICO</v>
      </c>
      <c r="AS79">
        <f ca="1">IF(AE79&gt;100,RANDBETWEEN(500,5000),IF(AND(AE79&gt;=10,AE79&lt;=100),RANDBETWEEN(100,1000),RANDBETWEEN(10,200)))</f>
        <v>377</v>
      </c>
      <c r="AT79">
        <f t="shared" ca="1" si="7"/>
        <v>98</v>
      </c>
      <c r="AU79">
        <f ca="1">INT(AS79*RANDBETWEEN(120,200)/100)</f>
        <v>637</v>
      </c>
      <c r="AV79" s="2">
        <f ca="1">IF(LEFT(Y79,1)="L",RANDBETWEEN(500000,5000000),IF(LEFT(Y79,1)="C",RANDBETWEEN(5000,50000),IF(LEFT(Y79,1)="N",RANDBETWEEN(10000,150000),IF(LEFT(Y79,1)="J",RANDBETWEEN(8000,200000),RANDBETWEEN(5000,100000)))))</f>
        <v>89070</v>
      </c>
      <c r="AW79" s="2">
        <f ca="1">INT(AV79*RANDBETWEEN(30,60)/100)</f>
        <v>53442</v>
      </c>
      <c r="AX79">
        <f ca="1">IF(Z79="ORAL",RANDBETWEEN(1000,10000),IF(OR(Z79="INTRAVENOSA",Z79="INTRAMUSCULAR"),RANDBETWEEN(100,2000),IF(OR(Z79="OFTÁLMICA",Z79="TOPICA (EXTERNA)"),RANDBETWEEN(200,3000),RANDBETWEEN(100,1500))))</f>
        <v>6117</v>
      </c>
      <c r="AY79" s="2">
        <f ca="1">INT(AV79*RANDBETWEEN(90,130)/100)</f>
        <v>104211</v>
      </c>
      <c r="AZ79" t="str">
        <f t="shared" ca="1" si="8"/>
        <v>20.9%</v>
      </c>
      <c r="BA79" t="str">
        <f t="shared" ca="1" si="9"/>
        <v>BAJO</v>
      </c>
    </row>
    <row r="80" spans="4:53" x14ac:dyDescent="0.35">
      <c r="D80" t="s">
        <v>784</v>
      </c>
      <c r="E80" s="1">
        <v>42474</v>
      </c>
      <c r="F80" t="s">
        <v>785</v>
      </c>
      <c r="G80" t="s">
        <v>108</v>
      </c>
      <c r="H80" t="s">
        <v>786</v>
      </c>
      <c r="I80">
        <v>20090945</v>
      </c>
      <c r="J80" t="s">
        <v>28</v>
      </c>
      <c r="K80">
        <v>2</v>
      </c>
      <c r="L80" t="s">
        <v>27</v>
      </c>
      <c r="M80" t="s">
        <v>787</v>
      </c>
      <c r="N80" t="s">
        <v>788</v>
      </c>
      <c r="O80" t="s">
        <v>789</v>
      </c>
      <c r="P80" t="s">
        <v>33</v>
      </c>
      <c r="Q80" s="1">
        <v>42192</v>
      </c>
      <c r="R80" t="s">
        <v>33</v>
      </c>
      <c r="S80" t="s">
        <v>27</v>
      </c>
      <c r="T80" t="s">
        <v>790</v>
      </c>
      <c r="U80" t="s">
        <v>115</v>
      </c>
      <c r="V80" t="s">
        <v>785</v>
      </c>
      <c r="W80">
        <v>30</v>
      </c>
      <c r="X80">
        <v>20090945</v>
      </c>
      <c r="Y80" t="s">
        <v>791</v>
      </c>
      <c r="Z80" t="s">
        <v>119</v>
      </c>
      <c r="AA80" t="s">
        <v>32</v>
      </c>
      <c r="AB80" t="s">
        <v>120</v>
      </c>
      <c r="AC80" t="s">
        <v>25</v>
      </c>
      <c r="AD80" t="s">
        <v>121</v>
      </c>
      <c r="AE80">
        <v>30</v>
      </c>
      <c r="AF80" t="s">
        <v>27</v>
      </c>
      <c r="AG80" t="s">
        <v>26</v>
      </c>
      <c r="AH80" t="s">
        <v>785</v>
      </c>
      <c r="AI80" t="str">
        <f t="shared" si="5"/>
        <v>NO</v>
      </c>
      <c r="AJ80" t="str">
        <f t="shared" si="6"/>
        <v>ALTADIS FARMACÉUTICA</v>
      </c>
      <c r="AK80" t="str">
        <f>IF(ISNUMBER(SEARCH("FABRICANTE",AC80)),"FABRICANTE",IF(ISNUMBER(SEARCH("IMPORTADOR",AC80)),"IMPORTADOR","OTRO"))</f>
        <v>FABRICANTE</v>
      </c>
      <c r="AL80" t="str">
        <f>IF(LEFT(Y80,1)="A","Sistema digestivo",IF(LEFT(Y80,1)="B","Sangre",IF(LEFT(Y80,1)="C","Cardiovascular",IF(LEFT(Y80,1)="D","Dermatológico",IF(LEFT(Y80,1)="G","Genitourinario",IF(LEFT(Y80,1)="H","Hormonal",IF(LEFT(Y80,1)="J","Antiinfecciosos",IF(LEFT(Y80,1)="L","Oncológicos",IF(LEFT(Y80,1)="M","Musculoesquelético",IF(LEFT(Y80,1)="N","Sistema nervioso",IF(LEFT(Y80,1)="R","Respiratorio",IF(LEFT(Y80,1)="S","Oftálmico",IF(LEFT(Y80,1)="V","Varios","OTRO")))))))))))))</f>
        <v>Sistema nervioso</v>
      </c>
      <c r="AM80" t="str">
        <f>IF(AG80="Vigente","ACTIVO",IF(ISNUMBER(SEARCH("Inactivo",J80)),"INACTIVO","REVISAR"))</f>
        <v>ACTIVO</v>
      </c>
      <c r="AN80" t="str">
        <f ca="1">IF(OR(AF80="",AF80="null"),"",ROUND((AF80-TODAY())/365.25,2))</f>
        <v/>
      </c>
      <c r="AO80" t="str">
        <f ca="1">IF(AND(AG80="Vigente",OR(AF80="",AF80="null",AF80&gt;TODAY())),"SI",IF(AND(NOT(OR(AF80="",AF80="null")),AF80&lt;=TODAY()),"NO",IF(AG80="Vigente","SI","DESCONOCIDO")))</f>
        <v>SI</v>
      </c>
      <c r="AP80" t="str">
        <f>IF(AND(ISNUMBER(SEARCH("IMPORTAR",AA80)),ISNUMBER(SEARCH("FABRICAR",AA80))),"MIXTO",IF(ISNUMBER(SEARCH("IMPORTAR",AA80)),"IMPORTADO",IF(ISNUMBER(SEARCH("FABRICAR",AA80)),"LOCAL","OTRO")))</f>
        <v>IMPORTADO</v>
      </c>
      <c r="AQ80" t="str">
        <f>IF(AD80="Si","SI",IF(AD80="No","NO",""))</f>
        <v>NO</v>
      </c>
      <c r="AR80" t="str">
        <f>IF(ISNUMBER(SEARCH("®",N80)),"MARCA/INNOVADOR","GENERICO")</f>
        <v>GENERICO</v>
      </c>
      <c r="AS80">
        <f ca="1">IF(AE80&gt;100,RANDBETWEEN(500,5000),IF(AND(AE80&gt;=10,AE80&lt;=100),RANDBETWEEN(100,1000),RANDBETWEEN(10,200)))</f>
        <v>163</v>
      </c>
      <c r="AT80">
        <f t="shared" ca="1" si="7"/>
        <v>35</v>
      </c>
      <c r="AU80">
        <f ca="1">INT(AS80*RANDBETWEEN(120,200)/100)</f>
        <v>220</v>
      </c>
      <c r="AV80" s="2">
        <f ca="1">IF(LEFT(Y80,1)="L",RANDBETWEEN(500000,5000000),IF(LEFT(Y80,1)="C",RANDBETWEEN(5000,50000),IF(LEFT(Y80,1)="N",RANDBETWEEN(10000,150000),IF(LEFT(Y80,1)="J",RANDBETWEEN(8000,200000),RANDBETWEEN(5000,100000)))))</f>
        <v>106060</v>
      </c>
      <c r="AW80" s="2">
        <f ca="1">INT(AV80*RANDBETWEEN(30,60)/100)</f>
        <v>50908</v>
      </c>
      <c r="AX80">
        <f ca="1">IF(Z80="ORAL",RANDBETWEEN(1000,10000),IF(OR(Z80="INTRAVENOSA",Z80="INTRAMUSCULAR"),RANDBETWEEN(100,2000),IF(OR(Z80="OFTÁLMICA",Z80="TOPICA (EXTERNA)"),RANDBETWEEN(200,3000),RANDBETWEEN(100,1500))))</f>
        <v>3507</v>
      </c>
      <c r="AY80" s="2">
        <f ca="1">INT(AV80*RANDBETWEEN(90,130)/100)</f>
        <v>113484</v>
      </c>
      <c r="AZ80" t="str">
        <f t="shared" ca="1" si="8"/>
        <v>20.2%</v>
      </c>
      <c r="BA80" t="str">
        <f t="shared" ca="1" si="9"/>
        <v>BAJO</v>
      </c>
    </row>
    <row r="81" spans="4:53" x14ac:dyDescent="0.35">
      <c r="D81" t="s">
        <v>792</v>
      </c>
      <c r="E81" s="1">
        <v>45082</v>
      </c>
      <c r="F81" t="s">
        <v>793</v>
      </c>
      <c r="G81" t="s">
        <v>108</v>
      </c>
      <c r="H81" t="s">
        <v>710</v>
      </c>
      <c r="I81">
        <v>20235714</v>
      </c>
      <c r="J81" t="s">
        <v>28</v>
      </c>
      <c r="K81">
        <v>3</v>
      </c>
      <c r="L81" t="s">
        <v>794</v>
      </c>
      <c r="M81" t="s">
        <v>795</v>
      </c>
      <c r="N81" t="s">
        <v>796</v>
      </c>
      <c r="O81" t="s">
        <v>797</v>
      </c>
      <c r="P81" t="s">
        <v>33</v>
      </c>
      <c r="Q81" s="1">
        <v>45077</v>
      </c>
      <c r="R81" t="s">
        <v>33</v>
      </c>
      <c r="S81" t="s">
        <v>27</v>
      </c>
      <c r="T81" t="s">
        <v>798</v>
      </c>
      <c r="U81" t="s">
        <v>115</v>
      </c>
      <c r="V81" t="s">
        <v>450</v>
      </c>
      <c r="W81">
        <v>500</v>
      </c>
      <c r="X81">
        <v>20235714</v>
      </c>
      <c r="Y81" t="s">
        <v>451</v>
      </c>
      <c r="Z81" t="s">
        <v>119</v>
      </c>
      <c r="AA81" t="s">
        <v>24</v>
      </c>
      <c r="AB81" t="s">
        <v>120</v>
      </c>
      <c r="AC81" t="s">
        <v>25</v>
      </c>
      <c r="AD81" t="s">
        <v>121</v>
      </c>
      <c r="AE81">
        <v>14</v>
      </c>
      <c r="AF81" t="s">
        <v>27</v>
      </c>
      <c r="AG81" t="s">
        <v>26</v>
      </c>
      <c r="AH81" t="s">
        <v>450</v>
      </c>
      <c r="AI81" t="str">
        <f t="shared" si="5"/>
        <v>SI</v>
      </c>
      <c r="AJ81" t="str">
        <f t="shared" si="6"/>
        <v>ADEXA PHARMA</v>
      </c>
      <c r="AK81" t="str">
        <f>IF(ISNUMBER(SEARCH("FABRICANTE",AC81)),"FABRICANTE",IF(ISNUMBER(SEARCH("IMPORTADOR",AC81)),"IMPORTADOR","OTRO"))</f>
        <v>FABRICANTE</v>
      </c>
      <c r="AL81" t="str">
        <f>IF(LEFT(Y81,1)="A","Sistema digestivo",IF(LEFT(Y81,1)="B","Sangre",IF(LEFT(Y81,1)="C","Cardiovascular",IF(LEFT(Y81,1)="D","Dermatológico",IF(LEFT(Y81,1)="G","Genitourinario",IF(LEFT(Y81,1)="H","Hormonal",IF(LEFT(Y81,1)="J","Antiinfecciosos",IF(LEFT(Y81,1)="L","Oncológicos",IF(LEFT(Y81,1)="M","Musculoesquelético",IF(LEFT(Y81,1)="N","Sistema nervioso",IF(LEFT(Y81,1)="R","Respiratorio",IF(LEFT(Y81,1)="S","Oftálmico",IF(LEFT(Y81,1)="V","Varios","OTRO")))))))))))))</f>
        <v>Antiinfecciosos</v>
      </c>
      <c r="AM81" t="str">
        <f>IF(AG81="Vigente","ACTIVO",IF(ISNUMBER(SEARCH("Inactivo",J81)),"INACTIVO","REVISAR"))</f>
        <v>ACTIVO</v>
      </c>
      <c r="AN81" t="str">
        <f ca="1">IF(OR(AF81="",AF81="null"),"",ROUND((AF81-TODAY())/365.25,2))</f>
        <v/>
      </c>
      <c r="AO81" t="str">
        <f ca="1">IF(AND(AG81="Vigente",OR(AF81="",AF81="null",AF81&gt;TODAY())),"SI",IF(AND(NOT(OR(AF81="",AF81="null")),AF81&lt;=TODAY()),"NO",IF(AG81="Vigente","SI","DESCONOCIDO")))</f>
        <v>SI</v>
      </c>
      <c r="AP81" t="str">
        <f>IF(AND(ISNUMBER(SEARCH("IMPORTAR",AA81)),ISNUMBER(SEARCH("FABRICAR",AA81))),"MIXTO",IF(ISNUMBER(SEARCH("IMPORTAR",AA81)),"IMPORTADO",IF(ISNUMBER(SEARCH("FABRICAR",AA81)),"LOCAL","OTRO")))</f>
        <v>LOCAL</v>
      </c>
      <c r="AQ81" t="str">
        <f>IF(AD81="Si","SI",IF(AD81="No","NO",""))</f>
        <v>NO</v>
      </c>
      <c r="AR81" t="str">
        <f>IF(ISNUMBER(SEARCH("®",N81)),"MARCA/INNOVADOR","GENERICO")</f>
        <v>GENERICO</v>
      </c>
      <c r="AS81">
        <f ca="1">IF(AE81&gt;100,RANDBETWEEN(500,5000),IF(AND(AE81&gt;=10,AE81&lt;=100),RANDBETWEEN(100,1000),RANDBETWEEN(10,200)))</f>
        <v>585</v>
      </c>
      <c r="AT81">
        <f t="shared" ca="1" si="7"/>
        <v>117</v>
      </c>
      <c r="AU81">
        <f ca="1">INT(AS81*RANDBETWEEN(120,200)/100)</f>
        <v>924</v>
      </c>
      <c r="AV81" s="2">
        <f ca="1">IF(LEFT(Y81,1)="L",RANDBETWEEN(500000,5000000),IF(LEFT(Y81,1)="C",RANDBETWEEN(5000,50000),IF(LEFT(Y81,1)="N",RANDBETWEEN(10000,150000),IF(LEFT(Y81,1)="J",RANDBETWEEN(8000,200000),RANDBETWEEN(5000,100000)))))</f>
        <v>16061</v>
      </c>
      <c r="AW81" s="2">
        <f ca="1">INT(AV81*RANDBETWEEN(30,60)/100)</f>
        <v>5139</v>
      </c>
      <c r="AX81">
        <f ca="1">IF(Z81="ORAL",RANDBETWEEN(1000,10000),IF(OR(Z81="INTRAVENOSA",Z81="INTRAMUSCULAR"),RANDBETWEEN(100,2000),IF(OR(Z81="OFTÁLMICA",Z81="TOPICA (EXTERNA)"),RANDBETWEEN(200,3000),RANDBETWEEN(100,1500))))</f>
        <v>7638</v>
      </c>
      <c r="AY81" s="2">
        <f ca="1">INT(AV81*RANDBETWEEN(90,130)/100)</f>
        <v>19273</v>
      </c>
      <c r="AZ81" t="str">
        <f t="shared" ca="1" si="8"/>
        <v>12%</v>
      </c>
      <c r="BA81" t="str">
        <f t="shared" ca="1" si="9"/>
        <v>BAJO</v>
      </c>
    </row>
    <row r="82" spans="4:53" x14ac:dyDescent="0.35">
      <c r="D82" t="s">
        <v>799</v>
      </c>
      <c r="E82" s="1">
        <v>39568</v>
      </c>
      <c r="F82" t="s">
        <v>800</v>
      </c>
      <c r="G82" t="s">
        <v>108</v>
      </c>
      <c r="H82" t="s">
        <v>801</v>
      </c>
      <c r="I82">
        <v>19983100</v>
      </c>
      <c r="J82" t="s">
        <v>28</v>
      </c>
      <c r="K82">
        <v>2</v>
      </c>
      <c r="L82" t="s">
        <v>27</v>
      </c>
      <c r="M82" t="s">
        <v>802</v>
      </c>
      <c r="N82" t="s">
        <v>803</v>
      </c>
      <c r="O82" t="s">
        <v>804</v>
      </c>
      <c r="P82" t="s">
        <v>805</v>
      </c>
      <c r="Q82" s="1">
        <v>39470</v>
      </c>
      <c r="R82" t="s">
        <v>50</v>
      </c>
      <c r="S82" t="s">
        <v>27</v>
      </c>
      <c r="T82" t="s">
        <v>806</v>
      </c>
      <c r="U82" t="s">
        <v>807</v>
      </c>
      <c r="V82" t="s">
        <v>808</v>
      </c>
      <c r="W82">
        <v>25</v>
      </c>
      <c r="X82">
        <v>19983100</v>
      </c>
      <c r="Y82" t="s">
        <v>809</v>
      </c>
      <c r="Z82" t="s">
        <v>132</v>
      </c>
      <c r="AA82" t="s">
        <v>32</v>
      </c>
      <c r="AB82" t="s">
        <v>239</v>
      </c>
      <c r="AC82" t="s">
        <v>38</v>
      </c>
      <c r="AD82" t="s">
        <v>121</v>
      </c>
      <c r="AE82">
        <v>10</v>
      </c>
      <c r="AF82" s="1">
        <v>401769</v>
      </c>
      <c r="AG82" t="s">
        <v>26</v>
      </c>
      <c r="AH82" t="s">
        <v>6737</v>
      </c>
      <c r="AI82" t="str">
        <f t="shared" si="5"/>
        <v>NO</v>
      </c>
      <c r="AJ82" t="str">
        <f t="shared" si="6"/>
        <v>MERCK SHARP &amp; DOHME</v>
      </c>
      <c r="AK82" t="str">
        <f>IF(ISNUMBER(SEARCH("FABRICANTE",AC82)),"FABRICANTE",IF(ISNUMBER(SEARCH("IMPORTADOR",AC82)),"IMPORTADOR","OTRO"))</f>
        <v>IMPORTADOR</v>
      </c>
      <c r="AL82" t="str">
        <f>IF(LEFT(Y82,1)="A","Sistema digestivo",IF(LEFT(Y82,1)="B","Sangre",IF(LEFT(Y82,1)="C","Cardiovascular",IF(LEFT(Y82,1)="D","Dermatológico",IF(LEFT(Y82,1)="G","Genitourinario",IF(LEFT(Y82,1)="H","Hormonal",IF(LEFT(Y82,1)="J","Antiinfecciosos",IF(LEFT(Y82,1)="L","Oncológicos",IF(LEFT(Y82,1)="M","Musculoesquelético",IF(LEFT(Y82,1)="N","Sistema nervioso",IF(LEFT(Y82,1)="R","Respiratorio",IF(LEFT(Y82,1)="S","Oftálmico",IF(LEFT(Y82,1)="V","Varios","OTRO")))))))))))))</f>
        <v>Antiinfecciosos</v>
      </c>
      <c r="AM82" t="str">
        <f>IF(AG82="Vigente","ACTIVO",IF(ISNUMBER(SEARCH("Inactivo",J82)),"INACTIVO","REVISAR"))</f>
        <v>ACTIVO</v>
      </c>
      <c r="AN82">
        <f ca="1">IF(OR(AF82="",AF82="null"),"",ROUND((AF82-TODAY())/365.25,2))</f>
        <v>973.58</v>
      </c>
      <c r="AO82" t="str">
        <f ca="1">IF(AND(AG82="Vigente",OR(AF82="",AF82="null",AF82&gt;TODAY())),"SI",IF(AND(NOT(OR(AF82="",AF82="null")),AF82&lt;=TODAY()),"NO",IF(AG82="Vigente","SI","DESCONOCIDO")))</f>
        <v>SI</v>
      </c>
      <c r="AP82" t="str">
        <f>IF(AND(ISNUMBER(SEARCH("IMPORTAR",AA82)),ISNUMBER(SEARCH("FABRICAR",AA82))),"MIXTO",IF(ISNUMBER(SEARCH("IMPORTAR",AA82)),"IMPORTADO",IF(ISNUMBER(SEARCH("FABRICAR",AA82)),"LOCAL","OTRO")))</f>
        <v>IMPORTADO</v>
      </c>
      <c r="AQ82" t="str">
        <f>IF(AD82="Si","SI",IF(AD82="No","NO",""))</f>
        <v>NO</v>
      </c>
      <c r="AR82" t="str">
        <f>IF(ISNUMBER(SEARCH("®",N82)),"MARCA/INNOVADOR","GENERICO")</f>
        <v>MARCA/INNOVADOR</v>
      </c>
      <c r="AS82">
        <f ca="1">IF(AE82&gt;100,RANDBETWEEN(500,5000),IF(AND(AE82&gt;=10,AE82&lt;=100),RANDBETWEEN(100,1000),RANDBETWEEN(10,200)))</f>
        <v>996</v>
      </c>
      <c r="AT82">
        <f t="shared" ca="1" si="7"/>
        <v>99</v>
      </c>
      <c r="AU82">
        <f ca="1">INT(AS82*RANDBETWEEN(120,200)/100)</f>
        <v>1235</v>
      </c>
      <c r="AV82" s="2">
        <f ca="1">IF(LEFT(Y82,1)="L",RANDBETWEEN(500000,5000000),IF(LEFT(Y82,1)="C",RANDBETWEEN(5000,50000),IF(LEFT(Y82,1)="N",RANDBETWEEN(10000,150000),IF(LEFT(Y82,1)="J",RANDBETWEEN(8000,200000),RANDBETWEEN(5000,100000)))))</f>
        <v>127378</v>
      </c>
      <c r="AW82" s="2">
        <f ca="1">INT(AV82*RANDBETWEEN(30,60)/100)</f>
        <v>56046</v>
      </c>
      <c r="AX82">
        <f ca="1">IF(Z82="ORAL",RANDBETWEEN(1000,10000),IF(OR(Z82="INTRAVENOSA",Z82="INTRAMUSCULAR"),RANDBETWEEN(100,2000),IF(OR(Z82="OFTÁLMICA",Z82="TOPICA (EXTERNA)"),RANDBETWEEN(200,3000),RANDBETWEEN(100,1500))))</f>
        <v>1007</v>
      </c>
      <c r="AY82" s="2">
        <f ca="1">INT(AV82*RANDBETWEEN(90,130)/100)</f>
        <v>124830</v>
      </c>
      <c r="AZ82" t="str">
        <f t="shared" ca="1" si="8"/>
        <v>4.9%</v>
      </c>
      <c r="BA82" t="str">
        <f t="shared" ca="1" si="9"/>
        <v>BAJO</v>
      </c>
    </row>
    <row r="83" spans="4:53" x14ac:dyDescent="0.35">
      <c r="D83" t="s">
        <v>810</v>
      </c>
      <c r="E83" s="1">
        <v>36161</v>
      </c>
      <c r="F83" t="s">
        <v>811</v>
      </c>
      <c r="G83" t="s">
        <v>108</v>
      </c>
      <c r="H83" t="s">
        <v>812</v>
      </c>
      <c r="I83">
        <v>19901250</v>
      </c>
      <c r="J83" t="s">
        <v>110</v>
      </c>
      <c r="K83">
        <v>12</v>
      </c>
      <c r="L83" t="s">
        <v>27</v>
      </c>
      <c r="M83" t="s">
        <v>813</v>
      </c>
      <c r="N83" t="s">
        <v>814</v>
      </c>
      <c r="O83" t="s">
        <v>815</v>
      </c>
      <c r="P83" t="s">
        <v>816</v>
      </c>
      <c r="Q83" s="1">
        <v>39118</v>
      </c>
      <c r="R83" t="s">
        <v>47</v>
      </c>
      <c r="S83" s="1">
        <v>40266</v>
      </c>
      <c r="T83" t="s">
        <v>812</v>
      </c>
      <c r="U83" t="s">
        <v>115</v>
      </c>
      <c r="V83" t="s">
        <v>817</v>
      </c>
      <c r="W83">
        <v>200</v>
      </c>
      <c r="X83">
        <v>19901250</v>
      </c>
      <c r="Y83" t="s">
        <v>818</v>
      </c>
      <c r="Z83" t="s">
        <v>119</v>
      </c>
      <c r="AA83" t="s">
        <v>32</v>
      </c>
      <c r="AB83" t="s">
        <v>120</v>
      </c>
      <c r="AC83" t="s">
        <v>38</v>
      </c>
      <c r="AD83" t="s">
        <v>121</v>
      </c>
      <c r="AE83">
        <v>30</v>
      </c>
      <c r="AF83" t="s">
        <v>27</v>
      </c>
      <c r="AG83" t="s">
        <v>26</v>
      </c>
      <c r="AH83" t="s">
        <v>6653</v>
      </c>
      <c r="AI83" t="str">
        <f t="shared" si="5"/>
        <v>NO</v>
      </c>
      <c r="AJ83" t="str">
        <f t="shared" si="6"/>
        <v>ASTRAZENECA COLOMBIA</v>
      </c>
      <c r="AK83" t="str">
        <f>IF(ISNUMBER(SEARCH("FABRICANTE",AC83)),"FABRICANTE",IF(ISNUMBER(SEARCH("IMPORTADOR",AC83)),"IMPORTADOR","OTRO"))</f>
        <v>IMPORTADOR</v>
      </c>
      <c r="AL83" t="str">
        <f>IF(LEFT(Y83,1)="A","Sistema digestivo",IF(LEFT(Y83,1)="B","Sangre",IF(LEFT(Y83,1)="C","Cardiovascular",IF(LEFT(Y83,1)="D","Dermatológico",IF(LEFT(Y83,1)="G","Genitourinario",IF(LEFT(Y83,1)="H","Hormonal",IF(LEFT(Y83,1)="J","Antiinfecciosos",IF(LEFT(Y83,1)="L","Oncológicos",IF(LEFT(Y83,1)="M","Musculoesquelético",IF(LEFT(Y83,1)="N","Sistema nervioso",IF(LEFT(Y83,1)="R","Respiratorio",IF(LEFT(Y83,1)="S","Oftálmico",IF(LEFT(Y83,1)="V","Varios","OTRO")))))))))))))</f>
        <v>Cardiovascular</v>
      </c>
      <c r="AM83" t="str">
        <f>IF(AG83="Vigente","ACTIVO",IF(ISNUMBER(SEARCH("Inactivo",J83)),"INACTIVO","REVISAR"))</f>
        <v>ACTIVO</v>
      </c>
      <c r="AN83" t="str">
        <f ca="1">IF(OR(AF83="",AF83="null"),"",ROUND((AF83-TODAY())/365.25,2))</f>
        <v/>
      </c>
      <c r="AO83" t="str">
        <f ca="1">IF(AND(AG83="Vigente",OR(AF83="",AF83="null",AF83&gt;TODAY())),"SI",IF(AND(NOT(OR(AF83="",AF83="null")),AF83&lt;=TODAY()),"NO",IF(AG83="Vigente","SI","DESCONOCIDO")))</f>
        <v>SI</v>
      </c>
      <c r="AP83" t="str">
        <f>IF(AND(ISNUMBER(SEARCH("IMPORTAR",AA83)),ISNUMBER(SEARCH("FABRICAR",AA83))),"MIXTO",IF(ISNUMBER(SEARCH("IMPORTAR",AA83)),"IMPORTADO",IF(ISNUMBER(SEARCH("FABRICAR",AA83)),"LOCAL","OTRO")))</f>
        <v>IMPORTADO</v>
      </c>
      <c r="AQ83" t="str">
        <f>IF(AD83="Si","SI",IF(AD83="No","NO",""))</f>
        <v>NO</v>
      </c>
      <c r="AR83" t="str">
        <f>IF(ISNUMBER(SEARCH("®",N83)),"MARCA/INNOVADOR","GENERICO")</f>
        <v>MARCA/INNOVADOR</v>
      </c>
      <c r="AS83">
        <f ca="1">IF(AE83&gt;100,RANDBETWEEN(500,5000),IF(AND(AE83&gt;=10,AE83&lt;=100),RANDBETWEEN(100,1000),RANDBETWEEN(10,200)))</f>
        <v>511</v>
      </c>
      <c r="AT83">
        <f t="shared" ca="1" si="7"/>
        <v>66</v>
      </c>
      <c r="AU83">
        <f ca="1">INT(AS83*RANDBETWEEN(120,200)/100)</f>
        <v>633</v>
      </c>
      <c r="AV83" s="2">
        <f ca="1">IF(LEFT(Y83,1)="L",RANDBETWEEN(500000,5000000),IF(LEFT(Y83,1)="C",RANDBETWEEN(5000,50000),IF(LEFT(Y83,1)="N",RANDBETWEEN(10000,150000),IF(LEFT(Y83,1)="J",RANDBETWEEN(8000,200000),RANDBETWEEN(5000,100000)))))</f>
        <v>37688</v>
      </c>
      <c r="AW83" s="2">
        <f ca="1">INT(AV83*RANDBETWEEN(30,60)/100)</f>
        <v>20728</v>
      </c>
      <c r="AX83">
        <f ca="1">IF(Z83="ORAL",RANDBETWEEN(1000,10000),IF(OR(Z83="INTRAVENOSA",Z83="INTRAMUSCULAR"),RANDBETWEEN(100,2000),IF(OR(Z83="OFTÁLMICA",Z83="TOPICA (EXTERNA)"),RANDBETWEEN(200,3000),RANDBETWEEN(100,1500))))</f>
        <v>5342</v>
      </c>
      <c r="AY83" s="2">
        <f ca="1">INT(AV83*RANDBETWEEN(90,130)/100)</f>
        <v>44848</v>
      </c>
      <c r="AZ83" t="str">
        <f t="shared" ca="1" si="8"/>
        <v>24.1%</v>
      </c>
      <c r="BA83" t="str">
        <f t="shared" ca="1" si="9"/>
        <v>ALTO</v>
      </c>
    </row>
    <row r="84" spans="4:53" x14ac:dyDescent="0.35">
      <c r="D84" t="s">
        <v>819</v>
      </c>
      <c r="E84" s="1">
        <v>39395</v>
      </c>
      <c r="F84" t="s">
        <v>820</v>
      </c>
      <c r="G84" t="s">
        <v>108</v>
      </c>
      <c r="H84" t="s">
        <v>821</v>
      </c>
      <c r="I84">
        <v>19982562</v>
      </c>
      <c r="J84" t="s">
        <v>28</v>
      </c>
      <c r="K84">
        <v>8</v>
      </c>
      <c r="L84" t="s">
        <v>27</v>
      </c>
      <c r="M84" t="s">
        <v>822</v>
      </c>
      <c r="N84" t="s">
        <v>823</v>
      </c>
      <c r="O84" t="s">
        <v>824</v>
      </c>
      <c r="P84" t="s">
        <v>825</v>
      </c>
      <c r="Q84" s="1">
        <v>42158</v>
      </c>
      <c r="R84" t="s">
        <v>826</v>
      </c>
      <c r="S84" t="s">
        <v>27</v>
      </c>
      <c r="T84" t="s">
        <v>827</v>
      </c>
      <c r="U84" t="s">
        <v>247</v>
      </c>
      <c r="V84" t="s">
        <v>820</v>
      </c>
      <c r="W84" t="s">
        <v>828</v>
      </c>
      <c r="X84">
        <v>19982562</v>
      </c>
      <c r="Y84" t="s">
        <v>829</v>
      </c>
      <c r="Z84" t="s">
        <v>566</v>
      </c>
      <c r="AA84" t="s">
        <v>32</v>
      </c>
      <c r="AB84" t="s">
        <v>120</v>
      </c>
      <c r="AC84" t="s">
        <v>38</v>
      </c>
      <c r="AD84" t="s">
        <v>121</v>
      </c>
      <c r="AE84">
        <v>30</v>
      </c>
      <c r="AF84" t="s">
        <v>27</v>
      </c>
      <c r="AG84" t="s">
        <v>26</v>
      </c>
      <c r="AH84" t="s">
        <v>820</v>
      </c>
      <c r="AI84" t="str">
        <f t="shared" si="5"/>
        <v>NO</v>
      </c>
      <c r="AJ84" t="str">
        <f t="shared" si="6"/>
        <v>GRÜNENTHAL</v>
      </c>
      <c r="AK84" t="str">
        <f>IF(ISNUMBER(SEARCH("FABRICANTE",AC84)),"FABRICANTE",IF(ISNUMBER(SEARCH("IMPORTADOR",AC84)),"IMPORTADOR","OTRO"))</f>
        <v>IMPORTADOR</v>
      </c>
      <c r="AL84" t="str">
        <f>IF(LEFT(Y84,1)="A","Sistema digestivo",IF(LEFT(Y84,1)="B","Sangre",IF(LEFT(Y84,1)="C","Cardiovascular",IF(LEFT(Y84,1)="D","Dermatológico",IF(LEFT(Y84,1)="G","Genitourinario",IF(LEFT(Y84,1)="H","Hormonal",IF(LEFT(Y84,1)="J","Antiinfecciosos",IF(LEFT(Y84,1)="L","Oncológicos",IF(LEFT(Y84,1)="M","Musculoesquelético",IF(LEFT(Y84,1)="N","Sistema nervioso",IF(LEFT(Y84,1)="R","Respiratorio",IF(LEFT(Y84,1)="S","Oftálmico",IF(LEFT(Y84,1)="V","Varios","OTRO")))))))))))))</f>
        <v>Sistema nervioso</v>
      </c>
      <c r="AM84" t="str">
        <f>IF(AG84="Vigente","ACTIVO",IF(ISNUMBER(SEARCH("Inactivo",J84)),"INACTIVO","REVISAR"))</f>
        <v>ACTIVO</v>
      </c>
      <c r="AN84" t="str">
        <f ca="1">IF(OR(AF84="",AF84="null"),"",ROUND((AF84-TODAY())/365.25,2))</f>
        <v/>
      </c>
      <c r="AO84" t="str">
        <f ca="1">IF(AND(AG84="Vigente",OR(AF84="",AF84="null",AF84&gt;TODAY())),"SI",IF(AND(NOT(OR(AF84="",AF84="null")),AF84&lt;=TODAY()),"NO",IF(AG84="Vigente","SI","DESCONOCIDO")))</f>
        <v>SI</v>
      </c>
      <c r="AP84" t="str">
        <f>IF(AND(ISNUMBER(SEARCH("IMPORTAR",AA84)),ISNUMBER(SEARCH("FABRICAR",AA84))),"MIXTO",IF(ISNUMBER(SEARCH("IMPORTAR",AA84)),"IMPORTADO",IF(ISNUMBER(SEARCH("FABRICAR",AA84)),"LOCAL","OTRO")))</f>
        <v>IMPORTADO</v>
      </c>
      <c r="AQ84" t="str">
        <f>IF(AD84="Si","SI",IF(AD84="No","NO",""))</f>
        <v>NO</v>
      </c>
      <c r="AR84" t="str">
        <f>IF(ISNUMBER(SEARCH("®",N84)),"MARCA/INNOVADOR","GENERICO")</f>
        <v>MARCA/INNOVADOR</v>
      </c>
      <c r="AS84">
        <f ca="1">IF(AE84&gt;100,RANDBETWEEN(500,5000),IF(AND(AE84&gt;=10,AE84&lt;=100),RANDBETWEEN(100,1000),RANDBETWEEN(10,200)))</f>
        <v>202</v>
      </c>
      <c r="AT84">
        <f t="shared" ca="1" si="7"/>
        <v>22</v>
      </c>
      <c r="AU84">
        <f ca="1">INT(AS84*RANDBETWEEN(120,200)/100)</f>
        <v>242</v>
      </c>
      <c r="AV84" s="2">
        <f ca="1">IF(LEFT(Y84,1)="L",RANDBETWEEN(500000,5000000),IF(LEFT(Y84,1)="C",RANDBETWEEN(5000,50000),IF(LEFT(Y84,1)="N",RANDBETWEEN(10000,150000),IF(LEFT(Y84,1)="J",RANDBETWEEN(8000,200000),RANDBETWEEN(5000,100000)))))</f>
        <v>66300</v>
      </c>
      <c r="AW84" s="2">
        <f ca="1">INT(AV84*RANDBETWEEN(30,60)/100)</f>
        <v>29172</v>
      </c>
      <c r="AX84">
        <f ca="1">IF(Z84="ORAL",RANDBETWEEN(1000,10000),IF(OR(Z84="INTRAVENOSA",Z84="INTRAMUSCULAR"),RANDBETWEEN(100,2000),IF(OR(Z84="OFTÁLMICA",Z84="TOPICA (EXTERNA)"),RANDBETWEEN(200,3000),RANDBETWEEN(100,1500))))</f>
        <v>2450</v>
      </c>
      <c r="AY84" s="2">
        <f ca="1">INT(AV84*RANDBETWEEN(90,130)/100)</f>
        <v>65637</v>
      </c>
      <c r="AZ84" t="str">
        <f t="shared" ca="1" si="8"/>
        <v>14.8%</v>
      </c>
      <c r="BA84" t="str">
        <f t="shared" ca="1" si="9"/>
        <v>BAJO</v>
      </c>
    </row>
    <row r="85" spans="4:53" x14ac:dyDescent="0.35">
      <c r="D85" t="s">
        <v>830</v>
      </c>
      <c r="E85" s="1">
        <v>36161</v>
      </c>
      <c r="F85" t="s">
        <v>831</v>
      </c>
      <c r="G85" t="s">
        <v>108</v>
      </c>
      <c r="H85" t="s">
        <v>736</v>
      </c>
      <c r="I85">
        <v>40194</v>
      </c>
      <c r="J85" t="s">
        <v>28</v>
      </c>
      <c r="K85">
        <v>2</v>
      </c>
      <c r="L85" t="s">
        <v>27</v>
      </c>
      <c r="M85" t="s">
        <v>832</v>
      </c>
      <c r="N85" t="s">
        <v>833</v>
      </c>
      <c r="O85" t="s">
        <v>834</v>
      </c>
      <c r="P85" t="s">
        <v>835</v>
      </c>
      <c r="Q85" s="1">
        <v>39031</v>
      </c>
      <c r="R85" t="s">
        <v>62</v>
      </c>
      <c r="S85" t="s">
        <v>27</v>
      </c>
      <c r="T85" t="s">
        <v>836</v>
      </c>
      <c r="U85" t="s">
        <v>247</v>
      </c>
      <c r="V85" t="s">
        <v>602</v>
      </c>
      <c r="W85">
        <v>1</v>
      </c>
      <c r="X85">
        <v>40194</v>
      </c>
      <c r="Y85" t="s">
        <v>837</v>
      </c>
      <c r="Z85" t="s">
        <v>566</v>
      </c>
      <c r="AA85" t="s">
        <v>24</v>
      </c>
      <c r="AB85" t="s">
        <v>653</v>
      </c>
      <c r="AC85" t="s">
        <v>25</v>
      </c>
      <c r="AD85" t="s">
        <v>121</v>
      </c>
      <c r="AE85">
        <v>15</v>
      </c>
      <c r="AF85" t="s">
        <v>27</v>
      </c>
      <c r="AG85" t="s">
        <v>26</v>
      </c>
      <c r="AH85" t="s">
        <v>602</v>
      </c>
      <c r="AI85" t="str">
        <f t="shared" si="5"/>
        <v>NO</v>
      </c>
      <c r="AJ85" t="str">
        <f t="shared" si="6"/>
        <v>AMERICAN GENERICS</v>
      </c>
      <c r="AK85" t="str">
        <f>IF(ISNUMBER(SEARCH("FABRICANTE",AC85)),"FABRICANTE",IF(ISNUMBER(SEARCH("IMPORTADOR",AC85)),"IMPORTADOR","OTRO"))</f>
        <v>FABRICANTE</v>
      </c>
      <c r="AL85" t="str">
        <f>IF(LEFT(Y85,1)="A","Sistema digestivo",IF(LEFT(Y85,1)="B","Sangre",IF(LEFT(Y85,1)="C","Cardiovascular",IF(LEFT(Y85,1)="D","Dermatológico",IF(LEFT(Y85,1)="G","Genitourinario",IF(LEFT(Y85,1)="H","Hormonal",IF(LEFT(Y85,1)="J","Antiinfecciosos",IF(LEFT(Y85,1)="L","Oncológicos",IF(LEFT(Y85,1)="M","Musculoesquelético",IF(LEFT(Y85,1)="N","Sistema nervioso",IF(LEFT(Y85,1)="R","Respiratorio",IF(LEFT(Y85,1)="S","Oftálmico",IF(LEFT(Y85,1)="V","Varios","OTRO")))))))))))))</f>
        <v>Dermatológico</v>
      </c>
      <c r="AM85" t="str">
        <f>IF(AG85="Vigente","ACTIVO",IF(ISNUMBER(SEARCH("Inactivo",J85)),"INACTIVO","REVISAR"))</f>
        <v>ACTIVO</v>
      </c>
      <c r="AN85" t="str">
        <f ca="1">IF(OR(AF85="",AF85="null"),"",ROUND((AF85-TODAY())/365.25,2))</f>
        <v/>
      </c>
      <c r="AO85" t="str">
        <f ca="1">IF(AND(AG85="Vigente",OR(AF85="",AF85="null",AF85&gt;TODAY())),"SI",IF(AND(NOT(OR(AF85="",AF85="null")),AF85&lt;=TODAY()),"NO",IF(AG85="Vigente","SI","DESCONOCIDO")))</f>
        <v>SI</v>
      </c>
      <c r="AP85" t="str">
        <f>IF(AND(ISNUMBER(SEARCH("IMPORTAR",AA85)),ISNUMBER(SEARCH("FABRICAR",AA85))),"MIXTO",IF(ISNUMBER(SEARCH("IMPORTAR",AA85)),"IMPORTADO",IF(ISNUMBER(SEARCH("FABRICAR",AA85)),"LOCAL","OTRO")))</f>
        <v>LOCAL</v>
      </c>
      <c r="AQ85" t="str">
        <f>IF(AD85="Si","SI",IF(AD85="No","NO",""))</f>
        <v>NO</v>
      </c>
      <c r="AR85" t="str">
        <f>IF(ISNUMBER(SEARCH("®",N85)),"MARCA/INNOVADOR","GENERICO")</f>
        <v>GENERICO</v>
      </c>
      <c r="AS85">
        <f ca="1">IF(AE85&gt;100,RANDBETWEEN(500,5000),IF(AND(AE85&gt;=10,AE85&lt;=100),RANDBETWEEN(100,1000),RANDBETWEEN(10,200)))</f>
        <v>575</v>
      </c>
      <c r="AT85">
        <f t="shared" ca="1" si="7"/>
        <v>149</v>
      </c>
      <c r="AU85">
        <f ca="1">INT(AS85*RANDBETWEEN(120,200)/100)</f>
        <v>1075</v>
      </c>
      <c r="AV85" s="2">
        <f ca="1">IF(LEFT(Y85,1)="L",RANDBETWEEN(500000,5000000),IF(LEFT(Y85,1)="C",RANDBETWEEN(5000,50000),IF(LEFT(Y85,1)="N",RANDBETWEEN(10000,150000),IF(LEFT(Y85,1)="J",RANDBETWEEN(8000,200000),RANDBETWEEN(5000,100000)))))</f>
        <v>19074</v>
      </c>
      <c r="AW85" s="2">
        <f ca="1">INT(AV85*RANDBETWEEN(30,60)/100)</f>
        <v>8201</v>
      </c>
      <c r="AX85">
        <f ca="1">IF(Z85="ORAL",RANDBETWEEN(1000,10000),IF(OR(Z85="INTRAVENOSA",Z85="INTRAMUSCULAR"),RANDBETWEEN(100,2000),IF(OR(Z85="OFTÁLMICA",Z85="TOPICA (EXTERNA)"),RANDBETWEEN(200,3000),RANDBETWEEN(100,1500))))</f>
        <v>1769</v>
      </c>
      <c r="AY85" s="2">
        <f ca="1">INT(AV85*RANDBETWEEN(90,130)/100)</f>
        <v>19836</v>
      </c>
      <c r="AZ85" t="str">
        <f t="shared" ca="1" si="8"/>
        <v>12%</v>
      </c>
      <c r="BA85" t="str">
        <f t="shared" ca="1" si="9"/>
        <v>BAJO</v>
      </c>
    </row>
    <row r="86" spans="4:53" x14ac:dyDescent="0.35">
      <c r="D86" t="s">
        <v>838</v>
      </c>
      <c r="E86" s="1">
        <v>43172</v>
      </c>
      <c r="F86" t="s">
        <v>839</v>
      </c>
      <c r="G86" t="s">
        <v>108</v>
      </c>
      <c r="H86" t="s">
        <v>840</v>
      </c>
      <c r="I86">
        <v>20113430</v>
      </c>
      <c r="J86" t="s">
        <v>28</v>
      </c>
      <c r="K86">
        <v>5</v>
      </c>
      <c r="L86" t="s">
        <v>841</v>
      </c>
      <c r="M86" t="s">
        <v>842</v>
      </c>
      <c r="N86" t="s">
        <v>843</v>
      </c>
      <c r="O86" t="s">
        <v>844</v>
      </c>
      <c r="P86" t="s">
        <v>845</v>
      </c>
      <c r="Q86" s="1">
        <v>43153</v>
      </c>
      <c r="R86" t="s">
        <v>29</v>
      </c>
      <c r="S86" t="s">
        <v>27</v>
      </c>
      <c r="T86" t="s">
        <v>821</v>
      </c>
      <c r="U86" t="s">
        <v>115</v>
      </c>
      <c r="V86" t="s">
        <v>846</v>
      </c>
      <c r="W86">
        <v>325</v>
      </c>
      <c r="X86">
        <v>20113430</v>
      </c>
      <c r="Y86" t="s">
        <v>847</v>
      </c>
      <c r="Z86" t="s">
        <v>119</v>
      </c>
      <c r="AA86" t="s">
        <v>848</v>
      </c>
      <c r="AB86" t="s">
        <v>120</v>
      </c>
      <c r="AC86" t="s">
        <v>25</v>
      </c>
      <c r="AD86" t="s">
        <v>121</v>
      </c>
      <c r="AE86">
        <v>90</v>
      </c>
      <c r="AF86" s="1">
        <v>401769</v>
      </c>
      <c r="AG86" t="s">
        <v>26</v>
      </c>
      <c r="AH86" t="s">
        <v>6738</v>
      </c>
      <c r="AI86" t="str">
        <f t="shared" si="5"/>
        <v>SI</v>
      </c>
      <c r="AJ86" t="str">
        <f t="shared" si="6"/>
        <v>GRÜNENTHAL COLOMBIANA</v>
      </c>
      <c r="AK86" t="str">
        <f>IF(ISNUMBER(SEARCH("FABRICANTE",AC86)),"FABRICANTE",IF(ISNUMBER(SEARCH("IMPORTADOR",AC86)),"IMPORTADOR","OTRO"))</f>
        <v>FABRICANTE</v>
      </c>
      <c r="AL86" t="str">
        <f>IF(LEFT(Y86,1)="A","Sistema digestivo",IF(LEFT(Y86,1)="B","Sangre",IF(LEFT(Y86,1)="C","Cardiovascular",IF(LEFT(Y86,1)="D","Dermatológico",IF(LEFT(Y86,1)="G","Genitourinario",IF(LEFT(Y86,1)="H","Hormonal",IF(LEFT(Y86,1)="J","Antiinfecciosos",IF(LEFT(Y86,1)="L","Oncológicos",IF(LEFT(Y86,1)="M","Musculoesquelético",IF(LEFT(Y86,1)="N","Sistema nervioso",IF(LEFT(Y86,1)="R","Respiratorio",IF(LEFT(Y86,1)="S","Oftálmico",IF(LEFT(Y86,1)="V","Varios","OTRO")))))))))))))</f>
        <v>Sistema nervioso</v>
      </c>
      <c r="AM86" t="str">
        <f>IF(AG86="Vigente","ACTIVO",IF(ISNUMBER(SEARCH("Inactivo",J86)),"INACTIVO","REVISAR"))</f>
        <v>ACTIVO</v>
      </c>
      <c r="AN86">
        <f ca="1">IF(OR(AF86="",AF86="null"),"",ROUND((AF86-TODAY())/365.25,2))</f>
        <v>973.58</v>
      </c>
      <c r="AO86" t="str">
        <f ca="1">IF(AND(AG86="Vigente",OR(AF86="",AF86="null",AF86&gt;TODAY())),"SI",IF(AND(NOT(OR(AF86="",AF86="null")),AF86&lt;=TODAY()),"NO",IF(AG86="Vigente","SI","DESCONOCIDO")))</f>
        <v>SI</v>
      </c>
      <c r="AP86" t="str">
        <f>IF(AND(ISNUMBER(SEARCH("IMPORTAR",AA86)),ISNUMBER(SEARCH("FABRICAR",AA86))),"MIXTO",IF(ISNUMBER(SEARCH("IMPORTAR",AA86)),"IMPORTADO",IF(ISNUMBER(SEARCH("FABRICAR",AA86)),"LOCAL","OTRO")))</f>
        <v>IMPORTADO</v>
      </c>
      <c r="AQ86" t="str">
        <f>IF(AD86="Si","SI",IF(AD86="No","NO",""))</f>
        <v>NO</v>
      </c>
      <c r="AR86" t="str">
        <f>IF(ISNUMBER(SEARCH("®",N86)),"MARCA/INNOVADOR","GENERICO")</f>
        <v>GENERICO</v>
      </c>
      <c r="AS86">
        <f ca="1">IF(AE86&gt;100,RANDBETWEEN(500,5000),IF(AND(AE86&gt;=10,AE86&lt;=100),RANDBETWEEN(100,1000),RANDBETWEEN(10,200)))</f>
        <v>113</v>
      </c>
      <c r="AT86">
        <f t="shared" ca="1" si="7"/>
        <v>25</v>
      </c>
      <c r="AU86">
        <f ca="1">INT(AS86*RANDBETWEEN(120,200)/100)</f>
        <v>223</v>
      </c>
      <c r="AV86" s="2">
        <f ca="1">IF(LEFT(Y86,1)="L",RANDBETWEEN(500000,5000000),IF(LEFT(Y86,1)="C",RANDBETWEEN(5000,50000),IF(LEFT(Y86,1)="N",RANDBETWEEN(10000,150000),IF(LEFT(Y86,1)="J",RANDBETWEEN(8000,200000),RANDBETWEEN(5000,100000)))))</f>
        <v>14001</v>
      </c>
      <c r="AW86" s="2">
        <f ca="1">INT(AV86*RANDBETWEEN(30,60)/100)</f>
        <v>4340</v>
      </c>
      <c r="AX86">
        <f ca="1">IF(Z86="ORAL",RANDBETWEEN(1000,10000),IF(OR(Z86="INTRAVENOSA",Z86="INTRAMUSCULAR"),RANDBETWEEN(100,2000),IF(OR(Z86="OFTÁLMICA",Z86="TOPICA (EXTERNA)"),RANDBETWEEN(200,3000),RANDBETWEEN(100,1500))))</f>
        <v>7370</v>
      </c>
      <c r="AY86" s="2">
        <f ca="1">INT(AV86*RANDBETWEEN(90,130)/100)</f>
        <v>17641</v>
      </c>
      <c r="AZ86" t="str">
        <f t="shared" ca="1" si="8"/>
        <v>7.3%</v>
      </c>
      <c r="BA86" t="str">
        <f t="shared" ca="1" si="9"/>
        <v>BAJO</v>
      </c>
    </row>
    <row r="87" spans="4:53" x14ac:dyDescent="0.35">
      <c r="D87" t="s">
        <v>849</v>
      </c>
      <c r="E87" s="1">
        <v>39513</v>
      </c>
      <c r="F87" t="s">
        <v>22</v>
      </c>
      <c r="G87" t="s">
        <v>108</v>
      </c>
      <c r="H87" t="s">
        <v>850</v>
      </c>
      <c r="I87">
        <v>19987944</v>
      </c>
      <c r="J87" t="s">
        <v>110</v>
      </c>
      <c r="K87">
        <v>12</v>
      </c>
      <c r="L87" t="s">
        <v>27</v>
      </c>
      <c r="M87" t="s">
        <v>851</v>
      </c>
      <c r="N87" t="s">
        <v>852</v>
      </c>
      <c r="O87" t="s">
        <v>853</v>
      </c>
      <c r="P87" t="s">
        <v>29</v>
      </c>
      <c r="Q87" s="1">
        <v>39511</v>
      </c>
      <c r="R87" t="s">
        <v>29</v>
      </c>
      <c r="S87" t="s">
        <v>27</v>
      </c>
      <c r="T87" t="s">
        <v>854</v>
      </c>
      <c r="U87" t="s">
        <v>807</v>
      </c>
      <c r="V87" t="s">
        <v>30</v>
      </c>
      <c r="W87">
        <v>112</v>
      </c>
      <c r="X87">
        <v>19987944</v>
      </c>
      <c r="Y87" t="s">
        <v>23</v>
      </c>
      <c r="Z87" t="s">
        <v>119</v>
      </c>
      <c r="AA87" t="s">
        <v>32</v>
      </c>
      <c r="AB87" t="s">
        <v>120</v>
      </c>
      <c r="AC87" t="s">
        <v>25</v>
      </c>
      <c r="AD87" t="s">
        <v>155</v>
      </c>
      <c r="AE87">
        <v>5</v>
      </c>
      <c r="AF87" t="s">
        <v>27</v>
      </c>
      <c r="AG87" t="s">
        <v>26</v>
      </c>
      <c r="AH87" t="s">
        <v>22</v>
      </c>
      <c r="AI87" t="str">
        <f t="shared" si="5"/>
        <v>NO</v>
      </c>
      <c r="AJ87" t="str">
        <f t="shared" si="6"/>
        <v>MERCK</v>
      </c>
      <c r="AK87" t="str">
        <f>IF(ISNUMBER(SEARCH("FABRICANTE",AC87)),"FABRICANTE",IF(ISNUMBER(SEARCH("IMPORTADOR",AC87)),"IMPORTADOR","OTRO"))</f>
        <v>FABRICANTE</v>
      </c>
      <c r="AL87" t="str">
        <f>IF(LEFT(Y87,1)="A","Sistema digestivo",IF(LEFT(Y87,1)="B","Sangre",IF(LEFT(Y87,1)="C","Cardiovascular",IF(LEFT(Y87,1)="D","Dermatológico",IF(LEFT(Y87,1)="G","Genitourinario",IF(LEFT(Y87,1)="H","Hormonal",IF(LEFT(Y87,1)="J","Antiinfecciosos",IF(LEFT(Y87,1)="L","Oncológicos",IF(LEFT(Y87,1)="M","Musculoesquelético",IF(LEFT(Y87,1)="N","Sistema nervioso",IF(LEFT(Y87,1)="R","Respiratorio",IF(LEFT(Y87,1)="S","Oftálmico",IF(LEFT(Y87,1)="V","Varios","OTRO")))))))))))))</f>
        <v>Hormonal</v>
      </c>
      <c r="AM87" t="str">
        <f>IF(AG87="Vigente","ACTIVO",IF(ISNUMBER(SEARCH("Inactivo",J87)),"INACTIVO","REVISAR"))</f>
        <v>ACTIVO</v>
      </c>
      <c r="AN87" t="str">
        <f ca="1">IF(OR(AF87="",AF87="null"),"",ROUND((AF87-TODAY())/365.25,2))</f>
        <v/>
      </c>
      <c r="AO87" t="str">
        <f ca="1">IF(AND(AG87="Vigente",OR(AF87="",AF87="null",AF87&gt;TODAY())),"SI",IF(AND(NOT(OR(AF87="",AF87="null")),AF87&lt;=TODAY()),"NO",IF(AG87="Vigente","SI","DESCONOCIDO")))</f>
        <v>SI</v>
      </c>
      <c r="AP87" t="str">
        <f>IF(AND(ISNUMBER(SEARCH("IMPORTAR",AA87)),ISNUMBER(SEARCH("FABRICAR",AA87))),"MIXTO",IF(ISNUMBER(SEARCH("IMPORTAR",AA87)),"IMPORTADO",IF(ISNUMBER(SEARCH("FABRICAR",AA87)),"LOCAL","OTRO")))</f>
        <v>IMPORTADO</v>
      </c>
      <c r="AQ87" t="str">
        <f>IF(AD87="Si","SI",IF(AD87="No","NO",""))</f>
        <v>SI</v>
      </c>
      <c r="AR87" t="str">
        <f>IF(ISNUMBER(SEARCH("®",N87)),"MARCA/INNOVADOR","GENERICO")</f>
        <v>MARCA/INNOVADOR</v>
      </c>
      <c r="AS87">
        <f ca="1">IF(AE87&gt;100,RANDBETWEEN(500,5000),IF(AND(AE87&gt;=10,AE87&lt;=100),RANDBETWEEN(100,1000),RANDBETWEEN(10,200)))</f>
        <v>36</v>
      </c>
      <c r="AT87">
        <f t="shared" ca="1" si="7"/>
        <v>10</v>
      </c>
      <c r="AU87">
        <f ca="1">INT(AS87*RANDBETWEEN(120,200)/100)</f>
        <v>64</v>
      </c>
      <c r="AV87" s="2">
        <f ca="1">IF(LEFT(Y87,1)="L",RANDBETWEEN(500000,5000000),IF(LEFT(Y87,1)="C",RANDBETWEEN(5000,50000),IF(LEFT(Y87,1)="N",RANDBETWEEN(10000,150000),IF(LEFT(Y87,1)="J",RANDBETWEEN(8000,200000),RANDBETWEEN(5000,100000)))))</f>
        <v>22851</v>
      </c>
      <c r="AW87" s="2">
        <f ca="1">INT(AV87*RANDBETWEEN(30,60)/100)</f>
        <v>11425</v>
      </c>
      <c r="AX87">
        <f ca="1">IF(Z87="ORAL",RANDBETWEEN(1000,10000),IF(OR(Z87="INTRAVENOSA",Z87="INTRAMUSCULAR"),RANDBETWEEN(100,2000),IF(OR(Z87="OFTÁLMICA",Z87="TOPICA (EXTERNA)"),RANDBETWEEN(200,3000),RANDBETWEEN(100,1500))))</f>
        <v>5189</v>
      </c>
      <c r="AY87" s="2">
        <f ca="1">INT(AV87*RANDBETWEEN(90,130)/100)</f>
        <v>26735</v>
      </c>
      <c r="AZ87" t="str">
        <f t="shared" ca="1" si="8"/>
        <v>23%</v>
      </c>
      <c r="BA87" t="str">
        <f t="shared" ca="1" si="9"/>
        <v>ALTO</v>
      </c>
    </row>
    <row r="88" spans="4:53" x14ac:dyDescent="0.35">
      <c r="D88" t="s">
        <v>855</v>
      </c>
      <c r="E88" s="1">
        <v>42720</v>
      </c>
      <c r="F88" t="s">
        <v>856</v>
      </c>
      <c r="G88" t="s">
        <v>108</v>
      </c>
      <c r="H88" t="s">
        <v>710</v>
      </c>
      <c r="I88">
        <v>20100521</v>
      </c>
      <c r="J88" t="s">
        <v>28</v>
      </c>
      <c r="K88">
        <v>2</v>
      </c>
      <c r="L88" t="s">
        <v>27</v>
      </c>
      <c r="M88" t="s">
        <v>857</v>
      </c>
      <c r="N88" t="s">
        <v>858</v>
      </c>
      <c r="O88" t="s">
        <v>859</v>
      </c>
      <c r="P88" t="s">
        <v>97</v>
      </c>
      <c r="Q88" s="1">
        <v>42517</v>
      </c>
      <c r="R88" t="s">
        <v>37</v>
      </c>
      <c r="S88" t="s">
        <v>27</v>
      </c>
      <c r="T88" t="s">
        <v>860</v>
      </c>
      <c r="U88" t="s">
        <v>115</v>
      </c>
      <c r="V88" t="s">
        <v>321</v>
      </c>
      <c r="W88">
        <v>10</v>
      </c>
      <c r="X88">
        <v>20100521</v>
      </c>
      <c r="Y88" t="s">
        <v>322</v>
      </c>
      <c r="Z88" t="s">
        <v>119</v>
      </c>
      <c r="AA88" t="s">
        <v>24</v>
      </c>
      <c r="AB88" t="s">
        <v>120</v>
      </c>
      <c r="AC88" t="s">
        <v>25</v>
      </c>
      <c r="AD88" t="s">
        <v>121</v>
      </c>
      <c r="AE88">
        <v>160</v>
      </c>
      <c r="AF88" t="s">
        <v>27</v>
      </c>
      <c r="AG88" t="s">
        <v>26</v>
      </c>
      <c r="AH88" t="s">
        <v>6739</v>
      </c>
      <c r="AI88" t="str">
        <f t="shared" si="5"/>
        <v>NO</v>
      </c>
      <c r="AJ88" t="str">
        <f t="shared" si="6"/>
        <v>ROCIPHAR</v>
      </c>
      <c r="AK88" t="str">
        <f>IF(ISNUMBER(SEARCH("FABRICANTE",AC88)),"FABRICANTE",IF(ISNUMBER(SEARCH("IMPORTADOR",AC88)),"IMPORTADOR","OTRO"))</f>
        <v>FABRICANTE</v>
      </c>
      <c r="AL88" t="str">
        <f>IF(LEFT(Y88,1)="A","Sistema digestivo",IF(LEFT(Y88,1)="B","Sangre",IF(LEFT(Y88,1)="C","Cardiovascular",IF(LEFT(Y88,1)="D","Dermatológico",IF(LEFT(Y88,1)="G","Genitourinario",IF(LEFT(Y88,1)="H","Hormonal",IF(LEFT(Y88,1)="J","Antiinfecciosos",IF(LEFT(Y88,1)="L","Oncológicos",IF(LEFT(Y88,1)="M","Musculoesquelético",IF(LEFT(Y88,1)="N","Sistema nervioso",IF(LEFT(Y88,1)="R","Respiratorio",IF(LEFT(Y88,1)="S","Oftálmico",IF(LEFT(Y88,1)="V","Varios","OTRO")))))))))))))</f>
        <v>Sistema nervioso</v>
      </c>
      <c r="AM88" t="str">
        <f>IF(AG88="Vigente","ACTIVO",IF(ISNUMBER(SEARCH("Inactivo",J88)),"INACTIVO","REVISAR"))</f>
        <v>ACTIVO</v>
      </c>
      <c r="AN88" t="str">
        <f ca="1">IF(OR(AF88="",AF88="null"),"",ROUND((AF88-TODAY())/365.25,2))</f>
        <v/>
      </c>
      <c r="AO88" t="str">
        <f ca="1">IF(AND(AG88="Vigente",OR(AF88="",AF88="null",AF88&gt;TODAY())),"SI",IF(AND(NOT(OR(AF88="",AF88="null")),AF88&lt;=TODAY()),"NO",IF(AG88="Vigente","SI","DESCONOCIDO")))</f>
        <v>SI</v>
      </c>
      <c r="AP88" t="str">
        <f>IF(AND(ISNUMBER(SEARCH("IMPORTAR",AA88)),ISNUMBER(SEARCH("FABRICAR",AA88))),"MIXTO",IF(ISNUMBER(SEARCH("IMPORTAR",AA88)),"IMPORTADO",IF(ISNUMBER(SEARCH("FABRICAR",AA88)),"LOCAL","OTRO")))</f>
        <v>LOCAL</v>
      </c>
      <c r="AQ88" t="str">
        <f>IF(AD88="Si","SI",IF(AD88="No","NO",""))</f>
        <v>NO</v>
      </c>
      <c r="AR88" t="str">
        <f>IF(ISNUMBER(SEARCH("®",N88)),"MARCA/INNOVADOR","GENERICO")</f>
        <v>GENERICO</v>
      </c>
      <c r="AS88">
        <f ca="1">IF(AE88&gt;100,RANDBETWEEN(500,5000),IF(AND(AE88&gt;=10,AE88&lt;=100),RANDBETWEEN(100,1000),RANDBETWEEN(10,200)))</f>
        <v>3581</v>
      </c>
      <c r="AT88">
        <f t="shared" ca="1" si="7"/>
        <v>680</v>
      </c>
      <c r="AU88">
        <f ca="1">INT(AS88*RANDBETWEEN(120,200)/100)</f>
        <v>6016</v>
      </c>
      <c r="AV88" s="2">
        <f ca="1">IF(LEFT(Y88,1)="L",RANDBETWEEN(500000,5000000),IF(LEFT(Y88,1)="C",RANDBETWEEN(5000,50000),IF(LEFT(Y88,1)="N",RANDBETWEEN(10000,150000),IF(LEFT(Y88,1)="J",RANDBETWEEN(8000,200000),RANDBETWEEN(5000,100000)))))</f>
        <v>107226</v>
      </c>
      <c r="AW88" s="2">
        <f ca="1">INT(AV88*RANDBETWEEN(30,60)/100)</f>
        <v>56829</v>
      </c>
      <c r="AX88">
        <f ca="1">IF(Z88="ORAL",RANDBETWEEN(1000,10000),IF(OR(Z88="INTRAVENOSA",Z88="INTRAMUSCULAR"),RANDBETWEEN(100,2000),IF(OR(Z88="OFTÁLMICA",Z88="TOPICA (EXTERNA)"),RANDBETWEEN(200,3000),RANDBETWEEN(100,1500))))</f>
        <v>9251</v>
      </c>
      <c r="AY88" s="2">
        <f ca="1">INT(AV88*RANDBETWEEN(90,130)/100)</f>
        <v>134032</v>
      </c>
      <c r="AZ88" t="str">
        <f t="shared" ca="1" si="8"/>
        <v>23.8%</v>
      </c>
      <c r="BA88" t="str">
        <f t="shared" ca="1" si="9"/>
        <v>BAJO</v>
      </c>
    </row>
    <row r="89" spans="4:53" x14ac:dyDescent="0.35">
      <c r="D89" t="s">
        <v>861</v>
      </c>
      <c r="E89" s="1">
        <v>42202</v>
      </c>
      <c r="F89" t="s">
        <v>862</v>
      </c>
      <c r="G89" t="s">
        <v>108</v>
      </c>
      <c r="H89" t="s">
        <v>80</v>
      </c>
      <c r="I89">
        <v>20078743</v>
      </c>
      <c r="J89" t="s">
        <v>28</v>
      </c>
      <c r="K89">
        <v>13</v>
      </c>
      <c r="L89" t="s">
        <v>27</v>
      </c>
      <c r="M89" t="s">
        <v>863</v>
      </c>
      <c r="N89" t="s">
        <v>864</v>
      </c>
      <c r="O89" t="s">
        <v>865</v>
      </c>
      <c r="P89" t="s">
        <v>866</v>
      </c>
      <c r="Q89" s="1">
        <v>42132</v>
      </c>
      <c r="R89" t="s">
        <v>867</v>
      </c>
      <c r="S89" t="s">
        <v>27</v>
      </c>
      <c r="T89" t="s">
        <v>80</v>
      </c>
      <c r="U89" t="s">
        <v>115</v>
      </c>
      <c r="V89" t="s">
        <v>460</v>
      </c>
      <c r="W89">
        <v>500</v>
      </c>
      <c r="X89">
        <v>20078743</v>
      </c>
      <c r="Y89" t="s">
        <v>461</v>
      </c>
      <c r="Z89" t="s">
        <v>119</v>
      </c>
      <c r="AA89" t="s">
        <v>165</v>
      </c>
      <c r="AB89" t="s">
        <v>120</v>
      </c>
      <c r="AC89" t="s">
        <v>25</v>
      </c>
      <c r="AD89" t="s">
        <v>121</v>
      </c>
      <c r="AE89">
        <v>15</v>
      </c>
      <c r="AF89" t="s">
        <v>27</v>
      </c>
      <c r="AG89" t="s">
        <v>26</v>
      </c>
      <c r="AH89" t="s">
        <v>522</v>
      </c>
      <c r="AI89" t="str">
        <f t="shared" si="5"/>
        <v>NO</v>
      </c>
      <c r="AJ89" t="str">
        <f t="shared" si="6"/>
        <v>TECNOQUIMICAS</v>
      </c>
      <c r="AK89" t="str">
        <f>IF(ISNUMBER(SEARCH("FABRICANTE",AC89)),"FABRICANTE",IF(ISNUMBER(SEARCH("IMPORTADOR",AC89)),"IMPORTADOR","OTRO"))</f>
        <v>FABRICANTE</v>
      </c>
      <c r="AL89" t="str">
        <f>IF(LEFT(Y89,1)="A","Sistema digestivo",IF(LEFT(Y89,1)="B","Sangre",IF(LEFT(Y89,1)="C","Cardiovascular",IF(LEFT(Y89,1)="D","Dermatológico",IF(LEFT(Y89,1)="G","Genitourinario",IF(LEFT(Y89,1)="H","Hormonal",IF(LEFT(Y89,1)="J","Antiinfecciosos",IF(LEFT(Y89,1)="L","Oncológicos",IF(LEFT(Y89,1)="M","Musculoesquelético",IF(LEFT(Y89,1)="N","Sistema nervioso",IF(LEFT(Y89,1)="R","Respiratorio",IF(LEFT(Y89,1)="S","Oftálmico",IF(LEFT(Y89,1)="V","Varios","OTRO")))))))))))))</f>
        <v>Respiratorio</v>
      </c>
      <c r="AM89" t="str">
        <f>IF(AG89="Vigente","ACTIVO",IF(ISNUMBER(SEARCH("Inactivo",J89)),"INACTIVO","REVISAR"))</f>
        <v>ACTIVO</v>
      </c>
      <c r="AN89" t="str">
        <f ca="1">IF(OR(AF89="",AF89="null"),"",ROUND((AF89-TODAY())/365.25,2))</f>
        <v/>
      </c>
      <c r="AO89" t="str">
        <f ca="1">IF(AND(AG89="Vigente",OR(AF89="",AF89="null",AF89&gt;TODAY())),"SI",IF(AND(NOT(OR(AF89="",AF89="null")),AF89&lt;=TODAY()),"NO",IF(AG89="Vigente","SI","DESCONOCIDO")))</f>
        <v>SI</v>
      </c>
      <c r="AP89" t="str">
        <f>IF(AND(ISNUMBER(SEARCH("IMPORTAR",AA89)),ISNUMBER(SEARCH("FABRICAR",AA89))),"MIXTO",IF(ISNUMBER(SEARCH("IMPORTAR",AA89)),"IMPORTADO",IF(ISNUMBER(SEARCH("FABRICAR",AA89)),"LOCAL","OTRO")))</f>
        <v>IMPORTADO</v>
      </c>
      <c r="AQ89" t="str">
        <f>IF(AD89="Si","SI",IF(AD89="No","NO",""))</f>
        <v>NO</v>
      </c>
      <c r="AR89" t="str">
        <f>IF(ISNUMBER(SEARCH("®",N89)),"MARCA/INNOVADOR","GENERICO")</f>
        <v>MARCA/INNOVADOR</v>
      </c>
      <c r="AS89">
        <f ca="1">IF(AE89&gt;100,RANDBETWEEN(500,5000),IF(AND(AE89&gt;=10,AE89&lt;=100),RANDBETWEEN(100,1000),RANDBETWEEN(10,200)))</f>
        <v>862</v>
      </c>
      <c r="AT89">
        <f t="shared" ca="1" si="7"/>
        <v>224</v>
      </c>
      <c r="AU89">
        <f ca="1">INT(AS89*RANDBETWEEN(120,200)/100)</f>
        <v>1577</v>
      </c>
      <c r="AV89" s="2">
        <f ca="1">IF(LEFT(Y89,1)="L",RANDBETWEEN(500000,5000000),IF(LEFT(Y89,1)="C",RANDBETWEEN(5000,50000),IF(LEFT(Y89,1)="N",RANDBETWEEN(10000,150000),IF(LEFT(Y89,1)="J",RANDBETWEEN(8000,200000),RANDBETWEEN(5000,100000)))))</f>
        <v>5606</v>
      </c>
      <c r="AW89" s="2">
        <f ca="1">INT(AV89*RANDBETWEEN(30,60)/100)</f>
        <v>3363</v>
      </c>
      <c r="AX89">
        <f ca="1">IF(Z89="ORAL",RANDBETWEEN(1000,10000),IF(OR(Z89="INTRAVENOSA",Z89="INTRAMUSCULAR"),RANDBETWEEN(100,2000),IF(OR(Z89="OFTÁLMICA",Z89="TOPICA (EXTERNA)"),RANDBETWEEN(200,3000),RANDBETWEEN(100,1500))))</f>
        <v>7225</v>
      </c>
      <c r="AY89" s="2">
        <f ca="1">INT(AV89*RANDBETWEEN(90,130)/100)</f>
        <v>6446</v>
      </c>
      <c r="AZ89" t="str">
        <f t="shared" ca="1" si="8"/>
        <v>6.5%</v>
      </c>
      <c r="BA89" t="str">
        <f t="shared" ca="1" si="9"/>
        <v>BAJO</v>
      </c>
    </row>
    <row r="90" spans="4:53" x14ac:dyDescent="0.35">
      <c r="D90" t="s">
        <v>868</v>
      </c>
      <c r="E90" s="1">
        <v>36696</v>
      </c>
      <c r="F90" t="s">
        <v>869</v>
      </c>
      <c r="G90" t="s">
        <v>108</v>
      </c>
      <c r="H90" t="s">
        <v>870</v>
      </c>
      <c r="I90">
        <v>36240</v>
      </c>
      <c r="J90" t="s">
        <v>28</v>
      </c>
      <c r="K90">
        <v>4</v>
      </c>
      <c r="L90" t="s">
        <v>27</v>
      </c>
      <c r="M90" t="s">
        <v>871</v>
      </c>
      <c r="N90" t="s">
        <v>872</v>
      </c>
      <c r="O90" t="s">
        <v>873</v>
      </c>
      <c r="P90" t="s">
        <v>874</v>
      </c>
      <c r="Q90" s="1">
        <v>39031</v>
      </c>
      <c r="R90" t="s">
        <v>50</v>
      </c>
      <c r="S90" t="s">
        <v>27</v>
      </c>
      <c r="T90" t="s">
        <v>870</v>
      </c>
      <c r="U90" t="s">
        <v>115</v>
      </c>
      <c r="V90" t="s">
        <v>275</v>
      </c>
      <c r="W90">
        <v>20</v>
      </c>
      <c r="X90">
        <v>36240</v>
      </c>
      <c r="Y90" t="s">
        <v>276</v>
      </c>
      <c r="Z90" t="s">
        <v>260</v>
      </c>
      <c r="AA90" t="s">
        <v>32</v>
      </c>
      <c r="AB90" t="s">
        <v>239</v>
      </c>
      <c r="AC90" t="s">
        <v>38</v>
      </c>
      <c r="AD90" t="s">
        <v>121</v>
      </c>
      <c r="AE90">
        <v>1</v>
      </c>
      <c r="AF90" t="s">
        <v>27</v>
      </c>
      <c r="AG90" t="s">
        <v>26</v>
      </c>
      <c r="AH90" t="s">
        <v>869</v>
      </c>
      <c r="AI90" t="str">
        <f t="shared" si="5"/>
        <v>NO</v>
      </c>
      <c r="AJ90" t="str">
        <f t="shared" si="6"/>
        <v>SANOFI-AVENTIS DE COLOMBIA</v>
      </c>
      <c r="AK90" t="str">
        <f>IF(ISNUMBER(SEARCH("FABRICANTE",AC90)),"FABRICANTE",IF(ISNUMBER(SEARCH("IMPORTADOR",AC90)),"IMPORTADOR","OTRO"))</f>
        <v>IMPORTADOR</v>
      </c>
      <c r="AL90" t="str">
        <f>IF(LEFT(Y90,1)="A","Sistema digestivo",IF(LEFT(Y90,1)="B","Sangre",IF(LEFT(Y90,1)="C","Cardiovascular",IF(LEFT(Y90,1)="D","Dermatológico",IF(LEFT(Y90,1)="G","Genitourinario",IF(LEFT(Y90,1)="H","Hormonal",IF(LEFT(Y90,1)="J","Antiinfecciosos",IF(LEFT(Y90,1)="L","Oncológicos",IF(LEFT(Y90,1)="M","Musculoesquelético",IF(LEFT(Y90,1)="N","Sistema nervioso",IF(LEFT(Y90,1)="R","Respiratorio",IF(LEFT(Y90,1)="S","Oftálmico",IF(LEFT(Y90,1)="V","Varios","OTRO")))))))))))))</f>
        <v>Sangre</v>
      </c>
      <c r="AM90" t="str">
        <f>IF(AG90="Vigente","ACTIVO",IF(ISNUMBER(SEARCH("Inactivo",J90)),"INACTIVO","REVISAR"))</f>
        <v>ACTIVO</v>
      </c>
      <c r="AN90" t="str">
        <f ca="1">IF(OR(AF90="",AF90="null"),"",ROUND((AF90-TODAY())/365.25,2))</f>
        <v/>
      </c>
      <c r="AO90" t="str">
        <f ca="1">IF(AND(AG90="Vigente",OR(AF90="",AF90="null",AF90&gt;TODAY())),"SI",IF(AND(NOT(OR(AF90="",AF90="null")),AF90&lt;=TODAY()),"NO",IF(AG90="Vigente","SI","DESCONOCIDO")))</f>
        <v>SI</v>
      </c>
      <c r="AP90" t="str">
        <f>IF(AND(ISNUMBER(SEARCH("IMPORTAR",AA90)),ISNUMBER(SEARCH("FABRICAR",AA90))),"MIXTO",IF(ISNUMBER(SEARCH("IMPORTAR",AA90)),"IMPORTADO",IF(ISNUMBER(SEARCH("FABRICAR",AA90)),"LOCAL","OTRO")))</f>
        <v>IMPORTADO</v>
      </c>
      <c r="AQ90" t="str">
        <f>IF(AD90="Si","SI",IF(AD90="No","NO",""))</f>
        <v>NO</v>
      </c>
      <c r="AR90" t="str">
        <f>IF(ISNUMBER(SEARCH("®",N90)),"MARCA/INNOVADOR","GENERICO")</f>
        <v>GENERICO</v>
      </c>
      <c r="AS90">
        <f ca="1">IF(AE90&gt;100,RANDBETWEEN(500,5000),IF(AND(AE90&gt;=10,AE90&lt;=100),RANDBETWEEN(100,1000),RANDBETWEEN(10,200)))</f>
        <v>21</v>
      </c>
      <c r="AT90">
        <f t="shared" ca="1" si="7"/>
        <v>5</v>
      </c>
      <c r="AU90">
        <f ca="1">INT(AS90*RANDBETWEEN(120,200)/100)</f>
        <v>39</v>
      </c>
      <c r="AV90" s="2">
        <f ca="1">IF(LEFT(Y90,1)="L",RANDBETWEEN(500000,5000000),IF(LEFT(Y90,1)="C",RANDBETWEEN(5000,50000),IF(LEFT(Y90,1)="N",RANDBETWEEN(10000,150000),IF(LEFT(Y90,1)="J",RANDBETWEEN(8000,200000),RANDBETWEEN(5000,100000)))))</f>
        <v>8307</v>
      </c>
      <c r="AW90" s="2">
        <f ca="1">INT(AV90*RANDBETWEEN(30,60)/100)</f>
        <v>3655</v>
      </c>
      <c r="AX90">
        <f ca="1">IF(Z90="ORAL",RANDBETWEEN(1000,10000),IF(OR(Z90="INTRAVENOSA",Z90="INTRAMUSCULAR"),RANDBETWEEN(100,2000),IF(OR(Z90="OFTÁLMICA",Z90="TOPICA (EXTERNA)"),RANDBETWEEN(200,3000),RANDBETWEEN(100,1500))))</f>
        <v>870</v>
      </c>
      <c r="AY90" s="2">
        <f ca="1">INT(AV90*RANDBETWEEN(90,130)/100)</f>
        <v>8888</v>
      </c>
      <c r="AZ90" t="str">
        <f t="shared" ca="1" si="8"/>
        <v>4.9%</v>
      </c>
      <c r="BA90" t="str">
        <f t="shared" ca="1" si="9"/>
        <v>BAJO</v>
      </c>
    </row>
    <row r="91" spans="4:53" x14ac:dyDescent="0.35">
      <c r="D91" t="s">
        <v>875</v>
      </c>
      <c r="E91" s="1">
        <v>36374</v>
      </c>
      <c r="F91" t="s">
        <v>876</v>
      </c>
      <c r="G91" t="s">
        <v>502</v>
      </c>
      <c r="H91" t="s">
        <v>877</v>
      </c>
      <c r="I91">
        <v>19903245</v>
      </c>
      <c r="J91" t="s">
        <v>110</v>
      </c>
      <c r="K91">
        <v>30</v>
      </c>
      <c r="L91" t="s">
        <v>27</v>
      </c>
      <c r="M91" t="s">
        <v>878</v>
      </c>
      <c r="N91" t="s">
        <v>879</v>
      </c>
      <c r="O91" t="s">
        <v>880</v>
      </c>
      <c r="P91" t="s">
        <v>881</v>
      </c>
      <c r="Q91" s="1">
        <v>39031</v>
      </c>
      <c r="R91" t="s">
        <v>564</v>
      </c>
      <c r="S91" s="1">
        <v>39925</v>
      </c>
      <c r="T91" t="s">
        <v>882</v>
      </c>
      <c r="U91" t="s">
        <v>502</v>
      </c>
      <c r="V91" t="s">
        <v>883</v>
      </c>
      <c r="W91" t="s">
        <v>884</v>
      </c>
      <c r="X91">
        <v>19903245</v>
      </c>
      <c r="Y91" t="s">
        <v>885</v>
      </c>
      <c r="Z91" t="s">
        <v>566</v>
      </c>
      <c r="AA91" t="s">
        <v>24</v>
      </c>
      <c r="AB91" t="s">
        <v>250</v>
      </c>
      <c r="AC91" t="s">
        <v>25</v>
      </c>
      <c r="AD91" t="s">
        <v>121</v>
      </c>
      <c r="AE91">
        <v>250</v>
      </c>
      <c r="AF91" t="s">
        <v>27</v>
      </c>
      <c r="AG91" t="s">
        <v>26</v>
      </c>
      <c r="AH91" t="s">
        <v>6620</v>
      </c>
      <c r="AI91" t="str">
        <f t="shared" si="5"/>
        <v>NO</v>
      </c>
      <c r="AJ91" t="str">
        <f t="shared" si="6"/>
        <v>LABORATORIOS OSA</v>
      </c>
      <c r="AK91" t="str">
        <f>IF(ISNUMBER(SEARCH("FABRICANTE",AC91)),"FABRICANTE",IF(ISNUMBER(SEARCH("IMPORTADOR",AC91)),"IMPORTADOR","OTRO"))</f>
        <v>FABRICANTE</v>
      </c>
      <c r="AL91" t="str">
        <f>IF(LEFT(Y91,1)="A","Sistema digestivo",IF(LEFT(Y91,1)="B","Sangre",IF(LEFT(Y91,1)="C","Cardiovascular",IF(LEFT(Y91,1)="D","Dermatológico",IF(LEFT(Y91,1)="G","Genitourinario",IF(LEFT(Y91,1)="H","Hormonal",IF(LEFT(Y91,1)="J","Antiinfecciosos",IF(LEFT(Y91,1)="L","Oncológicos",IF(LEFT(Y91,1)="M","Musculoesquelético",IF(LEFT(Y91,1)="N","Sistema nervioso",IF(LEFT(Y91,1)="R","Respiratorio",IF(LEFT(Y91,1)="S","Oftálmico",IF(LEFT(Y91,1)="V","Varios","OTRO")))))))))))))</f>
        <v>Dermatológico</v>
      </c>
      <c r="AM91" t="str">
        <f>IF(AG91="Vigente","ACTIVO",IF(ISNUMBER(SEARCH("Inactivo",J91)),"INACTIVO","REVISAR"))</f>
        <v>ACTIVO</v>
      </c>
      <c r="AN91" t="str">
        <f ca="1">IF(OR(AF91="",AF91="null"),"",ROUND((AF91-TODAY())/365.25,2))</f>
        <v/>
      </c>
      <c r="AO91" t="str">
        <f ca="1">IF(AND(AG91="Vigente",OR(AF91="",AF91="null",AF91&gt;TODAY())),"SI",IF(AND(NOT(OR(AF91="",AF91="null")),AF91&lt;=TODAY()),"NO",IF(AG91="Vigente","SI","DESCONOCIDO")))</f>
        <v>SI</v>
      </c>
      <c r="AP91" t="str">
        <f>IF(AND(ISNUMBER(SEARCH("IMPORTAR",AA91)),ISNUMBER(SEARCH("FABRICAR",AA91))),"MIXTO",IF(ISNUMBER(SEARCH("IMPORTAR",AA91)),"IMPORTADO",IF(ISNUMBER(SEARCH("FABRICAR",AA91)),"LOCAL","OTRO")))</f>
        <v>LOCAL</v>
      </c>
      <c r="AQ91" t="str">
        <f>IF(AD91="Si","SI",IF(AD91="No","NO",""))</f>
        <v>NO</v>
      </c>
      <c r="AR91" t="str">
        <f>IF(ISNUMBER(SEARCH("®",N91)),"MARCA/INNOVADOR","GENERICO")</f>
        <v>GENERICO</v>
      </c>
      <c r="AS91">
        <f ca="1">IF(AE91&gt;100,RANDBETWEEN(500,5000),IF(AND(AE91&gt;=10,AE91&lt;=100),RANDBETWEEN(100,1000),RANDBETWEEN(10,200)))</f>
        <v>1055</v>
      </c>
      <c r="AT91">
        <f t="shared" ca="1" si="7"/>
        <v>242</v>
      </c>
      <c r="AU91">
        <f ca="1">INT(AS91*RANDBETWEEN(120,200)/100)</f>
        <v>2110</v>
      </c>
      <c r="AV91" s="2">
        <f ca="1">IF(LEFT(Y91,1)="L",RANDBETWEEN(500000,5000000),IF(LEFT(Y91,1)="C",RANDBETWEEN(5000,50000),IF(LEFT(Y91,1)="N",RANDBETWEEN(10000,150000),IF(LEFT(Y91,1)="J",RANDBETWEEN(8000,200000),RANDBETWEEN(5000,100000)))))</f>
        <v>54920</v>
      </c>
      <c r="AW91" s="2">
        <f ca="1">INT(AV91*RANDBETWEEN(30,60)/100)</f>
        <v>29656</v>
      </c>
      <c r="AX91">
        <f ca="1">IF(Z91="ORAL",RANDBETWEEN(1000,10000),IF(OR(Z91="INTRAVENOSA",Z91="INTRAMUSCULAR"),RANDBETWEEN(100,2000),IF(OR(Z91="OFTÁLMICA",Z91="TOPICA (EXTERNA)"),RANDBETWEEN(200,3000),RANDBETWEEN(100,1500))))</f>
        <v>2157</v>
      </c>
      <c r="AY91" s="2">
        <f ca="1">INT(AV91*RANDBETWEEN(90,130)/100)</f>
        <v>57116</v>
      </c>
      <c r="AZ91" t="str">
        <f t="shared" ca="1" si="8"/>
        <v>5.6%</v>
      </c>
      <c r="BA91" t="str">
        <f t="shared" ca="1" si="9"/>
        <v>ALTO</v>
      </c>
    </row>
    <row r="92" spans="4:53" x14ac:dyDescent="0.35">
      <c r="D92" t="s">
        <v>886</v>
      </c>
      <c r="E92" s="1">
        <v>39402</v>
      </c>
      <c r="F92" t="s">
        <v>887</v>
      </c>
      <c r="G92" t="s">
        <v>108</v>
      </c>
      <c r="H92" t="s">
        <v>888</v>
      </c>
      <c r="I92">
        <v>19975921</v>
      </c>
      <c r="J92" t="s">
        <v>28</v>
      </c>
      <c r="K92">
        <v>13</v>
      </c>
      <c r="L92" t="s">
        <v>27</v>
      </c>
      <c r="M92" t="s">
        <v>889</v>
      </c>
      <c r="N92" t="s">
        <v>890</v>
      </c>
      <c r="O92" t="s">
        <v>891</v>
      </c>
      <c r="P92" t="s">
        <v>33</v>
      </c>
      <c r="Q92" s="1">
        <v>45398</v>
      </c>
      <c r="R92" t="s">
        <v>29</v>
      </c>
      <c r="S92" t="s">
        <v>27</v>
      </c>
      <c r="T92" t="s">
        <v>172</v>
      </c>
      <c r="U92" t="s">
        <v>115</v>
      </c>
      <c r="V92" t="s">
        <v>892</v>
      </c>
      <c r="W92">
        <v>5</v>
      </c>
      <c r="X92">
        <v>19975921</v>
      </c>
      <c r="Y92" t="s">
        <v>893</v>
      </c>
      <c r="Z92" t="s">
        <v>119</v>
      </c>
      <c r="AA92" t="s">
        <v>24</v>
      </c>
      <c r="AB92" t="s">
        <v>120</v>
      </c>
      <c r="AC92" t="s">
        <v>25</v>
      </c>
      <c r="AD92" t="s">
        <v>155</v>
      </c>
      <c r="AE92">
        <v>6</v>
      </c>
      <c r="AF92" t="s">
        <v>27</v>
      </c>
      <c r="AG92" t="s">
        <v>26</v>
      </c>
      <c r="AH92" t="s">
        <v>6740</v>
      </c>
      <c r="AI92" t="str">
        <f t="shared" si="5"/>
        <v>NO</v>
      </c>
      <c r="AJ92" t="str">
        <f t="shared" si="6"/>
        <v>NOVAMED</v>
      </c>
      <c r="AK92" t="str">
        <f>IF(ISNUMBER(SEARCH("FABRICANTE",AC92)),"FABRICANTE",IF(ISNUMBER(SEARCH("IMPORTADOR",AC92)),"IMPORTADOR","OTRO"))</f>
        <v>FABRICANTE</v>
      </c>
      <c r="AL92" t="str">
        <f>IF(LEFT(Y92,1)="A","Sistema digestivo",IF(LEFT(Y92,1)="B","Sangre",IF(LEFT(Y92,1)="C","Cardiovascular",IF(LEFT(Y92,1)="D","Dermatológico",IF(LEFT(Y92,1)="G","Genitourinario",IF(LEFT(Y92,1)="H","Hormonal",IF(LEFT(Y92,1)="J","Antiinfecciosos",IF(LEFT(Y92,1)="L","Oncológicos",IF(LEFT(Y92,1)="M","Musculoesquelético",IF(LEFT(Y92,1)="N","Sistema nervioso",IF(LEFT(Y92,1)="R","Respiratorio",IF(LEFT(Y92,1)="S","Oftálmico",IF(LEFT(Y92,1)="V","Varios","OTRO")))))))))))))</f>
        <v>Sistema digestivo</v>
      </c>
      <c r="AM92" t="str">
        <f>IF(AG92="Vigente","ACTIVO",IF(ISNUMBER(SEARCH("Inactivo",J92)),"INACTIVO","REVISAR"))</f>
        <v>ACTIVO</v>
      </c>
      <c r="AN92" t="str">
        <f ca="1">IF(OR(AF92="",AF92="null"),"",ROUND((AF92-TODAY())/365.25,2))</f>
        <v/>
      </c>
      <c r="AO92" t="str">
        <f ca="1">IF(AND(AG92="Vigente",OR(AF92="",AF92="null",AF92&gt;TODAY())),"SI",IF(AND(NOT(OR(AF92="",AF92="null")),AF92&lt;=TODAY()),"NO",IF(AG92="Vigente","SI","DESCONOCIDO")))</f>
        <v>SI</v>
      </c>
      <c r="AP92" t="str">
        <f>IF(AND(ISNUMBER(SEARCH("IMPORTAR",AA92)),ISNUMBER(SEARCH("FABRICAR",AA92))),"MIXTO",IF(ISNUMBER(SEARCH("IMPORTAR",AA92)),"IMPORTADO",IF(ISNUMBER(SEARCH("FABRICAR",AA92)),"LOCAL","OTRO")))</f>
        <v>LOCAL</v>
      </c>
      <c r="AQ92" t="str">
        <f>IF(AD92="Si","SI",IF(AD92="No","NO",""))</f>
        <v>SI</v>
      </c>
      <c r="AR92" t="str">
        <f>IF(ISNUMBER(SEARCH("®",N92)),"MARCA/INNOVADOR","GENERICO")</f>
        <v>GENERICO</v>
      </c>
      <c r="AS92">
        <f ca="1">IF(AE92&gt;100,RANDBETWEEN(500,5000),IF(AND(AE92&gt;=10,AE92&lt;=100),RANDBETWEEN(100,1000),RANDBETWEEN(10,200)))</f>
        <v>157</v>
      </c>
      <c r="AT92">
        <f t="shared" ca="1" si="7"/>
        <v>25</v>
      </c>
      <c r="AU92">
        <f ca="1">INT(AS92*RANDBETWEEN(120,200)/100)</f>
        <v>260</v>
      </c>
      <c r="AV92" s="2">
        <f ca="1">IF(LEFT(Y92,1)="L",RANDBETWEEN(500000,5000000),IF(LEFT(Y92,1)="C",RANDBETWEEN(5000,50000),IF(LEFT(Y92,1)="N",RANDBETWEEN(10000,150000),IF(LEFT(Y92,1)="J",RANDBETWEEN(8000,200000),RANDBETWEEN(5000,100000)))))</f>
        <v>53277</v>
      </c>
      <c r="AW92" s="2">
        <f ca="1">INT(AV92*RANDBETWEEN(30,60)/100)</f>
        <v>27704</v>
      </c>
      <c r="AX92">
        <f ca="1">IF(Z92="ORAL",RANDBETWEEN(1000,10000),IF(OR(Z92="INTRAVENOSA",Z92="INTRAMUSCULAR"),RANDBETWEEN(100,2000),IF(OR(Z92="OFTÁLMICA",Z92="TOPICA (EXTERNA)"),RANDBETWEEN(200,3000),RANDBETWEEN(100,1500))))</f>
        <v>1445</v>
      </c>
      <c r="AY92" s="2">
        <f ca="1">INT(AV92*RANDBETWEEN(90,130)/100)</f>
        <v>59670</v>
      </c>
      <c r="AZ92" t="str">
        <f t="shared" ca="1" si="8"/>
        <v>18.1%</v>
      </c>
      <c r="BA92" t="str">
        <f t="shared" ca="1" si="9"/>
        <v>BAJO</v>
      </c>
    </row>
    <row r="93" spans="4:53" x14ac:dyDescent="0.35">
      <c r="D93" t="s">
        <v>894</v>
      </c>
      <c r="E93" s="1">
        <v>37519</v>
      </c>
      <c r="F93" t="s">
        <v>895</v>
      </c>
      <c r="G93" t="s">
        <v>108</v>
      </c>
      <c r="H93" t="s">
        <v>702</v>
      </c>
      <c r="I93">
        <v>19931776</v>
      </c>
      <c r="J93" t="s">
        <v>110</v>
      </c>
      <c r="K93">
        <v>7</v>
      </c>
      <c r="L93" t="s">
        <v>27</v>
      </c>
      <c r="M93" t="s">
        <v>703</v>
      </c>
      <c r="N93" t="s">
        <v>704</v>
      </c>
      <c r="O93" t="s">
        <v>896</v>
      </c>
      <c r="P93" t="s">
        <v>29</v>
      </c>
      <c r="Q93" s="1">
        <v>39224</v>
      </c>
      <c r="R93" t="s">
        <v>29</v>
      </c>
      <c r="S93" s="1">
        <v>41213</v>
      </c>
      <c r="T93" t="s">
        <v>172</v>
      </c>
      <c r="U93" t="s">
        <v>115</v>
      </c>
      <c r="V93" t="s">
        <v>706</v>
      </c>
      <c r="W93">
        <v>325</v>
      </c>
      <c r="X93">
        <v>19931776</v>
      </c>
      <c r="Y93" t="s">
        <v>707</v>
      </c>
      <c r="Z93" t="s">
        <v>119</v>
      </c>
      <c r="AA93" t="s">
        <v>165</v>
      </c>
      <c r="AB93" t="s">
        <v>120</v>
      </c>
      <c r="AC93" t="s">
        <v>25</v>
      </c>
      <c r="AD93" t="s">
        <v>121</v>
      </c>
      <c r="AE93">
        <v>10</v>
      </c>
      <c r="AF93" t="s">
        <v>27</v>
      </c>
      <c r="AG93" t="s">
        <v>26</v>
      </c>
      <c r="AH93" t="s">
        <v>522</v>
      </c>
      <c r="AI93" t="str">
        <f t="shared" si="5"/>
        <v>SI</v>
      </c>
      <c r="AJ93" t="str">
        <f t="shared" si="6"/>
        <v>NOVAMED</v>
      </c>
      <c r="AK93" t="str">
        <f>IF(ISNUMBER(SEARCH("FABRICANTE",AC93)),"FABRICANTE",IF(ISNUMBER(SEARCH("IMPORTADOR",AC93)),"IMPORTADOR","OTRO"))</f>
        <v>FABRICANTE</v>
      </c>
      <c r="AL93" t="str">
        <f>IF(LEFT(Y93,1)="A","Sistema digestivo",IF(LEFT(Y93,1)="B","Sangre",IF(LEFT(Y93,1)="C","Cardiovascular",IF(LEFT(Y93,1)="D","Dermatológico",IF(LEFT(Y93,1)="G","Genitourinario",IF(LEFT(Y93,1)="H","Hormonal",IF(LEFT(Y93,1)="J","Antiinfecciosos",IF(LEFT(Y93,1)="L","Oncológicos",IF(LEFT(Y93,1)="M","Musculoesquelético",IF(LEFT(Y93,1)="N","Sistema nervioso",IF(LEFT(Y93,1)="R","Respiratorio",IF(LEFT(Y93,1)="S","Oftálmico",IF(LEFT(Y93,1)="V","Varios","OTRO")))))))))))))</f>
        <v>Sistema nervioso</v>
      </c>
      <c r="AM93" t="str">
        <f>IF(AG93="Vigente","ACTIVO",IF(ISNUMBER(SEARCH("Inactivo",J93)),"INACTIVO","REVISAR"))</f>
        <v>ACTIVO</v>
      </c>
      <c r="AN93" t="str">
        <f ca="1">IF(OR(AF93="",AF93="null"),"",ROUND((AF93-TODAY())/365.25,2))</f>
        <v/>
      </c>
      <c r="AO93" t="str">
        <f ca="1">IF(AND(AG93="Vigente",OR(AF93="",AF93="null",AF93&gt;TODAY())),"SI",IF(AND(NOT(OR(AF93="",AF93="null")),AF93&lt;=TODAY()),"NO",IF(AG93="Vigente","SI","DESCONOCIDO")))</f>
        <v>SI</v>
      </c>
      <c r="AP93" t="str">
        <f>IF(AND(ISNUMBER(SEARCH("IMPORTAR",AA93)),ISNUMBER(SEARCH("FABRICAR",AA93))),"MIXTO",IF(ISNUMBER(SEARCH("IMPORTAR",AA93)),"IMPORTADO",IF(ISNUMBER(SEARCH("FABRICAR",AA93)),"LOCAL","OTRO")))</f>
        <v>IMPORTADO</v>
      </c>
      <c r="AQ93" t="str">
        <f>IF(AD93="Si","SI",IF(AD93="No","NO",""))</f>
        <v>NO</v>
      </c>
      <c r="AR93" t="str">
        <f>IF(ISNUMBER(SEARCH("®",N93)),"MARCA/INNOVADOR","GENERICO")</f>
        <v>MARCA/INNOVADOR</v>
      </c>
      <c r="AS93">
        <f ca="1">IF(AE93&gt;100,RANDBETWEEN(500,5000),IF(AND(AE93&gt;=10,AE93&lt;=100),RANDBETWEEN(100,1000),RANDBETWEEN(10,200)))</f>
        <v>570</v>
      </c>
      <c r="AT93">
        <f t="shared" ca="1" si="7"/>
        <v>153</v>
      </c>
      <c r="AU93">
        <f ca="1">INT(AS93*RANDBETWEEN(120,200)/100)</f>
        <v>889</v>
      </c>
      <c r="AV93" s="2">
        <f ca="1">IF(LEFT(Y93,1)="L",RANDBETWEEN(500000,5000000),IF(LEFT(Y93,1)="C",RANDBETWEEN(5000,50000),IF(LEFT(Y93,1)="N",RANDBETWEEN(10000,150000),IF(LEFT(Y93,1)="J",RANDBETWEEN(8000,200000),RANDBETWEEN(5000,100000)))))</f>
        <v>14151</v>
      </c>
      <c r="AW93" s="2">
        <f ca="1">INT(AV93*RANDBETWEEN(30,60)/100)</f>
        <v>6367</v>
      </c>
      <c r="AX93">
        <f ca="1">IF(Z93="ORAL",RANDBETWEEN(1000,10000),IF(OR(Z93="INTRAVENOSA",Z93="INTRAMUSCULAR"),RANDBETWEEN(100,2000),IF(OR(Z93="OFTÁLMICA",Z93="TOPICA (EXTERNA)"),RANDBETWEEN(200,3000),RANDBETWEEN(100,1500))))</f>
        <v>5027</v>
      </c>
      <c r="AY93" s="2">
        <f ca="1">INT(AV93*RANDBETWEEN(90,130)/100)</f>
        <v>12877</v>
      </c>
      <c r="AZ93" t="str">
        <f t="shared" ca="1" si="8"/>
        <v>9.4%</v>
      </c>
      <c r="BA93" t="str">
        <f t="shared" ca="1" si="9"/>
        <v>ALTO</v>
      </c>
    </row>
    <row r="94" spans="4:53" x14ac:dyDescent="0.35">
      <c r="D94" t="s">
        <v>897</v>
      </c>
      <c r="E94" s="1">
        <v>37715</v>
      </c>
      <c r="F94" t="s">
        <v>898</v>
      </c>
      <c r="G94" t="s">
        <v>108</v>
      </c>
      <c r="H94" t="s">
        <v>503</v>
      </c>
      <c r="I94">
        <v>19935632</v>
      </c>
      <c r="J94" t="s">
        <v>28</v>
      </c>
      <c r="K94">
        <v>1</v>
      </c>
      <c r="L94" t="s">
        <v>27</v>
      </c>
      <c r="M94" t="s">
        <v>899</v>
      </c>
      <c r="N94" t="s">
        <v>900</v>
      </c>
      <c r="O94" t="s">
        <v>901</v>
      </c>
      <c r="P94" t="s">
        <v>902</v>
      </c>
      <c r="Q94" s="1">
        <v>39031</v>
      </c>
      <c r="R94" t="s">
        <v>50</v>
      </c>
      <c r="S94" t="s">
        <v>27</v>
      </c>
      <c r="T94" t="s">
        <v>454</v>
      </c>
      <c r="U94" t="s">
        <v>115</v>
      </c>
      <c r="V94" t="s">
        <v>903</v>
      </c>
      <c r="W94">
        <v>100</v>
      </c>
      <c r="X94">
        <v>19935632</v>
      </c>
      <c r="Y94" t="s">
        <v>904</v>
      </c>
      <c r="Z94" t="s">
        <v>213</v>
      </c>
      <c r="AA94" t="s">
        <v>24</v>
      </c>
      <c r="AB94" t="s">
        <v>120</v>
      </c>
      <c r="AC94" t="s">
        <v>25</v>
      </c>
      <c r="AD94" t="s">
        <v>121</v>
      </c>
      <c r="AE94">
        <v>1</v>
      </c>
      <c r="AF94" t="s">
        <v>27</v>
      </c>
      <c r="AG94" t="s">
        <v>26</v>
      </c>
      <c r="AH94" t="s">
        <v>898</v>
      </c>
      <c r="AI94" t="str">
        <f t="shared" si="5"/>
        <v>NO</v>
      </c>
      <c r="AJ94" t="str">
        <f t="shared" si="6"/>
        <v>PROCAPS</v>
      </c>
      <c r="AK94" t="str">
        <f>IF(ISNUMBER(SEARCH("FABRICANTE",AC94)),"FABRICANTE",IF(ISNUMBER(SEARCH("IMPORTADOR",AC94)),"IMPORTADOR","OTRO"))</f>
        <v>FABRICANTE</v>
      </c>
      <c r="AL94" t="str">
        <f>IF(LEFT(Y94,1)="A","Sistema digestivo",IF(LEFT(Y94,1)="B","Sangre",IF(LEFT(Y94,1)="C","Cardiovascular",IF(LEFT(Y94,1)="D","Dermatológico",IF(LEFT(Y94,1)="G","Genitourinario",IF(LEFT(Y94,1)="H","Hormonal",IF(LEFT(Y94,1)="J","Antiinfecciosos",IF(LEFT(Y94,1)="L","Oncológicos",IF(LEFT(Y94,1)="M","Musculoesquelético",IF(LEFT(Y94,1)="N","Sistema nervioso",IF(LEFT(Y94,1)="R","Respiratorio",IF(LEFT(Y94,1)="S","Oftálmico",IF(LEFT(Y94,1)="V","Varios","OTRO")))))))))))))</f>
        <v>Sistema digestivo</v>
      </c>
      <c r="AM94" t="str">
        <f>IF(AG94="Vigente","ACTIVO",IF(ISNUMBER(SEARCH("Inactivo",J94)),"INACTIVO","REVISAR"))</f>
        <v>ACTIVO</v>
      </c>
      <c r="AN94" t="str">
        <f ca="1">IF(OR(AF94="",AF94="null"),"",ROUND((AF94-TODAY())/365.25,2))</f>
        <v/>
      </c>
      <c r="AO94" t="str">
        <f ca="1">IF(AND(AG94="Vigente",OR(AF94="",AF94="null",AF94&gt;TODAY())),"SI",IF(AND(NOT(OR(AF94="",AF94="null")),AF94&lt;=TODAY()),"NO",IF(AG94="Vigente","SI","DESCONOCIDO")))</f>
        <v>SI</v>
      </c>
      <c r="AP94" t="str">
        <f>IF(AND(ISNUMBER(SEARCH("IMPORTAR",AA94)),ISNUMBER(SEARCH("FABRICAR",AA94))),"MIXTO",IF(ISNUMBER(SEARCH("IMPORTAR",AA94)),"IMPORTADO",IF(ISNUMBER(SEARCH("FABRICAR",AA94)),"LOCAL","OTRO")))</f>
        <v>LOCAL</v>
      </c>
      <c r="AQ94" t="str">
        <f>IF(AD94="Si","SI",IF(AD94="No","NO",""))</f>
        <v>NO</v>
      </c>
      <c r="AR94" t="str">
        <f>IF(ISNUMBER(SEARCH("®",N94)),"MARCA/INNOVADOR","GENERICO")</f>
        <v>GENERICO</v>
      </c>
      <c r="AS94">
        <f ca="1">IF(AE94&gt;100,RANDBETWEEN(500,5000),IF(AND(AE94&gt;=10,AE94&lt;=100),RANDBETWEEN(100,1000),RANDBETWEEN(10,200)))</f>
        <v>182</v>
      </c>
      <c r="AT94">
        <f t="shared" ca="1" si="7"/>
        <v>20</v>
      </c>
      <c r="AU94">
        <f ca="1">INT(AS94*RANDBETWEEN(120,200)/100)</f>
        <v>351</v>
      </c>
      <c r="AV94" s="2">
        <f ca="1">IF(LEFT(Y94,1)="L",RANDBETWEEN(500000,5000000),IF(LEFT(Y94,1)="C",RANDBETWEEN(5000,50000),IF(LEFT(Y94,1)="N",RANDBETWEEN(10000,150000),IF(LEFT(Y94,1)="J",RANDBETWEEN(8000,200000),RANDBETWEEN(5000,100000)))))</f>
        <v>7341</v>
      </c>
      <c r="AW94" s="2">
        <f ca="1">INT(AV94*RANDBETWEEN(30,60)/100)</f>
        <v>3743</v>
      </c>
      <c r="AX94">
        <f ca="1">IF(Z94="ORAL",RANDBETWEEN(1000,10000),IF(OR(Z94="INTRAVENOSA",Z94="INTRAMUSCULAR"),RANDBETWEEN(100,2000),IF(OR(Z94="OFTÁLMICA",Z94="TOPICA (EXTERNA)"),RANDBETWEEN(200,3000),RANDBETWEEN(100,1500))))</f>
        <v>1745</v>
      </c>
      <c r="AY94" s="2">
        <f ca="1">INT(AV94*RANDBETWEEN(90,130)/100)</f>
        <v>7561</v>
      </c>
      <c r="AZ94" t="str">
        <f t="shared" ca="1" si="8"/>
        <v>7.6%</v>
      </c>
      <c r="BA94" t="str">
        <f t="shared" ca="1" si="9"/>
        <v>BAJO</v>
      </c>
    </row>
    <row r="95" spans="4:53" x14ac:dyDescent="0.35">
      <c r="D95" t="s">
        <v>905</v>
      </c>
      <c r="E95" s="1">
        <v>38020</v>
      </c>
      <c r="F95" t="s">
        <v>906</v>
      </c>
      <c r="G95" t="s">
        <v>108</v>
      </c>
      <c r="H95" t="s">
        <v>907</v>
      </c>
      <c r="I95">
        <v>19937177</v>
      </c>
      <c r="J95" t="s">
        <v>28</v>
      </c>
      <c r="K95">
        <v>3</v>
      </c>
      <c r="L95" t="s">
        <v>27</v>
      </c>
      <c r="M95" t="s">
        <v>908</v>
      </c>
      <c r="N95" t="s">
        <v>909</v>
      </c>
      <c r="O95" t="s">
        <v>910</v>
      </c>
      <c r="P95" t="s">
        <v>911</v>
      </c>
      <c r="Q95" s="1">
        <v>39031</v>
      </c>
      <c r="R95" t="s">
        <v>912</v>
      </c>
      <c r="S95" t="s">
        <v>27</v>
      </c>
      <c r="T95" t="s">
        <v>913</v>
      </c>
      <c r="U95" t="s">
        <v>115</v>
      </c>
      <c r="V95" t="s">
        <v>914</v>
      </c>
      <c r="W95" t="s">
        <v>433</v>
      </c>
      <c r="X95">
        <v>19937177</v>
      </c>
      <c r="Y95" t="s">
        <v>915</v>
      </c>
      <c r="Z95" t="s">
        <v>566</v>
      </c>
      <c r="AA95" t="s">
        <v>32</v>
      </c>
      <c r="AB95" t="s">
        <v>653</v>
      </c>
      <c r="AC95" t="s">
        <v>38</v>
      </c>
      <c r="AD95" t="s">
        <v>121</v>
      </c>
      <c r="AE95">
        <v>1</v>
      </c>
      <c r="AF95" t="s">
        <v>27</v>
      </c>
      <c r="AG95" t="s">
        <v>26</v>
      </c>
      <c r="AH95" t="s">
        <v>1248</v>
      </c>
      <c r="AI95" t="str">
        <f t="shared" si="5"/>
        <v>SI</v>
      </c>
      <c r="AJ95" t="str">
        <f t="shared" si="6"/>
        <v>LEO PHARMA</v>
      </c>
      <c r="AK95" t="str">
        <f>IF(ISNUMBER(SEARCH("FABRICANTE",AC95)),"FABRICANTE",IF(ISNUMBER(SEARCH("IMPORTADOR",AC95)),"IMPORTADOR","OTRO"))</f>
        <v>IMPORTADOR</v>
      </c>
      <c r="AL95" t="str">
        <f>IF(LEFT(Y95,1)="A","Sistema digestivo",IF(LEFT(Y95,1)="B","Sangre",IF(LEFT(Y95,1)="C","Cardiovascular",IF(LEFT(Y95,1)="D","Dermatológico",IF(LEFT(Y95,1)="G","Genitourinario",IF(LEFT(Y95,1)="H","Hormonal",IF(LEFT(Y95,1)="J","Antiinfecciosos",IF(LEFT(Y95,1)="L","Oncológicos",IF(LEFT(Y95,1)="M","Musculoesquelético",IF(LEFT(Y95,1)="N","Sistema nervioso",IF(LEFT(Y95,1)="R","Respiratorio",IF(LEFT(Y95,1)="S","Oftálmico",IF(LEFT(Y95,1)="V","Varios","OTRO")))))))))))))</f>
        <v>Dermatológico</v>
      </c>
      <c r="AM95" t="str">
        <f>IF(AG95="Vigente","ACTIVO",IF(ISNUMBER(SEARCH("Inactivo",J95)),"INACTIVO","REVISAR"))</f>
        <v>ACTIVO</v>
      </c>
      <c r="AN95" t="str">
        <f ca="1">IF(OR(AF95="",AF95="null"),"",ROUND((AF95-TODAY())/365.25,2))</f>
        <v/>
      </c>
      <c r="AO95" t="str">
        <f ca="1">IF(AND(AG95="Vigente",OR(AF95="",AF95="null",AF95&gt;TODAY())),"SI",IF(AND(NOT(OR(AF95="",AF95="null")),AF95&lt;=TODAY()),"NO",IF(AG95="Vigente","SI","DESCONOCIDO")))</f>
        <v>SI</v>
      </c>
      <c r="AP95" t="str">
        <f>IF(AND(ISNUMBER(SEARCH("IMPORTAR",AA95)),ISNUMBER(SEARCH("FABRICAR",AA95))),"MIXTO",IF(ISNUMBER(SEARCH("IMPORTAR",AA95)),"IMPORTADO",IF(ISNUMBER(SEARCH("FABRICAR",AA95)),"LOCAL","OTRO")))</f>
        <v>IMPORTADO</v>
      </c>
      <c r="AQ95" t="str">
        <f>IF(AD95="Si","SI",IF(AD95="No","NO",""))</f>
        <v>NO</v>
      </c>
      <c r="AR95" t="str">
        <f>IF(ISNUMBER(SEARCH("®",N95)),"MARCA/INNOVADOR","GENERICO")</f>
        <v>GENERICO</v>
      </c>
      <c r="AS95">
        <f ca="1">IF(AE95&gt;100,RANDBETWEEN(500,5000),IF(AND(AE95&gt;=10,AE95&lt;=100),RANDBETWEEN(100,1000),RANDBETWEEN(10,200)))</f>
        <v>129</v>
      </c>
      <c r="AT95">
        <f t="shared" ca="1" si="7"/>
        <v>16</v>
      </c>
      <c r="AU95">
        <f ca="1">INT(AS95*RANDBETWEEN(120,200)/100)</f>
        <v>174</v>
      </c>
      <c r="AV95" s="2">
        <f ca="1">IF(LEFT(Y95,1)="L",RANDBETWEEN(500000,5000000),IF(LEFT(Y95,1)="C",RANDBETWEEN(5000,50000),IF(LEFT(Y95,1)="N",RANDBETWEEN(10000,150000),IF(LEFT(Y95,1)="J",RANDBETWEEN(8000,200000),RANDBETWEEN(5000,100000)))))</f>
        <v>64229</v>
      </c>
      <c r="AW95" s="2">
        <f ca="1">INT(AV95*RANDBETWEEN(30,60)/100)</f>
        <v>38537</v>
      </c>
      <c r="AX95">
        <f ca="1">IF(Z95="ORAL",RANDBETWEEN(1000,10000),IF(OR(Z95="INTRAVENOSA",Z95="INTRAMUSCULAR"),RANDBETWEEN(100,2000),IF(OR(Z95="OFTÁLMICA",Z95="TOPICA (EXTERNA)"),RANDBETWEEN(200,3000),RANDBETWEEN(100,1500))))</f>
        <v>1477</v>
      </c>
      <c r="AY95" s="2">
        <f ca="1">INT(AV95*RANDBETWEEN(90,130)/100)</f>
        <v>57806</v>
      </c>
      <c r="AZ95" t="str">
        <f t="shared" ca="1" si="8"/>
        <v>3.5%</v>
      </c>
      <c r="BA95" t="str">
        <f t="shared" ca="1" si="9"/>
        <v>BAJO</v>
      </c>
    </row>
    <row r="96" spans="4:53" x14ac:dyDescent="0.35">
      <c r="D96" t="s">
        <v>916</v>
      </c>
      <c r="E96" s="1">
        <v>37810</v>
      </c>
      <c r="F96" t="s">
        <v>917</v>
      </c>
      <c r="G96" t="s">
        <v>108</v>
      </c>
      <c r="H96" t="s">
        <v>454</v>
      </c>
      <c r="I96">
        <v>19935427</v>
      </c>
      <c r="J96" t="s">
        <v>28</v>
      </c>
      <c r="K96">
        <v>5</v>
      </c>
      <c r="L96" t="s">
        <v>27</v>
      </c>
      <c r="M96" t="s">
        <v>918</v>
      </c>
      <c r="N96" t="s">
        <v>919</v>
      </c>
      <c r="O96" t="s">
        <v>920</v>
      </c>
      <c r="P96" t="s">
        <v>266</v>
      </c>
      <c r="Q96" s="1">
        <v>45441</v>
      </c>
      <c r="R96" t="s">
        <v>200</v>
      </c>
      <c r="S96" t="s">
        <v>27</v>
      </c>
      <c r="T96" t="s">
        <v>454</v>
      </c>
      <c r="U96" t="s">
        <v>115</v>
      </c>
      <c r="V96" t="s">
        <v>450</v>
      </c>
      <c r="W96">
        <v>500</v>
      </c>
      <c r="X96">
        <v>19935427</v>
      </c>
      <c r="Y96" t="s">
        <v>451</v>
      </c>
      <c r="Z96" t="s">
        <v>119</v>
      </c>
      <c r="AA96" t="s">
        <v>24</v>
      </c>
      <c r="AB96" t="s">
        <v>120</v>
      </c>
      <c r="AC96" t="s">
        <v>25</v>
      </c>
      <c r="AD96" t="s">
        <v>121</v>
      </c>
      <c r="AE96">
        <v>10</v>
      </c>
      <c r="AF96" t="s">
        <v>27</v>
      </c>
      <c r="AG96" t="s">
        <v>26</v>
      </c>
      <c r="AH96" t="s">
        <v>6621</v>
      </c>
      <c r="AI96" t="str">
        <f t="shared" si="5"/>
        <v>SI</v>
      </c>
      <c r="AJ96" t="str">
        <f t="shared" si="6"/>
        <v>PROCAPS</v>
      </c>
      <c r="AK96" t="str">
        <f>IF(ISNUMBER(SEARCH("FABRICANTE",AC96)),"FABRICANTE",IF(ISNUMBER(SEARCH("IMPORTADOR",AC96)),"IMPORTADOR","OTRO"))</f>
        <v>FABRICANTE</v>
      </c>
      <c r="AL96" t="str">
        <f>IF(LEFT(Y96,1)="A","Sistema digestivo",IF(LEFT(Y96,1)="B","Sangre",IF(LEFT(Y96,1)="C","Cardiovascular",IF(LEFT(Y96,1)="D","Dermatológico",IF(LEFT(Y96,1)="G","Genitourinario",IF(LEFT(Y96,1)="H","Hormonal",IF(LEFT(Y96,1)="J","Antiinfecciosos",IF(LEFT(Y96,1)="L","Oncológicos",IF(LEFT(Y96,1)="M","Musculoesquelético",IF(LEFT(Y96,1)="N","Sistema nervioso",IF(LEFT(Y96,1)="R","Respiratorio",IF(LEFT(Y96,1)="S","Oftálmico",IF(LEFT(Y96,1)="V","Varios","OTRO")))))))))))))</f>
        <v>Antiinfecciosos</v>
      </c>
      <c r="AM96" t="str">
        <f>IF(AG96="Vigente","ACTIVO",IF(ISNUMBER(SEARCH("Inactivo",J96)),"INACTIVO","REVISAR"))</f>
        <v>ACTIVO</v>
      </c>
      <c r="AN96" t="str">
        <f ca="1">IF(OR(AF96="",AF96="null"),"",ROUND((AF96-TODAY())/365.25,2))</f>
        <v/>
      </c>
      <c r="AO96" t="str">
        <f ca="1">IF(AND(AG96="Vigente",OR(AF96="",AF96="null",AF96&gt;TODAY())),"SI",IF(AND(NOT(OR(AF96="",AF96="null")),AF96&lt;=TODAY()),"NO",IF(AG96="Vigente","SI","DESCONOCIDO")))</f>
        <v>SI</v>
      </c>
      <c r="AP96" t="str">
        <f>IF(AND(ISNUMBER(SEARCH("IMPORTAR",AA96)),ISNUMBER(SEARCH("FABRICAR",AA96))),"MIXTO",IF(ISNUMBER(SEARCH("IMPORTAR",AA96)),"IMPORTADO",IF(ISNUMBER(SEARCH("FABRICAR",AA96)),"LOCAL","OTRO")))</f>
        <v>LOCAL</v>
      </c>
      <c r="AQ96" t="str">
        <f>IF(AD96="Si","SI",IF(AD96="No","NO",""))</f>
        <v>NO</v>
      </c>
      <c r="AR96" t="str">
        <f>IF(ISNUMBER(SEARCH("®",N96)),"MARCA/INNOVADOR","GENERICO")</f>
        <v>GENERICO</v>
      </c>
      <c r="AS96">
        <f ca="1">IF(AE96&gt;100,RANDBETWEEN(500,5000),IF(AND(AE96&gt;=10,AE96&lt;=100),RANDBETWEEN(100,1000),RANDBETWEEN(10,200)))</f>
        <v>708</v>
      </c>
      <c r="AT96">
        <f t="shared" ca="1" si="7"/>
        <v>127</v>
      </c>
      <c r="AU96">
        <f ca="1">INT(AS96*RANDBETWEEN(120,200)/100)</f>
        <v>1040</v>
      </c>
      <c r="AV96" s="2">
        <f ca="1">IF(LEFT(Y96,1)="L",RANDBETWEEN(500000,5000000),IF(LEFT(Y96,1)="C",RANDBETWEEN(5000,50000),IF(LEFT(Y96,1)="N",RANDBETWEEN(10000,150000),IF(LEFT(Y96,1)="J",RANDBETWEEN(8000,200000),RANDBETWEEN(5000,100000)))))</f>
        <v>131084</v>
      </c>
      <c r="AW96" s="2">
        <f ca="1">INT(AV96*RANDBETWEEN(30,60)/100)</f>
        <v>49811</v>
      </c>
      <c r="AX96">
        <f ca="1">IF(Z96="ORAL",RANDBETWEEN(1000,10000),IF(OR(Z96="INTRAVENOSA",Z96="INTRAMUSCULAR"),RANDBETWEEN(100,2000),IF(OR(Z96="OFTÁLMICA",Z96="TOPICA (EXTERNA)"),RANDBETWEEN(200,3000),RANDBETWEEN(100,1500))))</f>
        <v>6854</v>
      </c>
      <c r="AY96" s="2">
        <f ca="1">INT(AV96*RANDBETWEEN(90,130)/100)</f>
        <v>159922</v>
      </c>
      <c r="AZ96" t="str">
        <f t="shared" ca="1" si="8"/>
        <v>11.3%</v>
      </c>
      <c r="BA96" t="str">
        <f t="shared" ca="1" si="9"/>
        <v>BAJO</v>
      </c>
    </row>
    <row r="97" spans="4:53" x14ac:dyDescent="0.35">
      <c r="D97" t="s">
        <v>921</v>
      </c>
      <c r="E97" s="1">
        <v>37881</v>
      </c>
      <c r="F97" t="s">
        <v>922</v>
      </c>
      <c r="G97" t="s">
        <v>108</v>
      </c>
      <c r="H97" t="s">
        <v>109</v>
      </c>
      <c r="I97">
        <v>19940076</v>
      </c>
      <c r="J97" t="s">
        <v>28</v>
      </c>
      <c r="K97">
        <v>4</v>
      </c>
      <c r="L97" t="s">
        <v>27</v>
      </c>
      <c r="M97" t="s">
        <v>923</v>
      </c>
      <c r="N97" t="s">
        <v>924</v>
      </c>
      <c r="O97" t="s">
        <v>925</v>
      </c>
      <c r="P97" t="s">
        <v>181</v>
      </c>
      <c r="Q97" s="1">
        <v>40812</v>
      </c>
      <c r="R97" t="s">
        <v>37</v>
      </c>
      <c r="S97" t="s">
        <v>27</v>
      </c>
      <c r="T97" t="s">
        <v>114</v>
      </c>
      <c r="U97" t="s">
        <v>115</v>
      </c>
      <c r="V97" t="s">
        <v>585</v>
      </c>
      <c r="W97">
        <v>40</v>
      </c>
      <c r="X97">
        <v>19940076</v>
      </c>
      <c r="Y97" t="s">
        <v>586</v>
      </c>
      <c r="Z97" t="s">
        <v>119</v>
      </c>
      <c r="AA97" t="s">
        <v>165</v>
      </c>
      <c r="AB97" t="s">
        <v>120</v>
      </c>
      <c r="AC97" t="s">
        <v>25</v>
      </c>
      <c r="AD97" t="s">
        <v>121</v>
      </c>
      <c r="AE97">
        <v>30</v>
      </c>
      <c r="AF97" t="s">
        <v>27</v>
      </c>
      <c r="AG97" t="s">
        <v>26</v>
      </c>
      <c r="AH97" t="s">
        <v>585</v>
      </c>
      <c r="AI97" t="str">
        <f t="shared" si="5"/>
        <v>SI</v>
      </c>
      <c r="AJ97" t="str">
        <f t="shared" si="6"/>
        <v>LABORATORIOS LEGRAND</v>
      </c>
      <c r="AK97" t="str">
        <f>IF(ISNUMBER(SEARCH("FABRICANTE",AC97)),"FABRICANTE",IF(ISNUMBER(SEARCH("IMPORTADOR",AC97)),"IMPORTADOR","OTRO"))</f>
        <v>FABRICANTE</v>
      </c>
      <c r="AL97" t="str">
        <f>IF(LEFT(Y97,1)="A","Sistema digestivo",IF(LEFT(Y97,1)="B","Sangre",IF(LEFT(Y97,1)="C","Cardiovascular",IF(LEFT(Y97,1)="D","Dermatológico",IF(LEFT(Y97,1)="G","Genitourinario",IF(LEFT(Y97,1)="H","Hormonal",IF(LEFT(Y97,1)="J","Antiinfecciosos",IF(LEFT(Y97,1)="L","Oncológicos",IF(LEFT(Y97,1)="M","Musculoesquelético",IF(LEFT(Y97,1)="N","Sistema nervioso",IF(LEFT(Y97,1)="R","Respiratorio",IF(LEFT(Y97,1)="S","Oftálmico",IF(LEFT(Y97,1)="V","Varios","OTRO")))))))))))))</f>
        <v>Sistema digestivo</v>
      </c>
      <c r="AM97" t="str">
        <f>IF(AG97="Vigente","ACTIVO",IF(ISNUMBER(SEARCH("Inactivo",J97)),"INACTIVO","REVISAR"))</f>
        <v>ACTIVO</v>
      </c>
      <c r="AN97" t="str">
        <f ca="1">IF(OR(AF97="",AF97="null"),"",ROUND((AF97-TODAY())/365.25,2))</f>
        <v/>
      </c>
      <c r="AO97" t="str">
        <f ca="1">IF(AND(AG97="Vigente",OR(AF97="",AF97="null",AF97&gt;TODAY())),"SI",IF(AND(NOT(OR(AF97="",AF97="null")),AF97&lt;=TODAY()),"NO",IF(AG97="Vigente","SI","DESCONOCIDO")))</f>
        <v>SI</v>
      </c>
      <c r="AP97" t="str">
        <f>IF(AND(ISNUMBER(SEARCH("IMPORTAR",AA97)),ISNUMBER(SEARCH("FABRICAR",AA97))),"MIXTO",IF(ISNUMBER(SEARCH("IMPORTAR",AA97)),"IMPORTADO",IF(ISNUMBER(SEARCH("FABRICAR",AA97)),"LOCAL","OTRO")))</f>
        <v>IMPORTADO</v>
      </c>
      <c r="AQ97" t="str">
        <f>IF(AD97="Si","SI",IF(AD97="No","NO",""))</f>
        <v>NO</v>
      </c>
      <c r="AR97" t="str">
        <f>IF(ISNUMBER(SEARCH("®",N97)),"MARCA/INNOVADOR","GENERICO")</f>
        <v>MARCA/INNOVADOR</v>
      </c>
      <c r="AS97">
        <f ca="1">IF(AE97&gt;100,RANDBETWEEN(500,5000),IF(AND(AE97&gt;=10,AE97&lt;=100),RANDBETWEEN(100,1000),RANDBETWEEN(10,200)))</f>
        <v>742</v>
      </c>
      <c r="AT97">
        <f t="shared" ca="1" si="7"/>
        <v>222</v>
      </c>
      <c r="AU97">
        <f ca="1">INT(AS97*RANDBETWEEN(120,200)/100)</f>
        <v>972</v>
      </c>
      <c r="AV97" s="2">
        <f ca="1">IF(LEFT(Y97,1)="L",RANDBETWEEN(500000,5000000),IF(LEFT(Y97,1)="C",RANDBETWEEN(5000,50000),IF(LEFT(Y97,1)="N",RANDBETWEEN(10000,150000),IF(LEFT(Y97,1)="J",RANDBETWEEN(8000,200000),RANDBETWEEN(5000,100000)))))</f>
        <v>84024</v>
      </c>
      <c r="AW97" s="2">
        <f ca="1">INT(AV97*RANDBETWEEN(30,60)/100)</f>
        <v>34449</v>
      </c>
      <c r="AX97">
        <f ca="1">IF(Z97="ORAL",RANDBETWEEN(1000,10000),IF(OR(Z97="INTRAVENOSA",Z97="INTRAMUSCULAR"),RANDBETWEEN(100,2000),IF(OR(Z97="OFTÁLMICA",Z97="TOPICA (EXTERNA)"),RANDBETWEEN(200,3000),RANDBETWEEN(100,1500))))</f>
        <v>3858</v>
      </c>
      <c r="AY97" s="2">
        <f ca="1">INT(AV97*RANDBETWEEN(90,130)/100)</f>
        <v>104189</v>
      </c>
      <c r="AZ97" t="str">
        <f t="shared" ca="1" si="8"/>
        <v>22.1%</v>
      </c>
      <c r="BA97" t="str">
        <f t="shared" ca="1" si="9"/>
        <v>BAJO</v>
      </c>
    </row>
    <row r="98" spans="4:53" x14ac:dyDescent="0.35">
      <c r="D98" t="s">
        <v>926</v>
      </c>
      <c r="E98" s="1">
        <v>38533</v>
      </c>
      <c r="F98" t="s">
        <v>927</v>
      </c>
      <c r="G98" t="s">
        <v>108</v>
      </c>
      <c r="H98" t="s">
        <v>928</v>
      </c>
      <c r="I98">
        <v>19950727</v>
      </c>
      <c r="J98" t="s">
        <v>110</v>
      </c>
      <c r="K98">
        <v>95</v>
      </c>
      <c r="L98" t="s">
        <v>27</v>
      </c>
      <c r="M98" t="s">
        <v>929</v>
      </c>
      <c r="N98" t="s">
        <v>930</v>
      </c>
      <c r="O98" t="s">
        <v>931</v>
      </c>
      <c r="P98" t="s">
        <v>932</v>
      </c>
      <c r="Q98" s="1">
        <v>41989</v>
      </c>
      <c r="R98" t="s">
        <v>932</v>
      </c>
      <c r="S98" s="1">
        <v>42439</v>
      </c>
      <c r="T98" t="s">
        <v>928</v>
      </c>
      <c r="U98" t="s">
        <v>115</v>
      </c>
      <c r="V98" t="s">
        <v>933</v>
      </c>
      <c r="W98">
        <v>270</v>
      </c>
      <c r="X98">
        <v>19950727</v>
      </c>
      <c r="Y98" t="s">
        <v>934</v>
      </c>
      <c r="Z98" t="s">
        <v>499</v>
      </c>
      <c r="AA98" t="s">
        <v>24</v>
      </c>
      <c r="AB98" t="s">
        <v>120</v>
      </c>
      <c r="AC98" t="s">
        <v>25</v>
      </c>
      <c r="AD98" t="s">
        <v>121</v>
      </c>
      <c r="AE98">
        <v>1200</v>
      </c>
      <c r="AF98" t="s">
        <v>27</v>
      </c>
      <c r="AG98" t="s">
        <v>26</v>
      </c>
      <c r="AH98" t="s">
        <v>6741</v>
      </c>
      <c r="AI98" t="str">
        <f t="shared" si="5"/>
        <v>NO</v>
      </c>
      <c r="AJ98" t="str">
        <f t="shared" si="6"/>
        <v>LABORATORIOS ECAR</v>
      </c>
      <c r="AK98" t="str">
        <f>IF(ISNUMBER(SEARCH("FABRICANTE",AC98)),"FABRICANTE",IF(ISNUMBER(SEARCH("IMPORTADOR",AC98)),"IMPORTADOR","OTRO"))</f>
        <v>FABRICANTE</v>
      </c>
      <c r="AL98" t="str">
        <f>IF(LEFT(Y98,1)="A","Sistema digestivo",IF(LEFT(Y98,1)="B","Sangre",IF(LEFT(Y98,1)="C","Cardiovascular",IF(LEFT(Y98,1)="D","Dermatológico",IF(LEFT(Y98,1)="G","Genitourinario",IF(LEFT(Y98,1)="H","Hormonal",IF(LEFT(Y98,1)="J","Antiinfecciosos",IF(LEFT(Y98,1)="L","Oncológicos",IF(LEFT(Y98,1)="M","Musculoesquelético",IF(LEFT(Y98,1)="N","Sistema nervioso",IF(LEFT(Y98,1)="R","Respiratorio",IF(LEFT(Y98,1)="S","Oftálmico",IF(LEFT(Y98,1)="V","Varios","OTRO")))))))))))))</f>
        <v>Sistema digestivo</v>
      </c>
      <c r="AM98" t="str">
        <f>IF(AG98="Vigente","ACTIVO",IF(ISNUMBER(SEARCH("Inactivo",J98)),"INACTIVO","REVISAR"))</f>
        <v>ACTIVO</v>
      </c>
      <c r="AN98" t="str">
        <f ca="1">IF(OR(AF98="",AF98="null"),"",ROUND((AF98-TODAY())/365.25,2))</f>
        <v/>
      </c>
      <c r="AO98" t="str">
        <f ca="1">IF(AND(AG98="Vigente",OR(AF98="",AF98="null",AF98&gt;TODAY())),"SI",IF(AND(NOT(OR(AF98="",AF98="null")),AF98&lt;=TODAY()),"NO",IF(AG98="Vigente","SI","DESCONOCIDO")))</f>
        <v>SI</v>
      </c>
      <c r="AP98" t="str">
        <f>IF(AND(ISNUMBER(SEARCH("IMPORTAR",AA98)),ISNUMBER(SEARCH("FABRICAR",AA98))),"MIXTO",IF(ISNUMBER(SEARCH("IMPORTAR",AA98)),"IMPORTADO",IF(ISNUMBER(SEARCH("FABRICAR",AA98)),"LOCAL","OTRO")))</f>
        <v>LOCAL</v>
      </c>
      <c r="AQ98" t="str">
        <f>IF(AD98="Si","SI",IF(AD98="No","NO",""))</f>
        <v>NO</v>
      </c>
      <c r="AR98" t="str">
        <f>IF(ISNUMBER(SEARCH("®",N98)),"MARCA/INNOVADOR","GENERICO")</f>
        <v>MARCA/INNOVADOR</v>
      </c>
      <c r="AS98">
        <f ca="1">IF(AE98&gt;100,RANDBETWEEN(500,5000),IF(AND(AE98&gt;=10,AE98&lt;=100),RANDBETWEEN(100,1000),RANDBETWEEN(10,200)))</f>
        <v>2929</v>
      </c>
      <c r="AT98">
        <f t="shared" ca="1" si="7"/>
        <v>380</v>
      </c>
      <c r="AU98">
        <f ca="1">INT(AS98*RANDBETWEEN(120,200)/100)</f>
        <v>4686</v>
      </c>
      <c r="AV98" s="2">
        <f ca="1">IF(LEFT(Y98,1)="L",RANDBETWEEN(500000,5000000),IF(LEFT(Y98,1)="C",RANDBETWEEN(5000,50000),IF(LEFT(Y98,1)="N",RANDBETWEEN(10000,150000),IF(LEFT(Y98,1)="J",RANDBETWEEN(8000,200000),RANDBETWEEN(5000,100000)))))</f>
        <v>61238</v>
      </c>
      <c r="AW98" s="2">
        <f ca="1">INT(AV98*RANDBETWEEN(30,60)/100)</f>
        <v>25107</v>
      </c>
      <c r="AX98">
        <f ca="1">IF(Z98="ORAL",RANDBETWEEN(1000,10000),IF(OR(Z98="INTRAVENOSA",Z98="INTRAMUSCULAR"),RANDBETWEEN(100,2000),IF(OR(Z98="OFTÁLMICA",Z98="TOPICA (EXTERNA)"),RANDBETWEEN(200,3000),RANDBETWEEN(100,1500))))</f>
        <v>1024</v>
      </c>
      <c r="AY98" s="2">
        <f ca="1">INT(AV98*RANDBETWEEN(90,130)/100)</f>
        <v>55114</v>
      </c>
      <c r="AZ98" t="str">
        <f t="shared" ca="1" si="8"/>
        <v>1.6%</v>
      </c>
      <c r="BA98" t="str">
        <f t="shared" ca="1" si="9"/>
        <v>ALTO</v>
      </c>
    </row>
    <row r="99" spans="4:53" x14ac:dyDescent="0.35">
      <c r="D99" t="s">
        <v>935</v>
      </c>
      <c r="E99" s="1">
        <v>36161</v>
      </c>
      <c r="F99" t="s">
        <v>936</v>
      </c>
      <c r="G99" t="s">
        <v>108</v>
      </c>
      <c r="H99" t="s">
        <v>870</v>
      </c>
      <c r="I99">
        <v>226034</v>
      </c>
      <c r="J99" t="s">
        <v>28</v>
      </c>
      <c r="K99">
        <v>8</v>
      </c>
      <c r="L99" t="s">
        <v>27</v>
      </c>
      <c r="M99" t="s">
        <v>937</v>
      </c>
      <c r="N99" t="s">
        <v>938</v>
      </c>
      <c r="O99" t="s">
        <v>939</v>
      </c>
      <c r="P99" t="s">
        <v>29</v>
      </c>
      <c r="Q99" s="1">
        <v>39583</v>
      </c>
      <c r="R99" t="s">
        <v>33</v>
      </c>
      <c r="S99" t="s">
        <v>27</v>
      </c>
      <c r="T99" t="s">
        <v>870</v>
      </c>
      <c r="U99" t="s">
        <v>115</v>
      </c>
      <c r="V99" t="s">
        <v>936</v>
      </c>
      <c r="W99">
        <v>150</v>
      </c>
      <c r="X99">
        <v>226034</v>
      </c>
      <c r="Y99" t="s">
        <v>940</v>
      </c>
      <c r="Z99" t="s">
        <v>119</v>
      </c>
      <c r="AA99" t="s">
        <v>32</v>
      </c>
      <c r="AB99" t="s">
        <v>120</v>
      </c>
      <c r="AC99" t="s">
        <v>38</v>
      </c>
      <c r="AD99" t="s">
        <v>121</v>
      </c>
      <c r="AE99">
        <v>7</v>
      </c>
      <c r="AF99" s="1">
        <v>401769</v>
      </c>
      <c r="AG99" t="s">
        <v>26</v>
      </c>
      <c r="AH99" t="s">
        <v>936</v>
      </c>
      <c r="AI99" t="str">
        <f t="shared" si="5"/>
        <v>NO</v>
      </c>
      <c r="AJ99" t="str">
        <f t="shared" si="6"/>
        <v>SANOFI-AVENTIS DE COLOMBIA</v>
      </c>
      <c r="AK99" t="str">
        <f>IF(ISNUMBER(SEARCH("FABRICANTE",AC99)),"FABRICANTE",IF(ISNUMBER(SEARCH("IMPORTADOR",AC99)),"IMPORTADOR","OTRO"))</f>
        <v>IMPORTADOR</v>
      </c>
      <c r="AL99" t="str">
        <f>IF(LEFT(Y99,1)="A","Sistema digestivo",IF(LEFT(Y99,1)="B","Sangre",IF(LEFT(Y99,1)="C","Cardiovascular",IF(LEFT(Y99,1)="D","Dermatológico",IF(LEFT(Y99,1)="G","Genitourinario",IF(LEFT(Y99,1)="H","Hormonal",IF(LEFT(Y99,1)="J","Antiinfecciosos",IF(LEFT(Y99,1)="L","Oncológicos",IF(LEFT(Y99,1)="M","Musculoesquelético",IF(LEFT(Y99,1)="N","Sistema nervioso",IF(LEFT(Y99,1)="R","Respiratorio",IF(LEFT(Y99,1)="S","Oftálmico",IF(LEFT(Y99,1)="V","Varios","OTRO")))))))))))))</f>
        <v>Cardiovascular</v>
      </c>
      <c r="AM99" t="str">
        <f>IF(AG99="Vigente","ACTIVO",IF(ISNUMBER(SEARCH("Inactivo",J99)),"INACTIVO","REVISAR"))</f>
        <v>ACTIVO</v>
      </c>
      <c r="AN99">
        <f ca="1">IF(OR(AF99="",AF99="null"),"",ROUND((AF99-TODAY())/365.25,2))</f>
        <v>973.58</v>
      </c>
      <c r="AO99" t="str">
        <f ca="1">IF(AND(AG99="Vigente",OR(AF99="",AF99="null",AF99&gt;TODAY())),"SI",IF(AND(NOT(OR(AF99="",AF99="null")),AF99&lt;=TODAY()),"NO",IF(AG99="Vigente","SI","DESCONOCIDO")))</f>
        <v>SI</v>
      </c>
      <c r="AP99" t="str">
        <f>IF(AND(ISNUMBER(SEARCH("IMPORTAR",AA99)),ISNUMBER(SEARCH("FABRICAR",AA99))),"MIXTO",IF(ISNUMBER(SEARCH("IMPORTAR",AA99)),"IMPORTADO",IF(ISNUMBER(SEARCH("FABRICAR",AA99)),"LOCAL","OTRO")))</f>
        <v>IMPORTADO</v>
      </c>
      <c r="AQ99" t="str">
        <f>IF(AD99="Si","SI",IF(AD99="No","NO",""))</f>
        <v>NO</v>
      </c>
      <c r="AR99" t="str">
        <f>IF(ISNUMBER(SEARCH("®",N99)),"MARCA/INNOVADOR","GENERICO")</f>
        <v>GENERICO</v>
      </c>
      <c r="AS99">
        <f ca="1">IF(AE99&gt;100,RANDBETWEEN(500,5000),IF(AND(AE99&gt;=10,AE99&lt;=100),RANDBETWEEN(100,1000),RANDBETWEEN(10,200)))</f>
        <v>121</v>
      </c>
      <c r="AT99">
        <f t="shared" ca="1" si="7"/>
        <v>22</v>
      </c>
      <c r="AU99">
        <f ca="1">INT(AS99*RANDBETWEEN(120,200)/100)</f>
        <v>147</v>
      </c>
      <c r="AV99" s="2">
        <f ca="1">IF(LEFT(Y99,1)="L",RANDBETWEEN(500000,5000000),IF(LEFT(Y99,1)="C",RANDBETWEEN(5000,50000),IF(LEFT(Y99,1)="N",RANDBETWEEN(10000,150000),IF(LEFT(Y99,1)="J",RANDBETWEEN(8000,200000),RANDBETWEEN(5000,100000)))))</f>
        <v>19780</v>
      </c>
      <c r="AW99" s="2">
        <f ca="1">INT(AV99*RANDBETWEEN(30,60)/100)</f>
        <v>11670</v>
      </c>
      <c r="AX99">
        <f ca="1">IF(Z99="ORAL",RANDBETWEEN(1000,10000),IF(OR(Z99="INTRAVENOSA",Z99="INTRAMUSCULAR"),RANDBETWEEN(100,2000),IF(OR(Z99="OFTÁLMICA",Z99="TOPICA (EXTERNA)"),RANDBETWEEN(200,3000),RANDBETWEEN(100,1500))))</f>
        <v>5172</v>
      </c>
      <c r="AY99" s="2">
        <f ca="1">INT(AV99*RANDBETWEEN(90,130)/100)</f>
        <v>22351</v>
      </c>
      <c r="AZ99" t="str">
        <f t="shared" ca="1" si="8"/>
        <v>20.1%</v>
      </c>
      <c r="BA99" t="str">
        <f t="shared" ca="1" si="9"/>
        <v>BAJO</v>
      </c>
    </row>
    <row r="100" spans="4:53" x14ac:dyDescent="0.35">
      <c r="D100" t="s">
        <v>941</v>
      </c>
      <c r="E100" s="1">
        <v>43031</v>
      </c>
      <c r="F100" t="s">
        <v>942</v>
      </c>
      <c r="G100" t="s">
        <v>108</v>
      </c>
      <c r="H100" t="s">
        <v>943</v>
      </c>
      <c r="I100">
        <v>20073105</v>
      </c>
      <c r="J100" t="s">
        <v>28</v>
      </c>
      <c r="K100">
        <v>17</v>
      </c>
      <c r="L100" t="s">
        <v>27</v>
      </c>
      <c r="M100" t="s">
        <v>944</v>
      </c>
      <c r="N100" t="s">
        <v>945</v>
      </c>
      <c r="O100" t="s">
        <v>946</v>
      </c>
      <c r="P100" t="s">
        <v>97</v>
      </c>
      <c r="Q100" s="1">
        <v>43025</v>
      </c>
      <c r="R100" t="s">
        <v>33</v>
      </c>
      <c r="S100" t="s">
        <v>27</v>
      </c>
      <c r="T100" t="s">
        <v>947</v>
      </c>
      <c r="U100" t="s">
        <v>115</v>
      </c>
      <c r="V100" t="s">
        <v>321</v>
      </c>
      <c r="W100">
        <v>250</v>
      </c>
      <c r="X100">
        <v>20073105</v>
      </c>
      <c r="Y100" t="s">
        <v>322</v>
      </c>
      <c r="Z100" t="s">
        <v>119</v>
      </c>
      <c r="AA100" t="s">
        <v>165</v>
      </c>
      <c r="AB100" t="s">
        <v>120</v>
      </c>
      <c r="AC100" t="s">
        <v>25</v>
      </c>
      <c r="AD100" t="s">
        <v>121</v>
      </c>
      <c r="AE100">
        <v>30</v>
      </c>
      <c r="AF100" t="s">
        <v>27</v>
      </c>
      <c r="AG100" t="s">
        <v>26</v>
      </c>
      <c r="AH100" t="s">
        <v>522</v>
      </c>
      <c r="AI100" t="str">
        <f t="shared" si="5"/>
        <v>NO</v>
      </c>
      <c r="AJ100" t="str">
        <f t="shared" si="6"/>
        <v>CLOSTER PHARMA</v>
      </c>
      <c r="AK100" t="str">
        <f>IF(ISNUMBER(SEARCH("FABRICANTE",AC100)),"FABRICANTE",IF(ISNUMBER(SEARCH("IMPORTADOR",AC100)),"IMPORTADOR","OTRO"))</f>
        <v>FABRICANTE</v>
      </c>
      <c r="AL100" t="str">
        <f>IF(LEFT(Y100,1)="A","Sistema digestivo",IF(LEFT(Y100,1)="B","Sangre",IF(LEFT(Y100,1)="C","Cardiovascular",IF(LEFT(Y100,1)="D","Dermatológico",IF(LEFT(Y100,1)="G","Genitourinario",IF(LEFT(Y100,1)="H","Hormonal",IF(LEFT(Y100,1)="J","Antiinfecciosos",IF(LEFT(Y100,1)="L","Oncológicos",IF(LEFT(Y100,1)="M","Musculoesquelético",IF(LEFT(Y100,1)="N","Sistema nervioso",IF(LEFT(Y100,1)="R","Respiratorio",IF(LEFT(Y100,1)="S","Oftálmico",IF(LEFT(Y100,1)="V","Varios","OTRO")))))))))))))</f>
        <v>Sistema nervioso</v>
      </c>
      <c r="AM100" t="str">
        <f>IF(AG100="Vigente","ACTIVO",IF(ISNUMBER(SEARCH("Inactivo",J100)),"INACTIVO","REVISAR"))</f>
        <v>ACTIVO</v>
      </c>
      <c r="AN100" t="str">
        <f ca="1">IF(OR(AF100="",AF100="null"),"",ROUND((AF100-TODAY())/365.25,2))</f>
        <v/>
      </c>
      <c r="AO100" t="str">
        <f ca="1">IF(AND(AG100="Vigente",OR(AF100="",AF100="null",AF100&gt;TODAY())),"SI",IF(AND(NOT(OR(AF100="",AF100="null")),AF100&lt;=TODAY()),"NO",IF(AG100="Vigente","SI","DESCONOCIDO")))</f>
        <v>SI</v>
      </c>
      <c r="AP100" t="str">
        <f>IF(AND(ISNUMBER(SEARCH("IMPORTAR",AA100)),ISNUMBER(SEARCH("FABRICAR",AA100))),"MIXTO",IF(ISNUMBER(SEARCH("IMPORTAR",AA100)),"IMPORTADO",IF(ISNUMBER(SEARCH("FABRICAR",AA100)),"LOCAL","OTRO")))</f>
        <v>IMPORTADO</v>
      </c>
      <c r="AQ100" t="str">
        <f>IF(AD100="Si","SI",IF(AD100="No","NO",""))</f>
        <v>NO</v>
      </c>
      <c r="AR100" t="str">
        <f>IF(ISNUMBER(SEARCH("®",N100)),"MARCA/INNOVADOR","GENERICO")</f>
        <v>MARCA/INNOVADOR</v>
      </c>
      <c r="AS100">
        <f ca="1">IF(AE100&gt;100,RANDBETWEEN(500,5000),IF(AND(AE100&gt;=10,AE100&lt;=100),RANDBETWEEN(100,1000),RANDBETWEEN(10,200)))</f>
        <v>419</v>
      </c>
      <c r="AT100">
        <f t="shared" ca="1" si="7"/>
        <v>121</v>
      </c>
      <c r="AU100">
        <f ca="1">INT(AS100*RANDBETWEEN(120,200)/100)</f>
        <v>657</v>
      </c>
      <c r="AV100" s="2">
        <f ca="1">IF(LEFT(Y100,1)="L",RANDBETWEEN(500000,5000000),IF(LEFT(Y100,1)="C",RANDBETWEEN(5000,50000),IF(LEFT(Y100,1)="N",RANDBETWEEN(10000,150000),IF(LEFT(Y100,1)="J",RANDBETWEEN(8000,200000),RANDBETWEEN(5000,100000)))))</f>
        <v>103678</v>
      </c>
      <c r="AW100" s="2">
        <f ca="1">INT(AV100*RANDBETWEEN(30,60)/100)</f>
        <v>40434</v>
      </c>
      <c r="AX100">
        <f ca="1">IF(Z100="ORAL",RANDBETWEEN(1000,10000),IF(OR(Z100="INTRAVENOSA",Z100="INTRAMUSCULAR"),RANDBETWEEN(100,2000),IF(OR(Z100="OFTÁLMICA",Z100="TOPICA (EXTERNA)"),RANDBETWEEN(200,3000),RANDBETWEEN(100,1500))))</f>
        <v>1435</v>
      </c>
      <c r="AY100" s="2">
        <f ca="1">INT(AV100*RANDBETWEEN(90,130)/100)</f>
        <v>132707</v>
      </c>
      <c r="AZ100" t="str">
        <f t="shared" ca="1" si="8"/>
        <v>7.5%</v>
      </c>
      <c r="BA100" t="str">
        <f t="shared" ca="1" si="9"/>
        <v>BAJO</v>
      </c>
    </row>
    <row r="101" spans="4:53" x14ac:dyDescent="0.35">
      <c r="D101" t="s">
        <v>948</v>
      </c>
      <c r="E101" s="1">
        <v>41169</v>
      </c>
      <c r="F101" t="s">
        <v>949</v>
      </c>
      <c r="G101" t="s">
        <v>108</v>
      </c>
      <c r="H101" t="s">
        <v>710</v>
      </c>
      <c r="I101">
        <v>20037936</v>
      </c>
      <c r="J101" t="s">
        <v>110</v>
      </c>
      <c r="K101">
        <v>7</v>
      </c>
      <c r="L101" t="s">
        <v>27</v>
      </c>
      <c r="M101" t="s">
        <v>950</v>
      </c>
      <c r="N101" t="s">
        <v>951</v>
      </c>
      <c r="O101" t="s">
        <v>952</v>
      </c>
      <c r="P101" t="s">
        <v>953</v>
      </c>
      <c r="Q101" s="1">
        <v>42821</v>
      </c>
      <c r="R101" t="s">
        <v>33</v>
      </c>
      <c r="S101" t="s">
        <v>27</v>
      </c>
      <c r="T101" t="s">
        <v>464</v>
      </c>
      <c r="U101" t="s">
        <v>115</v>
      </c>
      <c r="V101" t="s">
        <v>954</v>
      </c>
      <c r="W101">
        <v>10</v>
      </c>
      <c r="X101">
        <v>20037936</v>
      </c>
      <c r="Y101" t="s">
        <v>955</v>
      </c>
      <c r="Z101" t="s">
        <v>119</v>
      </c>
      <c r="AA101" t="s">
        <v>24</v>
      </c>
      <c r="AB101" t="s">
        <v>120</v>
      </c>
      <c r="AC101" t="s">
        <v>25</v>
      </c>
      <c r="AD101" t="s">
        <v>121</v>
      </c>
      <c r="AE101">
        <v>30</v>
      </c>
      <c r="AF101" t="s">
        <v>27</v>
      </c>
      <c r="AG101" t="s">
        <v>26</v>
      </c>
      <c r="AH101" t="s">
        <v>949</v>
      </c>
      <c r="AI101" t="str">
        <f t="shared" si="5"/>
        <v>NO</v>
      </c>
      <c r="AJ101" t="str">
        <f t="shared" si="6"/>
        <v>MEGALABS COLOMBIA</v>
      </c>
      <c r="AK101" t="str">
        <f>IF(ISNUMBER(SEARCH("FABRICANTE",AC101)),"FABRICANTE",IF(ISNUMBER(SEARCH("IMPORTADOR",AC101)),"IMPORTADOR","OTRO"))</f>
        <v>FABRICANTE</v>
      </c>
      <c r="AL101" t="str">
        <f>IF(LEFT(Y101,1)="A","Sistema digestivo",IF(LEFT(Y101,1)="B","Sangre",IF(LEFT(Y101,1)="C","Cardiovascular",IF(LEFT(Y101,1)="D","Dermatológico",IF(LEFT(Y101,1)="G","Genitourinario",IF(LEFT(Y101,1)="H","Hormonal",IF(LEFT(Y101,1)="J","Antiinfecciosos",IF(LEFT(Y101,1)="L","Oncológicos",IF(LEFT(Y101,1)="M","Musculoesquelético",IF(LEFT(Y101,1)="N","Sistema nervioso",IF(LEFT(Y101,1)="R","Respiratorio",IF(LEFT(Y101,1)="S","Oftálmico",IF(LEFT(Y101,1)="V","Varios","OTRO")))))))))))))</f>
        <v>Cardiovascular</v>
      </c>
      <c r="AM101" t="str">
        <f>IF(AG101="Vigente","ACTIVO",IF(ISNUMBER(SEARCH("Inactivo",J101)),"INACTIVO","REVISAR"))</f>
        <v>ACTIVO</v>
      </c>
      <c r="AN101" t="str">
        <f ca="1">IF(OR(AF101="",AF101="null"),"",ROUND((AF101-TODAY())/365.25,2))</f>
        <v/>
      </c>
      <c r="AO101" t="str">
        <f ca="1">IF(AND(AG101="Vigente",OR(AF101="",AF101="null",AF101&gt;TODAY())),"SI",IF(AND(NOT(OR(AF101="",AF101="null")),AF101&lt;=TODAY()),"NO",IF(AG101="Vigente","SI","DESCONOCIDO")))</f>
        <v>SI</v>
      </c>
      <c r="AP101" t="str">
        <f>IF(AND(ISNUMBER(SEARCH("IMPORTAR",AA101)),ISNUMBER(SEARCH("FABRICAR",AA101))),"MIXTO",IF(ISNUMBER(SEARCH("IMPORTAR",AA101)),"IMPORTADO",IF(ISNUMBER(SEARCH("FABRICAR",AA101)),"LOCAL","OTRO")))</f>
        <v>LOCAL</v>
      </c>
      <c r="AQ101" t="str">
        <f>IF(AD101="Si","SI",IF(AD101="No","NO",""))</f>
        <v>NO</v>
      </c>
      <c r="AR101" t="str">
        <f>IF(ISNUMBER(SEARCH("®",N101)),"MARCA/INNOVADOR","GENERICO")</f>
        <v>MARCA/INNOVADOR</v>
      </c>
      <c r="AS101">
        <f ca="1">IF(AE101&gt;100,RANDBETWEEN(500,5000),IF(AND(AE101&gt;=10,AE101&lt;=100),RANDBETWEEN(100,1000),RANDBETWEEN(10,200)))</f>
        <v>549</v>
      </c>
      <c r="AT101">
        <f t="shared" ca="1" si="7"/>
        <v>120</v>
      </c>
      <c r="AU101">
        <f ca="1">INT(AS101*RANDBETWEEN(120,200)/100)</f>
        <v>774</v>
      </c>
      <c r="AV101" s="2">
        <f ca="1">IF(LEFT(Y101,1)="L",RANDBETWEEN(500000,5000000),IF(LEFT(Y101,1)="C",RANDBETWEEN(5000,50000),IF(LEFT(Y101,1)="N",RANDBETWEEN(10000,150000),IF(LEFT(Y101,1)="J",RANDBETWEEN(8000,200000),RANDBETWEEN(5000,100000)))))</f>
        <v>31135</v>
      </c>
      <c r="AW101" s="2">
        <f ca="1">INT(AV101*RANDBETWEEN(30,60)/100)</f>
        <v>10897</v>
      </c>
      <c r="AX101">
        <f ca="1">IF(Z101="ORAL",RANDBETWEEN(1000,10000),IF(OR(Z101="INTRAVENOSA",Z101="INTRAMUSCULAR"),RANDBETWEEN(100,2000),IF(OR(Z101="OFTÁLMICA",Z101="TOPICA (EXTERNA)"),RANDBETWEEN(200,3000),RANDBETWEEN(100,1500))))</f>
        <v>1264</v>
      </c>
      <c r="AY101" s="2">
        <f ca="1">INT(AV101*RANDBETWEEN(90,130)/100)</f>
        <v>39541</v>
      </c>
      <c r="AZ101" t="str">
        <f t="shared" ca="1" si="8"/>
        <v>11.4%</v>
      </c>
      <c r="BA101" t="str">
        <f t="shared" ca="1" si="9"/>
        <v>ALTO</v>
      </c>
    </row>
    <row r="102" spans="4:53" x14ac:dyDescent="0.35">
      <c r="D102" t="s">
        <v>956</v>
      </c>
      <c r="E102" s="1">
        <v>39106</v>
      </c>
      <c r="F102" t="s">
        <v>957</v>
      </c>
      <c r="G102" t="s">
        <v>108</v>
      </c>
      <c r="H102" t="s">
        <v>958</v>
      </c>
      <c r="I102">
        <v>19968710</v>
      </c>
      <c r="J102" t="s">
        <v>28</v>
      </c>
      <c r="K102">
        <v>6</v>
      </c>
      <c r="L102" t="s">
        <v>27</v>
      </c>
      <c r="M102" t="s">
        <v>959</v>
      </c>
      <c r="N102" t="s">
        <v>960</v>
      </c>
      <c r="O102" t="s">
        <v>961</v>
      </c>
      <c r="P102" t="s">
        <v>962</v>
      </c>
      <c r="Q102" s="1">
        <v>39337</v>
      </c>
      <c r="R102" t="s">
        <v>962</v>
      </c>
      <c r="S102" t="s">
        <v>27</v>
      </c>
      <c r="T102" t="s">
        <v>963</v>
      </c>
      <c r="U102" t="s">
        <v>115</v>
      </c>
      <c r="V102" t="s">
        <v>957</v>
      </c>
      <c r="W102">
        <v>10</v>
      </c>
      <c r="X102">
        <v>19968710</v>
      </c>
      <c r="Y102" t="s">
        <v>964</v>
      </c>
      <c r="Z102" t="s">
        <v>119</v>
      </c>
      <c r="AA102" t="s">
        <v>24</v>
      </c>
      <c r="AB102" t="s">
        <v>120</v>
      </c>
      <c r="AC102" t="s">
        <v>25</v>
      </c>
      <c r="AD102" t="s">
        <v>121</v>
      </c>
      <c r="AE102">
        <v>30</v>
      </c>
      <c r="AF102" t="s">
        <v>27</v>
      </c>
      <c r="AG102" t="s">
        <v>26</v>
      </c>
      <c r="AH102" t="s">
        <v>957</v>
      </c>
      <c r="AI102" t="str">
        <f t="shared" si="5"/>
        <v>NO</v>
      </c>
      <c r="AJ102" t="str">
        <f t="shared" si="6"/>
        <v>EUROFARMA COLOMBIA</v>
      </c>
      <c r="AK102" t="str">
        <f>IF(ISNUMBER(SEARCH("FABRICANTE",AC102)),"FABRICANTE",IF(ISNUMBER(SEARCH("IMPORTADOR",AC102)),"IMPORTADOR","OTRO"))</f>
        <v>FABRICANTE</v>
      </c>
      <c r="AL102" t="str">
        <f>IF(LEFT(Y102,1)="A","Sistema digestivo",IF(LEFT(Y102,1)="B","Sangre",IF(LEFT(Y102,1)="C","Cardiovascular",IF(LEFT(Y102,1)="D","Dermatológico",IF(LEFT(Y102,1)="G","Genitourinario",IF(LEFT(Y102,1)="H","Hormonal",IF(LEFT(Y102,1)="J","Antiinfecciosos",IF(LEFT(Y102,1)="L","Oncológicos",IF(LEFT(Y102,1)="M","Musculoesquelético",IF(LEFT(Y102,1)="N","Sistema nervioso",IF(LEFT(Y102,1)="R","Respiratorio",IF(LEFT(Y102,1)="S","Oftálmico",IF(LEFT(Y102,1)="V","Varios","OTRO")))))))))))))</f>
        <v>Sistema nervioso</v>
      </c>
      <c r="AM102" t="str">
        <f>IF(AG102="Vigente","ACTIVO",IF(ISNUMBER(SEARCH("Inactivo",J102)),"INACTIVO","REVISAR"))</f>
        <v>ACTIVO</v>
      </c>
      <c r="AN102" t="str">
        <f ca="1">IF(OR(AF102="",AF102="null"),"",ROUND((AF102-TODAY())/365.25,2))</f>
        <v/>
      </c>
      <c r="AO102" t="str">
        <f ca="1">IF(AND(AG102="Vigente",OR(AF102="",AF102="null",AF102&gt;TODAY())),"SI",IF(AND(NOT(OR(AF102="",AF102="null")),AF102&lt;=TODAY()),"NO",IF(AG102="Vigente","SI","DESCONOCIDO")))</f>
        <v>SI</v>
      </c>
      <c r="AP102" t="str">
        <f>IF(AND(ISNUMBER(SEARCH("IMPORTAR",AA102)),ISNUMBER(SEARCH("FABRICAR",AA102))),"MIXTO",IF(ISNUMBER(SEARCH("IMPORTAR",AA102)),"IMPORTADO",IF(ISNUMBER(SEARCH("FABRICAR",AA102)),"LOCAL","OTRO")))</f>
        <v>LOCAL</v>
      </c>
      <c r="AQ102" t="str">
        <f>IF(AD102="Si","SI",IF(AD102="No","NO",""))</f>
        <v>NO</v>
      </c>
      <c r="AR102" t="str">
        <f>IF(ISNUMBER(SEARCH("®",N102)),"MARCA/INNOVADOR","GENERICO")</f>
        <v>MARCA/INNOVADOR</v>
      </c>
      <c r="AS102">
        <f ca="1">IF(AE102&gt;100,RANDBETWEEN(500,5000),IF(AND(AE102&gt;=10,AE102&lt;=100),RANDBETWEEN(100,1000),RANDBETWEEN(10,200)))</f>
        <v>408</v>
      </c>
      <c r="AT102">
        <f t="shared" ca="1" si="7"/>
        <v>65</v>
      </c>
      <c r="AU102">
        <f ca="1">INT(AS102*RANDBETWEEN(120,200)/100)</f>
        <v>591</v>
      </c>
      <c r="AV102" s="2">
        <f ca="1">IF(LEFT(Y102,1)="L",RANDBETWEEN(500000,5000000),IF(LEFT(Y102,1)="C",RANDBETWEEN(5000,50000),IF(LEFT(Y102,1)="N",RANDBETWEEN(10000,150000),IF(LEFT(Y102,1)="J",RANDBETWEEN(8000,200000),RANDBETWEEN(5000,100000)))))</f>
        <v>35186</v>
      </c>
      <c r="AW102" s="2">
        <f ca="1">INT(AV102*RANDBETWEEN(30,60)/100)</f>
        <v>19352</v>
      </c>
      <c r="AX102">
        <f ca="1">IF(Z102="ORAL",RANDBETWEEN(1000,10000),IF(OR(Z102="INTRAVENOSA",Z102="INTRAMUSCULAR"),RANDBETWEEN(100,2000),IF(OR(Z102="OFTÁLMICA",Z102="TOPICA (EXTERNA)"),RANDBETWEEN(200,3000),RANDBETWEEN(100,1500))))</f>
        <v>2596</v>
      </c>
      <c r="AY102" s="2">
        <f ca="1">INT(AV102*RANDBETWEEN(90,130)/100)</f>
        <v>35537</v>
      </c>
      <c r="AZ102" t="str">
        <f t="shared" ca="1" si="8"/>
        <v>5.7%</v>
      </c>
      <c r="BA102" t="str">
        <f t="shared" ca="1" si="9"/>
        <v>BAJO</v>
      </c>
    </row>
    <row r="103" spans="4:53" x14ac:dyDescent="0.35">
      <c r="D103" t="s">
        <v>965</v>
      </c>
      <c r="E103" s="1">
        <v>44421</v>
      </c>
      <c r="F103" t="s">
        <v>966</v>
      </c>
      <c r="G103" t="s">
        <v>108</v>
      </c>
      <c r="H103" t="s">
        <v>44</v>
      </c>
      <c r="I103">
        <v>20195443</v>
      </c>
      <c r="J103" t="s">
        <v>28</v>
      </c>
      <c r="K103">
        <v>1</v>
      </c>
      <c r="L103" t="s">
        <v>967</v>
      </c>
      <c r="M103" t="s">
        <v>968</v>
      </c>
      <c r="N103" t="s">
        <v>969</v>
      </c>
      <c r="O103" t="s">
        <v>970</v>
      </c>
      <c r="P103" t="s">
        <v>971</v>
      </c>
      <c r="Q103" s="1">
        <v>44399</v>
      </c>
      <c r="R103" t="s">
        <v>396</v>
      </c>
      <c r="S103" t="s">
        <v>27</v>
      </c>
      <c r="T103" t="s">
        <v>972</v>
      </c>
      <c r="U103" t="s">
        <v>115</v>
      </c>
      <c r="V103" t="s">
        <v>973</v>
      </c>
      <c r="W103">
        <v>10</v>
      </c>
      <c r="X103">
        <v>20195443</v>
      </c>
      <c r="Y103" t="s">
        <v>974</v>
      </c>
      <c r="Z103" t="s">
        <v>119</v>
      </c>
      <c r="AA103" t="s">
        <v>24</v>
      </c>
      <c r="AB103" t="s">
        <v>120</v>
      </c>
      <c r="AC103" t="s">
        <v>25</v>
      </c>
      <c r="AD103" t="s">
        <v>121</v>
      </c>
      <c r="AE103">
        <v>24</v>
      </c>
      <c r="AF103" t="s">
        <v>27</v>
      </c>
      <c r="AG103" t="s">
        <v>26</v>
      </c>
      <c r="AH103" t="s">
        <v>966</v>
      </c>
      <c r="AI103" t="str">
        <f t="shared" si="5"/>
        <v>NO</v>
      </c>
      <c r="AJ103" t="str">
        <f t="shared" si="6"/>
        <v>PATMAR</v>
      </c>
      <c r="AK103" t="str">
        <f>IF(ISNUMBER(SEARCH("FABRICANTE",AC103)),"FABRICANTE",IF(ISNUMBER(SEARCH("IMPORTADOR",AC103)),"IMPORTADOR","OTRO"))</f>
        <v>FABRICANTE</v>
      </c>
      <c r="AL103" t="str">
        <f>IF(LEFT(Y103,1)="A","Sistema digestivo",IF(LEFT(Y103,1)="B","Sangre",IF(LEFT(Y103,1)="C","Cardiovascular",IF(LEFT(Y103,1)="D","Dermatológico",IF(LEFT(Y103,1)="G","Genitourinario",IF(LEFT(Y103,1)="H","Hormonal",IF(LEFT(Y103,1)="J","Antiinfecciosos",IF(LEFT(Y103,1)="L","Oncológicos",IF(LEFT(Y103,1)="M","Musculoesquelético",IF(LEFT(Y103,1)="N","Sistema nervioso",IF(LEFT(Y103,1)="R","Respiratorio",IF(LEFT(Y103,1)="S","Oftálmico",IF(LEFT(Y103,1)="V","Varios","OTRO")))))))))))))</f>
        <v>Respiratorio</v>
      </c>
      <c r="AM103" t="str">
        <f>IF(AG103="Vigente","ACTIVO",IF(ISNUMBER(SEARCH("Inactivo",J103)),"INACTIVO","REVISAR"))</f>
        <v>ACTIVO</v>
      </c>
      <c r="AN103" t="str">
        <f ca="1">IF(OR(AF103="",AF103="null"),"",ROUND((AF103-TODAY())/365.25,2))</f>
        <v/>
      </c>
      <c r="AO103" t="str">
        <f ca="1">IF(AND(AG103="Vigente",OR(AF103="",AF103="null",AF103&gt;TODAY())),"SI",IF(AND(NOT(OR(AF103="",AF103="null")),AF103&lt;=TODAY()),"NO",IF(AG103="Vigente","SI","DESCONOCIDO")))</f>
        <v>SI</v>
      </c>
      <c r="AP103" t="str">
        <f>IF(AND(ISNUMBER(SEARCH("IMPORTAR",AA103)),ISNUMBER(SEARCH("FABRICAR",AA103))),"MIXTO",IF(ISNUMBER(SEARCH("IMPORTAR",AA103)),"IMPORTADO",IF(ISNUMBER(SEARCH("FABRICAR",AA103)),"LOCAL","OTRO")))</f>
        <v>LOCAL</v>
      </c>
      <c r="AQ103" t="str">
        <f>IF(AD103="Si","SI",IF(AD103="No","NO",""))</f>
        <v>NO</v>
      </c>
      <c r="AR103" t="str">
        <f>IF(ISNUMBER(SEARCH("®",N103)),"MARCA/INNOVADOR","GENERICO")</f>
        <v>MARCA/INNOVADOR</v>
      </c>
      <c r="AS103">
        <f ca="1">IF(AE103&gt;100,RANDBETWEEN(500,5000),IF(AND(AE103&gt;=10,AE103&lt;=100),RANDBETWEEN(100,1000),RANDBETWEEN(10,200)))</f>
        <v>651</v>
      </c>
      <c r="AT103">
        <f t="shared" ca="1" si="7"/>
        <v>188</v>
      </c>
      <c r="AU103">
        <f ca="1">INT(AS103*RANDBETWEEN(120,200)/100)</f>
        <v>1223</v>
      </c>
      <c r="AV103" s="2">
        <f ca="1">IF(LEFT(Y103,1)="L",RANDBETWEEN(500000,5000000),IF(LEFT(Y103,1)="C",RANDBETWEEN(5000,50000),IF(LEFT(Y103,1)="N",RANDBETWEEN(10000,150000),IF(LEFT(Y103,1)="J",RANDBETWEEN(8000,200000),RANDBETWEEN(5000,100000)))))</f>
        <v>81854</v>
      </c>
      <c r="AW103" s="2">
        <f ca="1">INT(AV103*RANDBETWEEN(30,60)/100)</f>
        <v>38471</v>
      </c>
      <c r="AX103">
        <f ca="1">IF(Z103="ORAL",RANDBETWEEN(1000,10000),IF(OR(Z103="INTRAVENOSA",Z103="INTRAMUSCULAR"),RANDBETWEEN(100,2000),IF(OR(Z103="OFTÁLMICA",Z103="TOPICA (EXTERNA)"),RANDBETWEEN(200,3000),RANDBETWEEN(100,1500))))</f>
        <v>6653</v>
      </c>
      <c r="AY103" s="2">
        <f ca="1">INT(AV103*RANDBETWEEN(90,130)/100)</f>
        <v>103954</v>
      </c>
      <c r="AZ103" t="str">
        <f t="shared" ca="1" si="8"/>
        <v>16%</v>
      </c>
      <c r="BA103" t="str">
        <f t="shared" ca="1" si="9"/>
        <v>BAJO</v>
      </c>
    </row>
    <row r="104" spans="4:53" x14ac:dyDescent="0.35">
      <c r="D104" t="s">
        <v>975</v>
      </c>
      <c r="E104" s="1">
        <v>42293</v>
      </c>
      <c r="F104" t="s">
        <v>976</v>
      </c>
      <c r="G104" t="s">
        <v>108</v>
      </c>
      <c r="H104" t="s">
        <v>977</v>
      </c>
      <c r="I104">
        <v>20086282</v>
      </c>
      <c r="J104" t="s">
        <v>28</v>
      </c>
      <c r="K104">
        <v>3</v>
      </c>
      <c r="L104" t="s">
        <v>27</v>
      </c>
      <c r="M104" t="s">
        <v>978</v>
      </c>
      <c r="N104" t="s">
        <v>979</v>
      </c>
      <c r="O104" t="s">
        <v>980</v>
      </c>
      <c r="P104" t="s">
        <v>97</v>
      </c>
      <c r="Q104" s="1">
        <v>42268</v>
      </c>
      <c r="R104" t="s">
        <v>29</v>
      </c>
      <c r="S104" s="1">
        <v>44287</v>
      </c>
      <c r="T104" t="s">
        <v>972</v>
      </c>
      <c r="U104" t="s">
        <v>115</v>
      </c>
      <c r="V104" t="s">
        <v>846</v>
      </c>
      <c r="W104">
        <v>65</v>
      </c>
      <c r="X104">
        <v>20086282</v>
      </c>
      <c r="Y104" t="s">
        <v>847</v>
      </c>
      <c r="Z104" t="s">
        <v>119</v>
      </c>
      <c r="AA104" t="s">
        <v>24</v>
      </c>
      <c r="AB104" t="s">
        <v>120</v>
      </c>
      <c r="AC104" t="s">
        <v>25</v>
      </c>
      <c r="AD104" t="s">
        <v>121</v>
      </c>
      <c r="AE104">
        <v>24</v>
      </c>
      <c r="AF104" t="s">
        <v>27</v>
      </c>
      <c r="AG104" t="s">
        <v>26</v>
      </c>
      <c r="AH104" t="s">
        <v>976</v>
      </c>
      <c r="AI104" t="str">
        <f t="shared" si="5"/>
        <v>NO</v>
      </c>
      <c r="AJ104" t="str">
        <f t="shared" si="6"/>
        <v>PATMAR</v>
      </c>
      <c r="AK104" t="str">
        <f>IF(ISNUMBER(SEARCH("FABRICANTE",AC104)),"FABRICANTE",IF(ISNUMBER(SEARCH("IMPORTADOR",AC104)),"IMPORTADOR","OTRO"))</f>
        <v>FABRICANTE</v>
      </c>
      <c r="AL104" t="str">
        <f>IF(LEFT(Y104,1)="A","Sistema digestivo",IF(LEFT(Y104,1)="B","Sangre",IF(LEFT(Y104,1)="C","Cardiovascular",IF(LEFT(Y104,1)="D","Dermatológico",IF(LEFT(Y104,1)="G","Genitourinario",IF(LEFT(Y104,1)="H","Hormonal",IF(LEFT(Y104,1)="J","Antiinfecciosos",IF(LEFT(Y104,1)="L","Oncológicos",IF(LEFT(Y104,1)="M","Musculoesquelético",IF(LEFT(Y104,1)="N","Sistema nervioso",IF(LEFT(Y104,1)="R","Respiratorio",IF(LEFT(Y104,1)="S","Oftálmico",IF(LEFT(Y104,1)="V","Varios","OTRO")))))))))))))</f>
        <v>Sistema nervioso</v>
      </c>
      <c r="AM104" t="str">
        <f>IF(AG104="Vigente","ACTIVO",IF(ISNUMBER(SEARCH("Inactivo",J104)),"INACTIVO","REVISAR"))</f>
        <v>ACTIVO</v>
      </c>
      <c r="AN104" t="str">
        <f ca="1">IF(OR(AF104="",AF104="null"),"",ROUND((AF104-TODAY())/365.25,2))</f>
        <v/>
      </c>
      <c r="AO104" t="str">
        <f ca="1">IF(AND(AG104="Vigente",OR(AF104="",AF104="null",AF104&gt;TODAY())),"SI",IF(AND(NOT(OR(AF104="",AF104="null")),AF104&lt;=TODAY()),"NO",IF(AG104="Vigente","SI","DESCONOCIDO")))</f>
        <v>SI</v>
      </c>
      <c r="AP104" t="str">
        <f>IF(AND(ISNUMBER(SEARCH("IMPORTAR",AA104)),ISNUMBER(SEARCH("FABRICAR",AA104))),"MIXTO",IF(ISNUMBER(SEARCH("IMPORTAR",AA104)),"IMPORTADO",IF(ISNUMBER(SEARCH("FABRICAR",AA104)),"LOCAL","OTRO")))</f>
        <v>LOCAL</v>
      </c>
      <c r="AQ104" t="str">
        <f>IF(AD104="Si","SI",IF(AD104="No","NO",""))</f>
        <v>NO</v>
      </c>
      <c r="AR104" t="str">
        <f>IF(ISNUMBER(SEARCH("®",N104)),"MARCA/INNOVADOR","GENERICO")</f>
        <v>MARCA/INNOVADOR</v>
      </c>
      <c r="AS104">
        <f ca="1">IF(AE104&gt;100,RANDBETWEEN(500,5000),IF(AND(AE104&gt;=10,AE104&lt;=100),RANDBETWEEN(100,1000),RANDBETWEEN(10,200)))</f>
        <v>363</v>
      </c>
      <c r="AT104">
        <f t="shared" ca="1" si="7"/>
        <v>76</v>
      </c>
      <c r="AU104">
        <f ca="1">INT(AS104*RANDBETWEEN(120,200)/100)</f>
        <v>580</v>
      </c>
      <c r="AV104" s="2">
        <f ca="1">IF(LEFT(Y104,1)="L",RANDBETWEEN(500000,5000000),IF(LEFT(Y104,1)="C",RANDBETWEEN(5000,50000),IF(LEFT(Y104,1)="N",RANDBETWEEN(10000,150000),IF(LEFT(Y104,1)="J",RANDBETWEEN(8000,200000),RANDBETWEEN(5000,100000)))))</f>
        <v>82779</v>
      </c>
      <c r="AW104" s="2">
        <f ca="1">INT(AV104*RANDBETWEEN(30,60)/100)</f>
        <v>37250</v>
      </c>
      <c r="AX104">
        <f ca="1">IF(Z104="ORAL",RANDBETWEEN(1000,10000),IF(OR(Z104="INTRAVENOSA",Z104="INTRAMUSCULAR"),RANDBETWEEN(100,2000),IF(OR(Z104="OFTÁLMICA",Z104="TOPICA (EXTERNA)"),RANDBETWEEN(200,3000),RANDBETWEEN(100,1500))))</f>
        <v>5102</v>
      </c>
      <c r="AY104" s="2">
        <f ca="1">INT(AV104*RANDBETWEEN(90,130)/100)</f>
        <v>91056</v>
      </c>
      <c r="AZ104" t="str">
        <f t="shared" ca="1" si="8"/>
        <v>18.9%</v>
      </c>
      <c r="BA104" t="str">
        <f t="shared" ca="1" si="9"/>
        <v>BAJO</v>
      </c>
    </row>
    <row r="105" spans="4:53" x14ac:dyDescent="0.35">
      <c r="D105" t="s">
        <v>981</v>
      </c>
      <c r="E105" s="1">
        <v>39427</v>
      </c>
      <c r="F105" t="s">
        <v>453</v>
      </c>
      <c r="G105" t="s">
        <v>108</v>
      </c>
      <c r="H105" t="s">
        <v>454</v>
      </c>
      <c r="I105">
        <v>19983547</v>
      </c>
      <c r="J105" t="s">
        <v>110</v>
      </c>
      <c r="K105">
        <v>5</v>
      </c>
      <c r="L105" t="s">
        <v>27</v>
      </c>
      <c r="M105" t="s">
        <v>455</v>
      </c>
      <c r="N105" t="s">
        <v>456</v>
      </c>
      <c r="O105" t="s">
        <v>982</v>
      </c>
      <c r="P105" t="s">
        <v>458</v>
      </c>
      <c r="Q105" s="1">
        <v>40225</v>
      </c>
      <c r="R105" t="s">
        <v>459</v>
      </c>
      <c r="S105" s="1">
        <v>44591</v>
      </c>
      <c r="T105" t="s">
        <v>454</v>
      </c>
      <c r="U105" t="s">
        <v>115</v>
      </c>
      <c r="V105" t="s">
        <v>460</v>
      </c>
      <c r="W105">
        <v>100</v>
      </c>
      <c r="X105">
        <v>19983547</v>
      </c>
      <c r="Y105" t="s">
        <v>461</v>
      </c>
      <c r="Z105" t="s">
        <v>119</v>
      </c>
      <c r="AA105" t="s">
        <v>24</v>
      </c>
      <c r="AB105" t="s">
        <v>250</v>
      </c>
      <c r="AC105" t="s">
        <v>25</v>
      </c>
      <c r="AD105" t="s">
        <v>121</v>
      </c>
      <c r="AE105">
        <v>1</v>
      </c>
      <c r="AF105" t="s">
        <v>27</v>
      </c>
      <c r="AG105" t="s">
        <v>26</v>
      </c>
      <c r="AH105" t="s">
        <v>453</v>
      </c>
      <c r="AI105" t="str">
        <f t="shared" si="5"/>
        <v>NO</v>
      </c>
      <c r="AJ105" t="str">
        <f t="shared" si="6"/>
        <v>PROCAPS</v>
      </c>
      <c r="AK105" t="str">
        <f>IF(ISNUMBER(SEARCH("FABRICANTE",AC105)),"FABRICANTE",IF(ISNUMBER(SEARCH("IMPORTADOR",AC105)),"IMPORTADOR","OTRO"))</f>
        <v>FABRICANTE</v>
      </c>
      <c r="AL105" t="str">
        <f>IF(LEFT(Y105,1)="A","Sistema digestivo",IF(LEFT(Y105,1)="B","Sangre",IF(LEFT(Y105,1)="C","Cardiovascular",IF(LEFT(Y105,1)="D","Dermatológico",IF(LEFT(Y105,1)="G","Genitourinario",IF(LEFT(Y105,1)="H","Hormonal",IF(LEFT(Y105,1)="J","Antiinfecciosos",IF(LEFT(Y105,1)="L","Oncológicos",IF(LEFT(Y105,1)="M","Musculoesquelético",IF(LEFT(Y105,1)="N","Sistema nervioso",IF(LEFT(Y105,1)="R","Respiratorio",IF(LEFT(Y105,1)="S","Oftálmico",IF(LEFT(Y105,1)="V","Varios","OTRO")))))))))))))</f>
        <v>Respiratorio</v>
      </c>
      <c r="AM105" t="str">
        <f>IF(AG105="Vigente","ACTIVO",IF(ISNUMBER(SEARCH("Inactivo",J105)),"INACTIVO","REVISAR"))</f>
        <v>ACTIVO</v>
      </c>
      <c r="AN105" t="str">
        <f ca="1">IF(OR(AF105="",AF105="null"),"",ROUND((AF105-TODAY())/365.25,2))</f>
        <v/>
      </c>
      <c r="AO105" t="str">
        <f ca="1">IF(AND(AG105="Vigente",OR(AF105="",AF105="null",AF105&gt;TODAY())),"SI",IF(AND(NOT(OR(AF105="",AF105="null")),AF105&lt;=TODAY()),"NO",IF(AG105="Vigente","SI","DESCONOCIDO")))</f>
        <v>SI</v>
      </c>
      <c r="AP105" t="str">
        <f>IF(AND(ISNUMBER(SEARCH("IMPORTAR",AA105)),ISNUMBER(SEARCH("FABRICAR",AA105))),"MIXTO",IF(ISNUMBER(SEARCH("IMPORTAR",AA105)),"IMPORTADO",IF(ISNUMBER(SEARCH("FABRICAR",AA105)),"LOCAL","OTRO")))</f>
        <v>LOCAL</v>
      </c>
      <c r="AQ105" t="str">
        <f>IF(AD105="Si","SI",IF(AD105="No","NO",""))</f>
        <v>NO</v>
      </c>
      <c r="AR105" t="str">
        <f>IF(ISNUMBER(SEARCH("®",N105)),"MARCA/INNOVADOR","GENERICO")</f>
        <v>MARCA/INNOVADOR</v>
      </c>
      <c r="AS105">
        <f ca="1">IF(AE105&gt;100,RANDBETWEEN(500,5000),IF(AND(AE105&gt;=10,AE105&lt;=100),RANDBETWEEN(100,1000),RANDBETWEEN(10,200)))</f>
        <v>131</v>
      </c>
      <c r="AT105">
        <f t="shared" ca="1" si="7"/>
        <v>15</v>
      </c>
      <c r="AU105">
        <f ca="1">INT(AS105*RANDBETWEEN(120,200)/100)</f>
        <v>244</v>
      </c>
      <c r="AV105" s="2">
        <f ca="1">IF(LEFT(Y105,1)="L",RANDBETWEEN(500000,5000000),IF(LEFT(Y105,1)="C",RANDBETWEEN(5000,50000),IF(LEFT(Y105,1)="N",RANDBETWEEN(10000,150000),IF(LEFT(Y105,1)="J",RANDBETWEEN(8000,200000),RANDBETWEEN(5000,100000)))))</f>
        <v>53217</v>
      </c>
      <c r="AW105" s="2">
        <f ca="1">INT(AV105*RANDBETWEEN(30,60)/100)</f>
        <v>19690</v>
      </c>
      <c r="AX105">
        <f ca="1">IF(Z105="ORAL",RANDBETWEEN(1000,10000),IF(OR(Z105="INTRAVENOSA",Z105="INTRAMUSCULAR"),RANDBETWEEN(100,2000),IF(OR(Z105="OFTÁLMICA",Z105="TOPICA (EXTERNA)"),RANDBETWEEN(200,3000),RANDBETWEEN(100,1500))))</f>
        <v>1401</v>
      </c>
      <c r="AY105" s="2">
        <f ca="1">INT(AV105*RANDBETWEEN(90,130)/100)</f>
        <v>62263</v>
      </c>
      <c r="AZ105" t="str">
        <f t="shared" ca="1" si="8"/>
        <v>5.3%</v>
      </c>
      <c r="BA105" t="str">
        <f t="shared" ca="1" si="9"/>
        <v>ALTO</v>
      </c>
    </row>
    <row r="106" spans="4:53" x14ac:dyDescent="0.35">
      <c r="D106" t="s">
        <v>983</v>
      </c>
      <c r="E106" s="1">
        <v>45520</v>
      </c>
      <c r="F106" t="s">
        <v>91</v>
      </c>
      <c r="G106" t="s">
        <v>108</v>
      </c>
      <c r="H106" t="s">
        <v>984</v>
      </c>
      <c r="I106">
        <v>20204324</v>
      </c>
      <c r="J106" t="s">
        <v>28</v>
      </c>
      <c r="K106">
        <v>1</v>
      </c>
      <c r="L106" t="s">
        <v>27</v>
      </c>
      <c r="M106" t="s">
        <v>985</v>
      </c>
      <c r="N106" t="s">
        <v>986</v>
      </c>
      <c r="O106" t="s">
        <v>987</v>
      </c>
      <c r="P106" t="s">
        <v>33</v>
      </c>
      <c r="Q106" s="1">
        <v>45161</v>
      </c>
      <c r="R106" t="s">
        <v>33</v>
      </c>
      <c r="S106" t="s">
        <v>27</v>
      </c>
      <c r="T106" t="s">
        <v>988</v>
      </c>
      <c r="U106" t="s">
        <v>115</v>
      </c>
      <c r="V106" t="s">
        <v>91</v>
      </c>
      <c r="W106">
        <v>20</v>
      </c>
      <c r="X106">
        <v>20204324</v>
      </c>
      <c r="Y106" t="s">
        <v>92</v>
      </c>
      <c r="Z106" t="s">
        <v>119</v>
      </c>
      <c r="AA106" t="s">
        <v>32</v>
      </c>
      <c r="AB106" t="s">
        <v>120</v>
      </c>
      <c r="AC106" t="s">
        <v>25</v>
      </c>
      <c r="AD106" t="s">
        <v>121</v>
      </c>
      <c r="AE106">
        <v>30</v>
      </c>
      <c r="AF106" s="1">
        <v>47363</v>
      </c>
      <c r="AG106" t="s">
        <v>26</v>
      </c>
      <c r="AH106" t="s">
        <v>91</v>
      </c>
      <c r="AI106" t="str">
        <f t="shared" si="5"/>
        <v>NO</v>
      </c>
      <c r="AJ106" t="str">
        <f t="shared" si="6"/>
        <v>CLINICOS Y HOSPITALARIOS DE COLOMBIA</v>
      </c>
      <c r="AK106" t="str">
        <f>IF(ISNUMBER(SEARCH("FABRICANTE",AC106)),"FABRICANTE",IF(ISNUMBER(SEARCH("IMPORTADOR",AC106)),"IMPORTADOR","OTRO"))</f>
        <v>FABRICANTE</v>
      </c>
      <c r="AL106" t="str">
        <f>IF(LEFT(Y106,1)="A","Sistema digestivo",IF(LEFT(Y106,1)="B","Sangre",IF(LEFT(Y106,1)="C","Cardiovascular",IF(LEFT(Y106,1)="D","Dermatológico",IF(LEFT(Y106,1)="G","Genitourinario",IF(LEFT(Y106,1)="H","Hormonal",IF(LEFT(Y106,1)="J","Antiinfecciosos",IF(LEFT(Y106,1)="L","Oncológicos",IF(LEFT(Y106,1)="M","Musculoesquelético",IF(LEFT(Y106,1)="N","Sistema nervioso",IF(LEFT(Y106,1)="R","Respiratorio",IF(LEFT(Y106,1)="S","Oftálmico",IF(LEFT(Y106,1)="V","Varios","OTRO")))))))))))))</f>
        <v>Sangre</v>
      </c>
      <c r="AM106" t="str">
        <f>IF(AG106="Vigente","ACTIVO",IF(ISNUMBER(SEARCH("Inactivo",J106)),"INACTIVO","REVISAR"))</f>
        <v>ACTIVO</v>
      </c>
      <c r="AN106">
        <f ca="1">IF(OR(AF106="",AF106="null"),"",ROUND((AF106-TODAY())/365.25,2))</f>
        <v>3.27</v>
      </c>
      <c r="AO106" t="str">
        <f ca="1">IF(AND(AG106="Vigente",OR(AF106="",AF106="null",AF106&gt;TODAY())),"SI",IF(AND(NOT(OR(AF106="",AF106="null")),AF106&lt;=TODAY()),"NO",IF(AG106="Vigente","SI","DESCONOCIDO")))</f>
        <v>SI</v>
      </c>
      <c r="AP106" t="str">
        <f>IF(AND(ISNUMBER(SEARCH("IMPORTAR",AA106)),ISNUMBER(SEARCH("FABRICAR",AA106))),"MIXTO",IF(ISNUMBER(SEARCH("IMPORTAR",AA106)),"IMPORTADO",IF(ISNUMBER(SEARCH("FABRICAR",AA106)),"LOCAL","OTRO")))</f>
        <v>IMPORTADO</v>
      </c>
      <c r="AQ106" t="str">
        <f>IF(AD106="Si","SI",IF(AD106="No","NO",""))</f>
        <v>NO</v>
      </c>
      <c r="AR106" t="str">
        <f>IF(ISNUMBER(SEARCH("®",N106)),"MARCA/INNOVADOR","GENERICO")</f>
        <v>GENERICO</v>
      </c>
      <c r="AS106">
        <f ca="1">IF(AE106&gt;100,RANDBETWEEN(500,5000),IF(AND(AE106&gt;=10,AE106&lt;=100),RANDBETWEEN(100,1000),RANDBETWEEN(10,200)))</f>
        <v>417</v>
      </c>
      <c r="AT106">
        <f t="shared" ca="1" si="7"/>
        <v>62</v>
      </c>
      <c r="AU106">
        <f ca="1">INT(AS106*RANDBETWEEN(120,200)/100)</f>
        <v>650</v>
      </c>
      <c r="AV106" s="2">
        <f ca="1">IF(LEFT(Y106,1)="L",RANDBETWEEN(500000,5000000),IF(LEFT(Y106,1)="C",RANDBETWEEN(5000,50000),IF(LEFT(Y106,1)="N",RANDBETWEEN(10000,150000),IF(LEFT(Y106,1)="J",RANDBETWEEN(8000,200000),RANDBETWEEN(5000,100000)))))</f>
        <v>38829</v>
      </c>
      <c r="AW106" s="2">
        <f ca="1">INT(AV106*RANDBETWEEN(30,60)/100)</f>
        <v>23297</v>
      </c>
      <c r="AX106">
        <f ca="1">IF(Z106="ORAL",RANDBETWEEN(1000,10000),IF(OR(Z106="INTRAVENOSA",Z106="INTRAMUSCULAR"),RANDBETWEEN(100,2000),IF(OR(Z106="OFTÁLMICA",Z106="TOPICA (EXTERNA)"),RANDBETWEEN(200,3000),RANDBETWEEN(100,1500))))</f>
        <v>1826</v>
      </c>
      <c r="AY106" s="2">
        <f ca="1">INT(AV106*RANDBETWEEN(90,130)/100)</f>
        <v>36110</v>
      </c>
      <c r="AZ106" t="str">
        <f t="shared" ca="1" si="8"/>
        <v>19.7%</v>
      </c>
      <c r="BA106" t="str">
        <f t="shared" ca="1" si="9"/>
        <v>MEDIO</v>
      </c>
    </row>
    <row r="107" spans="4:53" x14ac:dyDescent="0.35">
      <c r="D107" t="s">
        <v>989</v>
      </c>
      <c r="E107" s="1">
        <v>39224</v>
      </c>
      <c r="F107" t="s">
        <v>990</v>
      </c>
      <c r="G107" t="s">
        <v>108</v>
      </c>
      <c r="H107" t="s">
        <v>991</v>
      </c>
      <c r="I107">
        <v>19974781</v>
      </c>
      <c r="J107" t="s">
        <v>28</v>
      </c>
      <c r="K107">
        <v>10</v>
      </c>
      <c r="L107" t="s">
        <v>27</v>
      </c>
      <c r="M107" t="s">
        <v>992</v>
      </c>
      <c r="N107" t="s">
        <v>993</v>
      </c>
      <c r="O107" t="s">
        <v>994</v>
      </c>
      <c r="P107" t="s">
        <v>659</v>
      </c>
      <c r="Q107" s="1">
        <v>43053</v>
      </c>
      <c r="R107" t="s">
        <v>37</v>
      </c>
      <c r="S107" t="s">
        <v>27</v>
      </c>
      <c r="T107" t="s">
        <v>991</v>
      </c>
      <c r="U107" t="s">
        <v>115</v>
      </c>
      <c r="V107" t="s">
        <v>995</v>
      </c>
      <c r="W107" s="2">
        <v>6944</v>
      </c>
      <c r="X107">
        <v>19974781</v>
      </c>
      <c r="Y107" t="s">
        <v>996</v>
      </c>
      <c r="Z107" t="s">
        <v>119</v>
      </c>
      <c r="AA107" t="s">
        <v>32</v>
      </c>
      <c r="AB107" t="s">
        <v>120</v>
      </c>
      <c r="AC107" t="s">
        <v>38</v>
      </c>
      <c r="AD107" t="s">
        <v>155</v>
      </c>
      <c r="AE107">
        <v>30</v>
      </c>
      <c r="AF107" t="s">
        <v>27</v>
      </c>
      <c r="AG107" t="s">
        <v>26</v>
      </c>
      <c r="AH107" t="s">
        <v>3846</v>
      </c>
      <c r="AI107" t="str">
        <f t="shared" si="5"/>
        <v>NO</v>
      </c>
      <c r="AJ107" t="str">
        <f t="shared" si="6"/>
        <v>FARMA DE COLOMBIA</v>
      </c>
      <c r="AK107" t="str">
        <f>IF(ISNUMBER(SEARCH("FABRICANTE",AC107)),"FABRICANTE",IF(ISNUMBER(SEARCH("IMPORTADOR",AC107)),"IMPORTADOR","OTRO"))</f>
        <v>IMPORTADOR</v>
      </c>
      <c r="AL107" t="str">
        <f>IF(LEFT(Y107,1)="A","Sistema digestivo",IF(LEFT(Y107,1)="B","Sangre",IF(LEFT(Y107,1)="C","Cardiovascular",IF(LEFT(Y107,1)="D","Dermatológico",IF(LEFT(Y107,1)="G","Genitourinario",IF(LEFT(Y107,1)="H","Hormonal",IF(LEFT(Y107,1)="J","Antiinfecciosos",IF(LEFT(Y107,1)="L","Oncológicos",IF(LEFT(Y107,1)="M","Musculoesquelético",IF(LEFT(Y107,1)="N","Sistema nervioso",IF(LEFT(Y107,1)="R","Respiratorio",IF(LEFT(Y107,1)="S","Oftálmico",IF(LEFT(Y107,1)="V","Varios","OTRO")))))))))))))</f>
        <v>Cardiovascular</v>
      </c>
      <c r="AM107" t="str">
        <f>IF(AG107="Vigente","ACTIVO",IF(ISNUMBER(SEARCH("Inactivo",J107)),"INACTIVO","REVISAR"))</f>
        <v>ACTIVO</v>
      </c>
      <c r="AN107" t="str">
        <f ca="1">IF(OR(AF107="",AF107="null"),"",ROUND((AF107-TODAY())/365.25,2))</f>
        <v/>
      </c>
      <c r="AO107" t="str">
        <f ca="1">IF(AND(AG107="Vigente",OR(AF107="",AF107="null",AF107&gt;TODAY())),"SI",IF(AND(NOT(OR(AF107="",AF107="null")),AF107&lt;=TODAY()),"NO",IF(AG107="Vigente","SI","DESCONOCIDO")))</f>
        <v>SI</v>
      </c>
      <c r="AP107" t="str">
        <f>IF(AND(ISNUMBER(SEARCH("IMPORTAR",AA107)),ISNUMBER(SEARCH("FABRICAR",AA107))),"MIXTO",IF(ISNUMBER(SEARCH("IMPORTAR",AA107)),"IMPORTADO",IF(ISNUMBER(SEARCH("FABRICAR",AA107)),"LOCAL","OTRO")))</f>
        <v>IMPORTADO</v>
      </c>
      <c r="AQ107" t="str">
        <f>IF(AD107="Si","SI",IF(AD107="No","NO",""))</f>
        <v>SI</v>
      </c>
      <c r="AR107" t="str">
        <f>IF(ISNUMBER(SEARCH("®",N107)),"MARCA/INNOVADOR","GENERICO")</f>
        <v>MARCA/INNOVADOR</v>
      </c>
      <c r="AS107">
        <f ca="1">IF(AE107&gt;100,RANDBETWEEN(500,5000),IF(AND(AE107&gt;=10,AE107&lt;=100),RANDBETWEEN(100,1000),RANDBETWEEN(10,200)))</f>
        <v>401</v>
      </c>
      <c r="AT107">
        <f t="shared" ca="1" si="7"/>
        <v>100</v>
      </c>
      <c r="AU107">
        <f ca="1">INT(AS107*RANDBETWEEN(120,200)/100)</f>
        <v>761</v>
      </c>
      <c r="AV107" s="2">
        <f ca="1">IF(LEFT(Y107,1)="L",RANDBETWEEN(500000,5000000),IF(LEFT(Y107,1)="C",RANDBETWEEN(5000,50000),IF(LEFT(Y107,1)="N",RANDBETWEEN(10000,150000),IF(LEFT(Y107,1)="J",RANDBETWEEN(8000,200000),RANDBETWEEN(5000,100000)))))</f>
        <v>23840</v>
      </c>
      <c r="AW107" s="2">
        <f ca="1">INT(AV107*RANDBETWEEN(30,60)/100)</f>
        <v>10489</v>
      </c>
      <c r="AX107">
        <f ca="1">IF(Z107="ORAL",RANDBETWEEN(1000,10000),IF(OR(Z107="INTRAVENOSA",Z107="INTRAMUSCULAR"),RANDBETWEEN(100,2000),IF(OR(Z107="OFTÁLMICA",Z107="TOPICA (EXTERNA)"),RANDBETWEEN(200,3000),RANDBETWEEN(100,1500))))</f>
        <v>9574</v>
      </c>
      <c r="AY107" s="2">
        <f ca="1">INT(AV107*RANDBETWEEN(90,130)/100)</f>
        <v>22409</v>
      </c>
      <c r="AZ107" t="str">
        <f t="shared" ca="1" si="8"/>
        <v>8.5%</v>
      </c>
      <c r="BA107" t="str">
        <f t="shared" ca="1" si="9"/>
        <v>BAJO</v>
      </c>
    </row>
    <row r="108" spans="4:53" x14ac:dyDescent="0.35">
      <c r="D108" t="s">
        <v>997</v>
      </c>
      <c r="E108" s="1">
        <v>39241</v>
      </c>
      <c r="F108" t="s">
        <v>998</v>
      </c>
      <c r="G108" t="s">
        <v>108</v>
      </c>
      <c r="H108" t="s">
        <v>760</v>
      </c>
      <c r="I108">
        <v>19974254</v>
      </c>
      <c r="J108" t="s">
        <v>28</v>
      </c>
      <c r="K108">
        <v>8</v>
      </c>
      <c r="L108" t="s">
        <v>27</v>
      </c>
      <c r="M108" t="s">
        <v>761</v>
      </c>
      <c r="N108" t="s">
        <v>762</v>
      </c>
      <c r="O108" t="s">
        <v>763</v>
      </c>
      <c r="P108" t="s">
        <v>764</v>
      </c>
      <c r="Q108" s="1">
        <v>44046</v>
      </c>
      <c r="R108" t="s">
        <v>211</v>
      </c>
      <c r="S108" t="s">
        <v>27</v>
      </c>
      <c r="T108" t="s">
        <v>51</v>
      </c>
      <c r="U108" t="s">
        <v>247</v>
      </c>
      <c r="V108" t="s">
        <v>765</v>
      </c>
      <c r="W108">
        <v>4</v>
      </c>
      <c r="X108">
        <v>19974254</v>
      </c>
      <c r="Y108" t="s">
        <v>766</v>
      </c>
      <c r="Z108" t="s">
        <v>213</v>
      </c>
      <c r="AA108" t="s">
        <v>32</v>
      </c>
      <c r="AB108" t="s">
        <v>120</v>
      </c>
      <c r="AC108" t="s">
        <v>25</v>
      </c>
      <c r="AD108" t="s">
        <v>121</v>
      </c>
      <c r="AE108">
        <v>10</v>
      </c>
      <c r="AF108" t="s">
        <v>27</v>
      </c>
      <c r="AG108" t="s">
        <v>26</v>
      </c>
      <c r="AH108" t="s">
        <v>6622</v>
      </c>
      <c r="AI108" t="str">
        <f t="shared" si="5"/>
        <v>SI</v>
      </c>
      <c r="AJ108" t="str">
        <f t="shared" si="6"/>
        <v>BLAU FARMACÉUTICA COLOMBIA</v>
      </c>
      <c r="AK108" t="str">
        <f>IF(ISNUMBER(SEARCH("FABRICANTE",AC108)),"FABRICANTE",IF(ISNUMBER(SEARCH("IMPORTADOR",AC108)),"IMPORTADOR","OTRO"))</f>
        <v>FABRICANTE</v>
      </c>
      <c r="AL108" t="str">
        <f>IF(LEFT(Y108,1)="A","Sistema digestivo",IF(LEFT(Y108,1)="B","Sangre",IF(LEFT(Y108,1)="C","Cardiovascular",IF(LEFT(Y108,1)="D","Dermatológico",IF(LEFT(Y108,1)="G","Genitourinario",IF(LEFT(Y108,1)="H","Hormonal",IF(LEFT(Y108,1)="J","Antiinfecciosos",IF(LEFT(Y108,1)="L","Oncológicos",IF(LEFT(Y108,1)="M","Musculoesquelético",IF(LEFT(Y108,1)="N","Sistema nervioso",IF(LEFT(Y108,1)="R","Respiratorio",IF(LEFT(Y108,1)="S","Oftálmico",IF(LEFT(Y108,1)="V","Varios","OTRO")))))))))))))</f>
        <v>Antiinfecciosos</v>
      </c>
      <c r="AM108" t="str">
        <f>IF(AG108="Vigente","ACTIVO",IF(ISNUMBER(SEARCH("Inactivo",J108)),"INACTIVO","REVISAR"))</f>
        <v>ACTIVO</v>
      </c>
      <c r="AN108" t="str">
        <f ca="1">IF(OR(AF108="",AF108="null"),"",ROUND((AF108-TODAY())/365.25,2))</f>
        <v/>
      </c>
      <c r="AO108" t="str">
        <f ca="1">IF(AND(AG108="Vigente",OR(AF108="",AF108="null",AF108&gt;TODAY())),"SI",IF(AND(NOT(OR(AF108="",AF108="null")),AF108&lt;=TODAY()),"NO",IF(AG108="Vigente","SI","DESCONOCIDO")))</f>
        <v>SI</v>
      </c>
      <c r="AP108" t="str">
        <f>IF(AND(ISNUMBER(SEARCH("IMPORTAR",AA108)),ISNUMBER(SEARCH("FABRICAR",AA108))),"MIXTO",IF(ISNUMBER(SEARCH("IMPORTAR",AA108)),"IMPORTADO",IF(ISNUMBER(SEARCH("FABRICAR",AA108)),"LOCAL","OTRO")))</f>
        <v>IMPORTADO</v>
      </c>
      <c r="AQ108" t="str">
        <f>IF(AD108="Si","SI",IF(AD108="No","NO",""))</f>
        <v>NO</v>
      </c>
      <c r="AR108" t="str">
        <f>IF(ISNUMBER(SEARCH("®",N108)),"MARCA/INNOVADOR","GENERICO")</f>
        <v>MARCA/INNOVADOR</v>
      </c>
      <c r="AS108">
        <f ca="1">IF(AE108&gt;100,RANDBETWEEN(500,5000),IF(AND(AE108&gt;=10,AE108&lt;=100),RANDBETWEEN(100,1000),RANDBETWEEN(10,200)))</f>
        <v>800</v>
      </c>
      <c r="AT108">
        <f t="shared" ca="1" si="7"/>
        <v>80</v>
      </c>
      <c r="AU108">
        <f ca="1">INT(AS108*RANDBETWEEN(120,200)/100)</f>
        <v>1296</v>
      </c>
      <c r="AV108" s="2">
        <f ca="1">IF(LEFT(Y108,1)="L",RANDBETWEEN(500000,5000000),IF(LEFT(Y108,1)="C",RANDBETWEEN(5000,50000),IF(LEFT(Y108,1)="N",RANDBETWEEN(10000,150000),IF(LEFT(Y108,1)="J",RANDBETWEEN(8000,200000),RANDBETWEEN(5000,100000)))))</f>
        <v>88485</v>
      </c>
      <c r="AW108" s="2">
        <f ca="1">INT(AV108*RANDBETWEEN(30,60)/100)</f>
        <v>53091</v>
      </c>
      <c r="AX108">
        <f ca="1">IF(Z108="ORAL",RANDBETWEEN(1000,10000),IF(OR(Z108="INTRAVENOSA",Z108="INTRAMUSCULAR"),RANDBETWEEN(100,2000),IF(OR(Z108="OFTÁLMICA",Z108="TOPICA (EXTERNA)"),RANDBETWEEN(200,3000),RANDBETWEEN(100,1500))))</f>
        <v>1372</v>
      </c>
      <c r="AY108" s="2">
        <f ca="1">INT(AV108*RANDBETWEEN(90,130)/100)</f>
        <v>79636</v>
      </c>
      <c r="AZ108" t="str">
        <f t="shared" ca="1" si="8"/>
        <v>1.4%</v>
      </c>
      <c r="BA108" t="str">
        <f t="shared" ca="1" si="9"/>
        <v>BAJO</v>
      </c>
    </row>
    <row r="109" spans="4:53" x14ac:dyDescent="0.35">
      <c r="D109" t="s">
        <v>999</v>
      </c>
      <c r="E109" s="1">
        <v>38635</v>
      </c>
      <c r="F109" t="s">
        <v>1000</v>
      </c>
      <c r="G109" t="s">
        <v>108</v>
      </c>
      <c r="H109" t="s">
        <v>1001</v>
      </c>
      <c r="I109">
        <v>19955272</v>
      </c>
      <c r="J109" t="s">
        <v>28</v>
      </c>
      <c r="K109">
        <v>17</v>
      </c>
      <c r="L109" t="s">
        <v>27</v>
      </c>
      <c r="M109" t="s">
        <v>1002</v>
      </c>
      <c r="N109" t="s">
        <v>1003</v>
      </c>
      <c r="O109" t="s">
        <v>1004</v>
      </c>
      <c r="P109" t="s">
        <v>1005</v>
      </c>
      <c r="Q109" s="1">
        <v>45821</v>
      </c>
      <c r="R109" t="s">
        <v>47</v>
      </c>
      <c r="S109" t="s">
        <v>27</v>
      </c>
      <c r="T109" t="s">
        <v>1006</v>
      </c>
      <c r="U109" t="s">
        <v>115</v>
      </c>
      <c r="V109" t="s">
        <v>1007</v>
      </c>
      <c r="W109" s="2">
        <v>17858</v>
      </c>
      <c r="X109">
        <v>19955272</v>
      </c>
      <c r="Y109" t="s">
        <v>1008</v>
      </c>
      <c r="Z109" t="s">
        <v>119</v>
      </c>
      <c r="AA109" t="s">
        <v>32</v>
      </c>
      <c r="AB109" t="s">
        <v>120</v>
      </c>
      <c r="AC109" t="s">
        <v>38</v>
      </c>
      <c r="AD109" t="s">
        <v>121</v>
      </c>
      <c r="AE109">
        <v>14</v>
      </c>
      <c r="AF109" t="s">
        <v>27</v>
      </c>
      <c r="AG109" t="s">
        <v>26</v>
      </c>
      <c r="AH109" t="s">
        <v>1007</v>
      </c>
      <c r="AI109" t="str">
        <f t="shared" si="5"/>
        <v>SI</v>
      </c>
      <c r="AJ109" t="str">
        <f t="shared" si="6"/>
        <v>ASPEN LABS. MEXICO</v>
      </c>
      <c r="AK109" t="str">
        <f>IF(ISNUMBER(SEARCH("FABRICANTE",AC109)),"FABRICANTE",IF(ISNUMBER(SEARCH("IMPORTADOR",AC109)),"IMPORTADOR","OTRO"))</f>
        <v>IMPORTADOR</v>
      </c>
      <c r="AL109" t="str">
        <f>IF(LEFT(Y109,1)="A","Sistema digestivo",IF(LEFT(Y109,1)="B","Sangre",IF(LEFT(Y109,1)="C","Cardiovascular",IF(LEFT(Y109,1)="D","Dermatológico",IF(LEFT(Y109,1)="G","Genitourinario",IF(LEFT(Y109,1)="H","Hormonal",IF(LEFT(Y109,1)="J","Antiinfecciosos",IF(LEFT(Y109,1)="L","Oncológicos",IF(LEFT(Y109,1)="M","Musculoesquelético",IF(LEFT(Y109,1)="N","Sistema nervioso",IF(LEFT(Y109,1)="R","Respiratorio",IF(LEFT(Y109,1)="S","Oftálmico",IF(LEFT(Y109,1)="V","Varios","OTRO")))))))))))))</f>
        <v>Genitourinario</v>
      </c>
      <c r="AM109" t="str">
        <f>IF(AG109="Vigente","ACTIVO",IF(ISNUMBER(SEARCH("Inactivo",J109)),"INACTIVO","REVISAR"))</f>
        <v>ACTIVO</v>
      </c>
      <c r="AN109" t="str">
        <f ca="1">IF(OR(AF109="",AF109="null"),"",ROUND((AF109-TODAY())/365.25,2))</f>
        <v/>
      </c>
      <c r="AO109" t="str">
        <f ca="1">IF(AND(AG109="Vigente",OR(AF109="",AF109="null",AF109&gt;TODAY())),"SI",IF(AND(NOT(OR(AF109="",AF109="null")),AF109&lt;=TODAY()),"NO",IF(AG109="Vigente","SI","DESCONOCIDO")))</f>
        <v>SI</v>
      </c>
      <c r="AP109" t="str">
        <f>IF(AND(ISNUMBER(SEARCH("IMPORTAR",AA109)),ISNUMBER(SEARCH("FABRICAR",AA109))),"MIXTO",IF(ISNUMBER(SEARCH("IMPORTAR",AA109)),"IMPORTADO",IF(ISNUMBER(SEARCH("FABRICAR",AA109)),"LOCAL","OTRO")))</f>
        <v>IMPORTADO</v>
      </c>
      <c r="AQ109" t="str">
        <f>IF(AD109="Si","SI",IF(AD109="No","NO",""))</f>
        <v>NO</v>
      </c>
      <c r="AR109" t="str">
        <f>IF(ISNUMBER(SEARCH("®",N109)),"MARCA/INNOVADOR","GENERICO")</f>
        <v>MARCA/INNOVADOR</v>
      </c>
      <c r="AS109">
        <f ca="1">IF(AE109&gt;100,RANDBETWEEN(500,5000),IF(AND(AE109&gt;=10,AE109&lt;=100),RANDBETWEEN(100,1000),RANDBETWEEN(10,200)))</f>
        <v>286</v>
      </c>
      <c r="AT109">
        <f t="shared" ca="1" si="7"/>
        <v>45</v>
      </c>
      <c r="AU109">
        <f ca="1">INT(AS109*RANDBETWEEN(120,200)/100)</f>
        <v>540</v>
      </c>
      <c r="AV109" s="2">
        <f ca="1">IF(LEFT(Y109,1)="L",RANDBETWEEN(500000,5000000),IF(LEFT(Y109,1)="C",RANDBETWEEN(5000,50000),IF(LEFT(Y109,1)="N",RANDBETWEEN(10000,150000),IF(LEFT(Y109,1)="J",RANDBETWEEN(8000,200000),RANDBETWEEN(5000,100000)))))</f>
        <v>57210</v>
      </c>
      <c r="AW109" s="2">
        <f ca="1">INT(AV109*RANDBETWEEN(30,60)/100)</f>
        <v>30893</v>
      </c>
      <c r="AX109">
        <f ca="1">IF(Z109="ORAL",RANDBETWEEN(1000,10000),IF(OR(Z109="INTRAVENOSA",Z109="INTRAMUSCULAR"),RANDBETWEEN(100,2000),IF(OR(Z109="OFTÁLMICA",Z109="TOPICA (EXTERNA)"),RANDBETWEEN(200,3000),RANDBETWEEN(100,1500))))</f>
        <v>7633</v>
      </c>
      <c r="AY109" s="2">
        <f ca="1">INT(AV109*RANDBETWEEN(90,130)/100)</f>
        <v>58926</v>
      </c>
      <c r="AZ109" t="str">
        <f t="shared" ca="1" si="8"/>
        <v>8.6%</v>
      </c>
      <c r="BA109" t="str">
        <f t="shared" ca="1" si="9"/>
        <v>BAJO</v>
      </c>
    </row>
    <row r="110" spans="4:53" x14ac:dyDescent="0.35">
      <c r="D110" t="s">
        <v>1009</v>
      </c>
      <c r="E110" s="1">
        <v>36623</v>
      </c>
      <c r="F110" t="s">
        <v>1010</v>
      </c>
      <c r="G110" t="s">
        <v>108</v>
      </c>
      <c r="H110" t="s">
        <v>1011</v>
      </c>
      <c r="I110">
        <v>37223</v>
      </c>
      <c r="J110" t="s">
        <v>28</v>
      </c>
      <c r="K110">
        <v>17</v>
      </c>
      <c r="L110" t="s">
        <v>27</v>
      </c>
      <c r="M110" t="s">
        <v>1012</v>
      </c>
      <c r="N110" t="s">
        <v>1013</v>
      </c>
      <c r="O110" t="s">
        <v>1014</v>
      </c>
      <c r="P110" t="s">
        <v>553</v>
      </c>
      <c r="Q110" s="1">
        <v>41149</v>
      </c>
      <c r="R110" t="s">
        <v>78</v>
      </c>
      <c r="S110" s="1">
        <v>45602</v>
      </c>
      <c r="T110" t="s">
        <v>958</v>
      </c>
      <c r="U110" t="s">
        <v>247</v>
      </c>
      <c r="V110" t="s">
        <v>1015</v>
      </c>
      <c r="W110">
        <v>4</v>
      </c>
      <c r="X110">
        <v>37223</v>
      </c>
      <c r="Y110" t="s">
        <v>1016</v>
      </c>
      <c r="Z110" t="s">
        <v>119</v>
      </c>
      <c r="AA110" t="s">
        <v>24</v>
      </c>
      <c r="AB110" t="s">
        <v>250</v>
      </c>
      <c r="AC110" t="s">
        <v>25</v>
      </c>
      <c r="AD110" t="s">
        <v>121</v>
      </c>
      <c r="AE110">
        <v>1</v>
      </c>
      <c r="AF110" s="1">
        <v>401769</v>
      </c>
      <c r="AG110" t="s">
        <v>26</v>
      </c>
      <c r="AH110" t="s">
        <v>6742</v>
      </c>
      <c r="AI110" t="str">
        <f t="shared" si="5"/>
        <v>SI</v>
      </c>
      <c r="AJ110" t="str">
        <f t="shared" si="6"/>
        <v>EUROFARMA COLOMBIA</v>
      </c>
      <c r="AK110" t="str">
        <f>IF(ISNUMBER(SEARCH("FABRICANTE",AC110)),"FABRICANTE",IF(ISNUMBER(SEARCH("IMPORTADOR",AC110)),"IMPORTADOR","OTRO"))</f>
        <v>FABRICANTE</v>
      </c>
      <c r="AL110" t="str">
        <f>IF(LEFT(Y110,1)="A","Sistema digestivo",IF(LEFT(Y110,1)="B","Sangre",IF(LEFT(Y110,1)="C","Cardiovascular",IF(LEFT(Y110,1)="D","Dermatológico",IF(LEFT(Y110,1)="G","Genitourinario",IF(LEFT(Y110,1)="H","Hormonal",IF(LEFT(Y110,1)="J","Antiinfecciosos",IF(LEFT(Y110,1)="L","Oncológicos",IF(LEFT(Y110,1)="M","Musculoesquelético",IF(LEFT(Y110,1)="N","Sistema nervioso",IF(LEFT(Y110,1)="R","Respiratorio",IF(LEFT(Y110,1)="S","Oftálmico",IF(LEFT(Y110,1)="V","Varios","OTRO")))))))))))))</f>
        <v>Sistema digestivo</v>
      </c>
      <c r="AM110" t="str">
        <f>IF(AG110="Vigente","ACTIVO",IF(ISNUMBER(SEARCH("Inactivo",J110)),"INACTIVO","REVISAR"))</f>
        <v>ACTIVO</v>
      </c>
      <c r="AN110">
        <f ca="1">IF(OR(AF110="",AF110="null"),"",ROUND((AF110-TODAY())/365.25,2))</f>
        <v>973.58</v>
      </c>
      <c r="AO110" t="str">
        <f ca="1">IF(AND(AG110="Vigente",OR(AF110="",AF110="null",AF110&gt;TODAY())),"SI",IF(AND(NOT(OR(AF110="",AF110="null")),AF110&lt;=TODAY()),"NO",IF(AG110="Vigente","SI","DESCONOCIDO")))</f>
        <v>SI</v>
      </c>
      <c r="AP110" t="str">
        <f>IF(AND(ISNUMBER(SEARCH("IMPORTAR",AA110)),ISNUMBER(SEARCH("FABRICAR",AA110))),"MIXTO",IF(ISNUMBER(SEARCH("IMPORTAR",AA110)),"IMPORTADO",IF(ISNUMBER(SEARCH("FABRICAR",AA110)),"LOCAL","OTRO")))</f>
        <v>LOCAL</v>
      </c>
      <c r="AQ110" t="str">
        <f>IF(AD110="Si","SI",IF(AD110="No","NO",""))</f>
        <v>NO</v>
      </c>
      <c r="AR110" t="str">
        <f>IF(ISNUMBER(SEARCH("®",N110)),"MARCA/INNOVADOR","GENERICO")</f>
        <v>MARCA/INNOVADOR</v>
      </c>
      <c r="AS110">
        <f ca="1">IF(AE110&gt;100,RANDBETWEEN(500,5000),IF(AND(AE110&gt;=10,AE110&lt;=100),RANDBETWEEN(100,1000),RANDBETWEEN(10,200)))</f>
        <v>182</v>
      </c>
      <c r="AT110">
        <f t="shared" ca="1" si="7"/>
        <v>54</v>
      </c>
      <c r="AU110">
        <f ca="1">INT(AS110*RANDBETWEEN(120,200)/100)</f>
        <v>296</v>
      </c>
      <c r="AV110" s="2">
        <f ca="1">IF(LEFT(Y110,1)="L",RANDBETWEEN(500000,5000000),IF(LEFT(Y110,1)="C",RANDBETWEEN(5000,50000),IF(LEFT(Y110,1)="N",RANDBETWEEN(10000,150000),IF(LEFT(Y110,1)="J",RANDBETWEEN(8000,200000),RANDBETWEEN(5000,100000)))))</f>
        <v>94573</v>
      </c>
      <c r="AW110" s="2">
        <f ca="1">INT(AV110*RANDBETWEEN(30,60)/100)</f>
        <v>41612</v>
      </c>
      <c r="AX110">
        <f ca="1">IF(Z110="ORAL",RANDBETWEEN(1000,10000),IF(OR(Z110="INTRAVENOSA",Z110="INTRAMUSCULAR"),RANDBETWEEN(100,2000),IF(OR(Z110="OFTÁLMICA",Z110="TOPICA (EXTERNA)"),RANDBETWEEN(200,3000),RANDBETWEEN(100,1500))))</f>
        <v>9129</v>
      </c>
      <c r="AY110" s="2">
        <f ca="1">INT(AV110*RANDBETWEEN(90,130)/100)</f>
        <v>120107</v>
      </c>
      <c r="AZ110" t="str">
        <f t="shared" ca="1" si="8"/>
        <v>23.9%</v>
      </c>
      <c r="BA110" t="str">
        <f t="shared" ca="1" si="9"/>
        <v>BAJO</v>
      </c>
    </row>
    <row r="111" spans="4:53" x14ac:dyDescent="0.35">
      <c r="D111" t="s">
        <v>1017</v>
      </c>
      <c r="E111" s="1">
        <v>41932</v>
      </c>
      <c r="F111" t="s">
        <v>1018</v>
      </c>
      <c r="G111" t="s">
        <v>108</v>
      </c>
      <c r="H111" t="s">
        <v>1019</v>
      </c>
      <c r="I111">
        <v>20067385</v>
      </c>
      <c r="J111" t="s">
        <v>28</v>
      </c>
      <c r="K111">
        <v>1</v>
      </c>
      <c r="L111" t="s">
        <v>27</v>
      </c>
      <c r="M111" t="s">
        <v>1020</v>
      </c>
      <c r="N111" t="s">
        <v>1021</v>
      </c>
      <c r="O111" t="s">
        <v>1022</v>
      </c>
      <c r="P111" t="s">
        <v>29</v>
      </c>
      <c r="Q111" s="1">
        <v>41738</v>
      </c>
      <c r="R111" t="s">
        <v>495</v>
      </c>
      <c r="S111" t="s">
        <v>27</v>
      </c>
      <c r="T111" t="s">
        <v>1019</v>
      </c>
      <c r="U111" t="s">
        <v>115</v>
      </c>
      <c r="V111" t="s">
        <v>1018</v>
      </c>
      <c r="W111">
        <v>10</v>
      </c>
      <c r="X111">
        <v>20067385</v>
      </c>
      <c r="Y111" t="s">
        <v>1023</v>
      </c>
      <c r="Z111" t="s">
        <v>499</v>
      </c>
      <c r="AA111" t="s">
        <v>24</v>
      </c>
      <c r="AB111" t="s">
        <v>120</v>
      </c>
      <c r="AC111" t="s">
        <v>25</v>
      </c>
      <c r="AD111" t="s">
        <v>121</v>
      </c>
      <c r="AE111">
        <v>10</v>
      </c>
      <c r="AF111" t="s">
        <v>27</v>
      </c>
      <c r="AG111" t="s">
        <v>26</v>
      </c>
      <c r="AH111" t="s">
        <v>1018</v>
      </c>
      <c r="AI111" t="str">
        <f t="shared" si="5"/>
        <v>NO</v>
      </c>
      <c r="AJ111" t="str">
        <f t="shared" si="6"/>
        <v>LABORATORIOS NEOLTDA.</v>
      </c>
      <c r="AK111" t="str">
        <f>IF(ISNUMBER(SEARCH("FABRICANTE",AC111)),"FABRICANTE",IF(ISNUMBER(SEARCH("IMPORTADOR",AC111)),"IMPORTADOR","OTRO"))</f>
        <v>FABRICANTE</v>
      </c>
      <c r="AL111" t="str">
        <f>IF(LEFT(Y111,1)="A","Sistema digestivo",IF(LEFT(Y111,1)="B","Sangre",IF(LEFT(Y111,1)="C","Cardiovascular",IF(LEFT(Y111,1)="D","Dermatológico",IF(LEFT(Y111,1)="G","Genitourinario",IF(LEFT(Y111,1)="H","Hormonal",IF(LEFT(Y111,1)="J","Antiinfecciosos",IF(LEFT(Y111,1)="L","Oncológicos",IF(LEFT(Y111,1)="M","Musculoesquelético",IF(LEFT(Y111,1)="N","Sistema nervioso",IF(LEFT(Y111,1)="R","Respiratorio",IF(LEFT(Y111,1)="S","Oftálmico",IF(LEFT(Y111,1)="V","Varios","OTRO")))))))))))))</f>
        <v>Respiratorio</v>
      </c>
      <c r="AM111" t="str">
        <f>IF(AG111="Vigente","ACTIVO",IF(ISNUMBER(SEARCH("Inactivo",J111)),"INACTIVO","REVISAR"))</f>
        <v>ACTIVO</v>
      </c>
      <c r="AN111" t="str">
        <f ca="1">IF(OR(AF111="",AF111="null"),"",ROUND((AF111-TODAY())/365.25,2))</f>
        <v/>
      </c>
      <c r="AO111" t="str">
        <f ca="1">IF(AND(AG111="Vigente",OR(AF111="",AF111="null",AF111&gt;TODAY())),"SI",IF(AND(NOT(OR(AF111="",AF111="null")),AF111&lt;=TODAY()),"NO",IF(AG111="Vigente","SI","DESCONOCIDO")))</f>
        <v>SI</v>
      </c>
      <c r="AP111" t="str">
        <f>IF(AND(ISNUMBER(SEARCH("IMPORTAR",AA111)),ISNUMBER(SEARCH("FABRICAR",AA111))),"MIXTO",IF(ISNUMBER(SEARCH("IMPORTAR",AA111)),"IMPORTADO",IF(ISNUMBER(SEARCH("FABRICAR",AA111)),"LOCAL","OTRO")))</f>
        <v>LOCAL</v>
      </c>
      <c r="AQ111" t="str">
        <f>IF(AD111="Si","SI",IF(AD111="No","NO",""))</f>
        <v>NO</v>
      </c>
      <c r="AR111" t="str">
        <f>IF(ISNUMBER(SEARCH("®",N111)),"MARCA/INNOVADOR","GENERICO")</f>
        <v>GENERICO</v>
      </c>
      <c r="AS111">
        <f ca="1">IF(AE111&gt;100,RANDBETWEEN(500,5000),IF(AND(AE111&gt;=10,AE111&lt;=100),RANDBETWEEN(100,1000),RANDBETWEEN(10,200)))</f>
        <v>276</v>
      </c>
      <c r="AT111">
        <f t="shared" ca="1" si="7"/>
        <v>41</v>
      </c>
      <c r="AU111">
        <f ca="1">INT(AS111*RANDBETWEEN(120,200)/100)</f>
        <v>444</v>
      </c>
      <c r="AV111" s="2">
        <f ca="1">IF(LEFT(Y111,1)="L",RANDBETWEEN(500000,5000000),IF(LEFT(Y111,1)="C",RANDBETWEEN(5000,50000),IF(LEFT(Y111,1)="N",RANDBETWEEN(10000,150000),IF(LEFT(Y111,1)="J",RANDBETWEEN(8000,200000),RANDBETWEEN(5000,100000)))))</f>
        <v>40444</v>
      </c>
      <c r="AW111" s="2">
        <f ca="1">INT(AV111*RANDBETWEEN(30,60)/100)</f>
        <v>20626</v>
      </c>
      <c r="AX111">
        <f ca="1">IF(Z111="ORAL",RANDBETWEEN(1000,10000),IF(OR(Z111="INTRAVENOSA",Z111="INTRAMUSCULAR"),RANDBETWEEN(100,2000),IF(OR(Z111="OFTÁLMICA",Z111="TOPICA (EXTERNA)"),RANDBETWEEN(200,3000),RANDBETWEEN(100,1500))))</f>
        <v>1392</v>
      </c>
      <c r="AY111" s="2">
        <f ca="1">INT(AV111*RANDBETWEEN(90,130)/100)</f>
        <v>38017</v>
      </c>
      <c r="AZ111" t="str">
        <f t="shared" ca="1" si="8"/>
        <v>6%</v>
      </c>
      <c r="BA111" t="str">
        <f t="shared" ca="1" si="9"/>
        <v>BAJO</v>
      </c>
    </row>
    <row r="112" spans="4:53" x14ac:dyDescent="0.35">
      <c r="D112" t="s">
        <v>1024</v>
      </c>
      <c r="E112" s="1">
        <v>40595</v>
      </c>
      <c r="F112" t="s">
        <v>1025</v>
      </c>
      <c r="G112" t="s">
        <v>108</v>
      </c>
      <c r="H112" t="s">
        <v>1026</v>
      </c>
      <c r="I112">
        <v>20015718</v>
      </c>
      <c r="J112" t="s">
        <v>110</v>
      </c>
      <c r="K112">
        <v>7</v>
      </c>
      <c r="L112" t="s">
        <v>27</v>
      </c>
      <c r="M112" t="s">
        <v>1027</v>
      </c>
      <c r="N112" t="s">
        <v>1028</v>
      </c>
      <c r="O112" t="s">
        <v>1029</v>
      </c>
      <c r="P112" t="s">
        <v>181</v>
      </c>
      <c r="Q112" s="1">
        <v>42069</v>
      </c>
      <c r="R112" t="s">
        <v>37</v>
      </c>
      <c r="S112" s="1">
        <v>42300</v>
      </c>
      <c r="T112" t="s">
        <v>1030</v>
      </c>
      <c r="U112" t="s">
        <v>115</v>
      </c>
      <c r="V112" t="s">
        <v>1031</v>
      </c>
      <c r="W112">
        <v>150</v>
      </c>
      <c r="X112">
        <v>20015718</v>
      </c>
      <c r="Y112" t="s">
        <v>1032</v>
      </c>
      <c r="Z112" t="s">
        <v>119</v>
      </c>
      <c r="AA112" t="s">
        <v>32</v>
      </c>
      <c r="AB112" t="s">
        <v>120</v>
      </c>
      <c r="AC112" t="s">
        <v>25</v>
      </c>
      <c r="AD112" t="s">
        <v>155</v>
      </c>
      <c r="AE112">
        <v>60</v>
      </c>
      <c r="AF112" t="s">
        <v>27</v>
      </c>
      <c r="AG112" t="s">
        <v>26</v>
      </c>
      <c r="AH112" t="s">
        <v>6623</v>
      </c>
      <c r="AI112" t="str">
        <f t="shared" si="5"/>
        <v>SI</v>
      </c>
      <c r="AJ112" t="str">
        <f t="shared" si="6"/>
        <v>BOEHRINGER INGELHEIM INTERNATIONAL</v>
      </c>
      <c r="AK112" t="str">
        <f>IF(ISNUMBER(SEARCH("FABRICANTE",AC112)),"FABRICANTE",IF(ISNUMBER(SEARCH("IMPORTADOR",AC112)),"IMPORTADOR","OTRO"))</f>
        <v>FABRICANTE</v>
      </c>
      <c r="AL112" t="str">
        <f>IF(LEFT(Y112,1)="A","Sistema digestivo",IF(LEFT(Y112,1)="B","Sangre",IF(LEFT(Y112,1)="C","Cardiovascular",IF(LEFT(Y112,1)="D","Dermatológico",IF(LEFT(Y112,1)="G","Genitourinario",IF(LEFT(Y112,1)="H","Hormonal",IF(LEFT(Y112,1)="J","Antiinfecciosos",IF(LEFT(Y112,1)="L","Oncológicos",IF(LEFT(Y112,1)="M","Musculoesquelético",IF(LEFT(Y112,1)="N","Sistema nervioso",IF(LEFT(Y112,1)="R","Respiratorio",IF(LEFT(Y112,1)="S","Oftálmico",IF(LEFT(Y112,1)="V","Varios","OTRO")))))))))))))</f>
        <v>Sangre</v>
      </c>
      <c r="AM112" t="str">
        <f>IF(AG112="Vigente","ACTIVO",IF(ISNUMBER(SEARCH("Inactivo",J112)),"INACTIVO","REVISAR"))</f>
        <v>ACTIVO</v>
      </c>
      <c r="AN112" t="str">
        <f ca="1">IF(OR(AF112="",AF112="null"),"",ROUND((AF112-TODAY())/365.25,2))</f>
        <v/>
      </c>
      <c r="AO112" t="str">
        <f ca="1">IF(AND(AG112="Vigente",OR(AF112="",AF112="null",AF112&gt;TODAY())),"SI",IF(AND(NOT(OR(AF112="",AF112="null")),AF112&lt;=TODAY()),"NO",IF(AG112="Vigente","SI","DESCONOCIDO")))</f>
        <v>SI</v>
      </c>
      <c r="AP112" t="str">
        <f>IF(AND(ISNUMBER(SEARCH("IMPORTAR",AA112)),ISNUMBER(SEARCH("FABRICAR",AA112))),"MIXTO",IF(ISNUMBER(SEARCH("IMPORTAR",AA112)),"IMPORTADO",IF(ISNUMBER(SEARCH("FABRICAR",AA112)),"LOCAL","OTRO")))</f>
        <v>IMPORTADO</v>
      </c>
      <c r="AQ112" t="str">
        <f>IF(AD112="Si","SI",IF(AD112="No","NO",""))</f>
        <v>SI</v>
      </c>
      <c r="AR112" t="str">
        <f>IF(ISNUMBER(SEARCH("®",N112)),"MARCA/INNOVADOR","GENERICO")</f>
        <v>MARCA/INNOVADOR</v>
      </c>
      <c r="AS112">
        <f ca="1">IF(AE112&gt;100,RANDBETWEEN(500,5000),IF(AND(AE112&gt;=10,AE112&lt;=100),RANDBETWEEN(100,1000),RANDBETWEEN(10,200)))</f>
        <v>100</v>
      </c>
      <c r="AT112">
        <f t="shared" ca="1" si="7"/>
        <v>16</v>
      </c>
      <c r="AU112">
        <f ca="1">INT(AS112*RANDBETWEEN(120,200)/100)</f>
        <v>137</v>
      </c>
      <c r="AV112" s="2">
        <f ca="1">IF(LEFT(Y112,1)="L",RANDBETWEEN(500000,5000000),IF(LEFT(Y112,1)="C",RANDBETWEEN(5000,50000),IF(LEFT(Y112,1)="N",RANDBETWEEN(10000,150000),IF(LEFT(Y112,1)="J",RANDBETWEEN(8000,200000),RANDBETWEEN(5000,100000)))))</f>
        <v>34497</v>
      </c>
      <c r="AW112" s="2">
        <f ca="1">INT(AV112*RANDBETWEEN(30,60)/100)</f>
        <v>15178</v>
      </c>
      <c r="AX112">
        <f ca="1">IF(Z112="ORAL",RANDBETWEEN(1000,10000),IF(OR(Z112="INTRAVENOSA",Z112="INTRAMUSCULAR"),RANDBETWEEN(100,2000),IF(OR(Z112="OFTÁLMICA",Z112="TOPICA (EXTERNA)"),RANDBETWEEN(200,3000),RANDBETWEEN(100,1500))))</f>
        <v>4021</v>
      </c>
      <c r="AY112" s="2">
        <f ca="1">INT(AV112*RANDBETWEEN(90,130)/100)</f>
        <v>44501</v>
      </c>
      <c r="AZ112" t="str">
        <f t="shared" ca="1" si="8"/>
        <v>17.6%</v>
      </c>
      <c r="BA112" t="str">
        <f t="shared" ca="1" si="9"/>
        <v>ALTO</v>
      </c>
    </row>
    <row r="113" spans="4:53" x14ac:dyDescent="0.35">
      <c r="D113" t="s">
        <v>1033</v>
      </c>
      <c r="E113" s="1">
        <v>45184</v>
      </c>
      <c r="F113" t="s">
        <v>1034</v>
      </c>
      <c r="G113" t="s">
        <v>108</v>
      </c>
      <c r="H113" t="s">
        <v>1035</v>
      </c>
      <c r="I113">
        <v>20208606</v>
      </c>
      <c r="J113" t="s">
        <v>28</v>
      </c>
      <c r="K113">
        <v>2</v>
      </c>
      <c r="L113" t="s">
        <v>1036</v>
      </c>
      <c r="M113" t="s">
        <v>1037</v>
      </c>
      <c r="N113" t="s">
        <v>1038</v>
      </c>
      <c r="O113" t="s">
        <v>1039</v>
      </c>
      <c r="P113" t="s">
        <v>601</v>
      </c>
      <c r="Q113" s="1">
        <v>44921</v>
      </c>
      <c r="R113" t="s">
        <v>211</v>
      </c>
      <c r="S113" t="s">
        <v>27</v>
      </c>
      <c r="T113" t="s">
        <v>1035</v>
      </c>
      <c r="U113" t="s">
        <v>247</v>
      </c>
      <c r="V113" t="s">
        <v>205</v>
      </c>
      <c r="W113">
        <v>1</v>
      </c>
      <c r="X113">
        <v>20208606</v>
      </c>
      <c r="Y113" t="s">
        <v>212</v>
      </c>
      <c r="Z113" t="s">
        <v>213</v>
      </c>
      <c r="AA113" t="s">
        <v>32</v>
      </c>
      <c r="AB113" t="s">
        <v>120</v>
      </c>
      <c r="AC113" t="s">
        <v>38</v>
      </c>
      <c r="AD113" t="s">
        <v>121</v>
      </c>
      <c r="AE113">
        <v>10</v>
      </c>
      <c r="AF113" t="s">
        <v>27</v>
      </c>
      <c r="AG113" t="s">
        <v>26</v>
      </c>
      <c r="AH113" t="s">
        <v>205</v>
      </c>
      <c r="AI113" t="str">
        <f t="shared" si="5"/>
        <v>NO</v>
      </c>
      <c r="AJ113" t="str">
        <f t="shared" si="6"/>
        <v>SETAA PHARMA</v>
      </c>
      <c r="AK113" t="str">
        <f>IF(ISNUMBER(SEARCH("FABRICANTE",AC113)),"FABRICANTE",IF(ISNUMBER(SEARCH("IMPORTADOR",AC113)),"IMPORTADOR","OTRO"))</f>
        <v>IMPORTADOR</v>
      </c>
      <c r="AL113" t="str">
        <f>IF(LEFT(Y113,1)="A","Sistema digestivo",IF(LEFT(Y113,1)="B","Sangre",IF(LEFT(Y113,1)="C","Cardiovascular",IF(LEFT(Y113,1)="D","Dermatológico",IF(LEFT(Y113,1)="G","Genitourinario",IF(LEFT(Y113,1)="H","Hormonal",IF(LEFT(Y113,1)="J","Antiinfecciosos",IF(LEFT(Y113,1)="L","Oncológicos",IF(LEFT(Y113,1)="M","Musculoesquelético",IF(LEFT(Y113,1)="N","Sistema nervioso",IF(LEFT(Y113,1)="R","Respiratorio",IF(LEFT(Y113,1)="S","Oftálmico",IF(LEFT(Y113,1)="V","Varios","OTRO")))))))))))))</f>
        <v>Antiinfecciosos</v>
      </c>
      <c r="AM113" t="str">
        <f>IF(AG113="Vigente","ACTIVO",IF(ISNUMBER(SEARCH("Inactivo",J113)),"INACTIVO","REVISAR"))</f>
        <v>ACTIVO</v>
      </c>
      <c r="AN113" t="str">
        <f ca="1">IF(OR(AF113="",AF113="null"),"",ROUND((AF113-TODAY())/365.25,2))</f>
        <v/>
      </c>
      <c r="AO113" t="str">
        <f ca="1">IF(AND(AG113="Vigente",OR(AF113="",AF113="null",AF113&gt;TODAY())),"SI",IF(AND(NOT(OR(AF113="",AF113="null")),AF113&lt;=TODAY()),"NO",IF(AG113="Vigente","SI","DESCONOCIDO")))</f>
        <v>SI</v>
      </c>
      <c r="AP113" t="str">
        <f>IF(AND(ISNUMBER(SEARCH("IMPORTAR",AA113)),ISNUMBER(SEARCH("FABRICAR",AA113))),"MIXTO",IF(ISNUMBER(SEARCH("IMPORTAR",AA113)),"IMPORTADO",IF(ISNUMBER(SEARCH("FABRICAR",AA113)),"LOCAL","OTRO")))</f>
        <v>IMPORTADO</v>
      </c>
      <c r="AQ113" t="str">
        <f>IF(AD113="Si","SI",IF(AD113="No","NO",""))</f>
        <v>NO</v>
      </c>
      <c r="AR113" t="str">
        <f>IF(ISNUMBER(SEARCH("®",N113)),"MARCA/INNOVADOR","GENERICO")</f>
        <v>GENERICO</v>
      </c>
      <c r="AS113">
        <f ca="1">IF(AE113&gt;100,RANDBETWEEN(500,5000),IF(AND(AE113&gt;=10,AE113&lt;=100),RANDBETWEEN(100,1000),RANDBETWEEN(10,200)))</f>
        <v>503</v>
      </c>
      <c r="AT113">
        <f t="shared" ca="1" si="7"/>
        <v>105</v>
      </c>
      <c r="AU113">
        <f ca="1">INT(AS113*RANDBETWEEN(120,200)/100)</f>
        <v>724</v>
      </c>
      <c r="AV113" s="2">
        <f ca="1">IF(LEFT(Y113,1)="L",RANDBETWEEN(500000,5000000),IF(LEFT(Y113,1)="C",RANDBETWEEN(5000,50000),IF(LEFT(Y113,1)="N",RANDBETWEEN(10000,150000),IF(LEFT(Y113,1)="J",RANDBETWEEN(8000,200000),RANDBETWEEN(5000,100000)))))</f>
        <v>134279</v>
      </c>
      <c r="AW113" s="2">
        <f ca="1">INT(AV113*RANDBETWEEN(30,60)/100)</f>
        <v>79224</v>
      </c>
      <c r="AX113">
        <f ca="1">IF(Z113="ORAL",RANDBETWEEN(1000,10000),IF(OR(Z113="INTRAVENOSA",Z113="INTRAMUSCULAR"),RANDBETWEEN(100,2000),IF(OR(Z113="OFTÁLMICA",Z113="TOPICA (EXTERNA)"),RANDBETWEEN(200,3000),RANDBETWEEN(100,1500))))</f>
        <v>1052</v>
      </c>
      <c r="AY113" s="2">
        <f ca="1">INT(AV113*RANDBETWEEN(90,130)/100)</f>
        <v>149049</v>
      </c>
      <c r="AZ113" t="str">
        <f t="shared" ca="1" si="8"/>
        <v>6.6%</v>
      </c>
      <c r="BA113" t="str">
        <f t="shared" ca="1" si="9"/>
        <v>BAJO</v>
      </c>
    </row>
    <row r="114" spans="4:53" x14ac:dyDescent="0.35">
      <c r="D114" t="s">
        <v>1040</v>
      </c>
      <c r="E114" s="1">
        <v>41536</v>
      </c>
      <c r="F114" t="s">
        <v>1041</v>
      </c>
      <c r="G114" t="s">
        <v>108</v>
      </c>
      <c r="H114" t="s">
        <v>187</v>
      </c>
      <c r="I114">
        <v>20040729</v>
      </c>
      <c r="J114" t="s">
        <v>28</v>
      </c>
      <c r="K114">
        <v>52</v>
      </c>
      <c r="L114" t="s">
        <v>27</v>
      </c>
      <c r="M114" t="s">
        <v>1042</v>
      </c>
      <c r="N114" t="s">
        <v>1043</v>
      </c>
      <c r="O114" t="s">
        <v>1044</v>
      </c>
      <c r="P114" t="s">
        <v>527</v>
      </c>
      <c r="Q114" s="1">
        <v>44375</v>
      </c>
      <c r="R114" t="s">
        <v>527</v>
      </c>
      <c r="S114" t="s">
        <v>27</v>
      </c>
      <c r="T114" t="s">
        <v>80</v>
      </c>
      <c r="U114" t="s">
        <v>115</v>
      </c>
      <c r="V114" t="s">
        <v>460</v>
      </c>
      <c r="W114">
        <v>15</v>
      </c>
      <c r="X114">
        <v>20040729</v>
      </c>
      <c r="Y114" t="s">
        <v>461</v>
      </c>
      <c r="Z114" t="s">
        <v>119</v>
      </c>
      <c r="AA114" t="s">
        <v>24</v>
      </c>
      <c r="AB114" t="s">
        <v>120</v>
      </c>
      <c r="AC114" t="s">
        <v>25</v>
      </c>
      <c r="AD114" t="s">
        <v>121</v>
      </c>
      <c r="AE114">
        <v>6</v>
      </c>
      <c r="AF114" t="s">
        <v>27</v>
      </c>
      <c r="AG114" t="s">
        <v>26</v>
      </c>
      <c r="AH114" t="s">
        <v>1041</v>
      </c>
      <c r="AI114" t="str">
        <f t="shared" si="5"/>
        <v>NO</v>
      </c>
      <c r="AJ114" t="str">
        <f t="shared" si="6"/>
        <v>TECNOQUIMICAS</v>
      </c>
      <c r="AK114" t="str">
        <f>IF(ISNUMBER(SEARCH("FABRICANTE",AC114)),"FABRICANTE",IF(ISNUMBER(SEARCH("IMPORTADOR",AC114)),"IMPORTADOR","OTRO"))</f>
        <v>FABRICANTE</v>
      </c>
      <c r="AL114" t="str">
        <f>IF(LEFT(Y114,1)="A","Sistema digestivo",IF(LEFT(Y114,1)="B","Sangre",IF(LEFT(Y114,1)="C","Cardiovascular",IF(LEFT(Y114,1)="D","Dermatológico",IF(LEFT(Y114,1)="G","Genitourinario",IF(LEFT(Y114,1)="H","Hormonal",IF(LEFT(Y114,1)="J","Antiinfecciosos",IF(LEFT(Y114,1)="L","Oncológicos",IF(LEFT(Y114,1)="M","Musculoesquelético",IF(LEFT(Y114,1)="N","Sistema nervioso",IF(LEFT(Y114,1)="R","Respiratorio",IF(LEFT(Y114,1)="S","Oftálmico",IF(LEFT(Y114,1)="V","Varios","OTRO")))))))))))))</f>
        <v>Respiratorio</v>
      </c>
      <c r="AM114" t="str">
        <f>IF(AG114="Vigente","ACTIVO",IF(ISNUMBER(SEARCH("Inactivo",J114)),"INACTIVO","REVISAR"))</f>
        <v>ACTIVO</v>
      </c>
      <c r="AN114" t="str">
        <f ca="1">IF(OR(AF114="",AF114="null"),"",ROUND((AF114-TODAY())/365.25,2))</f>
        <v/>
      </c>
      <c r="AO114" t="str">
        <f ca="1">IF(AND(AG114="Vigente",OR(AF114="",AF114="null",AF114&gt;TODAY())),"SI",IF(AND(NOT(OR(AF114="",AF114="null")),AF114&lt;=TODAY()),"NO",IF(AG114="Vigente","SI","DESCONOCIDO")))</f>
        <v>SI</v>
      </c>
      <c r="AP114" t="str">
        <f>IF(AND(ISNUMBER(SEARCH("IMPORTAR",AA114)),ISNUMBER(SEARCH("FABRICAR",AA114))),"MIXTO",IF(ISNUMBER(SEARCH("IMPORTAR",AA114)),"IMPORTADO",IF(ISNUMBER(SEARCH("FABRICAR",AA114)),"LOCAL","OTRO")))</f>
        <v>LOCAL</v>
      </c>
      <c r="AQ114" t="str">
        <f>IF(AD114="Si","SI",IF(AD114="No","NO",""))</f>
        <v>NO</v>
      </c>
      <c r="AR114" t="str">
        <f>IF(ISNUMBER(SEARCH("®",N114)),"MARCA/INNOVADOR","GENERICO")</f>
        <v>MARCA/INNOVADOR</v>
      </c>
      <c r="AS114">
        <f ca="1">IF(AE114&gt;100,RANDBETWEEN(500,5000),IF(AND(AE114&gt;=10,AE114&lt;=100),RANDBETWEEN(100,1000),RANDBETWEEN(10,200)))</f>
        <v>82</v>
      </c>
      <c r="AT114">
        <f t="shared" ca="1" si="7"/>
        <v>23</v>
      </c>
      <c r="AU114">
        <f ca="1">INT(AS114*RANDBETWEEN(120,200)/100)</f>
        <v>162</v>
      </c>
      <c r="AV114" s="2">
        <f ca="1">IF(LEFT(Y114,1)="L",RANDBETWEEN(500000,5000000),IF(LEFT(Y114,1)="C",RANDBETWEEN(5000,50000),IF(LEFT(Y114,1)="N",RANDBETWEEN(10000,150000),IF(LEFT(Y114,1)="J",RANDBETWEEN(8000,200000),RANDBETWEEN(5000,100000)))))</f>
        <v>55937</v>
      </c>
      <c r="AW114" s="2">
        <f ca="1">INT(AV114*RANDBETWEEN(30,60)/100)</f>
        <v>23493</v>
      </c>
      <c r="AX114">
        <f ca="1">IF(Z114="ORAL",RANDBETWEEN(1000,10000),IF(OR(Z114="INTRAVENOSA",Z114="INTRAMUSCULAR"),RANDBETWEEN(100,2000),IF(OR(Z114="OFTÁLMICA",Z114="TOPICA (EXTERNA)"),RANDBETWEEN(200,3000),RANDBETWEEN(100,1500))))</f>
        <v>1863</v>
      </c>
      <c r="AY114" s="2">
        <f ca="1">INT(AV114*RANDBETWEEN(90,130)/100)</f>
        <v>55937</v>
      </c>
      <c r="AZ114" t="str">
        <f t="shared" ca="1" si="8"/>
        <v>12.1%</v>
      </c>
      <c r="BA114" t="str">
        <f t="shared" ca="1" si="9"/>
        <v>BAJO</v>
      </c>
    </row>
    <row r="115" spans="4:53" x14ac:dyDescent="0.35">
      <c r="D115" t="s">
        <v>1045</v>
      </c>
      <c r="E115" s="1">
        <v>44097</v>
      </c>
      <c r="F115" t="s">
        <v>1046</v>
      </c>
      <c r="G115" t="s">
        <v>108</v>
      </c>
      <c r="H115" t="s">
        <v>1047</v>
      </c>
      <c r="I115">
        <v>20150730</v>
      </c>
      <c r="J115" t="s">
        <v>28</v>
      </c>
      <c r="K115">
        <v>1</v>
      </c>
      <c r="L115" t="s">
        <v>1048</v>
      </c>
      <c r="M115" t="s">
        <v>1049</v>
      </c>
      <c r="N115" t="s">
        <v>1050</v>
      </c>
      <c r="O115" t="s">
        <v>1051</v>
      </c>
      <c r="P115" t="s">
        <v>1052</v>
      </c>
      <c r="Q115" s="1">
        <v>43977</v>
      </c>
      <c r="R115" t="s">
        <v>211</v>
      </c>
      <c r="S115" t="s">
        <v>27</v>
      </c>
      <c r="T115" t="s">
        <v>1053</v>
      </c>
      <c r="U115" t="s">
        <v>247</v>
      </c>
      <c r="V115" t="s">
        <v>1046</v>
      </c>
      <c r="W115">
        <v>1</v>
      </c>
      <c r="X115">
        <v>20150730</v>
      </c>
      <c r="Y115" t="s">
        <v>1054</v>
      </c>
      <c r="Z115" t="s">
        <v>260</v>
      </c>
      <c r="AA115" t="s">
        <v>32</v>
      </c>
      <c r="AB115" t="s">
        <v>239</v>
      </c>
      <c r="AC115" t="s">
        <v>25</v>
      </c>
      <c r="AD115" t="s">
        <v>121</v>
      </c>
      <c r="AE115">
        <v>1</v>
      </c>
      <c r="AF115" t="s">
        <v>27</v>
      </c>
      <c r="AG115" t="s">
        <v>26</v>
      </c>
      <c r="AH115" t="s">
        <v>1046</v>
      </c>
      <c r="AI115" t="str">
        <f t="shared" si="5"/>
        <v>NO</v>
      </c>
      <c r="AJ115" t="str">
        <f t="shared" si="6"/>
        <v>OCTAPHARMA</v>
      </c>
      <c r="AK115" t="str">
        <f>IF(ISNUMBER(SEARCH("FABRICANTE",AC115)),"FABRICANTE",IF(ISNUMBER(SEARCH("IMPORTADOR",AC115)),"IMPORTADOR","OTRO"))</f>
        <v>FABRICANTE</v>
      </c>
      <c r="AL115" t="str">
        <f>IF(LEFT(Y115,1)="A","Sistema digestivo",IF(LEFT(Y115,1)="B","Sangre",IF(LEFT(Y115,1)="C","Cardiovascular",IF(LEFT(Y115,1)="D","Dermatológico",IF(LEFT(Y115,1)="G","Genitourinario",IF(LEFT(Y115,1)="H","Hormonal",IF(LEFT(Y115,1)="J","Antiinfecciosos",IF(LEFT(Y115,1)="L","Oncológicos",IF(LEFT(Y115,1)="M","Musculoesquelético",IF(LEFT(Y115,1)="N","Sistema nervioso",IF(LEFT(Y115,1)="R","Respiratorio",IF(LEFT(Y115,1)="S","Oftálmico",IF(LEFT(Y115,1)="V","Varios","OTRO")))))))))))))</f>
        <v>Sangre</v>
      </c>
      <c r="AM115" t="str">
        <f>IF(AG115="Vigente","ACTIVO",IF(ISNUMBER(SEARCH("Inactivo",J115)),"INACTIVO","REVISAR"))</f>
        <v>ACTIVO</v>
      </c>
      <c r="AN115" t="str">
        <f ca="1">IF(OR(AF115="",AF115="null"),"",ROUND((AF115-TODAY())/365.25,2))</f>
        <v/>
      </c>
      <c r="AO115" t="str">
        <f ca="1">IF(AND(AG115="Vigente",OR(AF115="",AF115="null",AF115&gt;TODAY())),"SI",IF(AND(NOT(OR(AF115="",AF115="null")),AF115&lt;=TODAY()),"NO",IF(AG115="Vigente","SI","DESCONOCIDO")))</f>
        <v>SI</v>
      </c>
      <c r="AP115" t="str">
        <f>IF(AND(ISNUMBER(SEARCH("IMPORTAR",AA115)),ISNUMBER(SEARCH("FABRICAR",AA115))),"MIXTO",IF(ISNUMBER(SEARCH("IMPORTAR",AA115)),"IMPORTADO",IF(ISNUMBER(SEARCH("FABRICAR",AA115)),"LOCAL","OTRO")))</f>
        <v>IMPORTADO</v>
      </c>
      <c r="AQ115" t="str">
        <f>IF(AD115="Si","SI",IF(AD115="No","NO",""))</f>
        <v>NO</v>
      </c>
      <c r="AR115" t="str">
        <f>IF(ISNUMBER(SEARCH("®",N115)),"MARCA/INNOVADOR","GENERICO")</f>
        <v>MARCA/INNOVADOR</v>
      </c>
      <c r="AS115">
        <f ca="1">IF(AE115&gt;100,RANDBETWEEN(500,5000),IF(AND(AE115&gt;=10,AE115&lt;=100),RANDBETWEEN(100,1000),RANDBETWEEN(10,200)))</f>
        <v>77</v>
      </c>
      <c r="AT115">
        <f t="shared" ca="1" si="7"/>
        <v>12</v>
      </c>
      <c r="AU115">
        <f ca="1">INT(AS115*RANDBETWEEN(120,200)/100)</f>
        <v>137</v>
      </c>
      <c r="AV115" s="2">
        <f ca="1">IF(LEFT(Y115,1)="L",RANDBETWEEN(500000,5000000),IF(LEFT(Y115,1)="C",RANDBETWEEN(5000,50000),IF(LEFT(Y115,1)="N",RANDBETWEEN(10000,150000),IF(LEFT(Y115,1)="J",RANDBETWEEN(8000,200000),RANDBETWEEN(5000,100000)))))</f>
        <v>24528</v>
      </c>
      <c r="AW115" s="2">
        <f ca="1">INT(AV115*RANDBETWEEN(30,60)/100)</f>
        <v>8584</v>
      </c>
      <c r="AX115">
        <f ca="1">IF(Z115="ORAL",RANDBETWEEN(1000,10000),IF(OR(Z115="INTRAVENOSA",Z115="INTRAMUSCULAR"),RANDBETWEEN(100,2000),IF(OR(Z115="OFTÁLMICA",Z115="TOPICA (EXTERNA)"),RANDBETWEEN(200,3000),RANDBETWEEN(100,1500))))</f>
        <v>1659</v>
      </c>
      <c r="AY115" s="2">
        <f ca="1">INT(AV115*RANDBETWEEN(90,130)/100)</f>
        <v>29678</v>
      </c>
      <c r="AZ115" t="str">
        <f t="shared" ca="1" si="8"/>
        <v>4%</v>
      </c>
      <c r="BA115" t="str">
        <f t="shared" ca="1" si="9"/>
        <v>BAJO</v>
      </c>
    </row>
    <row r="116" spans="4:53" x14ac:dyDescent="0.35">
      <c r="D116" t="s">
        <v>1055</v>
      </c>
      <c r="E116" s="1">
        <v>42653</v>
      </c>
      <c r="F116" t="s">
        <v>1056</v>
      </c>
      <c r="G116" t="s">
        <v>108</v>
      </c>
      <c r="H116" t="s">
        <v>454</v>
      </c>
      <c r="I116">
        <v>20080133</v>
      </c>
      <c r="J116" t="s">
        <v>28</v>
      </c>
      <c r="K116">
        <v>5</v>
      </c>
      <c r="L116" t="s">
        <v>1057</v>
      </c>
      <c r="M116" t="s">
        <v>1058</v>
      </c>
      <c r="N116" t="s">
        <v>1059</v>
      </c>
      <c r="O116" t="s">
        <v>1060</v>
      </c>
      <c r="P116" t="s">
        <v>1061</v>
      </c>
      <c r="Q116" s="1">
        <v>42625</v>
      </c>
      <c r="R116" t="s">
        <v>527</v>
      </c>
      <c r="S116" s="1">
        <v>44494</v>
      </c>
      <c r="T116" t="s">
        <v>454</v>
      </c>
      <c r="U116" t="s">
        <v>115</v>
      </c>
      <c r="V116" t="s">
        <v>1056</v>
      </c>
      <c r="W116">
        <v>550</v>
      </c>
      <c r="X116">
        <v>20080133</v>
      </c>
      <c r="Y116" t="s">
        <v>1062</v>
      </c>
      <c r="Z116" t="s">
        <v>119</v>
      </c>
      <c r="AA116" t="s">
        <v>24</v>
      </c>
      <c r="AB116" t="s">
        <v>120</v>
      </c>
      <c r="AC116" t="s">
        <v>25</v>
      </c>
      <c r="AD116" t="s">
        <v>155</v>
      </c>
      <c r="AE116">
        <v>7</v>
      </c>
      <c r="AF116" t="s">
        <v>27</v>
      </c>
      <c r="AG116" t="s">
        <v>26</v>
      </c>
      <c r="AH116" t="s">
        <v>1056</v>
      </c>
      <c r="AI116" t="str">
        <f t="shared" si="5"/>
        <v>NO</v>
      </c>
      <c r="AJ116" t="str">
        <f t="shared" si="6"/>
        <v>PROCAPS</v>
      </c>
      <c r="AK116" t="str">
        <f>IF(ISNUMBER(SEARCH("FABRICANTE",AC116)),"FABRICANTE",IF(ISNUMBER(SEARCH("IMPORTADOR",AC116)),"IMPORTADOR","OTRO"))</f>
        <v>FABRICANTE</v>
      </c>
      <c r="AL116" t="str">
        <f>IF(LEFT(Y116,1)="A","Sistema digestivo",IF(LEFT(Y116,1)="B","Sangre",IF(LEFT(Y116,1)="C","Cardiovascular",IF(LEFT(Y116,1)="D","Dermatológico",IF(LEFT(Y116,1)="G","Genitourinario",IF(LEFT(Y116,1)="H","Hormonal",IF(LEFT(Y116,1)="J","Antiinfecciosos",IF(LEFT(Y116,1)="L","Oncológicos",IF(LEFT(Y116,1)="M","Musculoesquelético",IF(LEFT(Y116,1)="N","Sistema nervioso",IF(LEFT(Y116,1)="R","Respiratorio",IF(LEFT(Y116,1)="S","Oftálmico",IF(LEFT(Y116,1)="V","Varios","OTRO")))))))))))))</f>
        <v>Sistema digestivo</v>
      </c>
      <c r="AM116" t="str">
        <f>IF(AG116="Vigente","ACTIVO",IF(ISNUMBER(SEARCH("Inactivo",J116)),"INACTIVO","REVISAR"))</f>
        <v>ACTIVO</v>
      </c>
      <c r="AN116" t="str">
        <f ca="1">IF(OR(AF116="",AF116="null"),"",ROUND((AF116-TODAY())/365.25,2))</f>
        <v/>
      </c>
      <c r="AO116" t="str">
        <f ca="1">IF(AND(AG116="Vigente",OR(AF116="",AF116="null",AF116&gt;TODAY())),"SI",IF(AND(NOT(OR(AF116="",AF116="null")),AF116&lt;=TODAY()),"NO",IF(AG116="Vigente","SI","DESCONOCIDO")))</f>
        <v>SI</v>
      </c>
      <c r="AP116" t="str">
        <f>IF(AND(ISNUMBER(SEARCH("IMPORTAR",AA116)),ISNUMBER(SEARCH("FABRICAR",AA116))),"MIXTO",IF(ISNUMBER(SEARCH("IMPORTAR",AA116)),"IMPORTADO",IF(ISNUMBER(SEARCH("FABRICAR",AA116)),"LOCAL","OTRO")))</f>
        <v>LOCAL</v>
      </c>
      <c r="AQ116" t="str">
        <f>IF(AD116="Si","SI",IF(AD116="No","NO",""))</f>
        <v>SI</v>
      </c>
      <c r="AR116" t="str">
        <f>IF(ISNUMBER(SEARCH("®",N116)),"MARCA/INNOVADOR","GENERICO")</f>
        <v>MARCA/INNOVADOR</v>
      </c>
      <c r="AS116">
        <f ca="1">IF(AE116&gt;100,RANDBETWEEN(500,5000),IF(AND(AE116&gt;=10,AE116&lt;=100),RANDBETWEEN(100,1000),RANDBETWEEN(10,200)))</f>
        <v>191</v>
      </c>
      <c r="AT116">
        <f t="shared" ca="1" si="7"/>
        <v>43</v>
      </c>
      <c r="AU116">
        <f ca="1">INT(AS116*RANDBETWEEN(120,200)/100)</f>
        <v>320</v>
      </c>
      <c r="AV116" s="2">
        <f ca="1">IF(LEFT(Y116,1)="L",RANDBETWEEN(500000,5000000),IF(LEFT(Y116,1)="C",RANDBETWEEN(5000,50000),IF(LEFT(Y116,1)="N",RANDBETWEEN(10000,150000),IF(LEFT(Y116,1)="J",RANDBETWEEN(8000,200000),RANDBETWEEN(5000,100000)))))</f>
        <v>35014</v>
      </c>
      <c r="AW116" s="2">
        <f ca="1">INT(AV116*RANDBETWEEN(30,60)/100)</f>
        <v>14705</v>
      </c>
      <c r="AX116">
        <f ca="1">IF(Z116="ORAL",RANDBETWEEN(1000,10000),IF(OR(Z116="INTRAVENOSA",Z116="INTRAMUSCULAR"),RANDBETWEEN(100,2000),IF(OR(Z116="OFTÁLMICA",Z116="TOPICA (EXTERNA)"),RANDBETWEEN(200,3000),RANDBETWEEN(100,1500))))</f>
        <v>3174</v>
      </c>
      <c r="AY116" s="2">
        <f ca="1">INT(AV116*RANDBETWEEN(90,130)/100)</f>
        <v>37815</v>
      </c>
      <c r="AZ116" t="str">
        <f t="shared" ca="1" si="8"/>
        <v>18.2%</v>
      </c>
      <c r="BA116" t="str">
        <f t="shared" ca="1" si="9"/>
        <v>BAJO</v>
      </c>
    </row>
    <row r="117" spans="4:53" x14ac:dyDescent="0.35">
      <c r="D117" t="s">
        <v>1063</v>
      </c>
      <c r="E117" s="1">
        <v>38589</v>
      </c>
      <c r="F117" t="s">
        <v>1064</v>
      </c>
      <c r="G117" t="s">
        <v>108</v>
      </c>
      <c r="H117" t="s">
        <v>195</v>
      </c>
      <c r="I117">
        <v>19955886</v>
      </c>
      <c r="J117" t="s">
        <v>28</v>
      </c>
      <c r="K117">
        <v>2</v>
      </c>
      <c r="L117" t="s">
        <v>27</v>
      </c>
      <c r="M117" t="s">
        <v>1065</v>
      </c>
      <c r="N117" t="s">
        <v>1066</v>
      </c>
      <c r="O117" t="s">
        <v>1067</v>
      </c>
      <c r="P117" t="s">
        <v>1068</v>
      </c>
      <c r="Q117" s="1">
        <v>39031</v>
      </c>
      <c r="R117" t="s">
        <v>200</v>
      </c>
      <c r="S117" s="1">
        <v>44470</v>
      </c>
      <c r="T117" t="s">
        <v>1069</v>
      </c>
      <c r="U117" t="s">
        <v>115</v>
      </c>
      <c r="V117" t="s">
        <v>1070</v>
      </c>
      <c r="W117">
        <v>50</v>
      </c>
      <c r="X117">
        <v>19955886</v>
      </c>
      <c r="Y117" t="s">
        <v>1071</v>
      </c>
      <c r="Z117" t="s">
        <v>119</v>
      </c>
      <c r="AA117" t="s">
        <v>32</v>
      </c>
      <c r="AB117" t="s">
        <v>120</v>
      </c>
      <c r="AC117" t="s">
        <v>38</v>
      </c>
      <c r="AD117" t="s">
        <v>121</v>
      </c>
      <c r="AE117">
        <v>20</v>
      </c>
      <c r="AF117" t="s">
        <v>27</v>
      </c>
      <c r="AG117" t="s">
        <v>26</v>
      </c>
      <c r="AH117" t="s">
        <v>1064</v>
      </c>
      <c r="AI117" t="str">
        <f t="shared" si="5"/>
        <v>NO</v>
      </c>
      <c r="AJ117" t="str">
        <f t="shared" si="6"/>
        <v>FARMACEUTICA PARAGUAYA</v>
      </c>
      <c r="AK117" t="str">
        <f>IF(ISNUMBER(SEARCH("FABRICANTE",AC117)),"FABRICANTE",IF(ISNUMBER(SEARCH("IMPORTADOR",AC117)),"IMPORTADOR","OTRO"))</f>
        <v>IMPORTADOR</v>
      </c>
      <c r="AL117" t="str">
        <f>IF(LEFT(Y117,1)="A","Sistema digestivo",IF(LEFT(Y117,1)="B","Sangre",IF(LEFT(Y117,1)="C","Cardiovascular",IF(LEFT(Y117,1)="D","Dermatológico",IF(LEFT(Y117,1)="G","Genitourinario",IF(LEFT(Y117,1)="H","Hormonal",IF(LEFT(Y117,1)="J","Antiinfecciosos",IF(LEFT(Y117,1)="L","Oncológicos",IF(LEFT(Y117,1)="M","Musculoesquelético",IF(LEFT(Y117,1)="N","Sistema nervioso",IF(LEFT(Y117,1)="R","Respiratorio",IF(LEFT(Y117,1)="S","Oftálmico",IF(LEFT(Y117,1)="V","Varios","OTRO")))))))))))))</f>
        <v>Respiratorio</v>
      </c>
      <c r="AM117" t="str">
        <f>IF(AG117="Vigente","ACTIVO",IF(ISNUMBER(SEARCH("Inactivo",J117)),"INACTIVO","REVISAR"))</f>
        <v>ACTIVO</v>
      </c>
      <c r="AN117" t="str">
        <f ca="1">IF(OR(AF117="",AF117="null"),"",ROUND((AF117-TODAY())/365.25,2))</f>
        <v/>
      </c>
      <c r="AO117" t="str">
        <f ca="1">IF(AND(AG117="Vigente",OR(AF117="",AF117="null",AF117&gt;TODAY())),"SI",IF(AND(NOT(OR(AF117="",AF117="null")),AF117&lt;=TODAY()),"NO",IF(AG117="Vigente","SI","DESCONOCIDO")))</f>
        <v>SI</v>
      </c>
      <c r="AP117" t="str">
        <f>IF(AND(ISNUMBER(SEARCH("IMPORTAR",AA117)),ISNUMBER(SEARCH("FABRICAR",AA117))),"MIXTO",IF(ISNUMBER(SEARCH("IMPORTAR",AA117)),"IMPORTADO",IF(ISNUMBER(SEARCH("FABRICAR",AA117)),"LOCAL","OTRO")))</f>
        <v>IMPORTADO</v>
      </c>
      <c r="AQ117" t="str">
        <f>IF(AD117="Si","SI",IF(AD117="No","NO",""))</f>
        <v>NO</v>
      </c>
      <c r="AR117" t="str">
        <f>IF(ISNUMBER(SEARCH("®",N117)),"MARCA/INNOVADOR","GENERICO")</f>
        <v>MARCA/INNOVADOR</v>
      </c>
      <c r="AS117">
        <f ca="1">IF(AE117&gt;100,RANDBETWEEN(500,5000),IF(AND(AE117&gt;=10,AE117&lt;=100),RANDBETWEEN(100,1000),RANDBETWEEN(10,200)))</f>
        <v>842</v>
      </c>
      <c r="AT117">
        <f t="shared" ca="1" si="7"/>
        <v>134</v>
      </c>
      <c r="AU117">
        <f ca="1">INT(AS117*RANDBETWEEN(120,200)/100)</f>
        <v>1347</v>
      </c>
      <c r="AV117" s="2">
        <f ca="1">IF(LEFT(Y117,1)="L",RANDBETWEEN(500000,5000000),IF(LEFT(Y117,1)="C",RANDBETWEEN(5000,50000),IF(LEFT(Y117,1)="N",RANDBETWEEN(10000,150000),IF(LEFT(Y117,1)="J",RANDBETWEEN(8000,200000),RANDBETWEEN(5000,100000)))))</f>
        <v>30376</v>
      </c>
      <c r="AW117" s="2">
        <f ca="1">INT(AV117*RANDBETWEEN(30,60)/100)</f>
        <v>9112</v>
      </c>
      <c r="AX117">
        <f ca="1">IF(Z117="ORAL",RANDBETWEEN(1000,10000),IF(OR(Z117="INTRAVENOSA",Z117="INTRAMUSCULAR"),RANDBETWEEN(100,2000),IF(OR(Z117="OFTÁLMICA",Z117="TOPICA (EXTERNA)"),RANDBETWEEN(200,3000),RANDBETWEEN(100,1500))))</f>
        <v>7069</v>
      </c>
      <c r="AY117" s="2">
        <f ca="1">INT(AV117*RANDBETWEEN(90,130)/100)</f>
        <v>27338</v>
      </c>
      <c r="AZ117" t="str">
        <f t="shared" ca="1" si="8"/>
        <v>15.2%</v>
      </c>
      <c r="BA117" t="str">
        <f t="shared" ca="1" si="9"/>
        <v>BAJO</v>
      </c>
    </row>
    <row r="118" spans="4:53" x14ac:dyDescent="0.35">
      <c r="D118" t="s">
        <v>1072</v>
      </c>
      <c r="E118" s="1">
        <v>42226</v>
      </c>
      <c r="F118" t="s">
        <v>1073</v>
      </c>
      <c r="G118" t="s">
        <v>108</v>
      </c>
      <c r="H118" t="s">
        <v>187</v>
      </c>
      <c r="I118">
        <v>20024731</v>
      </c>
      <c r="J118" t="s">
        <v>28</v>
      </c>
      <c r="K118">
        <v>19</v>
      </c>
      <c r="L118" t="s">
        <v>27</v>
      </c>
      <c r="M118" t="s">
        <v>1074</v>
      </c>
      <c r="N118" t="s">
        <v>1075</v>
      </c>
      <c r="O118" t="s">
        <v>1076</v>
      </c>
      <c r="P118" t="s">
        <v>527</v>
      </c>
      <c r="Q118" s="1">
        <v>42052</v>
      </c>
      <c r="R118" t="s">
        <v>527</v>
      </c>
      <c r="S118" t="s">
        <v>27</v>
      </c>
      <c r="T118" t="s">
        <v>80</v>
      </c>
      <c r="U118" t="s">
        <v>115</v>
      </c>
      <c r="V118" t="s">
        <v>1073</v>
      </c>
      <c r="W118">
        <v>500</v>
      </c>
      <c r="X118">
        <v>20024731</v>
      </c>
      <c r="Y118" t="s">
        <v>1077</v>
      </c>
      <c r="Z118" t="s">
        <v>119</v>
      </c>
      <c r="AA118" t="s">
        <v>24</v>
      </c>
      <c r="AB118" t="s">
        <v>120</v>
      </c>
      <c r="AC118" t="s">
        <v>25</v>
      </c>
      <c r="AD118" t="s">
        <v>121</v>
      </c>
      <c r="AE118">
        <v>6</v>
      </c>
      <c r="AF118" t="s">
        <v>27</v>
      </c>
      <c r="AG118" t="s">
        <v>26</v>
      </c>
      <c r="AH118" t="s">
        <v>1073</v>
      </c>
      <c r="AI118" t="str">
        <f t="shared" si="5"/>
        <v>NO</v>
      </c>
      <c r="AJ118" t="str">
        <f t="shared" si="6"/>
        <v>TECNOQUIMICAS</v>
      </c>
      <c r="AK118" t="str">
        <f>IF(ISNUMBER(SEARCH("FABRICANTE",AC118)),"FABRICANTE",IF(ISNUMBER(SEARCH("IMPORTADOR",AC118)),"IMPORTADOR","OTRO"))</f>
        <v>FABRICANTE</v>
      </c>
      <c r="AL118" t="str">
        <f>IF(LEFT(Y118,1)="A","Sistema digestivo",IF(LEFT(Y118,1)="B","Sangre",IF(LEFT(Y118,1)="C","Cardiovascular",IF(LEFT(Y118,1)="D","Dermatológico",IF(LEFT(Y118,1)="G","Genitourinario",IF(LEFT(Y118,1)="H","Hormonal",IF(LEFT(Y118,1)="J","Antiinfecciosos",IF(LEFT(Y118,1)="L","Oncológicos",IF(LEFT(Y118,1)="M","Musculoesquelético",IF(LEFT(Y118,1)="N","Sistema nervioso",IF(LEFT(Y118,1)="R","Respiratorio",IF(LEFT(Y118,1)="S","Oftálmico",IF(LEFT(Y118,1)="V","Varios","OTRO")))))))))))))</f>
        <v>Musculoesquelético</v>
      </c>
      <c r="AM118" t="str">
        <f>IF(AG118="Vigente","ACTIVO",IF(ISNUMBER(SEARCH("Inactivo",J118)),"INACTIVO","REVISAR"))</f>
        <v>ACTIVO</v>
      </c>
      <c r="AN118" t="str">
        <f ca="1">IF(OR(AF118="",AF118="null"),"",ROUND((AF118-TODAY())/365.25,2))</f>
        <v/>
      </c>
      <c r="AO118" t="str">
        <f ca="1">IF(AND(AG118="Vigente",OR(AF118="",AF118="null",AF118&gt;TODAY())),"SI",IF(AND(NOT(OR(AF118="",AF118="null")),AF118&lt;=TODAY()),"NO",IF(AG118="Vigente","SI","DESCONOCIDO")))</f>
        <v>SI</v>
      </c>
      <c r="AP118" t="str">
        <f>IF(AND(ISNUMBER(SEARCH("IMPORTAR",AA118)),ISNUMBER(SEARCH("FABRICAR",AA118))),"MIXTO",IF(ISNUMBER(SEARCH("IMPORTAR",AA118)),"IMPORTADO",IF(ISNUMBER(SEARCH("FABRICAR",AA118)),"LOCAL","OTRO")))</f>
        <v>LOCAL</v>
      </c>
      <c r="AQ118" t="str">
        <f>IF(AD118="Si","SI",IF(AD118="No","NO",""))</f>
        <v>NO</v>
      </c>
      <c r="AR118" t="str">
        <f>IF(ISNUMBER(SEARCH("®",N118)),"MARCA/INNOVADOR","GENERICO")</f>
        <v>MARCA/INNOVADOR</v>
      </c>
      <c r="AS118">
        <f ca="1">IF(AE118&gt;100,RANDBETWEEN(500,5000),IF(AND(AE118&gt;=10,AE118&lt;=100),RANDBETWEEN(100,1000),RANDBETWEEN(10,200)))</f>
        <v>79</v>
      </c>
      <c r="AT118">
        <f t="shared" ca="1" si="7"/>
        <v>7</v>
      </c>
      <c r="AU118">
        <f ca="1">INT(AS118*RANDBETWEEN(120,200)/100)</f>
        <v>109</v>
      </c>
      <c r="AV118" s="2">
        <f ca="1">IF(LEFT(Y118,1)="L",RANDBETWEEN(500000,5000000),IF(LEFT(Y118,1)="C",RANDBETWEEN(5000,50000),IF(LEFT(Y118,1)="N",RANDBETWEEN(10000,150000),IF(LEFT(Y118,1)="J",RANDBETWEEN(8000,200000),RANDBETWEEN(5000,100000)))))</f>
        <v>90594</v>
      </c>
      <c r="AW118" s="2">
        <f ca="1">INT(AV118*RANDBETWEEN(30,60)/100)</f>
        <v>38955</v>
      </c>
      <c r="AX118">
        <f ca="1">IF(Z118="ORAL",RANDBETWEEN(1000,10000),IF(OR(Z118="INTRAVENOSA",Z118="INTRAMUSCULAR"),RANDBETWEEN(100,2000),IF(OR(Z118="OFTÁLMICA",Z118="TOPICA (EXTERNA)"),RANDBETWEEN(200,3000),RANDBETWEEN(100,1500))))</f>
        <v>5419</v>
      </c>
      <c r="AY118" s="2">
        <f ca="1">INT(AV118*RANDBETWEEN(90,130)/100)</f>
        <v>88782</v>
      </c>
      <c r="AZ118" t="str">
        <f t="shared" ca="1" si="8"/>
        <v>19%</v>
      </c>
      <c r="BA118" t="str">
        <f t="shared" ca="1" si="9"/>
        <v>BAJO</v>
      </c>
    </row>
    <row r="119" spans="4:53" x14ac:dyDescent="0.35">
      <c r="D119" t="s">
        <v>1078</v>
      </c>
      <c r="E119" s="1">
        <v>41054</v>
      </c>
      <c r="F119" t="s">
        <v>1079</v>
      </c>
      <c r="G119" t="s">
        <v>108</v>
      </c>
      <c r="H119" t="s">
        <v>242</v>
      </c>
      <c r="I119">
        <v>20042480</v>
      </c>
      <c r="J119" t="s">
        <v>28</v>
      </c>
      <c r="K119">
        <v>221</v>
      </c>
      <c r="L119" t="s">
        <v>27</v>
      </c>
      <c r="M119" t="s">
        <v>243</v>
      </c>
      <c r="N119" t="s">
        <v>244</v>
      </c>
      <c r="O119" t="s">
        <v>1080</v>
      </c>
      <c r="P119" t="s">
        <v>246</v>
      </c>
      <c r="Q119" s="1">
        <v>42591</v>
      </c>
      <c r="R119" t="s">
        <v>67</v>
      </c>
      <c r="S119" t="s">
        <v>27</v>
      </c>
      <c r="T119" t="s">
        <v>80</v>
      </c>
      <c r="U119" t="s">
        <v>247</v>
      </c>
      <c r="V119" t="s">
        <v>248</v>
      </c>
      <c r="W119" t="s">
        <v>1081</v>
      </c>
      <c r="X119">
        <v>20042480</v>
      </c>
      <c r="Y119" t="s">
        <v>249</v>
      </c>
      <c r="Z119" t="s">
        <v>119</v>
      </c>
      <c r="AA119" t="s">
        <v>24</v>
      </c>
      <c r="AB119" t="s">
        <v>250</v>
      </c>
      <c r="AC119" t="s">
        <v>25</v>
      </c>
      <c r="AD119" t="s">
        <v>121</v>
      </c>
      <c r="AE119">
        <v>5</v>
      </c>
      <c r="AF119" t="s">
        <v>27</v>
      </c>
      <c r="AG119" t="s">
        <v>26</v>
      </c>
      <c r="AH119" t="s">
        <v>6743</v>
      </c>
      <c r="AI119" t="str">
        <f t="shared" si="5"/>
        <v>NO</v>
      </c>
      <c r="AJ119" t="str">
        <f t="shared" si="6"/>
        <v>TECNOQUIMICAS</v>
      </c>
      <c r="AK119" t="str">
        <f>IF(ISNUMBER(SEARCH("FABRICANTE",AC119)),"FABRICANTE",IF(ISNUMBER(SEARCH("IMPORTADOR",AC119)),"IMPORTADOR","OTRO"))</f>
        <v>FABRICANTE</v>
      </c>
      <c r="AL119" t="str">
        <f>IF(LEFT(Y119,1)="A","Sistema digestivo",IF(LEFT(Y119,1)="B","Sangre",IF(LEFT(Y119,1)="C","Cardiovascular",IF(LEFT(Y119,1)="D","Dermatológico",IF(LEFT(Y119,1)="G","Genitourinario",IF(LEFT(Y119,1)="H","Hormonal",IF(LEFT(Y119,1)="J","Antiinfecciosos",IF(LEFT(Y119,1)="L","Oncológicos",IF(LEFT(Y119,1)="M","Musculoesquelético",IF(LEFT(Y119,1)="N","Sistema nervioso",IF(LEFT(Y119,1)="R","Respiratorio",IF(LEFT(Y119,1)="S","Oftálmico",IF(LEFT(Y119,1)="V","Varios","OTRO")))))))))))))</f>
        <v>Sistema digestivo</v>
      </c>
      <c r="AM119" t="str">
        <f>IF(AG119="Vigente","ACTIVO",IF(ISNUMBER(SEARCH("Inactivo",J119)),"INACTIVO","REVISAR"))</f>
        <v>ACTIVO</v>
      </c>
      <c r="AN119" t="str">
        <f ca="1">IF(OR(AF119="",AF119="null"),"",ROUND((AF119-TODAY())/365.25,2))</f>
        <v/>
      </c>
      <c r="AO119" t="str">
        <f ca="1">IF(AND(AG119="Vigente",OR(AF119="",AF119="null",AF119&gt;TODAY())),"SI",IF(AND(NOT(OR(AF119="",AF119="null")),AF119&lt;=TODAY()),"NO",IF(AG119="Vigente","SI","DESCONOCIDO")))</f>
        <v>SI</v>
      </c>
      <c r="AP119" t="str">
        <f>IF(AND(ISNUMBER(SEARCH("IMPORTAR",AA119)),ISNUMBER(SEARCH("FABRICAR",AA119))),"MIXTO",IF(ISNUMBER(SEARCH("IMPORTAR",AA119)),"IMPORTADO",IF(ISNUMBER(SEARCH("FABRICAR",AA119)),"LOCAL","OTRO")))</f>
        <v>LOCAL</v>
      </c>
      <c r="AQ119" t="str">
        <f>IF(AD119="Si","SI",IF(AD119="No","NO",""))</f>
        <v>NO</v>
      </c>
      <c r="AR119" t="str">
        <f>IF(ISNUMBER(SEARCH("®",N119)),"MARCA/INNOVADOR","GENERICO")</f>
        <v>MARCA/INNOVADOR</v>
      </c>
      <c r="AS119">
        <f ca="1">IF(AE119&gt;100,RANDBETWEEN(500,5000),IF(AND(AE119&gt;=10,AE119&lt;=100),RANDBETWEEN(100,1000),RANDBETWEEN(10,200)))</f>
        <v>163</v>
      </c>
      <c r="AT119">
        <f t="shared" ca="1" si="7"/>
        <v>30</v>
      </c>
      <c r="AU119">
        <f ca="1">INT(AS119*RANDBETWEEN(120,200)/100)</f>
        <v>309</v>
      </c>
      <c r="AV119" s="2">
        <f ca="1">IF(LEFT(Y119,1)="L",RANDBETWEEN(500000,5000000),IF(LEFT(Y119,1)="C",RANDBETWEEN(5000,50000),IF(LEFT(Y119,1)="N",RANDBETWEEN(10000,150000),IF(LEFT(Y119,1)="J",RANDBETWEEN(8000,200000),RANDBETWEEN(5000,100000)))))</f>
        <v>69240</v>
      </c>
      <c r="AW119" s="2">
        <f ca="1">INT(AV119*RANDBETWEEN(30,60)/100)</f>
        <v>35312</v>
      </c>
      <c r="AX119">
        <f ca="1">IF(Z119="ORAL",RANDBETWEEN(1000,10000),IF(OR(Z119="INTRAVENOSA",Z119="INTRAMUSCULAR"),RANDBETWEEN(100,2000),IF(OR(Z119="OFTÁLMICA",Z119="TOPICA (EXTERNA)"),RANDBETWEEN(200,3000),RANDBETWEEN(100,1500))))</f>
        <v>1795</v>
      </c>
      <c r="AY119" s="2">
        <f ca="1">INT(AV119*RANDBETWEEN(90,130)/100)</f>
        <v>63008</v>
      </c>
      <c r="AZ119" t="str">
        <f t="shared" ca="1" si="8"/>
        <v>23.1%</v>
      </c>
      <c r="BA119" t="str">
        <f t="shared" ca="1" si="9"/>
        <v>BAJO</v>
      </c>
    </row>
    <row r="120" spans="4:53" x14ac:dyDescent="0.35">
      <c r="D120" t="s">
        <v>1082</v>
      </c>
      <c r="E120" s="1">
        <v>45672</v>
      </c>
      <c r="F120" t="s">
        <v>1083</v>
      </c>
      <c r="G120" t="s">
        <v>108</v>
      </c>
      <c r="H120" t="s">
        <v>80</v>
      </c>
      <c r="I120">
        <v>20253354</v>
      </c>
      <c r="J120" t="s">
        <v>28</v>
      </c>
      <c r="K120">
        <v>2</v>
      </c>
      <c r="L120" t="s">
        <v>27</v>
      </c>
      <c r="M120" t="s">
        <v>1084</v>
      </c>
      <c r="N120" t="s">
        <v>1085</v>
      </c>
      <c r="O120" t="s">
        <v>1086</v>
      </c>
      <c r="P120" t="s">
        <v>845</v>
      </c>
      <c r="Q120" s="1">
        <v>45636</v>
      </c>
      <c r="R120" t="s">
        <v>29</v>
      </c>
      <c r="S120" t="s">
        <v>27</v>
      </c>
      <c r="T120" t="s">
        <v>81</v>
      </c>
      <c r="U120" t="s">
        <v>115</v>
      </c>
      <c r="V120" t="s">
        <v>846</v>
      </c>
      <c r="W120">
        <v>5</v>
      </c>
      <c r="X120">
        <v>20253354</v>
      </c>
      <c r="Y120" t="s">
        <v>847</v>
      </c>
      <c r="Z120" t="s">
        <v>119</v>
      </c>
      <c r="AA120" t="s">
        <v>165</v>
      </c>
      <c r="AB120" t="s">
        <v>120</v>
      </c>
      <c r="AC120" t="s">
        <v>38</v>
      </c>
      <c r="AD120" t="s">
        <v>121</v>
      </c>
      <c r="AE120">
        <v>10</v>
      </c>
      <c r="AF120" s="1">
        <v>47513</v>
      </c>
      <c r="AG120" t="s">
        <v>26</v>
      </c>
      <c r="AH120" t="s">
        <v>2508</v>
      </c>
      <c r="AI120" t="str">
        <f t="shared" si="5"/>
        <v>NO</v>
      </c>
      <c r="AJ120" t="str">
        <f t="shared" si="6"/>
        <v>LABORATORIOS MK</v>
      </c>
      <c r="AK120" t="str">
        <f>IF(ISNUMBER(SEARCH("FABRICANTE",AC120)),"FABRICANTE",IF(ISNUMBER(SEARCH("IMPORTADOR",AC120)),"IMPORTADOR","OTRO"))</f>
        <v>IMPORTADOR</v>
      </c>
      <c r="AL120" t="str">
        <f>IF(LEFT(Y120,1)="A","Sistema digestivo",IF(LEFT(Y120,1)="B","Sangre",IF(LEFT(Y120,1)="C","Cardiovascular",IF(LEFT(Y120,1)="D","Dermatológico",IF(LEFT(Y120,1)="G","Genitourinario",IF(LEFT(Y120,1)="H","Hormonal",IF(LEFT(Y120,1)="J","Antiinfecciosos",IF(LEFT(Y120,1)="L","Oncológicos",IF(LEFT(Y120,1)="M","Musculoesquelético",IF(LEFT(Y120,1)="N","Sistema nervioso",IF(LEFT(Y120,1)="R","Respiratorio",IF(LEFT(Y120,1)="S","Oftálmico",IF(LEFT(Y120,1)="V","Varios","OTRO")))))))))))))</f>
        <v>Sistema nervioso</v>
      </c>
      <c r="AM120" t="str">
        <f>IF(AG120="Vigente","ACTIVO",IF(ISNUMBER(SEARCH("Inactivo",J120)),"INACTIVO","REVISAR"))</f>
        <v>ACTIVO</v>
      </c>
      <c r="AN120">
        <f ca="1">IF(OR(AF120="",AF120="null"),"",ROUND((AF120-TODAY())/365.25,2))</f>
        <v>3.68</v>
      </c>
      <c r="AO120" t="str">
        <f ca="1">IF(AND(AG120="Vigente",OR(AF120="",AF120="null",AF120&gt;TODAY())),"SI",IF(AND(NOT(OR(AF120="",AF120="null")),AF120&lt;=TODAY()),"NO",IF(AG120="Vigente","SI","DESCONOCIDO")))</f>
        <v>SI</v>
      </c>
      <c r="AP120" t="str">
        <f>IF(AND(ISNUMBER(SEARCH("IMPORTAR",AA120)),ISNUMBER(SEARCH("FABRICAR",AA120))),"MIXTO",IF(ISNUMBER(SEARCH("IMPORTAR",AA120)),"IMPORTADO",IF(ISNUMBER(SEARCH("FABRICAR",AA120)),"LOCAL","OTRO")))</f>
        <v>IMPORTADO</v>
      </c>
      <c r="AQ120" t="str">
        <f>IF(AD120="Si","SI",IF(AD120="No","NO",""))</f>
        <v>NO</v>
      </c>
      <c r="AR120" t="str">
        <f>IF(ISNUMBER(SEARCH("®",N120)),"MARCA/INNOVADOR","GENERICO")</f>
        <v>GENERICO</v>
      </c>
      <c r="AS120">
        <f ca="1">IF(AE120&gt;100,RANDBETWEEN(500,5000),IF(AND(AE120&gt;=10,AE120&lt;=100),RANDBETWEEN(100,1000),RANDBETWEEN(10,200)))</f>
        <v>111</v>
      </c>
      <c r="AT120">
        <f t="shared" ca="1" si="7"/>
        <v>17</v>
      </c>
      <c r="AU120">
        <f ca="1">INT(AS120*RANDBETWEEN(120,200)/100)</f>
        <v>185</v>
      </c>
      <c r="AV120" s="2">
        <f ca="1">IF(LEFT(Y120,1)="L",RANDBETWEEN(500000,5000000),IF(LEFT(Y120,1)="C",RANDBETWEEN(5000,50000),IF(LEFT(Y120,1)="N",RANDBETWEEN(10000,150000),IF(LEFT(Y120,1)="J",RANDBETWEEN(8000,200000),RANDBETWEEN(5000,100000)))))</f>
        <v>91430</v>
      </c>
      <c r="AW120" s="2">
        <f ca="1">INT(AV120*RANDBETWEEN(30,60)/100)</f>
        <v>41143</v>
      </c>
      <c r="AX120">
        <f ca="1">IF(Z120="ORAL",RANDBETWEEN(1000,10000),IF(OR(Z120="INTRAVENOSA",Z120="INTRAMUSCULAR"),RANDBETWEEN(100,2000),IF(OR(Z120="OFTÁLMICA",Z120="TOPICA (EXTERNA)"),RANDBETWEEN(200,3000),RANDBETWEEN(100,1500))))</f>
        <v>7437</v>
      </c>
      <c r="AY120" s="2">
        <f ca="1">INT(AV120*RANDBETWEEN(90,130)/100)</f>
        <v>88687</v>
      </c>
      <c r="AZ120" t="str">
        <f t="shared" ca="1" si="8"/>
        <v>5.4%</v>
      </c>
      <c r="BA120" t="str">
        <f t="shared" ca="1" si="9"/>
        <v>MEDIO</v>
      </c>
    </row>
    <row r="121" spans="4:53" x14ac:dyDescent="0.35">
      <c r="D121" t="s">
        <v>1087</v>
      </c>
      <c r="E121" s="1">
        <v>38925</v>
      </c>
      <c r="F121" t="s">
        <v>1088</v>
      </c>
      <c r="G121" t="s">
        <v>108</v>
      </c>
      <c r="H121" t="s">
        <v>74</v>
      </c>
      <c r="I121">
        <v>19967244</v>
      </c>
      <c r="J121" t="s">
        <v>28</v>
      </c>
      <c r="K121">
        <v>2</v>
      </c>
      <c r="L121" t="s">
        <v>27</v>
      </c>
      <c r="M121" t="s">
        <v>1089</v>
      </c>
      <c r="N121" t="s">
        <v>1090</v>
      </c>
      <c r="O121" t="s">
        <v>1091</v>
      </c>
      <c r="P121" t="s">
        <v>1092</v>
      </c>
      <c r="Q121" s="1">
        <v>39113</v>
      </c>
      <c r="R121" t="s">
        <v>73</v>
      </c>
      <c r="S121" t="s">
        <v>27</v>
      </c>
      <c r="T121" t="s">
        <v>80</v>
      </c>
      <c r="U121" t="s">
        <v>247</v>
      </c>
      <c r="V121" t="s">
        <v>1093</v>
      </c>
      <c r="W121">
        <v>5</v>
      </c>
      <c r="X121">
        <v>19967244</v>
      </c>
      <c r="Y121" t="s">
        <v>1094</v>
      </c>
      <c r="Z121" t="s">
        <v>119</v>
      </c>
      <c r="AA121" t="s">
        <v>24</v>
      </c>
      <c r="AB121" t="s">
        <v>1095</v>
      </c>
      <c r="AC121" t="s">
        <v>25</v>
      </c>
      <c r="AD121" t="s">
        <v>121</v>
      </c>
      <c r="AE121">
        <v>1</v>
      </c>
      <c r="AF121" t="s">
        <v>27</v>
      </c>
      <c r="AG121" t="s">
        <v>26</v>
      </c>
      <c r="AH121" t="s">
        <v>1093</v>
      </c>
      <c r="AI121" t="str">
        <f t="shared" si="5"/>
        <v>NO</v>
      </c>
      <c r="AJ121" t="str">
        <f t="shared" si="6"/>
        <v>TECNOQUIMICAS</v>
      </c>
      <c r="AK121" t="str">
        <f>IF(ISNUMBER(SEARCH("FABRICANTE",AC121)),"FABRICANTE",IF(ISNUMBER(SEARCH("IMPORTADOR",AC121)),"IMPORTADOR","OTRO"))</f>
        <v>FABRICANTE</v>
      </c>
      <c r="AL121" t="str">
        <f>IF(LEFT(Y121,1)="A","Sistema digestivo",IF(LEFT(Y121,1)="B","Sangre",IF(LEFT(Y121,1)="C","Cardiovascular",IF(LEFT(Y121,1)="D","Dermatológico",IF(LEFT(Y121,1)="G","Genitourinario",IF(LEFT(Y121,1)="H","Hormonal",IF(LEFT(Y121,1)="J","Antiinfecciosos",IF(LEFT(Y121,1)="L","Oncológicos",IF(LEFT(Y121,1)="M","Musculoesquelético",IF(LEFT(Y121,1)="N","Sistema nervioso",IF(LEFT(Y121,1)="R","Respiratorio",IF(LEFT(Y121,1)="S","Oftálmico",IF(LEFT(Y121,1)="V","Varios","OTRO")))))))))))))</f>
        <v>Antiinfecciosos</v>
      </c>
      <c r="AM121" t="str">
        <f>IF(AG121="Vigente","ACTIVO",IF(ISNUMBER(SEARCH("Inactivo",J121)),"INACTIVO","REVISAR"))</f>
        <v>ACTIVO</v>
      </c>
      <c r="AN121" t="str">
        <f ca="1">IF(OR(AF121="",AF121="null"),"",ROUND((AF121-TODAY())/365.25,2))</f>
        <v/>
      </c>
      <c r="AO121" t="str">
        <f ca="1">IF(AND(AG121="Vigente",OR(AF121="",AF121="null",AF121&gt;TODAY())),"SI",IF(AND(NOT(OR(AF121="",AF121="null")),AF121&lt;=TODAY()),"NO",IF(AG121="Vigente","SI","DESCONOCIDO")))</f>
        <v>SI</v>
      </c>
      <c r="AP121" t="str">
        <f>IF(AND(ISNUMBER(SEARCH("IMPORTAR",AA121)),ISNUMBER(SEARCH("FABRICAR",AA121))),"MIXTO",IF(ISNUMBER(SEARCH("IMPORTAR",AA121)),"IMPORTADO",IF(ISNUMBER(SEARCH("FABRICAR",AA121)),"LOCAL","OTRO")))</f>
        <v>LOCAL</v>
      </c>
      <c r="AQ121" t="str">
        <f>IF(AD121="Si","SI",IF(AD121="No","NO",""))</f>
        <v>NO</v>
      </c>
      <c r="AR121" t="str">
        <f>IF(ISNUMBER(SEARCH("®",N121)),"MARCA/INNOVADOR","GENERICO")</f>
        <v>GENERICO</v>
      </c>
      <c r="AS121">
        <f ca="1">IF(AE121&gt;100,RANDBETWEEN(500,5000),IF(AND(AE121&gt;=10,AE121&lt;=100),RANDBETWEEN(100,1000),RANDBETWEEN(10,200)))</f>
        <v>119</v>
      </c>
      <c r="AT121">
        <f t="shared" ca="1" si="7"/>
        <v>30</v>
      </c>
      <c r="AU121">
        <f ca="1">INT(AS121*RANDBETWEEN(120,200)/100)</f>
        <v>223</v>
      </c>
      <c r="AV121" s="2">
        <f ca="1">IF(LEFT(Y121,1)="L",RANDBETWEEN(500000,5000000),IF(LEFT(Y121,1)="C",RANDBETWEEN(5000,50000),IF(LEFT(Y121,1)="N",RANDBETWEEN(10000,150000),IF(LEFT(Y121,1)="J",RANDBETWEEN(8000,200000),RANDBETWEEN(5000,100000)))))</f>
        <v>147258</v>
      </c>
      <c r="AW121" s="2">
        <f ca="1">INT(AV121*RANDBETWEEN(30,60)/100)</f>
        <v>86882</v>
      </c>
      <c r="AX121">
        <f ca="1">IF(Z121="ORAL",RANDBETWEEN(1000,10000),IF(OR(Z121="INTRAVENOSA",Z121="INTRAMUSCULAR"),RANDBETWEEN(100,2000),IF(OR(Z121="OFTÁLMICA",Z121="TOPICA (EXTERNA)"),RANDBETWEEN(200,3000),RANDBETWEEN(100,1500))))</f>
        <v>2360</v>
      </c>
      <c r="AY121" s="2">
        <f ca="1">INT(AV121*RANDBETWEEN(90,130)/100)</f>
        <v>160511</v>
      </c>
      <c r="AZ121" t="str">
        <f t="shared" ca="1" si="8"/>
        <v>23.2%</v>
      </c>
      <c r="BA121" t="str">
        <f t="shared" ca="1" si="9"/>
        <v>BAJO</v>
      </c>
    </row>
    <row r="122" spans="4:53" x14ac:dyDescent="0.35">
      <c r="D122" t="s">
        <v>1096</v>
      </c>
      <c r="E122" s="1">
        <v>42293</v>
      </c>
      <c r="F122" t="s">
        <v>632</v>
      </c>
      <c r="G122" t="s">
        <v>108</v>
      </c>
      <c r="H122" t="s">
        <v>639</v>
      </c>
      <c r="I122">
        <v>20077138</v>
      </c>
      <c r="J122" t="s">
        <v>28</v>
      </c>
      <c r="K122">
        <v>19</v>
      </c>
      <c r="L122" t="s">
        <v>1097</v>
      </c>
      <c r="M122" t="s">
        <v>1098</v>
      </c>
      <c r="N122" t="s">
        <v>1099</v>
      </c>
      <c r="O122" t="s">
        <v>1100</v>
      </c>
      <c r="P122" t="s">
        <v>97</v>
      </c>
      <c r="Q122" s="1">
        <v>43542</v>
      </c>
      <c r="R122" t="s">
        <v>33</v>
      </c>
      <c r="S122" t="s">
        <v>27</v>
      </c>
      <c r="T122" t="s">
        <v>639</v>
      </c>
      <c r="U122" t="s">
        <v>115</v>
      </c>
      <c r="V122" t="s">
        <v>640</v>
      </c>
      <c r="W122" t="s">
        <v>1101</v>
      </c>
      <c r="X122">
        <v>20077138</v>
      </c>
      <c r="Y122" t="s">
        <v>642</v>
      </c>
      <c r="Z122" t="s">
        <v>119</v>
      </c>
      <c r="AA122" t="s">
        <v>32</v>
      </c>
      <c r="AB122" t="s">
        <v>120</v>
      </c>
      <c r="AC122" t="s">
        <v>38</v>
      </c>
      <c r="AD122" t="s">
        <v>121</v>
      </c>
      <c r="AE122">
        <v>72</v>
      </c>
      <c r="AF122" s="1">
        <v>401769</v>
      </c>
      <c r="AG122" t="s">
        <v>26</v>
      </c>
      <c r="AH122" t="s">
        <v>4512</v>
      </c>
      <c r="AI122" t="str">
        <f t="shared" si="5"/>
        <v>NO</v>
      </c>
      <c r="AJ122" t="str">
        <f t="shared" si="6"/>
        <v>EXELTIS</v>
      </c>
      <c r="AK122" t="str">
        <f>IF(ISNUMBER(SEARCH("FABRICANTE",AC122)),"FABRICANTE",IF(ISNUMBER(SEARCH("IMPORTADOR",AC122)),"IMPORTADOR","OTRO"))</f>
        <v>IMPORTADOR</v>
      </c>
      <c r="AL122" t="str">
        <f>IF(LEFT(Y122,1)="A","Sistema digestivo",IF(LEFT(Y122,1)="B","Sangre",IF(LEFT(Y122,1)="C","Cardiovascular",IF(LEFT(Y122,1)="D","Dermatológico",IF(LEFT(Y122,1)="G","Genitourinario",IF(LEFT(Y122,1)="H","Hormonal",IF(LEFT(Y122,1)="J","Antiinfecciosos",IF(LEFT(Y122,1)="L","Oncológicos",IF(LEFT(Y122,1)="M","Musculoesquelético",IF(LEFT(Y122,1)="N","Sistema nervioso",IF(LEFT(Y122,1)="R","Respiratorio",IF(LEFT(Y122,1)="S","Oftálmico",IF(LEFT(Y122,1)="V","Varios","OTRO")))))))))))))</f>
        <v>Genitourinario</v>
      </c>
      <c r="AM122" t="str">
        <f>IF(AG122="Vigente","ACTIVO",IF(ISNUMBER(SEARCH("Inactivo",J122)),"INACTIVO","REVISAR"))</f>
        <v>ACTIVO</v>
      </c>
      <c r="AN122">
        <f ca="1">IF(OR(AF122="",AF122="null"),"",ROUND((AF122-TODAY())/365.25,2))</f>
        <v>973.58</v>
      </c>
      <c r="AO122" t="str">
        <f ca="1">IF(AND(AG122="Vigente",OR(AF122="",AF122="null",AF122&gt;TODAY())),"SI",IF(AND(NOT(OR(AF122="",AF122="null")),AF122&lt;=TODAY()),"NO",IF(AG122="Vigente","SI","DESCONOCIDO")))</f>
        <v>SI</v>
      </c>
      <c r="AP122" t="str">
        <f>IF(AND(ISNUMBER(SEARCH("IMPORTAR",AA122)),ISNUMBER(SEARCH("FABRICAR",AA122))),"MIXTO",IF(ISNUMBER(SEARCH("IMPORTAR",AA122)),"IMPORTADO",IF(ISNUMBER(SEARCH("FABRICAR",AA122)),"LOCAL","OTRO")))</f>
        <v>IMPORTADO</v>
      </c>
      <c r="AQ122" t="str">
        <f>IF(AD122="Si","SI",IF(AD122="No","NO",""))</f>
        <v>NO</v>
      </c>
      <c r="AR122" t="str">
        <f>IF(ISNUMBER(SEARCH("®",N122)),"MARCA/INNOVADOR","GENERICO")</f>
        <v>GENERICO</v>
      </c>
      <c r="AS122">
        <f ca="1">IF(AE122&gt;100,RANDBETWEEN(500,5000),IF(AND(AE122&gt;=10,AE122&lt;=100),RANDBETWEEN(100,1000),RANDBETWEEN(10,200)))</f>
        <v>610</v>
      </c>
      <c r="AT122">
        <f t="shared" ca="1" si="7"/>
        <v>158</v>
      </c>
      <c r="AU122">
        <f ca="1">INT(AS122*RANDBETWEEN(120,200)/100)</f>
        <v>1006</v>
      </c>
      <c r="AV122" s="2">
        <f ca="1">IF(LEFT(Y122,1)="L",RANDBETWEEN(500000,5000000),IF(LEFT(Y122,1)="C",RANDBETWEEN(5000,50000),IF(LEFT(Y122,1)="N",RANDBETWEEN(10000,150000),IF(LEFT(Y122,1)="J",RANDBETWEEN(8000,200000),RANDBETWEEN(5000,100000)))))</f>
        <v>30128</v>
      </c>
      <c r="AW122" s="2">
        <f ca="1">INT(AV122*RANDBETWEEN(30,60)/100)</f>
        <v>12051</v>
      </c>
      <c r="AX122">
        <f ca="1">IF(Z122="ORAL",RANDBETWEEN(1000,10000),IF(OR(Z122="INTRAVENOSA",Z122="INTRAMUSCULAR"),RANDBETWEEN(100,2000),IF(OR(Z122="OFTÁLMICA",Z122="TOPICA (EXTERNA)"),RANDBETWEEN(200,3000),RANDBETWEEN(100,1500))))</f>
        <v>8685</v>
      </c>
      <c r="AY122" s="2">
        <f ca="1">INT(AV122*RANDBETWEEN(90,130)/100)</f>
        <v>28621</v>
      </c>
      <c r="AZ122" t="str">
        <f t="shared" ca="1" si="8"/>
        <v>7.4%</v>
      </c>
      <c r="BA122" t="str">
        <f t="shared" ca="1" si="9"/>
        <v>BAJO</v>
      </c>
    </row>
    <row r="123" spans="4:53" x14ac:dyDescent="0.35">
      <c r="D123" t="s">
        <v>1102</v>
      </c>
      <c r="E123" s="1">
        <v>43627</v>
      </c>
      <c r="F123" t="s">
        <v>1103</v>
      </c>
      <c r="G123" t="s">
        <v>108</v>
      </c>
      <c r="H123" t="s">
        <v>1104</v>
      </c>
      <c r="I123">
        <v>20136000</v>
      </c>
      <c r="J123" t="s">
        <v>28</v>
      </c>
      <c r="K123">
        <v>9</v>
      </c>
      <c r="L123" t="s">
        <v>1105</v>
      </c>
      <c r="M123" t="s">
        <v>1106</v>
      </c>
      <c r="N123" t="s">
        <v>1107</v>
      </c>
      <c r="O123" t="s">
        <v>1108</v>
      </c>
      <c r="P123" t="s">
        <v>181</v>
      </c>
      <c r="Q123" s="1">
        <v>44419</v>
      </c>
      <c r="R123" t="s">
        <v>37</v>
      </c>
      <c r="S123" t="s">
        <v>27</v>
      </c>
      <c r="T123" t="s">
        <v>48</v>
      </c>
      <c r="U123" t="s">
        <v>115</v>
      </c>
      <c r="V123" t="s">
        <v>1103</v>
      </c>
      <c r="W123">
        <v>200</v>
      </c>
      <c r="X123">
        <v>20136000</v>
      </c>
      <c r="Y123" t="s">
        <v>1109</v>
      </c>
      <c r="Z123" t="s">
        <v>119</v>
      </c>
      <c r="AA123" t="s">
        <v>32</v>
      </c>
      <c r="AB123" t="s">
        <v>120</v>
      </c>
      <c r="AC123" t="s">
        <v>25</v>
      </c>
      <c r="AD123" t="s">
        <v>155</v>
      </c>
      <c r="AE123">
        <v>2</v>
      </c>
      <c r="AF123" t="s">
        <v>27</v>
      </c>
      <c r="AG123" t="s">
        <v>26</v>
      </c>
      <c r="AH123" t="s">
        <v>1103</v>
      </c>
      <c r="AI123" t="str">
        <f t="shared" si="5"/>
        <v>NO</v>
      </c>
      <c r="AJ123" t="str">
        <f t="shared" si="6"/>
        <v>GENFAR</v>
      </c>
      <c r="AK123" t="str">
        <f>IF(ISNUMBER(SEARCH("FABRICANTE",AC123)),"FABRICANTE",IF(ISNUMBER(SEARCH("IMPORTADOR",AC123)),"IMPORTADOR","OTRO"))</f>
        <v>FABRICANTE</v>
      </c>
      <c r="AL123" t="str">
        <f>IF(LEFT(Y123,1)="A","Sistema digestivo",IF(LEFT(Y123,1)="B","Sangre",IF(LEFT(Y123,1)="C","Cardiovascular",IF(LEFT(Y123,1)="D","Dermatológico",IF(LEFT(Y123,1)="G","Genitourinario",IF(LEFT(Y123,1)="H","Hormonal",IF(LEFT(Y123,1)="J","Antiinfecciosos",IF(LEFT(Y123,1)="L","Oncológicos",IF(LEFT(Y123,1)="M","Musculoesquelético",IF(LEFT(Y123,1)="N","Sistema nervioso",IF(LEFT(Y123,1)="R","Respiratorio",IF(LEFT(Y123,1)="S","Oftálmico",IF(LEFT(Y123,1)="V","Varios","OTRO")))))))))))))</f>
        <v>Musculoesquelético</v>
      </c>
      <c r="AM123" t="str">
        <f>IF(AG123="Vigente","ACTIVO",IF(ISNUMBER(SEARCH("Inactivo",J123)),"INACTIVO","REVISAR"))</f>
        <v>ACTIVO</v>
      </c>
      <c r="AN123" t="str">
        <f ca="1">IF(OR(AF123="",AF123="null"),"",ROUND((AF123-TODAY())/365.25,2))</f>
        <v/>
      </c>
      <c r="AO123" t="str">
        <f ca="1">IF(AND(AG123="Vigente",OR(AF123="",AF123="null",AF123&gt;TODAY())),"SI",IF(AND(NOT(OR(AF123="",AF123="null")),AF123&lt;=TODAY()),"NO",IF(AG123="Vigente","SI","DESCONOCIDO")))</f>
        <v>SI</v>
      </c>
      <c r="AP123" t="str">
        <f>IF(AND(ISNUMBER(SEARCH("IMPORTAR",AA123)),ISNUMBER(SEARCH("FABRICAR",AA123))),"MIXTO",IF(ISNUMBER(SEARCH("IMPORTAR",AA123)),"IMPORTADO",IF(ISNUMBER(SEARCH("FABRICAR",AA123)),"LOCAL","OTRO")))</f>
        <v>IMPORTADO</v>
      </c>
      <c r="AQ123" t="str">
        <f>IF(AD123="Si","SI",IF(AD123="No","NO",""))</f>
        <v>SI</v>
      </c>
      <c r="AR123" t="str">
        <f>IF(ISNUMBER(SEARCH("®",N123)),"MARCA/INNOVADOR","GENERICO")</f>
        <v>GENERICO</v>
      </c>
      <c r="AS123">
        <f ca="1">IF(AE123&gt;100,RANDBETWEEN(500,5000),IF(AND(AE123&gt;=10,AE123&lt;=100),RANDBETWEEN(100,1000),RANDBETWEEN(10,200)))</f>
        <v>82</v>
      </c>
      <c r="AT123">
        <f t="shared" ca="1" si="7"/>
        <v>17</v>
      </c>
      <c r="AU123">
        <f ca="1">INT(AS123*RANDBETWEEN(120,200)/100)</f>
        <v>148</v>
      </c>
      <c r="AV123" s="2">
        <f ca="1">IF(LEFT(Y123,1)="L",RANDBETWEEN(500000,5000000),IF(LEFT(Y123,1)="C",RANDBETWEEN(5000,50000),IF(LEFT(Y123,1)="N",RANDBETWEEN(10000,150000),IF(LEFT(Y123,1)="J",RANDBETWEEN(8000,200000),RANDBETWEEN(5000,100000)))))</f>
        <v>20541</v>
      </c>
      <c r="AW123" s="2">
        <f ca="1">INT(AV123*RANDBETWEEN(30,60)/100)</f>
        <v>12119</v>
      </c>
      <c r="AX123">
        <f ca="1">IF(Z123="ORAL",RANDBETWEEN(1000,10000),IF(OR(Z123="INTRAVENOSA",Z123="INTRAMUSCULAR"),RANDBETWEEN(100,2000),IF(OR(Z123="OFTÁLMICA",Z123="TOPICA (EXTERNA)"),RANDBETWEEN(200,3000),RANDBETWEEN(100,1500))))</f>
        <v>2304</v>
      </c>
      <c r="AY123" s="2">
        <f ca="1">INT(AV123*RANDBETWEEN(90,130)/100)</f>
        <v>21773</v>
      </c>
      <c r="AZ123" t="str">
        <f t="shared" ca="1" si="8"/>
        <v>11.8%</v>
      </c>
      <c r="BA123" t="str">
        <f t="shared" ca="1" si="9"/>
        <v>BAJO</v>
      </c>
    </row>
    <row r="124" spans="4:53" x14ac:dyDescent="0.35">
      <c r="D124" t="s">
        <v>1110</v>
      </c>
      <c r="E124" s="1">
        <v>39772</v>
      </c>
      <c r="F124" t="s">
        <v>1111</v>
      </c>
      <c r="G124" t="s">
        <v>108</v>
      </c>
      <c r="H124" t="s">
        <v>503</v>
      </c>
      <c r="I124">
        <v>19993029</v>
      </c>
      <c r="J124" t="s">
        <v>28</v>
      </c>
      <c r="K124">
        <v>2</v>
      </c>
      <c r="L124" t="s">
        <v>27</v>
      </c>
      <c r="M124" t="s">
        <v>1112</v>
      </c>
      <c r="N124" t="s">
        <v>1113</v>
      </c>
      <c r="O124" t="s">
        <v>1114</v>
      </c>
      <c r="P124" t="s">
        <v>1115</v>
      </c>
      <c r="Q124" s="1">
        <v>39674</v>
      </c>
      <c r="R124" t="s">
        <v>50</v>
      </c>
      <c r="S124" t="s">
        <v>27</v>
      </c>
      <c r="T124" t="s">
        <v>508</v>
      </c>
      <c r="U124" t="s">
        <v>247</v>
      </c>
      <c r="V124" t="s">
        <v>1116</v>
      </c>
      <c r="W124" t="s">
        <v>1117</v>
      </c>
      <c r="X124">
        <v>19993029</v>
      </c>
      <c r="Y124" t="s">
        <v>1118</v>
      </c>
      <c r="Z124" t="s">
        <v>213</v>
      </c>
      <c r="AA124" t="s">
        <v>24</v>
      </c>
      <c r="AB124" t="s">
        <v>120</v>
      </c>
      <c r="AC124" t="s">
        <v>25</v>
      </c>
      <c r="AD124" t="s">
        <v>121</v>
      </c>
      <c r="AE124">
        <v>10</v>
      </c>
      <c r="AF124" t="s">
        <v>27</v>
      </c>
      <c r="AG124" t="s">
        <v>26</v>
      </c>
      <c r="AH124" t="s">
        <v>343</v>
      </c>
      <c r="AI124" t="str">
        <f t="shared" si="5"/>
        <v>NO</v>
      </c>
      <c r="AJ124" t="str">
        <f t="shared" si="6"/>
        <v>PRODUCTORA DE CAPSULAS DE GELATINA. PROCAPS</v>
      </c>
      <c r="AK124" t="str">
        <f>IF(ISNUMBER(SEARCH("FABRICANTE",AC124)),"FABRICANTE",IF(ISNUMBER(SEARCH("IMPORTADOR",AC124)),"IMPORTADOR","OTRO"))</f>
        <v>FABRICANTE</v>
      </c>
      <c r="AL124" t="str">
        <f>IF(LEFT(Y124,1)="A","Sistema digestivo",IF(LEFT(Y124,1)="B","Sangre",IF(LEFT(Y124,1)="C","Cardiovascular",IF(LEFT(Y124,1)="D","Dermatológico",IF(LEFT(Y124,1)="G","Genitourinario",IF(LEFT(Y124,1)="H","Hormonal",IF(LEFT(Y124,1)="J","Antiinfecciosos",IF(LEFT(Y124,1)="L","Oncológicos",IF(LEFT(Y124,1)="M","Musculoesquelético",IF(LEFT(Y124,1)="N","Sistema nervioso",IF(LEFT(Y124,1)="R","Respiratorio",IF(LEFT(Y124,1)="S","Oftálmico",IF(LEFT(Y124,1)="V","Varios","OTRO")))))))))))))</f>
        <v>Sistema nervioso</v>
      </c>
      <c r="AM124" t="str">
        <f>IF(AG124="Vigente","ACTIVO",IF(ISNUMBER(SEARCH("Inactivo",J124)),"INACTIVO","REVISAR"))</f>
        <v>ACTIVO</v>
      </c>
      <c r="AN124" t="str">
        <f ca="1">IF(OR(AF124="",AF124="null"),"",ROUND((AF124-TODAY())/365.25,2))</f>
        <v/>
      </c>
      <c r="AO124" t="str">
        <f ca="1">IF(AND(AG124="Vigente",OR(AF124="",AF124="null",AF124&gt;TODAY())),"SI",IF(AND(NOT(OR(AF124="",AF124="null")),AF124&lt;=TODAY()),"NO",IF(AG124="Vigente","SI","DESCONOCIDO")))</f>
        <v>SI</v>
      </c>
      <c r="AP124" t="str">
        <f>IF(AND(ISNUMBER(SEARCH("IMPORTAR",AA124)),ISNUMBER(SEARCH("FABRICAR",AA124))),"MIXTO",IF(ISNUMBER(SEARCH("IMPORTAR",AA124)),"IMPORTADO",IF(ISNUMBER(SEARCH("FABRICAR",AA124)),"LOCAL","OTRO")))</f>
        <v>LOCAL</v>
      </c>
      <c r="AQ124" t="str">
        <f>IF(AD124="Si","SI",IF(AD124="No","NO",""))</f>
        <v>NO</v>
      </c>
      <c r="AR124" t="str">
        <f>IF(ISNUMBER(SEARCH("®",N124)),"MARCA/INNOVADOR","GENERICO")</f>
        <v>GENERICO</v>
      </c>
      <c r="AS124">
        <f ca="1">IF(AE124&gt;100,RANDBETWEEN(500,5000),IF(AND(AE124&gt;=10,AE124&lt;=100),RANDBETWEEN(100,1000),RANDBETWEEN(10,200)))</f>
        <v>798</v>
      </c>
      <c r="AT124">
        <f t="shared" ca="1" si="7"/>
        <v>143</v>
      </c>
      <c r="AU124">
        <f ca="1">INT(AS124*RANDBETWEEN(120,200)/100)</f>
        <v>1452</v>
      </c>
      <c r="AV124" s="2">
        <f ca="1">IF(LEFT(Y124,1)="L",RANDBETWEEN(500000,5000000),IF(LEFT(Y124,1)="C",RANDBETWEEN(5000,50000),IF(LEFT(Y124,1)="N",RANDBETWEEN(10000,150000),IF(LEFT(Y124,1)="J",RANDBETWEEN(8000,200000),RANDBETWEEN(5000,100000)))))</f>
        <v>114305</v>
      </c>
      <c r="AW124" s="2">
        <f ca="1">INT(AV124*RANDBETWEEN(30,60)/100)</f>
        <v>34291</v>
      </c>
      <c r="AX124">
        <f ca="1">IF(Z124="ORAL",RANDBETWEEN(1000,10000),IF(OR(Z124="INTRAVENOSA",Z124="INTRAMUSCULAR"),RANDBETWEEN(100,2000),IF(OR(Z124="OFTÁLMICA",Z124="TOPICA (EXTERNA)"),RANDBETWEEN(200,3000),RANDBETWEEN(100,1500))))</f>
        <v>679</v>
      </c>
      <c r="AY124" s="2">
        <f ca="1">INT(AV124*RANDBETWEEN(90,130)/100)</f>
        <v>130307</v>
      </c>
      <c r="AZ124" t="str">
        <f t="shared" ca="1" si="8"/>
        <v>10%</v>
      </c>
      <c r="BA124" t="str">
        <f t="shared" ca="1" si="9"/>
        <v>BAJO</v>
      </c>
    </row>
    <row r="125" spans="4:53" x14ac:dyDescent="0.35">
      <c r="D125" t="s">
        <v>1119</v>
      </c>
      <c r="E125" s="1">
        <v>36272</v>
      </c>
      <c r="F125" t="s">
        <v>588</v>
      </c>
      <c r="G125" t="s">
        <v>502</v>
      </c>
      <c r="H125" t="s">
        <v>1120</v>
      </c>
      <c r="I125">
        <v>35430</v>
      </c>
      <c r="J125" t="s">
        <v>28</v>
      </c>
      <c r="K125">
        <v>2</v>
      </c>
      <c r="L125" t="s">
        <v>27</v>
      </c>
      <c r="M125" t="s">
        <v>1121</v>
      </c>
      <c r="N125" t="s">
        <v>1122</v>
      </c>
      <c r="O125" t="s">
        <v>1123</v>
      </c>
      <c r="P125" t="s">
        <v>1124</v>
      </c>
      <c r="Q125" s="1">
        <v>39031</v>
      </c>
      <c r="R125" t="s">
        <v>50</v>
      </c>
      <c r="S125" t="s">
        <v>27</v>
      </c>
      <c r="T125" t="s">
        <v>428</v>
      </c>
      <c r="U125" t="s">
        <v>115</v>
      </c>
      <c r="V125" t="s">
        <v>588</v>
      </c>
      <c r="W125">
        <v>1</v>
      </c>
      <c r="X125">
        <v>35430</v>
      </c>
      <c r="Y125" t="s">
        <v>593</v>
      </c>
      <c r="Z125" t="s">
        <v>213</v>
      </c>
      <c r="AA125" t="s">
        <v>32</v>
      </c>
      <c r="AB125" t="s">
        <v>120</v>
      </c>
      <c r="AC125" t="s">
        <v>25</v>
      </c>
      <c r="AD125" t="s">
        <v>121</v>
      </c>
      <c r="AE125">
        <v>5</v>
      </c>
      <c r="AF125" t="s">
        <v>27</v>
      </c>
      <c r="AG125" t="s">
        <v>26</v>
      </c>
      <c r="AH125" t="s">
        <v>588</v>
      </c>
      <c r="AI125" t="str">
        <f t="shared" si="5"/>
        <v>NO</v>
      </c>
      <c r="AJ125" t="str">
        <f t="shared" si="6"/>
        <v>LABORATORIOS SIEGFRIED</v>
      </c>
      <c r="AK125" t="str">
        <f>IF(ISNUMBER(SEARCH("FABRICANTE",AC125)),"FABRICANTE",IF(ISNUMBER(SEARCH("IMPORTADOR",AC125)),"IMPORTADOR","OTRO"))</f>
        <v>FABRICANTE</v>
      </c>
      <c r="AL125" t="str">
        <f>IF(LEFT(Y125,1)="A","Sistema digestivo",IF(LEFT(Y125,1)="B","Sangre",IF(LEFT(Y125,1)="C","Cardiovascular",IF(LEFT(Y125,1)="D","Dermatológico",IF(LEFT(Y125,1)="G","Genitourinario",IF(LEFT(Y125,1)="H","Hormonal",IF(LEFT(Y125,1)="J","Antiinfecciosos",IF(LEFT(Y125,1)="L","Oncológicos",IF(LEFT(Y125,1)="M","Musculoesquelético",IF(LEFT(Y125,1)="N","Sistema nervioso",IF(LEFT(Y125,1)="R","Respiratorio",IF(LEFT(Y125,1)="S","Oftálmico",IF(LEFT(Y125,1)="V","Varios","OTRO")))))))))))))</f>
        <v>Sistema nervioso</v>
      </c>
      <c r="AM125" t="str">
        <f>IF(AG125="Vigente","ACTIVO",IF(ISNUMBER(SEARCH("Inactivo",J125)),"INACTIVO","REVISAR"))</f>
        <v>ACTIVO</v>
      </c>
      <c r="AN125" t="str">
        <f ca="1">IF(OR(AF125="",AF125="null"),"",ROUND((AF125-TODAY())/365.25,2))</f>
        <v/>
      </c>
      <c r="AO125" t="str">
        <f ca="1">IF(AND(AG125="Vigente",OR(AF125="",AF125="null",AF125&gt;TODAY())),"SI",IF(AND(NOT(OR(AF125="",AF125="null")),AF125&lt;=TODAY()),"NO",IF(AG125="Vigente","SI","DESCONOCIDO")))</f>
        <v>SI</v>
      </c>
      <c r="AP125" t="str">
        <f>IF(AND(ISNUMBER(SEARCH("IMPORTAR",AA125)),ISNUMBER(SEARCH("FABRICAR",AA125))),"MIXTO",IF(ISNUMBER(SEARCH("IMPORTAR",AA125)),"IMPORTADO",IF(ISNUMBER(SEARCH("FABRICAR",AA125)),"LOCAL","OTRO")))</f>
        <v>IMPORTADO</v>
      </c>
      <c r="AQ125" t="str">
        <f>IF(AD125="Si","SI",IF(AD125="No","NO",""))</f>
        <v>NO</v>
      </c>
      <c r="AR125" t="str">
        <f>IF(ISNUMBER(SEARCH("®",N125)),"MARCA/INNOVADOR","GENERICO")</f>
        <v>MARCA/INNOVADOR</v>
      </c>
      <c r="AS125">
        <f ca="1">IF(AE125&gt;100,RANDBETWEEN(500,5000),IF(AND(AE125&gt;=10,AE125&lt;=100),RANDBETWEEN(100,1000),RANDBETWEEN(10,200)))</f>
        <v>189</v>
      </c>
      <c r="AT125">
        <f t="shared" ca="1" si="7"/>
        <v>52</v>
      </c>
      <c r="AU125">
        <f ca="1">INT(AS125*RANDBETWEEN(120,200)/100)</f>
        <v>347</v>
      </c>
      <c r="AV125" s="2">
        <f ca="1">IF(LEFT(Y125,1)="L",RANDBETWEEN(500000,5000000),IF(LEFT(Y125,1)="C",RANDBETWEEN(5000,50000),IF(LEFT(Y125,1)="N",RANDBETWEEN(10000,150000),IF(LEFT(Y125,1)="J",RANDBETWEEN(8000,200000),RANDBETWEEN(5000,100000)))))</f>
        <v>31164</v>
      </c>
      <c r="AW125" s="2">
        <f ca="1">INT(AV125*RANDBETWEEN(30,60)/100)</f>
        <v>12777</v>
      </c>
      <c r="AX125">
        <f ca="1">IF(Z125="ORAL",RANDBETWEEN(1000,10000),IF(OR(Z125="INTRAVENOSA",Z125="INTRAMUSCULAR"),RANDBETWEEN(100,2000),IF(OR(Z125="OFTÁLMICA",Z125="TOPICA (EXTERNA)"),RANDBETWEEN(200,3000),RANDBETWEEN(100,1500))))</f>
        <v>195</v>
      </c>
      <c r="AY125" s="2">
        <f ca="1">INT(AV125*RANDBETWEEN(90,130)/100)</f>
        <v>31164</v>
      </c>
      <c r="AZ125" t="str">
        <f t="shared" ca="1" si="8"/>
        <v>5.3%</v>
      </c>
      <c r="BA125" t="str">
        <f t="shared" ca="1" si="9"/>
        <v>BAJO</v>
      </c>
    </row>
    <row r="126" spans="4:53" x14ac:dyDescent="0.35">
      <c r="D126" t="s">
        <v>1125</v>
      </c>
      <c r="E126" s="1">
        <v>41697</v>
      </c>
      <c r="F126" t="s">
        <v>644</v>
      </c>
      <c r="G126" t="s">
        <v>108</v>
      </c>
      <c r="H126" t="s">
        <v>44</v>
      </c>
      <c r="I126">
        <v>20061996</v>
      </c>
      <c r="J126" t="s">
        <v>110</v>
      </c>
      <c r="K126">
        <v>5</v>
      </c>
      <c r="L126" t="s">
        <v>27</v>
      </c>
      <c r="M126" t="s">
        <v>1126</v>
      </c>
      <c r="N126" t="s">
        <v>1127</v>
      </c>
      <c r="O126" t="s">
        <v>1128</v>
      </c>
      <c r="P126" t="s">
        <v>835</v>
      </c>
      <c r="Q126" s="1">
        <v>41687</v>
      </c>
      <c r="R126" t="s">
        <v>62</v>
      </c>
      <c r="S126" t="s">
        <v>27</v>
      </c>
      <c r="T126" t="s">
        <v>172</v>
      </c>
      <c r="U126" t="s">
        <v>247</v>
      </c>
      <c r="V126" t="s">
        <v>1129</v>
      </c>
      <c r="W126" t="s">
        <v>433</v>
      </c>
      <c r="X126">
        <v>20061996</v>
      </c>
      <c r="Y126" t="s">
        <v>1130</v>
      </c>
      <c r="Z126" t="s">
        <v>566</v>
      </c>
      <c r="AA126" t="s">
        <v>24</v>
      </c>
      <c r="AB126" t="s">
        <v>653</v>
      </c>
      <c r="AC126" t="s">
        <v>25</v>
      </c>
      <c r="AD126" t="s">
        <v>121</v>
      </c>
      <c r="AE126">
        <v>1</v>
      </c>
      <c r="AF126" t="s">
        <v>27</v>
      </c>
      <c r="AG126" t="s">
        <v>26</v>
      </c>
      <c r="AH126" t="s">
        <v>5550</v>
      </c>
      <c r="AI126" t="str">
        <f t="shared" si="5"/>
        <v>NO</v>
      </c>
      <c r="AJ126" t="str">
        <f t="shared" si="6"/>
        <v>NOVAMED</v>
      </c>
      <c r="AK126" t="str">
        <f>IF(ISNUMBER(SEARCH("FABRICANTE",AC126)),"FABRICANTE",IF(ISNUMBER(SEARCH("IMPORTADOR",AC126)),"IMPORTADOR","OTRO"))</f>
        <v>FABRICANTE</v>
      </c>
      <c r="AL126" t="str">
        <f>IF(LEFT(Y126,1)="A","Sistema digestivo",IF(LEFT(Y126,1)="B","Sangre",IF(LEFT(Y126,1)="C","Cardiovascular",IF(LEFT(Y126,1)="D","Dermatológico",IF(LEFT(Y126,1)="G","Genitourinario",IF(LEFT(Y126,1)="H","Hormonal",IF(LEFT(Y126,1)="J","Antiinfecciosos",IF(LEFT(Y126,1)="L","Oncológicos",IF(LEFT(Y126,1)="M","Musculoesquelético",IF(LEFT(Y126,1)="N","Sistema nervioso",IF(LEFT(Y126,1)="R","Respiratorio",IF(LEFT(Y126,1)="S","Oftálmico",IF(LEFT(Y126,1)="V","Varios","OTRO")))))))))))))</f>
        <v>Dermatológico</v>
      </c>
      <c r="AM126" t="str">
        <f>IF(AG126="Vigente","ACTIVO",IF(ISNUMBER(SEARCH("Inactivo",J126)),"INACTIVO","REVISAR"))</f>
        <v>ACTIVO</v>
      </c>
      <c r="AN126" t="str">
        <f ca="1">IF(OR(AF126="",AF126="null"),"",ROUND((AF126-TODAY())/365.25,2))</f>
        <v/>
      </c>
      <c r="AO126" t="str">
        <f ca="1">IF(AND(AG126="Vigente",OR(AF126="",AF126="null",AF126&gt;TODAY())),"SI",IF(AND(NOT(OR(AF126="",AF126="null")),AF126&lt;=TODAY()),"NO",IF(AG126="Vigente","SI","DESCONOCIDO")))</f>
        <v>SI</v>
      </c>
      <c r="AP126" t="str">
        <f>IF(AND(ISNUMBER(SEARCH("IMPORTAR",AA126)),ISNUMBER(SEARCH("FABRICAR",AA126))),"MIXTO",IF(ISNUMBER(SEARCH("IMPORTAR",AA126)),"IMPORTADO",IF(ISNUMBER(SEARCH("FABRICAR",AA126)),"LOCAL","OTRO")))</f>
        <v>LOCAL</v>
      </c>
      <c r="AQ126" t="str">
        <f>IF(AD126="Si","SI",IF(AD126="No","NO",""))</f>
        <v>NO</v>
      </c>
      <c r="AR126" t="str">
        <f>IF(ISNUMBER(SEARCH("®",N126)),"MARCA/INNOVADOR","GENERICO")</f>
        <v>MARCA/INNOVADOR</v>
      </c>
      <c r="AS126">
        <f ca="1">IF(AE126&gt;100,RANDBETWEEN(500,5000),IF(AND(AE126&gt;=10,AE126&lt;=100),RANDBETWEEN(100,1000),RANDBETWEEN(10,200)))</f>
        <v>66</v>
      </c>
      <c r="AT126">
        <f t="shared" ca="1" si="7"/>
        <v>8</v>
      </c>
      <c r="AU126">
        <f ca="1">INT(AS126*RANDBETWEEN(120,200)/100)</f>
        <v>131</v>
      </c>
      <c r="AV126" s="2">
        <f ca="1">IF(LEFT(Y126,1)="L",RANDBETWEEN(500000,5000000),IF(LEFT(Y126,1)="C",RANDBETWEEN(5000,50000),IF(LEFT(Y126,1)="N",RANDBETWEEN(10000,150000),IF(LEFT(Y126,1)="J",RANDBETWEEN(8000,200000),RANDBETWEEN(5000,100000)))))</f>
        <v>38747</v>
      </c>
      <c r="AW126" s="2">
        <f ca="1">INT(AV126*RANDBETWEEN(30,60)/100)</f>
        <v>15886</v>
      </c>
      <c r="AX126">
        <f ca="1">IF(Z126="ORAL",RANDBETWEEN(1000,10000),IF(OR(Z126="INTRAVENOSA",Z126="INTRAMUSCULAR"),RANDBETWEEN(100,2000),IF(OR(Z126="OFTÁLMICA",Z126="TOPICA (EXTERNA)"),RANDBETWEEN(200,3000),RANDBETWEEN(100,1500))))</f>
        <v>912</v>
      </c>
      <c r="AY126" s="2">
        <f ca="1">INT(AV126*RANDBETWEEN(90,130)/100)</f>
        <v>48433</v>
      </c>
      <c r="AZ126" t="str">
        <f t="shared" ca="1" si="8"/>
        <v>7.3%</v>
      </c>
      <c r="BA126" t="str">
        <f t="shared" ca="1" si="9"/>
        <v>ALTO</v>
      </c>
    </row>
    <row r="127" spans="4:53" x14ac:dyDescent="0.35">
      <c r="D127" t="s">
        <v>1131</v>
      </c>
      <c r="E127" s="1">
        <v>42206</v>
      </c>
      <c r="F127" t="s">
        <v>1132</v>
      </c>
      <c r="G127" t="s">
        <v>108</v>
      </c>
      <c r="H127" t="s">
        <v>93</v>
      </c>
      <c r="I127">
        <v>20084685</v>
      </c>
      <c r="J127" t="s">
        <v>110</v>
      </c>
      <c r="K127">
        <v>28</v>
      </c>
      <c r="L127" t="s">
        <v>27</v>
      </c>
      <c r="M127" t="s">
        <v>1133</v>
      </c>
      <c r="N127" t="s">
        <v>1134</v>
      </c>
      <c r="O127" t="s">
        <v>1135</v>
      </c>
      <c r="P127" t="s">
        <v>1136</v>
      </c>
      <c r="Q127" s="1">
        <v>42202</v>
      </c>
      <c r="R127" t="s">
        <v>50</v>
      </c>
      <c r="S127" t="s">
        <v>27</v>
      </c>
      <c r="T127" t="s">
        <v>93</v>
      </c>
      <c r="U127" t="s">
        <v>115</v>
      </c>
      <c r="V127" t="s">
        <v>275</v>
      </c>
      <c r="W127">
        <v>40</v>
      </c>
      <c r="X127">
        <v>20084685</v>
      </c>
      <c r="Y127" t="s">
        <v>276</v>
      </c>
      <c r="Z127" t="s">
        <v>1137</v>
      </c>
      <c r="AA127" t="s">
        <v>32</v>
      </c>
      <c r="AB127" t="s">
        <v>239</v>
      </c>
      <c r="AC127" t="s">
        <v>38</v>
      </c>
      <c r="AD127" t="s">
        <v>121</v>
      </c>
      <c r="AE127">
        <v>100</v>
      </c>
      <c r="AF127" t="s">
        <v>27</v>
      </c>
      <c r="AG127" t="s">
        <v>26</v>
      </c>
      <c r="AH127" t="s">
        <v>1822</v>
      </c>
      <c r="AI127" t="str">
        <f t="shared" si="5"/>
        <v>SI</v>
      </c>
      <c r="AJ127" t="str">
        <f t="shared" si="6"/>
        <v>LABORATORIOS DELTA</v>
      </c>
      <c r="AK127" t="str">
        <f>IF(ISNUMBER(SEARCH("FABRICANTE",AC127)),"FABRICANTE",IF(ISNUMBER(SEARCH("IMPORTADOR",AC127)),"IMPORTADOR","OTRO"))</f>
        <v>IMPORTADOR</v>
      </c>
      <c r="AL127" t="str">
        <f>IF(LEFT(Y127,1)="A","Sistema digestivo",IF(LEFT(Y127,1)="B","Sangre",IF(LEFT(Y127,1)="C","Cardiovascular",IF(LEFT(Y127,1)="D","Dermatológico",IF(LEFT(Y127,1)="G","Genitourinario",IF(LEFT(Y127,1)="H","Hormonal",IF(LEFT(Y127,1)="J","Antiinfecciosos",IF(LEFT(Y127,1)="L","Oncológicos",IF(LEFT(Y127,1)="M","Musculoesquelético",IF(LEFT(Y127,1)="N","Sistema nervioso",IF(LEFT(Y127,1)="R","Respiratorio",IF(LEFT(Y127,1)="S","Oftálmico",IF(LEFT(Y127,1)="V","Varios","OTRO")))))))))))))</f>
        <v>Sangre</v>
      </c>
      <c r="AM127" t="str">
        <f>IF(AG127="Vigente","ACTIVO",IF(ISNUMBER(SEARCH("Inactivo",J127)),"INACTIVO","REVISAR"))</f>
        <v>ACTIVO</v>
      </c>
      <c r="AN127" t="str">
        <f ca="1">IF(OR(AF127="",AF127="null"),"",ROUND((AF127-TODAY())/365.25,2))</f>
        <v/>
      </c>
      <c r="AO127" t="str">
        <f ca="1">IF(AND(AG127="Vigente",OR(AF127="",AF127="null",AF127&gt;TODAY())),"SI",IF(AND(NOT(OR(AF127="",AF127="null")),AF127&lt;=TODAY()),"NO",IF(AG127="Vigente","SI","DESCONOCIDO")))</f>
        <v>SI</v>
      </c>
      <c r="AP127" t="str">
        <f>IF(AND(ISNUMBER(SEARCH("IMPORTAR",AA127)),ISNUMBER(SEARCH("FABRICAR",AA127))),"MIXTO",IF(ISNUMBER(SEARCH("IMPORTAR",AA127)),"IMPORTADO",IF(ISNUMBER(SEARCH("FABRICAR",AA127)),"LOCAL","OTRO")))</f>
        <v>IMPORTADO</v>
      </c>
      <c r="AQ127" t="str">
        <f>IF(AD127="Si","SI",IF(AD127="No","NO",""))</f>
        <v>NO</v>
      </c>
      <c r="AR127" t="str">
        <f>IF(ISNUMBER(SEARCH("®",N127)),"MARCA/INNOVADOR","GENERICO")</f>
        <v>GENERICO</v>
      </c>
      <c r="AS127">
        <f ca="1">IF(AE127&gt;100,RANDBETWEEN(500,5000),IF(AND(AE127&gt;=10,AE127&lt;=100),RANDBETWEEN(100,1000),RANDBETWEEN(10,200)))</f>
        <v>577</v>
      </c>
      <c r="AT127">
        <f t="shared" ca="1" si="7"/>
        <v>138</v>
      </c>
      <c r="AU127">
        <f ca="1">INT(AS127*RANDBETWEEN(120,200)/100)</f>
        <v>750</v>
      </c>
      <c r="AV127" s="2">
        <f ca="1">IF(LEFT(Y127,1)="L",RANDBETWEEN(500000,5000000),IF(LEFT(Y127,1)="C",RANDBETWEEN(5000,50000),IF(LEFT(Y127,1)="N",RANDBETWEEN(10000,150000),IF(LEFT(Y127,1)="J",RANDBETWEEN(8000,200000),RANDBETWEEN(5000,100000)))))</f>
        <v>83645</v>
      </c>
      <c r="AW127" s="2">
        <f ca="1">INT(AV127*RANDBETWEEN(30,60)/100)</f>
        <v>40149</v>
      </c>
      <c r="AX127">
        <f ca="1">IF(Z127="ORAL",RANDBETWEEN(1000,10000),IF(OR(Z127="INTRAVENOSA",Z127="INTRAMUSCULAR"),RANDBETWEEN(100,2000),IF(OR(Z127="OFTÁLMICA",Z127="TOPICA (EXTERNA)"),RANDBETWEEN(200,3000),RANDBETWEEN(100,1500))))</f>
        <v>1013</v>
      </c>
      <c r="AY127" s="2">
        <f ca="1">INT(AV127*RANDBETWEEN(90,130)/100)</f>
        <v>81972</v>
      </c>
      <c r="AZ127" t="str">
        <f t="shared" ca="1" si="8"/>
        <v>0.8%</v>
      </c>
      <c r="BA127" t="str">
        <f t="shared" ca="1" si="9"/>
        <v>ALTO</v>
      </c>
    </row>
    <row r="128" spans="4:53" x14ac:dyDescent="0.35">
      <c r="D128" t="s">
        <v>1138</v>
      </c>
      <c r="E128" s="1">
        <v>36292</v>
      </c>
      <c r="F128" t="s">
        <v>1139</v>
      </c>
      <c r="G128" t="s">
        <v>108</v>
      </c>
      <c r="H128" t="s">
        <v>693</v>
      </c>
      <c r="I128">
        <v>27858</v>
      </c>
      <c r="J128" t="s">
        <v>28</v>
      </c>
      <c r="K128">
        <v>5</v>
      </c>
      <c r="L128" t="s">
        <v>27</v>
      </c>
      <c r="M128" t="s">
        <v>1140</v>
      </c>
      <c r="N128" t="s">
        <v>1141</v>
      </c>
      <c r="O128" t="s">
        <v>1142</v>
      </c>
      <c r="P128" t="s">
        <v>553</v>
      </c>
      <c r="Q128" s="1">
        <v>39031</v>
      </c>
      <c r="R128" t="s">
        <v>1143</v>
      </c>
      <c r="S128" s="1">
        <v>39972</v>
      </c>
      <c r="T128" t="s">
        <v>1144</v>
      </c>
      <c r="U128" t="s">
        <v>247</v>
      </c>
      <c r="V128" t="s">
        <v>64</v>
      </c>
      <c r="W128" t="s">
        <v>1145</v>
      </c>
      <c r="X128">
        <v>27858</v>
      </c>
      <c r="Y128" t="s">
        <v>1146</v>
      </c>
      <c r="Z128" t="s">
        <v>1147</v>
      </c>
      <c r="AA128" t="s">
        <v>24</v>
      </c>
      <c r="AB128" t="s">
        <v>133</v>
      </c>
      <c r="AC128" t="s">
        <v>25</v>
      </c>
      <c r="AD128" t="s">
        <v>121</v>
      </c>
      <c r="AE128">
        <v>1</v>
      </c>
      <c r="AF128" s="1">
        <v>401769</v>
      </c>
      <c r="AG128" t="s">
        <v>26</v>
      </c>
      <c r="AH128" t="s">
        <v>6744</v>
      </c>
      <c r="AI128" t="str">
        <f t="shared" si="5"/>
        <v>NO</v>
      </c>
      <c r="AJ128" t="str">
        <f t="shared" si="6"/>
        <v>OFTALMOQUIMICA</v>
      </c>
      <c r="AK128" t="str">
        <f>IF(ISNUMBER(SEARCH("FABRICANTE",AC128)),"FABRICANTE",IF(ISNUMBER(SEARCH("IMPORTADOR",AC128)),"IMPORTADOR","OTRO"))</f>
        <v>FABRICANTE</v>
      </c>
      <c r="AL128" t="str">
        <f>IF(LEFT(Y128,1)="A","Sistema digestivo",IF(LEFT(Y128,1)="B","Sangre",IF(LEFT(Y128,1)="C","Cardiovascular",IF(LEFT(Y128,1)="D","Dermatológico",IF(LEFT(Y128,1)="G","Genitourinario",IF(LEFT(Y128,1)="H","Hormonal",IF(LEFT(Y128,1)="J","Antiinfecciosos",IF(LEFT(Y128,1)="L","Oncológicos",IF(LEFT(Y128,1)="M","Musculoesquelético",IF(LEFT(Y128,1)="N","Sistema nervioso",IF(LEFT(Y128,1)="R","Respiratorio",IF(LEFT(Y128,1)="S","Oftálmico",IF(LEFT(Y128,1)="V","Varios","OTRO")))))))))))))</f>
        <v>Sangre</v>
      </c>
      <c r="AM128" t="str">
        <f>IF(AG128="Vigente","ACTIVO",IF(ISNUMBER(SEARCH("Inactivo",J128)),"INACTIVO","REVISAR"))</f>
        <v>ACTIVO</v>
      </c>
      <c r="AN128">
        <f ca="1">IF(OR(AF128="",AF128="null"),"",ROUND((AF128-TODAY())/365.25,2))</f>
        <v>973.58</v>
      </c>
      <c r="AO128" t="str">
        <f ca="1">IF(AND(AG128="Vigente",OR(AF128="",AF128="null",AF128&gt;TODAY())),"SI",IF(AND(NOT(OR(AF128="",AF128="null")),AF128&lt;=TODAY()),"NO",IF(AG128="Vigente","SI","DESCONOCIDO")))</f>
        <v>SI</v>
      </c>
      <c r="AP128" t="str">
        <f>IF(AND(ISNUMBER(SEARCH("IMPORTAR",AA128)),ISNUMBER(SEARCH("FABRICAR",AA128))),"MIXTO",IF(ISNUMBER(SEARCH("IMPORTAR",AA128)),"IMPORTADO",IF(ISNUMBER(SEARCH("FABRICAR",AA128)),"LOCAL","OTRO")))</f>
        <v>LOCAL</v>
      </c>
      <c r="AQ128" t="str">
        <f>IF(AD128="Si","SI",IF(AD128="No","NO",""))</f>
        <v>NO</v>
      </c>
      <c r="AR128" t="str">
        <f>IF(ISNUMBER(SEARCH("®",N128)),"MARCA/INNOVADOR","GENERICO")</f>
        <v>GENERICO</v>
      </c>
      <c r="AS128">
        <f ca="1">IF(AE128&gt;100,RANDBETWEEN(500,5000),IF(AND(AE128&gt;=10,AE128&lt;=100),RANDBETWEEN(100,1000),RANDBETWEEN(10,200)))</f>
        <v>63</v>
      </c>
      <c r="AT128">
        <f t="shared" ca="1" si="7"/>
        <v>9</v>
      </c>
      <c r="AU128">
        <f ca="1">INT(AS128*RANDBETWEEN(120,200)/100)</f>
        <v>80</v>
      </c>
      <c r="AV128" s="2">
        <f ca="1">IF(LEFT(Y128,1)="L",RANDBETWEEN(500000,5000000),IF(LEFT(Y128,1)="C",RANDBETWEEN(5000,50000),IF(LEFT(Y128,1)="N",RANDBETWEEN(10000,150000),IF(LEFT(Y128,1)="J",RANDBETWEEN(8000,200000),RANDBETWEEN(5000,100000)))))</f>
        <v>14702</v>
      </c>
      <c r="AW128" s="2">
        <f ca="1">INT(AV128*RANDBETWEEN(30,60)/100)</f>
        <v>6174</v>
      </c>
      <c r="AX128">
        <f ca="1">IF(Z128="ORAL",RANDBETWEEN(1000,10000),IF(OR(Z128="INTRAVENOSA",Z128="INTRAMUSCULAR"),RANDBETWEEN(100,2000),IF(OR(Z128="OFTÁLMICA",Z128="TOPICA (EXTERNA)"),RANDBETWEEN(200,3000),RANDBETWEEN(100,1500))))</f>
        <v>1160</v>
      </c>
      <c r="AY128" s="2">
        <f ca="1">INT(AV128*RANDBETWEEN(90,130)/100)</f>
        <v>18230</v>
      </c>
      <c r="AZ128" t="str">
        <f t="shared" ca="1" si="8"/>
        <v>6.3%</v>
      </c>
      <c r="BA128" t="str">
        <f t="shared" ca="1" si="9"/>
        <v>BAJO</v>
      </c>
    </row>
    <row r="129" spans="4:53" x14ac:dyDescent="0.35">
      <c r="D129" t="s">
        <v>1148</v>
      </c>
      <c r="E129" s="1">
        <v>41656</v>
      </c>
      <c r="F129" t="s">
        <v>1149</v>
      </c>
      <c r="G129" t="s">
        <v>108</v>
      </c>
      <c r="H129" t="s">
        <v>187</v>
      </c>
      <c r="I129">
        <v>20059984</v>
      </c>
      <c r="J129" t="s">
        <v>28</v>
      </c>
      <c r="K129">
        <v>15</v>
      </c>
      <c r="L129" t="s">
        <v>27</v>
      </c>
      <c r="M129" t="s">
        <v>1150</v>
      </c>
      <c r="N129" t="s">
        <v>1151</v>
      </c>
      <c r="O129" t="s">
        <v>1152</v>
      </c>
      <c r="P129" t="s">
        <v>266</v>
      </c>
      <c r="Q129" s="1">
        <v>41452</v>
      </c>
      <c r="R129" t="s">
        <v>33</v>
      </c>
      <c r="S129" t="s">
        <v>27</v>
      </c>
      <c r="T129" t="s">
        <v>80</v>
      </c>
      <c r="U129" t="s">
        <v>115</v>
      </c>
      <c r="V129" t="s">
        <v>1153</v>
      </c>
      <c r="W129">
        <v>20</v>
      </c>
      <c r="X129">
        <v>20059984</v>
      </c>
      <c r="Y129" t="s">
        <v>1154</v>
      </c>
      <c r="Z129" t="s">
        <v>119</v>
      </c>
      <c r="AA129" t="s">
        <v>24</v>
      </c>
      <c r="AB129" t="s">
        <v>120</v>
      </c>
      <c r="AC129" t="s">
        <v>25</v>
      </c>
      <c r="AD129" t="s">
        <v>155</v>
      </c>
      <c r="AE129">
        <v>6</v>
      </c>
      <c r="AF129" t="s">
        <v>27</v>
      </c>
      <c r="AG129" t="s">
        <v>26</v>
      </c>
      <c r="AH129" t="s">
        <v>1149</v>
      </c>
      <c r="AI129" t="str">
        <f t="shared" si="5"/>
        <v>NO</v>
      </c>
      <c r="AJ129" t="str">
        <f t="shared" si="6"/>
        <v>TECNOQUIMICAS</v>
      </c>
      <c r="AK129" t="str">
        <f>IF(ISNUMBER(SEARCH("FABRICANTE",AC129)),"FABRICANTE",IF(ISNUMBER(SEARCH("IMPORTADOR",AC129)),"IMPORTADOR","OTRO"))</f>
        <v>FABRICANTE</v>
      </c>
      <c r="AL129" t="str">
        <f>IF(LEFT(Y129,1)="A","Sistema digestivo",IF(LEFT(Y129,1)="B","Sangre",IF(LEFT(Y129,1)="C","Cardiovascular",IF(LEFT(Y129,1)="D","Dermatológico",IF(LEFT(Y129,1)="G","Genitourinario",IF(LEFT(Y129,1)="H","Hormonal",IF(LEFT(Y129,1)="J","Antiinfecciosos",IF(LEFT(Y129,1)="L","Oncológicos",IF(LEFT(Y129,1)="M","Musculoesquelético",IF(LEFT(Y129,1)="N","Sistema nervioso",IF(LEFT(Y129,1)="R","Respiratorio",IF(LEFT(Y129,1)="S","Oftálmico",IF(LEFT(Y129,1)="V","Varios","OTRO")))))))))))))</f>
        <v>Sistema nervioso</v>
      </c>
      <c r="AM129" t="str">
        <f>IF(AG129="Vigente","ACTIVO",IF(ISNUMBER(SEARCH("Inactivo",J129)),"INACTIVO","REVISAR"))</f>
        <v>ACTIVO</v>
      </c>
      <c r="AN129" t="str">
        <f ca="1">IF(OR(AF129="",AF129="null"),"",ROUND((AF129-TODAY())/365.25,2))</f>
        <v/>
      </c>
      <c r="AO129" t="str">
        <f ca="1">IF(AND(AG129="Vigente",OR(AF129="",AF129="null",AF129&gt;TODAY())),"SI",IF(AND(NOT(OR(AF129="",AF129="null")),AF129&lt;=TODAY()),"NO",IF(AG129="Vigente","SI","DESCONOCIDO")))</f>
        <v>SI</v>
      </c>
      <c r="AP129" t="str">
        <f>IF(AND(ISNUMBER(SEARCH("IMPORTAR",AA129)),ISNUMBER(SEARCH("FABRICAR",AA129))),"MIXTO",IF(ISNUMBER(SEARCH("IMPORTAR",AA129)),"IMPORTADO",IF(ISNUMBER(SEARCH("FABRICAR",AA129)),"LOCAL","OTRO")))</f>
        <v>LOCAL</v>
      </c>
      <c r="AQ129" t="str">
        <f>IF(AD129="Si","SI",IF(AD129="No","NO",""))</f>
        <v>SI</v>
      </c>
      <c r="AR129" t="str">
        <f>IF(ISNUMBER(SEARCH("®",N129)),"MARCA/INNOVADOR","GENERICO")</f>
        <v>MARCA/INNOVADOR</v>
      </c>
      <c r="AS129">
        <f ca="1">IF(AE129&gt;100,RANDBETWEEN(500,5000),IF(AND(AE129&gt;=10,AE129&lt;=100),RANDBETWEEN(100,1000),RANDBETWEEN(10,200)))</f>
        <v>125</v>
      </c>
      <c r="AT129">
        <f t="shared" ca="1" si="7"/>
        <v>36</v>
      </c>
      <c r="AU129">
        <f ca="1">INT(AS129*RANDBETWEEN(120,200)/100)</f>
        <v>230</v>
      </c>
      <c r="AV129" s="2">
        <f ca="1">IF(LEFT(Y129,1)="L",RANDBETWEEN(500000,5000000),IF(LEFT(Y129,1)="C",RANDBETWEEN(5000,50000),IF(LEFT(Y129,1)="N",RANDBETWEEN(10000,150000),IF(LEFT(Y129,1)="J",RANDBETWEEN(8000,200000),RANDBETWEEN(5000,100000)))))</f>
        <v>24514</v>
      </c>
      <c r="AW129" s="2">
        <f ca="1">INT(AV129*RANDBETWEEN(30,60)/100)</f>
        <v>11766</v>
      </c>
      <c r="AX129">
        <f ca="1">IF(Z129="ORAL",RANDBETWEEN(1000,10000),IF(OR(Z129="INTRAVENOSA",Z129="INTRAMUSCULAR"),RANDBETWEEN(100,2000),IF(OR(Z129="OFTÁLMICA",Z129="TOPICA (EXTERNA)"),RANDBETWEEN(200,3000),RANDBETWEEN(100,1500))))</f>
        <v>4415</v>
      </c>
      <c r="AY129" s="2">
        <f ca="1">INT(AV129*RANDBETWEEN(90,130)/100)</f>
        <v>25984</v>
      </c>
      <c r="AZ129" t="str">
        <f t="shared" ca="1" si="8"/>
        <v>16.7%</v>
      </c>
      <c r="BA129" t="str">
        <f t="shared" ca="1" si="9"/>
        <v>BAJO</v>
      </c>
    </row>
    <row r="130" spans="4:53" x14ac:dyDescent="0.35">
      <c r="D130" t="s">
        <v>1155</v>
      </c>
      <c r="E130" s="1">
        <v>43229</v>
      </c>
      <c r="F130" t="s">
        <v>1156</v>
      </c>
      <c r="G130" t="s">
        <v>108</v>
      </c>
      <c r="H130" t="s">
        <v>1157</v>
      </c>
      <c r="I130">
        <v>20100456</v>
      </c>
      <c r="J130" t="s">
        <v>28</v>
      </c>
      <c r="K130">
        <v>3</v>
      </c>
      <c r="L130" t="s">
        <v>1158</v>
      </c>
      <c r="M130" t="s">
        <v>1159</v>
      </c>
      <c r="N130" t="s">
        <v>1160</v>
      </c>
      <c r="O130" t="s">
        <v>1161</v>
      </c>
      <c r="P130" t="s">
        <v>1162</v>
      </c>
      <c r="Q130" s="1">
        <v>43196</v>
      </c>
      <c r="R130" t="s">
        <v>1163</v>
      </c>
      <c r="S130" t="s">
        <v>27</v>
      </c>
      <c r="T130" t="s">
        <v>1164</v>
      </c>
      <c r="U130" t="s">
        <v>1165</v>
      </c>
      <c r="V130" t="s">
        <v>1166</v>
      </c>
      <c r="W130">
        <v>22</v>
      </c>
      <c r="X130">
        <v>20100456</v>
      </c>
      <c r="Y130" t="s">
        <v>1167</v>
      </c>
      <c r="Z130" t="s">
        <v>1168</v>
      </c>
      <c r="AA130" t="s">
        <v>32</v>
      </c>
      <c r="AB130" t="s">
        <v>120</v>
      </c>
      <c r="AC130" t="s">
        <v>25</v>
      </c>
      <c r="AD130" t="s">
        <v>155</v>
      </c>
      <c r="AE130">
        <v>1</v>
      </c>
      <c r="AF130" t="s">
        <v>27</v>
      </c>
      <c r="AG130" t="s">
        <v>26</v>
      </c>
      <c r="AH130" t="s">
        <v>6745</v>
      </c>
      <c r="AI130" t="str">
        <f t="shared" si="5"/>
        <v>NO</v>
      </c>
      <c r="AJ130" t="str">
        <f t="shared" si="6"/>
        <v>GLAXOSMITHKLINE COLOMBIA</v>
      </c>
      <c r="AK130" t="str">
        <f>IF(ISNUMBER(SEARCH("FABRICANTE",AC130)),"FABRICANTE",IF(ISNUMBER(SEARCH("IMPORTADOR",AC130)),"IMPORTADOR","OTRO"))</f>
        <v>FABRICANTE</v>
      </c>
      <c r="AL130" t="str">
        <f>IF(LEFT(Y130,1)="A","Sistema digestivo",IF(LEFT(Y130,1)="B","Sangre",IF(LEFT(Y130,1)="C","Cardiovascular",IF(LEFT(Y130,1)="D","Dermatológico",IF(LEFT(Y130,1)="G","Genitourinario",IF(LEFT(Y130,1)="H","Hormonal",IF(LEFT(Y130,1)="J","Antiinfecciosos",IF(LEFT(Y130,1)="L","Oncológicos",IF(LEFT(Y130,1)="M","Musculoesquelético",IF(LEFT(Y130,1)="N","Sistema nervioso",IF(LEFT(Y130,1)="R","Respiratorio",IF(LEFT(Y130,1)="S","Oftálmico",IF(LEFT(Y130,1)="V","Varios","OTRO")))))))))))))</f>
        <v>Respiratorio</v>
      </c>
      <c r="AM130" t="str">
        <f>IF(AG130="Vigente","ACTIVO",IF(ISNUMBER(SEARCH("Inactivo",J130)),"INACTIVO","REVISAR"))</f>
        <v>ACTIVO</v>
      </c>
      <c r="AN130" t="str">
        <f ca="1">IF(OR(AF130="",AF130="null"),"",ROUND((AF130-TODAY())/365.25,2))</f>
        <v/>
      </c>
      <c r="AO130" t="str">
        <f ca="1">IF(AND(AG130="Vigente",OR(AF130="",AF130="null",AF130&gt;TODAY())),"SI",IF(AND(NOT(OR(AF130="",AF130="null")),AF130&lt;=TODAY()),"NO",IF(AG130="Vigente","SI","DESCONOCIDO")))</f>
        <v>SI</v>
      </c>
      <c r="AP130" t="str">
        <f>IF(AND(ISNUMBER(SEARCH("IMPORTAR",AA130)),ISNUMBER(SEARCH("FABRICAR",AA130))),"MIXTO",IF(ISNUMBER(SEARCH("IMPORTAR",AA130)),"IMPORTADO",IF(ISNUMBER(SEARCH("FABRICAR",AA130)),"LOCAL","OTRO")))</f>
        <v>IMPORTADO</v>
      </c>
      <c r="AQ130" t="str">
        <f>IF(AD130="Si","SI",IF(AD130="No","NO",""))</f>
        <v>SI</v>
      </c>
      <c r="AR130" t="str">
        <f>IF(ISNUMBER(SEARCH("®",N130)),"MARCA/INNOVADOR","GENERICO")</f>
        <v>MARCA/INNOVADOR</v>
      </c>
      <c r="AS130">
        <f ca="1">IF(AE130&gt;100,RANDBETWEEN(500,5000),IF(AND(AE130&gt;=10,AE130&lt;=100),RANDBETWEEN(100,1000),RANDBETWEEN(10,200)))</f>
        <v>55</v>
      </c>
      <c r="AT130">
        <f t="shared" ca="1" si="7"/>
        <v>15</v>
      </c>
      <c r="AU130">
        <f ca="1">INT(AS130*RANDBETWEEN(120,200)/100)</f>
        <v>86</v>
      </c>
      <c r="AV130" s="2">
        <f ca="1">IF(LEFT(Y130,1)="L",RANDBETWEEN(500000,5000000),IF(LEFT(Y130,1)="C",RANDBETWEEN(5000,50000),IF(LEFT(Y130,1)="N",RANDBETWEEN(10000,150000),IF(LEFT(Y130,1)="J",RANDBETWEEN(8000,200000),RANDBETWEEN(5000,100000)))))</f>
        <v>34078</v>
      </c>
      <c r="AW130" s="2">
        <f ca="1">INT(AV130*RANDBETWEEN(30,60)/100)</f>
        <v>17379</v>
      </c>
      <c r="AX130">
        <f ca="1">IF(Z130="ORAL",RANDBETWEEN(1000,10000),IF(OR(Z130="INTRAVENOSA",Z130="INTRAMUSCULAR"),RANDBETWEEN(100,2000),IF(OR(Z130="OFTÁLMICA",Z130="TOPICA (EXTERNA)"),RANDBETWEEN(200,3000),RANDBETWEEN(100,1500))))</f>
        <v>745</v>
      </c>
      <c r="AY130" s="2">
        <f ca="1">INT(AV130*RANDBETWEEN(90,130)/100)</f>
        <v>36463</v>
      </c>
      <c r="AZ130" t="str">
        <f t="shared" ca="1" si="8"/>
        <v>7.4%</v>
      </c>
      <c r="BA130" t="str">
        <f t="shared" ca="1" si="9"/>
        <v>BAJO</v>
      </c>
    </row>
    <row r="131" spans="4:53" x14ac:dyDescent="0.35">
      <c r="D131" t="s">
        <v>1169</v>
      </c>
      <c r="E131" s="1">
        <v>42739</v>
      </c>
      <c r="F131" t="s">
        <v>1170</v>
      </c>
      <c r="G131" t="s">
        <v>108</v>
      </c>
      <c r="H131" t="s">
        <v>303</v>
      </c>
      <c r="I131">
        <v>20103600</v>
      </c>
      <c r="J131" t="s">
        <v>28</v>
      </c>
      <c r="K131">
        <v>3</v>
      </c>
      <c r="L131" t="s">
        <v>27</v>
      </c>
      <c r="M131" t="s">
        <v>1171</v>
      </c>
      <c r="N131" t="s">
        <v>1172</v>
      </c>
      <c r="O131" t="s">
        <v>1173</v>
      </c>
      <c r="P131" t="s">
        <v>33</v>
      </c>
      <c r="Q131" s="1">
        <v>42583</v>
      </c>
      <c r="R131" t="s">
        <v>33</v>
      </c>
      <c r="S131" t="s">
        <v>27</v>
      </c>
      <c r="T131" t="s">
        <v>308</v>
      </c>
      <c r="U131" t="s">
        <v>115</v>
      </c>
      <c r="V131" t="s">
        <v>667</v>
      </c>
      <c r="W131">
        <v>40</v>
      </c>
      <c r="X131">
        <v>20103600</v>
      </c>
      <c r="Y131" t="s">
        <v>668</v>
      </c>
      <c r="Z131" t="s">
        <v>119</v>
      </c>
      <c r="AA131" t="s">
        <v>24</v>
      </c>
      <c r="AB131" t="s">
        <v>120</v>
      </c>
      <c r="AC131" t="s">
        <v>25</v>
      </c>
      <c r="AD131" t="s">
        <v>121</v>
      </c>
      <c r="AE131">
        <v>14</v>
      </c>
      <c r="AF131" t="s">
        <v>27</v>
      </c>
      <c r="AG131" t="s">
        <v>26</v>
      </c>
      <c r="AH131" t="s">
        <v>6624</v>
      </c>
      <c r="AI131" t="str">
        <f t="shared" ref="AI131:AI194" si="10">IF(OR(ISNUMBER(SEARCH("+",F131)),ISNUMBER(SEARCH(".",F131))),"SI","NO")</f>
        <v>SI</v>
      </c>
      <c r="AJ131" t="str">
        <f t="shared" ref="AJ131:AJ194" si="1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131)," S.A.S.",""),"S.A.S.","")," S.A.S",""),"S.A.S","")," S.A.C.I.","")," S.A.C.I","")," SAS","")," S.A.","")," S.A","")," LTDA.","")," LTDA","")," LIMITED","")," LTD.","")," LTD","")," INC.","")," INC","")," GMBH &amp; CO. KG.","")," GMBH","")," LLC","")," A.G.","")," A.G","")," A/S","")," S.R.L.","")," S.R.L","")," S.P.A.","")," DE C.V.","")," AG",""),"  "," "))</f>
        <v>HUMAX PHARMACEUTICAL</v>
      </c>
      <c r="AK131" t="str">
        <f>IF(ISNUMBER(SEARCH("FABRICANTE",AC131)),"FABRICANTE",IF(ISNUMBER(SEARCH("IMPORTADOR",AC131)),"IMPORTADOR","OTRO"))</f>
        <v>FABRICANTE</v>
      </c>
      <c r="AL131" t="str">
        <f>IF(LEFT(Y131,1)="A","Sistema digestivo",IF(LEFT(Y131,1)="B","Sangre",IF(LEFT(Y131,1)="C","Cardiovascular",IF(LEFT(Y131,1)="D","Dermatológico",IF(LEFT(Y131,1)="G","Genitourinario",IF(LEFT(Y131,1)="H","Hormonal",IF(LEFT(Y131,1)="J","Antiinfecciosos",IF(LEFT(Y131,1)="L","Oncológicos",IF(LEFT(Y131,1)="M","Musculoesquelético",IF(LEFT(Y131,1)="N","Sistema nervioso",IF(LEFT(Y131,1)="R","Respiratorio",IF(LEFT(Y131,1)="S","Oftálmico",IF(LEFT(Y131,1)="V","Varios","OTRO")))))))))))))</f>
        <v>Cardiovascular</v>
      </c>
      <c r="AM131" t="str">
        <f>IF(AG131="Vigente","ACTIVO",IF(ISNUMBER(SEARCH("Inactivo",J131)),"INACTIVO","REVISAR"))</f>
        <v>ACTIVO</v>
      </c>
      <c r="AN131" t="str">
        <f ca="1">IF(OR(AF131="",AF131="null"),"",ROUND((AF131-TODAY())/365.25,2))</f>
        <v/>
      </c>
      <c r="AO131" t="str">
        <f ca="1">IF(AND(AG131="Vigente",OR(AF131="",AF131="null",AF131&gt;TODAY())),"SI",IF(AND(NOT(OR(AF131="",AF131="null")),AF131&lt;=TODAY()),"NO",IF(AG131="Vigente","SI","DESCONOCIDO")))</f>
        <v>SI</v>
      </c>
      <c r="AP131" t="str">
        <f>IF(AND(ISNUMBER(SEARCH("IMPORTAR",AA131)),ISNUMBER(SEARCH("FABRICAR",AA131))),"MIXTO",IF(ISNUMBER(SEARCH("IMPORTAR",AA131)),"IMPORTADO",IF(ISNUMBER(SEARCH("FABRICAR",AA131)),"LOCAL","OTRO")))</f>
        <v>LOCAL</v>
      </c>
      <c r="AQ131" t="str">
        <f>IF(AD131="Si","SI",IF(AD131="No","NO",""))</f>
        <v>NO</v>
      </c>
      <c r="AR131" t="str">
        <f>IF(ISNUMBER(SEARCH("®",N131)),"MARCA/INNOVADOR","GENERICO")</f>
        <v>MARCA/INNOVADOR</v>
      </c>
      <c r="AS131">
        <f ca="1">IF(AE131&gt;100,RANDBETWEEN(500,5000),IF(AND(AE131&gt;=10,AE131&lt;=100),RANDBETWEEN(100,1000),RANDBETWEEN(10,200)))</f>
        <v>917</v>
      </c>
      <c r="AT131">
        <f t="shared" ref="AT131:AT194" ca="1" si="12">INT(AS131*RANDBETWEEN(10,30)/100)</f>
        <v>229</v>
      </c>
      <c r="AU131">
        <f ca="1">INT(AS131*RANDBETWEEN(120,200)/100)</f>
        <v>1173</v>
      </c>
      <c r="AV131" s="2">
        <f ca="1">IF(LEFT(Y131,1)="L",RANDBETWEEN(500000,5000000),IF(LEFT(Y131,1)="C",RANDBETWEEN(5000,50000),IF(LEFT(Y131,1)="N",RANDBETWEEN(10000,150000),IF(LEFT(Y131,1)="J",RANDBETWEEN(8000,200000),RANDBETWEEN(5000,100000)))))</f>
        <v>37117</v>
      </c>
      <c r="AW131" s="2">
        <f ca="1">INT(AV131*RANDBETWEEN(30,60)/100)</f>
        <v>20785</v>
      </c>
      <c r="AX131">
        <f ca="1">IF(Z131="ORAL",RANDBETWEEN(1000,10000),IF(OR(Z131="INTRAVENOSA",Z131="INTRAMUSCULAR"),RANDBETWEEN(100,2000),IF(OR(Z131="OFTÁLMICA",Z131="TOPICA (EXTERNA)"),RANDBETWEEN(200,3000),RANDBETWEEN(100,1500))))</f>
        <v>9321</v>
      </c>
      <c r="AY131" s="2">
        <f ca="1">INT(AV131*RANDBETWEEN(90,130)/100)</f>
        <v>41199</v>
      </c>
      <c r="AZ131" t="str">
        <f t="shared" ref="AZ131:AZ194" ca="1" si="13">IF(Z131="ORAL",RANDBETWEEN(50,250)/10,IF(OR(Z131="TOPICA (EXTERNA)",Z131="OFTÁLMICA"),RANDBETWEEN(20,150)/10,IF(OR(Z131="SUBCUTANEA",Z131="INTRAMUSCULAR"),RANDBETWEEN(10,100)/10,IF(Z131="INTRAVENOSA",RANDBETWEEN(1,50)/10,RANDBETWEEN(5,80)/10))))&amp;"%"</f>
        <v>18.7%</v>
      </c>
      <c r="BA131" t="str">
        <f t="shared" ref="BA131:BA194" ca="1" si="14">IF(OR(AG131&lt;&gt;"Vigente",AND(ISNUMBER(AF131),AF131&lt;TODAY()),AND(J131="Inactivo",NOT(ISNUMBER(AF131)))),"ALTO",IF(OR(AND(J131="Inactivo",ISNUMBER(AF131)),AND(ISNUMBER(AF131),AF131&gt;TODAY(),AF131&lt;=TODAY()+1825)),"MEDIO","BAJO"))</f>
        <v>BAJO</v>
      </c>
    </row>
    <row r="132" spans="4:53" x14ac:dyDescent="0.35">
      <c r="D132" t="s">
        <v>1174</v>
      </c>
      <c r="E132" s="1">
        <v>45727</v>
      </c>
      <c r="F132" t="s">
        <v>1175</v>
      </c>
      <c r="G132" t="s">
        <v>108</v>
      </c>
      <c r="H132" t="s">
        <v>1176</v>
      </c>
      <c r="I132">
        <v>20219961</v>
      </c>
      <c r="J132" t="s">
        <v>28</v>
      </c>
      <c r="K132">
        <v>1</v>
      </c>
      <c r="L132" t="s">
        <v>27</v>
      </c>
      <c r="M132" t="s">
        <v>1177</v>
      </c>
      <c r="N132" t="s">
        <v>1178</v>
      </c>
      <c r="O132" t="s">
        <v>1179</v>
      </c>
      <c r="P132" t="s">
        <v>1180</v>
      </c>
      <c r="Q132" s="1">
        <v>45264</v>
      </c>
      <c r="R132" t="s">
        <v>50</v>
      </c>
      <c r="S132" t="s">
        <v>27</v>
      </c>
      <c r="T132" t="s">
        <v>1176</v>
      </c>
      <c r="U132" t="s">
        <v>115</v>
      </c>
      <c r="V132" t="s">
        <v>1181</v>
      </c>
      <c r="W132">
        <v>612</v>
      </c>
      <c r="X132">
        <v>20219961</v>
      </c>
      <c r="Y132" t="s">
        <v>1182</v>
      </c>
      <c r="Z132" t="s">
        <v>1183</v>
      </c>
      <c r="AA132" t="s">
        <v>32</v>
      </c>
      <c r="AB132" t="s">
        <v>120</v>
      </c>
      <c r="AC132" t="s">
        <v>25</v>
      </c>
      <c r="AD132" t="s">
        <v>121</v>
      </c>
      <c r="AE132">
        <v>1</v>
      </c>
      <c r="AF132" s="1">
        <v>47568</v>
      </c>
      <c r="AG132" t="s">
        <v>26</v>
      </c>
      <c r="AH132" t="s">
        <v>6746</v>
      </c>
      <c r="AI132" t="str">
        <f t="shared" si="10"/>
        <v>NO</v>
      </c>
      <c r="AJ132" t="str">
        <f t="shared" si="11"/>
        <v>SANOCHEMIA PHARMAZEUTIKA</v>
      </c>
      <c r="AK132" t="str">
        <f>IF(ISNUMBER(SEARCH("FABRICANTE",AC132)),"FABRICANTE",IF(ISNUMBER(SEARCH("IMPORTADOR",AC132)),"IMPORTADOR","OTRO"))</f>
        <v>FABRICANTE</v>
      </c>
      <c r="AL132" t="str">
        <f>IF(LEFT(Y132,1)="A","Sistema digestivo",IF(LEFT(Y132,1)="B","Sangre",IF(LEFT(Y132,1)="C","Cardiovascular",IF(LEFT(Y132,1)="D","Dermatológico",IF(LEFT(Y132,1)="G","Genitourinario",IF(LEFT(Y132,1)="H","Hormonal",IF(LEFT(Y132,1)="J","Antiinfecciosos",IF(LEFT(Y132,1)="L","Oncológicos",IF(LEFT(Y132,1)="M","Musculoesquelético",IF(LEFT(Y132,1)="N","Sistema nervioso",IF(LEFT(Y132,1)="R","Respiratorio",IF(LEFT(Y132,1)="S","Oftálmico",IF(LEFT(Y132,1)="V","Varios","OTRO")))))))))))))</f>
        <v>Varios</v>
      </c>
      <c r="AM132" t="str">
        <f>IF(AG132="Vigente","ACTIVO",IF(ISNUMBER(SEARCH("Inactivo",J132)),"INACTIVO","REVISAR"))</f>
        <v>ACTIVO</v>
      </c>
      <c r="AN132">
        <f ca="1">IF(OR(AF132="",AF132="null"),"",ROUND((AF132-TODAY())/365.25,2))</f>
        <v>3.83</v>
      </c>
      <c r="AO132" t="str">
        <f ca="1">IF(AND(AG132="Vigente",OR(AF132="",AF132="null",AF132&gt;TODAY())),"SI",IF(AND(NOT(OR(AF132="",AF132="null")),AF132&lt;=TODAY()),"NO",IF(AG132="Vigente","SI","DESCONOCIDO")))</f>
        <v>SI</v>
      </c>
      <c r="AP132" t="str">
        <f>IF(AND(ISNUMBER(SEARCH("IMPORTAR",AA132)),ISNUMBER(SEARCH("FABRICAR",AA132))),"MIXTO",IF(ISNUMBER(SEARCH("IMPORTAR",AA132)),"IMPORTADO",IF(ISNUMBER(SEARCH("FABRICAR",AA132)),"LOCAL","OTRO")))</f>
        <v>IMPORTADO</v>
      </c>
      <c r="AQ132" t="str">
        <f>IF(AD132="Si","SI",IF(AD132="No","NO",""))</f>
        <v>NO</v>
      </c>
      <c r="AR132" t="str">
        <f>IF(ISNUMBER(SEARCH("®",N132)),"MARCA/INNOVADOR","GENERICO")</f>
        <v>MARCA/INNOVADOR</v>
      </c>
      <c r="AS132">
        <f ca="1">IF(AE132&gt;100,RANDBETWEEN(500,5000),IF(AND(AE132&gt;=10,AE132&lt;=100),RANDBETWEEN(100,1000),RANDBETWEEN(10,200)))</f>
        <v>175</v>
      </c>
      <c r="AT132">
        <f t="shared" ca="1" si="12"/>
        <v>36</v>
      </c>
      <c r="AU132">
        <f ca="1">INT(AS132*RANDBETWEEN(120,200)/100)</f>
        <v>295</v>
      </c>
      <c r="AV132" s="2">
        <f ca="1">IF(LEFT(Y132,1)="L",RANDBETWEEN(500000,5000000),IF(LEFT(Y132,1)="C",RANDBETWEEN(5000,50000),IF(LEFT(Y132,1)="N",RANDBETWEEN(10000,150000),IF(LEFT(Y132,1)="J",RANDBETWEEN(8000,200000),RANDBETWEEN(5000,100000)))))</f>
        <v>19663</v>
      </c>
      <c r="AW132" s="2">
        <f ca="1">INT(AV132*RANDBETWEEN(30,60)/100)</f>
        <v>8061</v>
      </c>
      <c r="AX132">
        <f ca="1">IF(Z132="ORAL",RANDBETWEEN(1000,10000),IF(OR(Z132="INTRAVENOSA",Z132="INTRAMUSCULAR"),RANDBETWEEN(100,2000),IF(OR(Z132="OFTÁLMICA",Z132="TOPICA (EXTERNA)"),RANDBETWEEN(200,3000),RANDBETWEEN(100,1500))))</f>
        <v>1328</v>
      </c>
      <c r="AY132" s="2">
        <f ca="1">INT(AV132*RANDBETWEEN(90,130)/100)</f>
        <v>24775</v>
      </c>
      <c r="AZ132" t="str">
        <f t="shared" ca="1" si="13"/>
        <v>7.3%</v>
      </c>
      <c r="BA132" t="str">
        <f t="shared" ca="1" si="14"/>
        <v>MEDIO</v>
      </c>
    </row>
    <row r="133" spans="4:53" x14ac:dyDescent="0.35">
      <c r="D133" t="s">
        <v>1184</v>
      </c>
      <c r="E133" s="1">
        <v>41051</v>
      </c>
      <c r="F133" t="s">
        <v>1185</v>
      </c>
      <c r="G133" t="s">
        <v>108</v>
      </c>
      <c r="H133" t="s">
        <v>168</v>
      </c>
      <c r="I133">
        <v>20041822</v>
      </c>
      <c r="J133" t="s">
        <v>28</v>
      </c>
      <c r="K133">
        <v>15</v>
      </c>
      <c r="L133" t="s">
        <v>27</v>
      </c>
      <c r="M133" t="s">
        <v>1186</v>
      </c>
      <c r="N133" t="s">
        <v>1187</v>
      </c>
      <c r="O133" t="s">
        <v>1188</v>
      </c>
      <c r="P133" t="s">
        <v>29</v>
      </c>
      <c r="Q133" s="1">
        <v>40974</v>
      </c>
      <c r="R133" t="s">
        <v>29</v>
      </c>
      <c r="S133" t="s">
        <v>27</v>
      </c>
      <c r="T133" t="s">
        <v>172</v>
      </c>
      <c r="U133" t="s">
        <v>115</v>
      </c>
      <c r="V133" t="s">
        <v>528</v>
      </c>
      <c r="W133">
        <v>500</v>
      </c>
      <c r="X133">
        <v>20041822</v>
      </c>
      <c r="Y133" t="s">
        <v>529</v>
      </c>
      <c r="Z133" t="s">
        <v>119</v>
      </c>
      <c r="AA133" t="s">
        <v>165</v>
      </c>
      <c r="AB133" t="s">
        <v>120</v>
      </c>
      <c r="AC133" t="s">
        <v>38</v>
      </c>
      <c r="AD133" t="s">
        <v>121</v>
      </c>
      <c r="AE133">
        <v>200</v>
      </c>
      <c r="AF133" t="s">
        <v>27</v>
      </c>
      <c r="AG133" t="s">
        <v>26</v>
      </c>
      <c r="AH133" t="s">
        <v>522</v>
      </c>
      <c r="AI133" t="str">
        <f t="shared" si="10"/>
        <v>NO</v>
      </c>
      <c r="AJ133" t="str">
        <f t="shared" si="11"/>
        <v>NOVAMED</v>
      </c>
      <c r="AK133" t="str">
        <f>IF(ISNUMBER(SEARCH("FABRICANTE",AC133)),"FABRICANTE",IF(ISNUMBER(SEARCH("IMPORTADOR",AC133)),"IMPORTADOR","OTRO"))</f>
        <v>IMPORTADOR</v>
      </c>
      <c r="AL133" t="str">
        <f>IF(LEFT(Y133,1)="A","Sistema digestivo",IF(LEFT(Y133,1)="B","Sangre",IF(LEFT(Y133,1)="C","Cardiovascular",IF(LEFT(Y133,1)="D","Dermatológico",IF(LEFT(Y133,1)="G","Genitourinario",IF(LEFT(Y133,1)="H","Hormonal",IF(LEFT(Y133,1)="J","Antiinfecciosos",IF(LEFT(Y133,1)="L","Oncológicos",IF(LEFT(Y133,1)="M","Musculoesquelético",IF(LEFT(Y133,1)="N","Sistema nervioso",IF(LEFT(Y133,1)="R","Respiratorio",IF(LEFT(Y133,1)="S","Oftálmico",IF(LEFT(Y133,1)="V","Varios","OTRO")))))))))))))</f>
        <v>Sistema nervioso</v>
      </c>
      <c r="AM133" t="str">
        <f>IF(AG133="Vigente","ACTIVO",IF(ISNUMBER(SEARCH("Inactivo",J133)),"INACTIVO","REVISAR"))</f>
        <v>ACTIVO</v>
      </c>
      <c r="AN133" t="str">
        <f ca="1">IF(OR(AF133="",AF133="null"),"",ROUND((AF133-TODAY())/365.25,2))</f>
        <v/>
      </c>
      <c r="AO133" t="str">
        <f ca="1">IF(AND(AG133="Vigente",OR(AF133="",AF133="null",AF133&gt;TODAY())),"SI",IF(AND(NOT(OR(AF133="",AF133="null")),AF133&lt;=TODAY()),"NO",IF(AG133="Vigente","SI","DESCONOCIDO")))</f>
        <v>SI</v>
      </c>
      <c r="AP133" t="str">
        <f>IF(AND(ISNUMBER(SEARCH("IMPORTAR",AA133)),ISNUMBER(SEARCH("FABRICAR",AA133))),"MIXTO",IF(ISNUMBER(SEARCH("IMPORTAR",AA133)),"IMPORTADO",IF(ISNUMBER(SEARCH("FABRICAR",AA133)),"LOCAL","OTRO")))</f>
        <v>IMPORTADO</v>
      </c>
      <c r="AQ133" t="str">
        <f>IF(AD133="Si","SI",IF(AD133="No","NO",""))</f>
        <v>NO</v>
      </c>
      <c r="AR133" t="str">
        <f>IF(ISNUMBER(SEARCH("®",N133)),"MARCA/INNOVADOR","GENERICO")</f>
        <v>GENERICO</v>
      </c>
      <c r="AS133">
        <f ca="1">IF(AE133&gt;100,RANDBETWEEN(500,5000),IF(AND(AE133&gt;=10,AE133&lt;=100),RANDBETWEEN(100,1000),RANDBETWEEN(10,200)))</f>
        <v>1896</v>
      </c>
      <c r="AT133">
        <f t="shared" ca="1" si="12"/>
        <v>417</v>
      </c>
      <c r="AU133">
        <f ca="1">INT(AS133*RANDBETWEEN(120,200)/100)</f>
        <v>3792</v>
      </c>
      <c r="AV133" s="2">
        <f ca="1">IF(LEFT(Y133,1)="L",RANDBETWEEN(500000,5000000),IF(LEFT(Y133,1)="C",RANDBETWEEN(5000,50000),IF(LEFT(Y133,1)="N",RANDBETWEEN(10000,150000),IF(LEFT(Y133,1)="J",RANDBETWEEN(8000,200000),RANDBETWEEN(5000,100000)))))</f>
        <v>79929</v>
      </c>
      <c r="AW133" s="2">
        <f ca="1">INT(AV133*RANDBETWEEN(30,60)/100)</f>
        <v>31172</v>
      </c>
      <c r="AX133">
        <f ca="1">IF(Z133="ORAL",RANDBETWEEN(1000,10000),IF(OR(Z133="INTRAVENOSA",Z133="INTRAMUSCULAR"),RANDBETWEEN(100,2000),IF(OR(Z133="OFTÁLMICA",Z133="TOPICA (EXTERNA)"),RANDBETWEEN(200,3000),RANDBETWEEN(100,1500))))</f>
        <v>4497</v>
      </c>
      <c r="AY133" s="2">
        <f ca="1">INT(AV133*RANDBETWEEN(90,130)/100)</f>
        <v>103108</v>
      </c>
      <c r="AZ133" t="str">
        <f t="shared" ca="1" si="13"/>
        <v>21.7%</v>
      </c>
      <c r="BA133" t="str">
        <f t="shared" ca="1" si="14"/>
        <v>BAJO</v>
      </c>
    </row>
    <row r="134" spans="4:53" x14ac:dyDescent="0.35">
      <c r="D134" t="s">
        <v>1189</v>
      </c>
      <c r="E134" s="1">
        <v>36161</v>
      </c>
      <c r="F134" t="s">
        <v>1190</v>
      </c>
      <c r="G134" t="s">
        <v>108</v>
      </c>
      <c r="H134" t="s">
        <v>1191</v>
      </c>
      <c r="I134">
        <v>208231</v>
      </c>
      <c r="J134" t="s">
        <v>28</v>
      </c>
      <c r="K134">
        <v>3</v>
      </c>
      <c r="L134" t="s">
        <v>27</v>
      </c>
      <c r="M134" t="s">
        <v>1192</v>
      </c>
      <c r="N134" t="s">
        <v>1193</v>
      </c>
      <c r="O134" t="s">
        <v>1194</v>
      </c>
      <c r="P134" t="s">
        <v>1195</v>
      </c>
      <c r="Q134" s="1">
        <v>39031</v>
      </c>
      <c r="R134" t="s">
        <v>211</v>
      </c>
      <c r="S134" t="s">
        <v>27</v>
      </c>
      <c r="T134" t="s">
        <v>129</v>
      </c>
      <c r="U134" t="s">
        <v>247</v>
      </c>
      <c r="V134" t="s">
        <v>205</v>
      </c>
      <c r="W134">
        <v>1</v>
      </c>
      <c r="X134">
        <v>208231</v>
      </c>
      <c r="Y134" t="s">
        <v>212</v>
      </c>
      <c r="Z134" t="s">
        <v>260</v>
      </c>
      <c r="AA134" t="s">
        <v>24</v>
      </c>
      <c r="AB134" t="s">
        <v>120</v>
      </c>
      <c r="AC134" t="s">
        <v>25</v>
      </c>
      <c r="AD134" t="s">
        <v>121</v>
      </c>
      <c r="AE134">
        <v>2</v>
      </c>
      <c r="AF134" s="1">
        <v>401769</v>
      </c>
      <c r="AG134" t="s">
        <v>26</v>
      </c>
      <c r="AH134" t="s">
        <v>205</v>
      </c>
      <c r="AI134" t="str">
        <f t="shared" si="10"/>
        <v>NO</v>
      </c>
      <c r="AJ134" t="str">
        <f t="shared" si="11"/>
        <v>VITALIS</v>
      </c>
      <c r="AK134" t="str">
        <f>IF(ISNUMBER(SEARCH("FABRICANTE",AC134)),"FABRICANTE",IF(ISNUMBER(SEARCH("IMPORTADOR",AC134)),"IMPORTADOR","OTRO"))</f>
        <v>FABRICANTE</v>
      </c>
      <c r="AL134" t="str">
        <f>IF(LEFT(Y134,1)="A","Sistema digestivo",IF(LEFT(Y134,1)="B","Sangre",IF(LEFT(Y134,1)="C","Cardiovascular",IF(LEFT(Y134,1)="D","Dermatológico",IF(LEFT(Y134,1)="G","Genitourinario",IF(LEFT(Y134,1)="H","Hormonal",IF(LEFT(Y134,1)="J","Antiinfecciosos",IF(LEFT(Y134,1)="L","Oncológicos",IF(LEFT(Y134,1)="M","Musculoesquelético",IF(LEFT(Y134,1)="N","Sistema nervioso",IF(LEFT(Y134,1)="R","Respiratorio",IF(LEFT(Y134,1)="S","Oftálmico",IF(LEFT(Y134,1)="V","Varios","OTRO")))))))))))))</f>
        <v>Antiinfecciosos</v>
      </c>
      <c r="AM134" t="str">
        <f>IF(AG134="Vigente","ACTIVO",IF(ISNUMBER(SEARCH("Inactivo",J134)),"INACTIVO","REVISAR"))</f>
        <v>ACTIVO</v>
      </c>
      <c r="AN134">
        <f ca="1">IF(OR(AF134="",AF134="null"),"",ROUND((AF134-TODAY())/365.25,2))</f>
        <v>973.58</v>
      </c>
      <c r="AO134" t="str">
        <f ca="1">IF(AND(AG134="Vigente",OR(AF134="",AF134="null",AF134&gt;TODAY())),"SI",IF(AND(NOT(OR(AF134="",AF134="null")),AF134&lt;=TODAY()),"NO",IF(AG134="Vigente","SI","DESCONOCIDO")))</f>
        <v>SI</v>
      </c>
      <c r="AP134" t="str">
        <f>IF(AND(ISNUMBER(SEARCH("IMPORTAR",AA134)),ISNUMBER(SEARCH("FABRICAR",AA134))),"MIXTO",IF(ISNUMBER(SEARCH("IMPORTAR",AA134)),"IMPORTADO",IF(ISNUMBER(SEARCH("FABRICAR",AA134)),"LOCAL","OTRO")))</f>
        <v>LOCAL</v>
      </c>
      <c r="AQ134" t="str">
        <f>IF(AD134="Si","SI",IF(AD134="No","NO",""))</f>
        <v>NO</v>
      </c>
      <c r="AR134" t="str">
        <f>IF(ISNUMBER(SEARCH("®",N134)),"MARCA/INNOVADOR","GENERICO")</f>
        <v>GENERICO</v>
      </c>
      <c r="AS134">
        <f ca="1">IF(AE134&gt;100,RANDBETWEEN(500,5000),IF(AND(AE134&gt;=10,AE134&lt;=100),RANDBETWEEN(100,1000),RANDBETWEEN(10,200)))</f>
        <v>90</v>
      </c>
      <c r="AT134">
        <f t="shared" ca="1" si="12"/>
        <v>18</v>
      </c>
      <c r="AU134">
        <f ca="1">INT(AS134*RANDBETWEEN(120,200)/100)</f>
        <v>125</v>
      </c>
      <c r="AV134" s="2">
        <f ca="1">IF(LEFT(Y134,1)="L",RANDBETWEEN(500000,5000000),IF(LEFT(Y134,1)="C",RANDBETWEEN(5000,50000),IF(LEFT(Y134,1)="N",RANDBETWEEN(10000,150000),IF(LEFT(Y134,1)="J",RANDBETWEEN(8000,200000),RANDBETWEEN(5000,100000)))))</f>
        <v>9778</v>
      </c>
      <c r="AW134" s="2">
        <f ca="1">INT(AV134*RANDBETWEEN(30,60)/100)</f>
        <v>3813</v>
      </c>
      <c r="AX134">
        <f ca="1">IF(Z134="ORAL",RANDBETWEEN(1000,10000),IF(OR(Z134="INTRAVENOSA",Z134="INTRAMUSCULAR"),RANDBETWEEN(100,2000),IF(OR(Z134="OFTÁLMICA",Z134="TOPICA (EXTERNA)"),RANDBETWEEN(200,3000),RANDBETWEEN(100,1500))))</f>
        <v>1709</v>
      </c>
      <c r="AY134" s="2">
        <f ca="1">INT(AV134*RANDBETWEEN(90,130)/100)</f>
        <v>12613</v>
      </c>
      <c r="AZ134" t="str">
        <f t="shared" ca="1" si="13"/>
        <v>2.1%</v>
      </c>
      <c r="BA134" t="str">
        <f t="shared" ca="1" si="14"/>
        <v>BAJO</v>
      </c>
    </row>
    <row r="135" spans="4:53" x14ac:dyDescent="0.35">
      <c r="D135" t="s">
        <v>1196</v>
      </c>
      <c r="E135" s="1">
        <v>45805</v>
      </c>
      <c r="F135" t="s">
        <v>1197</v>
      </c>
      <c r="G135" t="s">
        <v>108</v>
      </c>
      <c r="H135" t="s">
        <v>449</v>
      </c>
      <c r="I135">
        <v>20230330</v>
      </c>
      <c r="J135" t="s">
        <v>28</v>
      </c>
      <c r="K135">
        <v>4</v>
      </c>
      <c r="L135" t="s">
        <v>27</v>
      </c>
      <c r="M135" t="s">
        <v>1198</v>
      </c>
      <c r="N135" t="s">
        <v>1199</v>
      </c>
      <c r="O135" t="s">
        <v>1200</v>
      </c>
      <c r="P135" t="s">
        <v>1201</v>
      </c>
      <c r="Q135" s="1">
        <v>45421</v>
      </c>
      <c r="R135" t="s">
        <v>33</v>
      </c>
      <c r="S135" t="s">
        <v>27</v>
      </c>
      <c r="T135" t="s">
        <v>449</v>
      </c>
      <c r="U135" t="s">
        <v>115</v>
      </c>
      <c r="V135" t="s">
        <v>1197</v>
      </c>
      <c r="W135">
        <v>180</v>
      </c>
      <c r="X135">
        <v>20230330</v>
      </c>
      <c r="Y135" t="s">
        <v>1202</v>
      </c>
      <c r="Z135" t="s">
        <v>119</v>
      </c>
      <c r="AA135" t="s">
        <v>32</v>
      </c>
      <c r="AB135" t="s">
        <v>120</v>
      </c>
      <c r="AC135" t="s">
        <v>25</v>
      </c>
      <c r="AD135" t="s">
        <v>155</v>
      </c>
      <c r="AE135">
        <v>30</v>
      </c>
      <c r="AF135" s="1">
        <v>47647</v>
      </c>
      <c r="AG135" t="s">
        <v>26</v>
      </c>
      <c r="AH135" t="s">
        <v>1197</v>
      </c>
      <c r="AI135" t="str">
        <f t="shared" si="10"/>
        <v>NO</v>
      </c>
      <c r="AJ135" t="str">
        <f t="shared" si="11"/>
        <v>MSN LABORATORIES PRIVATE</v>
      </c>
      <c r="AK135" t="str">
        <f>IF(ISNUMBER(SEARCH("FABRICANTE",AC135)),"FABRICANTE",IF(ISNUMBER(SEARCH("IMPORTADOR",AC135)),"IMPORTADOR","OTRO"))</f>
        <v>FABRICANTE</v>
      </c>
      <c r="AL135" t="str">
        <f>IF(LEFT(Y135,1)="A","Sistema digestivo",IF(LEFT(Y135,1)="B","Sangre",IF(LEFT(Y135,1)="C","Cardiovascular",IF(LEFT(Y135,1)="D","Dermatológico",IF(LEFT(Y135,1)="G","Genitourinario",IF(LEFT(Y135,1)="H","Hormonal",IF(LEFT(Y135,1)="J","Antiinfecciosos",IF(LEFT(Y135,1)="L","Oncológicos",IF(LEFT(Y135,1)="M","Musculoesquelético",IF(LEFT(Y135,1)="N","Sistema nervioso",IF(LEFT(Y135,1)="R","Respiratorio",IF(LEFT(Y135,1)="S","Oftálmico",IF(LEFT(Y135,1)="V","Varios","OTRO")))))))))))))</f>
        <v>Varios</v>
      </c>
      <c r="AM135" t="str">
        <f>IF(AG135="Vigente","ACTIVO",IF(ISNUMBER(SEARCH("Inactivo",J135)),"INACTIVO","REVISAR"))</f>
        <v>ACTIVO</v>
      </c>
      <c r="AN135">
        <f ca="1">IF(OR(AF135="",AF135="null"),"",ROUND((AF135-TODAY())/365.25,2))</f>
        <v>4.05</v>
      </c>
      <c r="AO135" t="str">
        <f ca="1">IF(AND(AG135="Vigente",OR(AF135="",AF135="null",AF135&gt;TODAY())),"SI",IF(AND(NOT(OR(AF135="",AF135="null")),AF135&lt;=TODAY()),"NO",IF(AG135="Vigente","SI","DESCONOCIDO")))</f>
        <v>SI</v>
      </c>
      <c r="AP135" t="str">
        <f>IF(AND(ISNUMBER(SEARCH("IMPORTAR",AA135)),ISNUMBER(SEARCH("FABRICAR",AA135))),"MIXTO",IF(ISNUMBER(SEARCH("IMPORTAR",AA135)),"IMPORTADO",IF(ISNUMBER(SEARCH("FABRICAR",AA135)),"LOCAL","OTRO")))</f>
        <v>IMPORTADO</v>
      </c>
      <c r="AQ135" t="str">
        <f>IF(AD135="Si","SI",IF(AD135="No","NO",""))</f>
        <v>SI</v>
      </c>
      <c r="AR135" t="str">
        <f>IF(ISNUMBER(SEARCH("®",N135)),"MARCA/INNOVADOR","GENERICO")</f>
        <v>GENERICO</v>
      </c>
      <c r="AS135">
        <f ca="1">IF(AE135&gt;100,RANDBETWEEN(500,5000),IF(AND(AE135&gt;=10,AE135&lt;=100),RANDBETWEEN(100,1000),RANDBETWEEN(10,200)))</f>
        <v>582</v>
      </c>
      <c r="AT135">
        <f t="shared" ca="1" si="12"/>
        <v>151</v>
      </c>
      <c r="AU135">
        <f ca="1">INT(AS135*RANDBETWEEN(120,200)/100)</f>
        <v>1006</v>
      </c>
      <c r="AV135" s="2">
        <f ca="1">IF(LEFT(Y135,1)="L",RANDBETWEEN(500000,5000000),IF(LEFT(Y135,1)="C",RANDBETWEEN(5000,50000),IF(LEFT(Y135,1)="N",RANDBETWEEN(10000,150000),IF(LEFT(Y135,1)="J",RANDBETWEEN(8000,200000),RANDBETWEEN(5000,100000)))))</f>
        <v>33162</v>
      </c>
      <c r="AW135" s="2">
        <f ca="1">INT(AV135*RANDBETWEEN(30,60)/100)</f>
        <v>9948</v>
      </c>
      <c r="AX135">
        <f ca="1">IF(Z135="ORAL",RANDBETWEEN(1000,10000),IF(OR(Z135="INTRAVENOSA",Z135="INTRAMUSCULAR"),RANDBETWEEN(100,2000),IF(OR(Z135="OFTÁLMICA",Z135="TOPICA (EXTERNA)"),RANDBETWEEN(200,3000),RANDBETWEEN(100,1500))))</f>
        <v>5084</v>
      </c>
      <c r="AY135" s="2">
        <f ca="1">INT(AV135*RANDBETWEEN(90,130)/100)</f>
        <v>34820</v>
      </c>
      <c r="AZ135" t="str">
        <f t="shared" ca="1" si="13"/>
        <v>15.3%</v>
      </c>
      <c r="BA135" t="str">
        <f t="shared" ca="1" si="14"/>
        <v>MEDIO</v>
      </c>
    </row>
    <row r="136" spans="4:53" x14ac:dyDescent="0.35">
      <c r="D136" t="s">
        <v>1203</v>
      </c>
      <c r="E136" s="1">
        <v>41310</v>
      </c>
      <c r="F136" t="s">
        <v>1204</v>
      </c>
      <c r="G136" t="s">
        <v>108</v>
      </c>
      <c r="H136" t="s">
        <v>1205</v>
      </c>
      <c r="I136">
        <v>20050119</v>
      </c>
      <c r="J136" t="s">
        <v>28</v>
      </c>
      <c r="K136">
        <v>7</v>
      </c>
      <c r="L136" t="s">
        <v>27</v>
      </c>
      <c r="M136" t="s">
        <v>1206</v>
      </c>
      <c r="N136" t="s">
        <v>1207</v>
      </c>
      <c r="O136" t="s">
        <v>1208</v>
      </c>
      <c r="P136" t="s">
        <v>33</v>
      </c>
      <c r="Q136" s="1">
        <v>44594</v>
      </c>
      <c r="R136" t="s">
        <v>33</v>
      </c>
      <c r="S136" t="s">
        <v>27</v>
      </c>
      <c r="T136" t="s">
        <v>991</v>
      </c>
      <c r="U136" t="s">
        <v>115</v>
      </c>
      <c r="V136" t="s">
        <v>1209</v>
      </c>
      <c r="W136">
        <v>200</v>
      </c>
      <c r="X136">
        <v>20050119</v>
      </c>
      <c r="Y136" t="s">
        <v>1210</v>
      </c>
      <c r="Z136" t="s">
        <v>119</v>
      </c>
      <c r="AA136" t="s">
        <v>24</v>
      </c>
      <c r="AB136" t="s">
        <v>120</v>
      </c>
      <c r="AC136" t="s">
        <v>25</v>
      </c>
      <c r="AD136" t="s">
        <v>121</v>
      </c>
      <c r="AE136">
        <v>60</v>
      </c>
      <c r="AF136" t="s">
        <v>27</v>
      </c>
      <c r="AG136" t="s">
        <v>26</v>
      </c>
      <c r="AH136" t="s">
        <v>6747</v>
      </c>
      <c r="AI136" t="str">
        <f t="shared" si="10"/>
        <v>NO</v>
      </c>
      <c r="AJ136" t="str">
        <f t="shared" si="11"/>
        <v>FARMA DE COLOMBIA</v>
      </c>
      <c r="AK136" t="str">
        <f>IF(ISNUMBER(SEARCH("FABRICANTE",AC136)),"FABRICANTE",IF(ISNUMBER(SEARCH("IMPORTADOR",AC136)),"IMPORTADOR","OTRO"))</f>
        <v>FABRICANTE</v>
      </c>
      <c r="AL136" t="str">
        <f>IF(LEFT(Y136,1)="A","Sistema digestivo",IF(LEFT(Y136,1)="B","Sangre",IF(LEFT(Y136,1)="C","Cardiovascular",IF(LEFT(Y136,1)="D","Dermatológico",IF(LEFT(Y136,1)="G","Genitourinario",IF(LEFT(Y136,1)="H","Hormonal",IF(LEFT(Y136,1)="J","Antiinfecciosos",IF(LEFT(Y136,1)="L","Oncológicos",IF(LEFT(Y136,1)="M","Musculoesquelético",IF(LEFT(Y136,1)="N","Sistema nervioso",IF(LEFT(Y136,1)="R","Respiratorio",IF(LEFT(Y136,1)="S","Oftálmico",IF(LEFT(Y136,1)="V","Varios","OTRO")))))))))))))</f>
        <v>Sistema digestivo</v>
      </c>
      <c r="AM136" t="str">
        <f>IF(AG136="Vigente","ACTIVO",IF(ISNUMBER(SEARCH("Inactivo",J136)),"INACTIVO","REVISAR"))</f>
        <v>ACTIVO</v>
      </c>
      <c r="AN136" t="str">
        <f ca="1">IF(OR(AF136="",AF136="null"),"",ROUND((AF136-TODAY())/365.25,2))</f>
        <v/>
      </c>
      <c r="AO136" t="str">
        <f ca="1">IF(AND(AG136="Vigente",OR(AF136="",AF136="null",AF136&gt;TODAY())),"SI",IF(AND(NOT(OR(AF136="",AF136="null")),AF136&lt;=TODAY()),"NO",IF(AG136="Vigente","SI","DESCONOCIDO")))</f>
        <v>SI</v>
      </c>
      <c r="AP136" t="str">
        <f>IF(AND(ISNUMBER(SEARCH("IMPORTAR",AA136)),ISNUMBER(SEARCH("FABRICAR",AA136))),"MIXTO",IF(ISNUMBER(SEARCH("IMPORTAR",AA136)),"IMPORTADO",IF(ISNUMBER(SEARCH("FABRICAR",AA136)),"LOCAL","OTRO")))</f>
        <v>LOCAL</v>
      </c>
      <c r="AQ136" t="str">
        <f>IF(AD136="Si","SI",IF(AD136="No","NO",""))</f>
        <v>NO</v>
      </c>
      <c r="AR136" t="str">
        <f>IF(ISNUMBER(SEARCH("®",N136)),"MARCA/INNOVADOR","GENERICO")</f>
        <v>MARCA/INNOVADOR</v>
      </c>
      <c r="AS136">
        <f ca="1">IF(AE136&gt;100,RANDBETWEEN(500,5000),IF(AND(AE136&gt;=10,AE136&lt;=100),RANDBETWEEN(100,1000),RANDBETWEEN(10,200)))</f>
        <v>769</v>
      </c>
      <c r="AT136">
        <f t="shared" ca="1" si="12"/>
        <v>107</v>
      </c>
      <c r="AU136">
        <f ca="1">INT(AS136*RANDBETWEEN(120,200)/100)</f>
        <v>1430</v>
      </c>
      <c r="AV136" s="2">
        <f ca="1">IF(LEFT(Y136,1)="L",RANDBETWEEN(500000,5000000),IF(LEFT(Y136,1)="C",RANDBETWEEN(5000,50000),IF(LEFT(Y136,1)="N",RANDBETWEEN(10000,150000),IF(LEFT(Y136,1)="J",RANDBETWEEN(8000,200000),RANDBETWEEN(5000,100000)))))</f>
        <v>46242</v>
      </c>
      <c r="AW136" s="2">
        <f ca="1">INT(AV136*RANDBETWEEN(30,60)/100)</f>
        <v>15259</v>
      </c>
      <c r="AX136">
        <f ca="1">IF(Z136="ORAL",RANDBETWEEN(1000,10000),IF(OR(Z136="INTRAVENOSA",Z136="INTRAMUSCULAR"),RANDBETWEEN(100,2000),IF(OR(Z136="OFTÁLMICA",Z136="TOPICA (EXTERNA)"),RANDBETWEEN(200,3000),RANDBETWEEN(100,1500))))</f>
        <v>3520</v>
      </c>
      <c r="AY136" s="2">
        <f ca="1">INT(AV136*RANDBETWEEN(90,130)/100)</f>
        <v>60114</v>
      </c>
      <c r="AZ136" t="str">
        <f t="shared" ca="1" si="13"/>
        <v>13.4%</v>
      </c>
      <c r="BA136" t="str">
        <f t="shared" ca="1" si="14"/>
        <v>BAJO</v>
      </c>
    </row>
    <row r="137" spans="4:53" x14ac:dyDescent="0.35">
      <c r="D137" t="s">
        <v>1211</v>
      </c>
      <c r="E137" s="1">
        <v>41130</v>
      </c>
      <c r="F137" t="s">
        <v>1212</v>
      </c>
      <c r="G137" t="s">
        <v>108</v>
      </c>
      <c r="H137" t="s">
        <v>1213</v>
      </c>
      <c r="I137">
        <v>20019908</v>
      </c>
      <c r="J137" t="s">
        <v>28</v>
      </c>
      <c r="K137">
        <v>12</v>
      </c>
      <c r="L137" t="s">
        <v>27</v>
      </c>
      <c r="M137" t="s">
        <v>1214</v>
      </c>
      <c r="N137" t="s">
        <v>1215</v>
      </c>
      <c r="O137" t="s">
        <v>1216</v>
      </c>
      <c r="P137" t="s">
        <v>659</v>
      </c>
      <c r="Q137" s="1">
        <v>41127</v>
      </c>
      <c r="R137" t="s">
        <v>37</v>
      </c>
      <c r="S137" t="s">
        <v>27</v>
      </c>
      <c r="T137" t="s">
        <v>1217</v>
      </c>
      <c r="U137" t="s">
        <v>115</v>
      </c>
      <c r="V137" t="s">
        <v>1218</v>
      </c>
      <c r="W137">
        <v>250</v>
      </c>
      <c r="X137">
        <v>20019908</v>
      </c>
      <c r="Y137" t="s">
        <v>1219</v>
      </c>
      <c r="Z137" t="s">
        <v>119</v>
      </c>
      <c r="AA137" t="s">
        <v>32</v>
      </c>
      <c r="AB137" t="s">
        <v>120</v>
      </c>
      <c r="AC137" t="s">
        <v>25</v>
      </c>
      <c r="AD137" t="s">
        <v>155</v>
      </c>
      <c r="AE137">
        <v>4</v>
      </c>
      <c r="AF137" t="s">
        <v>27</v>
      </c>
      <c r="AG137" t="s">
        <v>26</v>
      </c>
      <c r="AH137" t="s">
        <v>1212</v>
      </c>
      <c r="AI137" t="str">
        <f t="shared" si="10"/>
        <v>NO</v>
      </c>
      <c r="AJ137" t="str">
        <f t="shared" si="11"/>
        <v>BIOCODEX</v>
      </c>
      <c r="AK137" t="str">
        <f>IF(ISNUMBER(SEARCH("FABRICANTE",AC137)),"FABRICANTE",IF(ISNUMBER(SEARCH("IMPORTADOR",AC137)),"IMPORTADOR","OTRO"))</f>
        <v>FABRICANTE</v>
      </c>
      <c r="AL137" t="str">
        <f>IF(LEFT(Y137,1)="A","Sistema digestivo",IF(LEFT(Y137,1)="B","Sangre",IF(LEFT(Y137,1)="C","Cardiovascular",IF(LEFT(Y137,1)="D","Dermatológico",IF(LEFT(Y137,1)="G","Genitourinario",IF(LEFT(Y137,1)="H","Hormonal",IF(LEFT(Y137,1)="J","Antiinfecciosos",IF(LEFT(Y137,1)="L","Oncológicos",IF(LEFT(Y137,1)="M","Musculoesquelético",IF(LEFT(Y137,1)="N","Sistema nervioso",IF(LEFT(Y137,1)="R","Respiratorio",IF(LEFT(Y137,1)="S","Oftálmico",IF(LEFT(Y137,1)="V","Varios","OTRO")))))))))))))</f>
        <v>Sistema digestivo</v>
      </c>
      <c r="AM137" t="str">
        <f>IF(AG137="Vigente","ACTIVO",IF(ISNUMBER(SEARCH("Inactivo",J137)),"INACTIVO","REVISAR"))</f>
        <v>ACTIVO</v>
      </c>
      <c r="AN137" t="str">
        <f ca="1">IF(OR(AF137="",AF137="null"),"",ROUND((AF137-TODAY())/365.25,2))</f>
        <v/>
      </c>
      <c r="AO137" t="str">
        <f ca="1">IF(AND(AG137="Vigente",OR(AF137="",AF137="null",AF137&gt;TODAY())),"SI",IF(AND(NOT(OR(AF137="",AF137="null")),AF137&lt;=TODAY()),"NO",IF(AG137="Vigente","SI","DESCONOCIDO")))</f>
        <v>SI</v>
      </c>
      <c r="AP137" t="str">
        <f>IF(AND(ISNUMBER(SEARCH("IMPORTAR",AA137)),ISNUMBER(SEARCH("FABRICAR",AA137))),"MIXTO",IF(ISNUMBER(SEARCH("IMPORTAR",AA137)),"IMPORTADO",IF(ISNUMBER(SEARCH("FABRICAR",AA137)),"LOCAL","OTRO")))</f>
        <v>IMPORTADO</v>
      </c>
      <c r="AQ137" t="str">
        <f>IF(AD137="Si","SI",IF(AD137="No","NO",""))</f>
        <v>SI</v>
      </c>
      <c r="AR137" t="str">
        <f>IF(ISNUMBER(SEARCH("®",N137)),"MARCA/INNOVADOR","GENERICO")</f>
        <v>MARCA/INNOVADOR</v>
      </c>
      <c r="AS137">
        <f ca="1">IF(AE137&gt;100,RANDBETWEEN(500,5000),IF(AND(AE137&gt;=10,AE137&lt;=100),RANDBETWEEN(100,1000),RANDBETWEEN(10,200)))</f>
        <v>113</v>
      </c>
      <c r="AT137">
        <f t="shared" ca="1" si="12"/>
        <v>33</v>
      </c>
      <c r="AU137">
        <f ca="1">INT(AS137*RANDBETWEEN(120,200)/100)</f>
        <v>174</v>
      </c>
      <c r="AV137" s="2">
        <f ca="1">IF(LEFT(Y137,1)="L",RANDBETWEEN(500000,5000000),IF(LEFT(Y137,1)="C",RANDBETWEEN(5000,50000),IF(LEFT(Y137,1)="N",RANDBETWEEN(10000,150000),IF(LEFT(Y137,1)="J",RANDBETWEEN(8000,200000),RANDBETWEEN(5000,100000)))))</f>
        <v>40649</v>
      </c>
      <c r="AW137" s="2">
        <f ca="1">INT(AV137*RANDBETWEEN(30,60)/100)</f>
        <v>13820</v>
      </c>
      <c r="AX137">
        <f ca="1">IF(Z137="ORAL",RANDBETWEEN(1000,10000),IF(OR(Z137="INTRAVENOSA",Z137="INTRAMUSCULAR"),RANDBETWEEN(100,2000),IF(OR(Z137="OFTÁLMICA",Z137="TOPICA (EXTERNA)"),RANDBETWEEN(200,3000),RANDBETWEEN(100,1500))))</f>
        <v>5115</v>
      </c>
      <c r="AY137" s="2">
        <f ca="1">INT(AV137*RANDBETWEEN(90,130)/100)</f>
        <v>46746</v>
      </c>
      <c r="AZ137" t="str">
        <f t="shared" ca="1" si="13"/>
        <v>22.1%</v>
      </c>
      <c r="BA137" t="str">
        <f t="shared" ca="1" si="14"/>
        <v>BAJO</v>
      </c>
    </row>
    <row r="138" spans="4:53" x14ac:dyDescent="0.35">
      <c r="D138" t="s">
        <v>1220</v>
      </c>
      <c r="E138" s="1">
        <v>36917</v>
      </c>
      <c r="F138" t="s">
        <v>1221</v>
      </c>
      <c r="G138" t="s">
        <v>108</v>
      </c>
      <c r="H138" t="s">
        <v>187</v>
      </c>
      <c r="I138">
        <v>19914355</v>
      </c>
      <c r="J138" t="s">
        <v>28</v>
      </c>
      <c r="K138">
        <v>20</v>
      </c>
      <c r="L138" t="s">
        <v>27</v>
      </c>
      <c r="M138" t="s">
        <v>1222</v>
      </c>
      <c r="N138" t="s">
        <v>1223</v>
      </c>
      <c r="O138" t="s">
        <v>1224</v>
      </c>
      <c r="P138" t="s">
        <v>200</v>
      </c>
      <c r="Q138" s="1">
        <v>43966</v>
      </c>
      <c r="R138" t="s">
        <v>200</v>
      </c>
      <c r="S138" t="s">
        <v>27</v>
      </c>
      <c r="T138" t="s">
        <v>80</v>
      </c>
      <c r="U138" t="s">
        <v>115</v>
      </c>
      <c r="V138" t="s">
        <v>528</v>
      </c>
      <c r="W138">
        <v>500</v>
      </c>
      <c r="X138">
        <v>19914355</v>
      </c>
      <c r="Y138" t="s">
        <v>529</v>
      </c>
      <c r="Z138" t="s">
        <v>119</v>
      </c>
      <c r="AA138" t="s">
        <v>165</v>
      </c>
      <c r="AB138" t="s">
        <v>120</v>
      </c>
      <c r="AC138" t="s">
        <v>25</v>
      </c>
      <c r="AD138" t="s">
        <v>121</v>
      </c>
      <c r="AE138">
        <v>20</v>
      </c>
      <c r="AF138" t="s">
        <v>27</v>
      </c>
      <c r="AG138" t="s">
        <v>26</v>
      </c>
      <c r="AH138" t="s">
        <v>522</v>
      </c>
      <c r="AI138" t="str">
        <f t="shared" si="10"/>
        <v>NO</v>
      </c>
      <c r="AJ138" t="str">
        <f t="shared" si="11"/>
        <v>TECNOQUIMICAS</v>
      </c>
      <c r="AK138" t="str">
        <f>IF(ISNUMBER(SEARCH("FABRICANTE",AC138)),"FABRICANTE",IF(ISNUMBER(SEARCH("IMPORTADOR",AC138)),"IMPORTADOR","OTRO"))</f>
        <v>FABRICANTE</v>
      </c>
      <c r="AL138" t="str">
        <f>IF(LEFT(Y138,1)="A","Sistema digestivo",IF(LEFT(Y138,1)="B","Sangre",IF(LEFT(Y138,1)="C","Cardiovascular",IF(LEFT(Y138,1)="D","Dermatológico",IF(LEFT(Y138,1)="G","Genitourinario",IF(LEFT(Y138,1)="H","Hormonal",IF(LEFT(Y138,1)="J","Antiinfecciosos",IF(LEFT(Y138,1)="L","Oncológicos",IF(LEFT(Y138,1)="M","Musculoesquelético",IF(LEFT(Y138,1)="N","Sistema nervioso",IF(LEFT(Y138,1)="R","Respiratorio",IF(LEFT(Y138,1)="S","Oftálmico",IF(LEFT(Y138,1)="V","Varios","OTRO")))))))))))))</f>
        <v>Sistema nervioso</v>
      </c>
      <c r="AM138" t="str">
        <f>IF(AG138="Vigente","ACTIVO",IF(ISNUMBER(SEARCH("Inactivo",J138)),"INACTIVO","REVISAR"))</f>
        <v>ACTIVO</v>
      </c>
      <c r="AN138" t="str">
        <f ca="1">IF(OR(AF138="",AF138="null"),"",ROUND((AF138-TODAY())/365.25,2))</f>
        <v/>
      </c>
      <c r="AO138" t="str">
        <f ca="1">IF(AND(AG138="Vigente",OR(AF138="",AF138="null",AF138&gt;TODAY())),"SI",IF(AND(NOT(OR(AF138="",AF138="null")),AF138&lt;=TODAY()),"NO",IF(AG138="Vigente","SI","DESCONOCIDO")))</f>
        <v>SI</v>
      </c>
      <c r="AP138" t="str">
        <f>IF(AND(ISNUMBER(SEARCH("IMPORTAR",AA138)),ISNUMBER(SEARCH("FABRICAR",AA138))),"MIXTO",IF(ISNUMBER(SEARCH("IMPORTAR",AA138)),"IMPORTADO",IF(ISNUMBER(SEARCH("FABRICAR",AA138)),"LOCAL","OTRO")))</f>
        <v>IMPORTADO</v>
      </c>
      <c r="AQ138" t="str">
        <f>IF(AD138="Si","SI",IF(AD138="No","NO",""))</f>
        <v>NO</v>
      </c>
      <c r="AR138" t="str">
        <f>IF(ISNUMBER(SEARCH("®",N138)),"MARCA/INNOVADOR","GENERICO")</f>
        <v>GENERICO</v>
      </c>
      <c r="AS138">
        <f ca="1">IF(AE138&gt;100,RANDBETWEEN(500,5000),IF(AND(AE138&gt;=10,AE138&lt;=100),RANDBETWEEN(100,1000),RANDBETWEEN(10,200)))</f>
        <v>201</v>
      </c>
      <c r="AT138">
        <f t="shared" ca="1" si="12"/>
        <v>50</v>
      </c>
      <c r="AU138">
        <f ca="1">INT(AS138*RANDBETWEEN(120,200)/100)</f>
        <v>271</v>
      </c>
      <c r="AV138" s="2">
        <f ca="1">IF(LEFT(Y138,1)="L",RANDBETWEEN(500000,5000000),IF(LEFT(Y138,1)="C",RANDBETWEEN(5000,50000),IF(LEFT(Y138,1)="N",RANDBETWEEN(10000,150000),IF(LEFT(Y138,1)="J",RANDBETWEEN(8000,200000),RANDBETWEEN(5000,100000)))))</f>
        <v>135089</v>
      </c>
      <c r="AW138" s="2">
        <f ca="1">INT(AV138*RANDBETWEEN(30,60)/100)</f>
        <v>55386</v>
      </c>
      <c r="AX138">
        <f ca="1">IF(Z138="ORAL",RANDBETWEEN(1000,10000),IF(OR(Z138="INTRAVENOSA",Z138="INTRAMUSCULAR"),RANDBETWEEN(100,2000),IF(OR(Z138="OFTÁLMICA",Z138="TOPICA (EXTERNA)"),RANDBETWEEN(200,3000),RANDBETWEEN(100,1500))))</f>
        <v>2709</v>
      </c>
      <c r="AY138" s="2">
        <f ca="1">INT(AV138*RANDBETWEEN(90,130)/100)</f>
        <v>168861</v>
      </c>
      <c r="AZ138" t="str">
        <f t="shared" ca="1" si="13"/>
        <v>5.7%</v>
      </c>
      <c r="BA138" t="str">
        <f t="shared" ca="1" si="14"/>
        <v>BAJO</v>
      </c>
    </row>
    <row r="139" spans="4:53" x14ac:dyDescent="0.35">
      <c r="D139" t="s">
        <v>1225</v>
      </c>
      <c r="E139" s="1">
        <v>42474</v>
      </c>
      <c r="F139" t="s">
        <v>1226</v>
      </c>
      <c r="G139" t="s">
        <v>108</v>
      </c>
      <c r="H139" t="s">
        <v>1227</v>
      </c>
      <c r="I139">
        <v>20100512</v>
      </c>
      <c r="J139" t="s">
        <v>28</v>
      </c>
      <c r="K139">
        <v>5</v>
      </c>
      <c r="L139" t="s">
        <v>1228</v>
      </c>
      <c r="M139" t="s">
        <v>1229</v>
      </c>
      <c r="N139" t="s">
        <v>1230</v>
      </c>
      <c r="O139" t="s">
        <v>1231</v>
      </c>
      <c r="P139" t="s">
        <v>1232</v>
      </c>
      <c r="Q139" s="1">
        <v>42473</v>
      </c>
      <c r="R139" t="s">
        <v>37</v>
      </c>
      <c r="S139" t="s">
        <v>27</v>
      </c>
      <c r="T139" t="s">
        <v>1227</v>
      </c>
      <c r="U139" t="s">
        <v>115</v>
      </c>
      <c r="V139" t="s">
        <v>1233</v>
      </c>
      <c r="W139">
        <v>500</v>
      </c>
      <c r="X139">
        <v>20100512</v>
      </c>
      <c r="Y139" t="s">
        <v>1234</v>
      </c>
      <c r="Z139" t="s">
        <v>119</v>
      </c>
      <c r="AA139" t="s">
        <v>32</v>
      </c>
      <c r="AB139" t="s">
        <v>120</v>
      </c>
      <c r="AC139" t="s">
        <v>38</v>
      </c>
      <c r="AD139" t="s">
        <v>121</v>
      </c>
      <c r="AE139">
        <v>120</v>
      </c>
      <c r="AF139" t="s">
        <v>27</v>
      </c>
      <c r="AG139" t="s">
        <v>26</v>
      </c>
      <c r="AH139" t="s">
        <v>1226</v>
      </c>
      <c r="AI139" t="str">
        <f t="shared" si="10"/>
        <v>NO</v>
      </c>
      <c r="AJ139" t="str">
        <f t="shared" si="11"/>
        <v>NATURAL SYSTEMS INTERNATIONAL</v>
      </c>
      <c r="AK139" t="str">
        <f>IF(ISNUMBER(SEARCH("FABRICANTE",AC139)),"FABRICANTE",IF(ISNUMBER(SEARCH("IMPORTADOR",AC139)),"IMPORTADOR","OTRO"))</f>
        <v>IMPORTADOR</v>
      </c>
      <c r="AL139" t="str">
        <f>IF(LEFT(Y139,1)="A","Sistema digestivo",IF(LEFT(Y139,1)="B","Sangre",IF(LEFT(Y139,1)="C","Cardiovascular",IF(LEFT(Y139,1)="D","Dermatológico",IF(LEFT(Y139,1)="G","Genitourinario",IF(LEFT(Y139,1)="H","Hormonal",IF(LEFT(Y139,1)="J","Antiinfecciosos",IF(LEFT(Y139,1)="L","Oncológicos",IF(LEFT(Y139,1)="M","Musculoesquelético",IF(LEFT(Y139,1)="N","Sistema nervioso",IF(LEFT(Y139,1)="R","Respiratorio",IF(LEFT(Y139,1)="S","Oftálmico",IF(LEFT(Y139,1)="V","Varios","OTRO")))))))))))))</f>
        <v>Musculoesquelético</v>
      </c>
      <c r="AM139" t="str">
        <f>IF(AG139="Vigente","ACTIVO",IF(ISNUMBER(SEARCH("Inactivo",J139)),"INACTIVO","REVISAR"))</f>
        <v>ACTIVO</v>
      </c>
      <c r="AN139" t="str">
        <f ca="1">IF(OR(AF139="",AF139="null"),"",ROUND((AF139-TODAY())/365.25,2))</f>
        <v/>
      </c>
      <c r="AO139" t="str">
        <f ca="1">IF(AND(AG139="Vigente",OR(AF139="",AF139="null",AF139&gt;TODAY())),"SI",IF(AND(NOT(OR(AF139="",AF139="null")),AF139&lt;=TODAY()),"NO",IF(AG139="Vigente","SI","DESCONOCIDO")))</f>
        <v>SI</v>
      </c>
      <c r="AP139" t="str">
        <f>IF(AND(ISNUMBER(SEARCH("IMPORTAR",AA139)),ISNUMBER(SEARCH("FABRICAR",AA139))),"MIXTO",IF(ISNUMBER(SEARCH("IMPORTAR",AA139)),"IMPORTADO",IF(ISNUMBER(SEARCH("FABRICAR",AA139)),"LOCAL","OTRO")))</f>
        <v>IMPORTADO</v>
      </c>
      <c r="AQ139" t="str">
        <f>IF(AD139="Si","SI",IF(AD139="No","NO",""))</f>
        <v>NO</v>
      </c>
      <c r="AR139" t="str">
        <f>IF(ISNUMBER(SEARCH("®",N139)),"MARCA/INNOVADOR","GENERICO")</f>
        <v>GENERICO</v>
      </c>
      <c r="AS139">
        <f ca="1">IF(AE139&gt;100,RANDBETWEEN(500,5000),IF(AND(AE139&gt;=10,AE139&lt;=100),RANDBETWEEN(100,1000),RANDBETWEEN(10,200)))</f>
        <v>4665</v>
      </c>
      <c r="AT139">
        <f t="shared" ca="1" si="12"/>
        <v>933</v>
      </c>
      <c r="AU139">
        <f ca="1">INT(AS139*RANDBETWEEN(120,200)/100)</f>
        <v>5737</v>
      </c>
      <c r="AV139" s="2">
        <f ca="1">IF(LEFT(Y139,1)="L",RANDBETWEEN(500000,5000000),IF(LEFT(Y139,1)="C",RANDBETWEEN(5000,50000),IF(LEFT(Y139,1)="N",RANDBETWEEN(10000,150000),IF(LEFT(Y139,1)="J",RANDBETWEEN(8000,200000),RANDBETWEEN(5000,100000)))))</f>
        <v>73934</v>
      </c>
      <c r="AW139" s="2">
        <f ca="1">INT(AV139*RANDBETWEEN(30,60)/100)</f>
        <v>28094</v>
      </c>
      <c r="AX139">
        <f ca="1">IF(Z139="ORAL",RANDBETWEEN(1000,10000),IF(OR(Z139="INTRAVENOSA",Z139="INTRAMUSCULAR"),RANDBETWEEN(100,2000),IF(OR(Z139="OFTÁLMICA",Z139="TOPICA (EXTERNA)"),RANDBETWEEN(200,3000),RANDBETWEEN(100,1500))))</f>
        <v>2665</v>
      </c>
      <c r="AY139" s="2">
        <f ca="1">INT(AV139*RANDBETWEEN(90,130)/100)</f>
        <v>96114</v>
      </c>
      <c r="AZ139" t="str">
        <f t="shared" ca="1" si="13"/>
        <v>10.7%</v>
      </c>
      <c r="BA139" t="str">
        <f t="shared" ca="1" si="14"/>
        <v>BAJO</v>
      </c>
    </row>
    <row r="140" spans="4:53" x14ac:dyDescent="0.35">
      <c r="D140" t="s">
        <v>1235</v>
      </c>
      <c r="E140" s="1">
        <v>41144</v>
      </c>
      <c r="F140" t="s">
        <v>186</v>
      </c>
      <c r="G140" t="s">
        <v>108</v>
      </c>
      <c r="H140" t="s">
        <v>114</v>
      </c>
      <c r="I140">
        <v>20043342</v>
      </c>
      <c r="J140" t="s">
        <v>28</v>
      </c>
      <c r="K140">
        <v>2</v>
      </c>
      <c r="L140" t="s">
        <v>27</v>
      </c>
      <c r="M140" t="s">
        <v>1236</v>
      </c>
      <c r="N140" t="s">
        <v>1237</v>
      </c>
      <c r="O140" t="s">
        <v>1238</v>
      </c>
      <c r="P140" t="s">
        <v>1239</v>
      </c>
      <c r="Q140" s="1">
        <v>40991</v>
      </c>
      <c r="R140" t="s">
        <v>33</v>
      </c>
      <c r="S140" t="s">
        <v>27</v>
      </c>
      <c r="T140" t="s">
        <v>114</v>
      </c>
      <c r="U140" t="s">
        <v>115</v>
      </c>
      <c r="V140" t="s">
        <v>954</v>
      </c>
      <c r="W140">
        <v>10</v>
      </c>
      <c r="X140">
        <v>20043342</v>
      </c>
      <c r="Y140" t="s">
        <v>955</v>
      </c>
      <c r="Z140" t="s">
        <v>119</v>
      </c>
      <c r="AA140" t="s">
        <v>24</v>
      </c>
      <c r="AB140" t="s">
        <v>120</v>
      </c>
      <c r="AC140" t="s">
        <v>25</v>
      </c>
      <c r="AD140" t="s">
        <v>121</v>
      </c>
      <c r="AE140">
        <v>7</v>
      </c>
      <c r="AF140" t="s">
        <v>27</v>
      </c>
      <c r="AG140" t="s">
        <v>26</v>
      </c>
      <c r="AH140" t="s">
        <v>186</v>
      </c>
      <c r="AI140" t="str">
        <f t="shared" si="10"/>
        <v>NO</v>
      </c>
      <c r="AJ140" t="str">
        <f t="shared" si="11"/>
        <v>LABORATORIOS LEGRAND</v>
      </c>
      <c r="AK140" t="str">
        <f>IF(ISNUMBER(SEARCH("FABRICANTE",AC140)),"FABRICANTE",IF(ISNUMBER(SEARCH("IMPORTADOR",AC140)),"IMPORTADOR","OTRO"))</f>
        <v>FABRICANTE</v>
      </c>
      <c r="AL140" t="str">
        <f>IF(LEFT(Y140,1)="A","Sistema digestivo",IF(LEFT(Y140,1)="B","Sangre",IF(LEFT(Y140,1)="C","Cardiovascular",IF(LEFT(Y140,1)="D","Dermatológico",IF(LEFT(Y140,1)="G","Genitourinario",IF(LEFT(Y140,1)="H","Hormonal",IF(LEFT(Y140,1)="J","Antiinfecciosos",IF(LEFT(Y140,1)="L","Oncológicos",IF(LEFT(Y140,1)="M","Musculoesquelético",IF(LEFT(Y140,1)="N","Sistema nervioso",IF(LEFT(Y140,1)="R","Respiratorio",IF(LEFT(Y140,1)="S","Oftálmico",IF(LEFT(Y140,1)="V","Varios","OTRO")))))))))))))</f>
        <v>Cardiovascular</v>
      </c>
      <c r="AM140" t="str">
        <f>IF(AG140="Vigente","ACTIVO",IF(ISNUMBER(SEARCH("Inactivo",J140)),"INACTIVO","REVISAR"))</f>
        <v>ACTIVO</v>
      </c>
      <c r="AN140" t="str">
        <f ca="1">IF(OR(AF140="",AF140="null"),"",ROUND((AF140-TODAY())/365.25,2))</f>
        <v/>
      </c>
      <c r="AO140" t="str">
        <f ca="1">IF(AND(AG140="Vigente",OR(AF140="",AF140="null",AF140&gt;TODAY())),"SI",IF(AND(NOT(OR(AF140="",AF140="null")),AF140&lt;=TODAY()),"NO",IF(AG140="Vigente","SI","DESCONOCIDO")))</f>
        <v>SI</v>
      </c>
      <c r="AP140" t="str">
        <f>IF(AND(ISNUMBER(SEARCH("IMPORTAR",AA140)),ISNUMBER(SEARCH("FABRICAR",AA140))),"MIXTO",IF(ISNUMBER(SEARCH("IMPORTAR",AA140)),"IMPORTADO",IF(ISNUMBER(SEARCH("FABRICAR",AA140)),"LOCAL","OTRO")))</f>
        <v>LOCAL</v>
      </c>
      <c r="AQ140" t="str">
        <f>IF(AD140="Si","SI",IF(AD140="No","NO",""))</f>
        <v>NO</v>
      </c>
      <c r="AR140" t="str">
        <f>IF(ISNUMBER(SEARCH("®",N140)),"MARCA/INNOVADOR","GENERICO")</f>
        <v>MARCA/INNOVADOR</v>
      </c>
      <c r="AS140">
        <f ca="1">IF(AE140&gt;100,RANDBETWEEN(500,5000),IF(AND(AE140&gt;=10,AE140&lt;=100),RANDBETWEEN(100,1000),RANDBETWEEN(10,200)))</f>
        <v>28</v>
      </c>
      <c r="AT140">
        <f t="shared" ca="1" si="12"/>
        <v>6</v>
      </c>
      <c r="AU140">
        <f ca="1">INT(AS140*RANDBETWEEN(120,200)/100)</f>
        <v>42</v>
      </c>
      <c r="AV140" s="2">
        <f ca="1">IF(LEFT(Y140,1)="L",RANDBETWEEN(500000,5000000),IF(LEFT(Y140,1)="C",RANDBETWEEN(5000,50000),IF(LEFT(Y140,1)="N",RANDBETWEEN(10000,150000),IF(LEFT(Y140,1)="J",RANDBETWEEN(8000,200000),RANDBETWEEN(5000,100000)))))</f>
        <v>30505</v>
      </c>
      <c r="AW140" s="2">
        <f ca="1">INT(AV140*RANDBETWEEN(30,60)/100)</f>
        <v>13422</v>
      </c>
      <c r="AX140">
        <f ca="1">IF(Z140="ORAL",RANDBETWEEN(1000,10000),IF(OR(Z140="INTRAVENOSA",Z140="INTRAMUSCULAR"),RANDBETWEEN(100,2000),IF(OR(Z140="OFTÁLMICA",Z140="TOPICA (EXTERNA)"),RANDBETWEEN(200,3000),RANDBETWEEN(100,1500))))</f>
        <v>5361</v>
      </c>
      <c r="AY140" s="2">
        <f ca="1">INT(AV140*RANDBETWEEN(90,130)/100)</f>
        <v>35690</v>
      </c>
      <c r="AZ140" t="str">
        <f t="shared" ca="1" si="13"/>
        <v>14.9%</v>
      </c>
      <c r="BA140" t="str">
        <f t="shared" ca="1" si="14"/>
        <v>BAJO</v>
      </c>
    </row>
    <row r="141" spans="4:53" x14ac:dyDescent="0.35">
      <c r="D141" t="s">
        <v>1240</v>
      </c>
      <c r="E141" s="1">
        <v>41989</v>
      </c>
      <c r="F141" t="s">
        <v>1241</v>
      </c>
      <c r="G141" t="s">
        <v>247</v>
      </c>
      <c r="H141" t="s">
        <v>1242</v>
      </c>
      <c r="I141">
        <v>20070410</v>
      </c>
      <c r="J141" t="s">
        <v>110</v>
      </c>
      <c r="K141">
        <v>5</v>
      </c>
      <c r="L141" t="s">
        <v>27</v>
      </c>
      <c r="M141" t="s">
        <v>1243</v>
      </c>
      <c r="N141" t="s">
        <v>1244</v>
      </c>
      <c r="O141" t="s">
        <v>1245</v>
      </c>
      <c r="P141" t="s">
        <v>1246</v>
      </c>
      <c r="Q141" s="1">
        <v>41823</v>
      </c>
      <c r="R141" t="s">
        <v>62</v>
      </c>
      <c r="S141" s="1">
        <v>43998</v>
      </c>
      <c r="T141" t="s">
        <v>1247</v>
      </c>
      <c r="U141" t="s">
        <v>247</v>
      </c>
      <c r="V141" t="s">
        <v>1248</v>
      </c>
      <c r="W141" t="s">
        <v>1249</v>
      </c>
      <c r="X141">
        <v>20070410</v>
      </c>
      <c r="Y141" t="s">
        <v>1250</v>
      </c>
      <c r="Z141" t="s">
        <v>566</v>
      </c>
      <c r="AA141" t="s">
        <v>32</v>
      </c>
      <c r="AB141" t="s">
        <v>250</v>
      </c>
      <c r="AC141" t="s">
        <v>38</v>
      </c>
      <c r="AD141" t="s">
        <v>121</v>
      </c>
      <c r="AE141">
        <v>50</v>
      </c>
      <c r="AF141" t="s">
        <v>27</v>
      </c>
      <c r="AG141" t="s">
        <v>26</v>
      </c>
      <c r="AH141" t="s">
        <v>1248</v>
      </c>
      <c r="AI141" t="str">
        <f t="shared" si="10"/>
        <v>SI</v>
      </c>
      <c r="AJ141" t="str">
        <f t="shared" si="11"/>
        <v>ORGANON</v>
      </c>
      <c r="AK141" t="str">
        <f>IF(ISNUMBER(SEARCH("FABRICANTE",AC141)),"FABRICANTE",IF(ISNUMBER(SEARCH("IMPORTADOR",AC141)),"IMPORTADOR","OTRO"))</f>
        <v>IMPORTADOR</v>
      </c>
      <c r="AL141" t="str">
        <f>IF(LEFT(Y141,1)="A","Sistema digestivo",IF(LEFT(Y141,1)="B","Sangre",IF(LEFT(Y141,1)="C","Cardiovascular",IF(LEFT(Y141,1)="D","Dermatológico",IF(LEFT(Y141,1)="G","Genitourinario",IF(LEFT(Y141,1)="H","Hormonal",IF(LEFT(Y141,1)="J","Antiinfecciosos",IF(LEFT(Y141,1)="L","Oncológicos",IF(LEFT(Y141,1)="M","Musculoesquelético",IF(LEFT(Y141,1)="N","Sistema nervioso",IF(LEFT(Y141,1)="R","Respiratorio",IF(LEFT(Y141,1)="S","Oftálmico",IF(LEFT(Y141,1)="V","Varios","OTRO")))))))))))))</f>
        <v>Dermatológico</v>
      </c>
      <c r="AM141" t="str">
        <f>IF(AG141="Vigente","ACTIVO",IF(ISNUMBER(SEARCH("Inactivo",J141)),"INACTIVO","REVISAR"))</f>
        <v>ACTIVO</v>
      </c>
      <c r="AN141" t="str">
        <f ca="1">IF(OR(AF141="",AF141="null"),"",ROUND((AF141-TODAY())/365.25,2))</f>
        <v/>
      </c>
      <c r="AO141" t="str">
        <f ca="1">IF(AND(AG141="Vigente",OR(AF141="",AF141="null",AF141&gt;TODAY())),"SI",IF(AND(NOT(OR(AF141="",AF141="null")),AF141&lt;=TODAY()),"NO",IF(AG141="Vigente","SI","DESCONOCIDO")))</f>
        <v>SI</v>
      </c>
      <c r="AP141" t="str">
        <f>IF(AND(ISNUMBER(SEARCH("IMPORTAR",AA141)),ISNUMBER(SEARCH("FABRICAR",AA141))),"MIXTO",IF(ISNUMBER(SEARCH("IMPORTAR",AA141)),"IMPORTADO",IF(ISNUMBER(SEARCH("FABRICAR",AA141)),"LOCAL","OTRO")))</f>
        <v>IMPORTADO</v>
      </c>
      <c r="AQ141" t="str">
        <f>IF(AD141="Si","SI",IF(AD141="No","NO",""))</f>
        <v>NO</v>
      </c>
      <c r="AR141" t="str">
        <f>IF(ISNUMBER(SEARCH("®",N141)),"MARCA/INNOVADOR","GENERICO")</f>
        <v>MARCA/INNOVADOR</v>
      </c>
      <c r="AS141">
        <f ca="1">IF(AE141&gt;100,RANDBETWEEN(500,5000),IF(AND(AE141&gt;=10,AE141&lt;=100),RANDBETWEEN(100,1000),RANDBETWEEN(10,200)))</f>
        <v>746</v>
      </c>
      <c r="AT141">
        <f t="shared" ca="1" si="12"/>
        <v>171</v>
      </c>
      <c r="AU141">
        <f ca="1">INT(AS141*RANDBETWEEN(120,200)/100)</f>
        <v>984</v>
      </c>
      <c r="AV141" s="2">
        <f ca="1">IF(LEFT(Y141,1)="L",RANDBETWEEN(500000,5000000),IF(LEFT(Y141,1)="C",RANDBETWEEN(5000,50000),IF(LEFT(Y141,1)="N",RANDBETWEEN(10000,150000),IF(LEFT(Y141,1)="J",RANDBETWEEN(8000,200000),RANDBETWEEN(5000,100000)))))</f>
        <v>66365</v>
      </c>
      <c r="AW141" s="2">
        <f ca="1">INT(AV141*RANDBETWEEN(30,60)/100)</f>
        <v>23227</v>
      </c>
      <c r="AX141">
        <f ca="1">IF(Z141="ORAL",RANDBETWEEN(1000,10000),IF(OR(Z141="INTRAVENOSA",Z141="INTRAMUSCULAR"),RANDBETWEEN(100,2000),IF(OR(Z141="OFTÁLMICA",Z141="TOPICA (EXTERNA)"),RANDBETWEEN(200,3000),RANDBETWEEN(100,1500))))</f>
        <v>940</v>
      </c>
      <c r="AY141" s="2">
        <f ca="1">INT(AV141*RANDBETWEEN(90,130)/100)</f>
        <v>69683</v>
      </c>
      <c r="AZ141" t="str">
        <f t="shared" ca="1" si="13"/>
        <v>8.8%</v>
      </c>
      <c r="BA141" t="str">
        <f t="shared" ca="1" si="14"/>
        <v>ALTO</v>
      </c>
    </row>
    <row r="142" spans="4:53" x14ac:dyDescent="0.35">
      <c r="D142" t="s">
        <v>1251</v>
      </c>
      <c r="E142" s="1">
        <v>42451</v>
      </c>
      <c r="F142" t="s">
        <v>966</v>
      </c>
      <c r="G142" t="s">
        <v>108</v>
      </c>
      <c r="H142" t="s">
        <v>1252</v>
      </c>
      <c r="I142">
        <v>20097708</v>
      </c>
      <c r="J142" t="s">
        <v>110</v>
      </c>
      <c r="K142">
        <v>9</v>
      </c>
      <c r="L142" t="s">
        <v>27</v>
      </c>
      <c r="M142" t="s">
        <v>1253</v>
      </c>
      <c r="N142" t="s">
        <v>1254</v>
      </c>
      <c r="O142" t="s">
        <v>1255</v>
      </c>
      <c r="P142" t="s">
        <v>527</v>
      </c>
      <c r="Q142" s="1">
        <v>42314</v>
      </c>
      <c r="R142" t="s">
        <v>527</v>
      </c>
      <c r="S142" s="1">
        <v>42444</v>
      </c>
      <c r="T142" t="s">
        <v>1256</v>
      </c>
      <c r="U142" t="s">
        <v>115</v>
      </c>
      <c r="V142" t="s">
        <v>162</v>
      </c>
      <c r="W142">
        <v>10</v>
      </c>
      <c r="X142">
        <v>20097708</v>
      </c>
      <c r="Y142" t="s">
        <v>164</v>
      </c>
      <c r="Z142" t="s">
        <v>119</v>
      </c>
      <c r="AA142" t="s">
        <v>848</v>
      </c>
      <c r="AB142" t="s">
        <v>120</v>
      </c>
      <c r="AC142" t="s">
        <v>25</v>
      </c>
      <c r="AD142" t="s">
        <v>121</v>
      </c>
      <c r="AE142">
        <v>16</v>
      </c>
      <c r="AF142" t="s">
        <v>27</v>
      </c>
      <c r="AG142" t="s">
        <v>26</v>
      </c>
      <c r="AH142" t="s">
        <v>966</v>
      </c>
      <c r="AI142" t="str">
        <f t="shared" si="10"/>
        <v>NO</v>
      </c>
      <c r="AJ142" t="str">
        <f t="shared" si="11"/>
        <v>GENOMMA LAB COLOMBIA</v>
      </c>
      <c r="AK142" t="str">
        <f>IF(ISNUMBER(SEARCH("FABRICANTE",AC142)),"FABRICANTE",IF(ISNUMBER(SEARCH("IMPORTADOR",AC142)),"IMPORTADOR","OTRO"))</f>
        <v>FABRICANTE</v>
      </c>
      <c r="AL142" t="str">
        <f>IF(LEFT(Y142,1)="A","Sistema digestivo",IF(LEFT(Y142,1)="B","Sangre",IF(LEFT(Y142,1)="C","Cardiovascular",IF(LEFT(Y142,1)="D","Dermatológico",IF(LEFT(Y142,1)="G","Genitourinario",IF(LEFT(Y142,1)="H","Hormonal",IF(LEFT(Y142,1)="J","Antiinfecciosos",IF(LEFT(Y142,1)="L","Oncológicos",IF(LEFT(Y142,1)="M","Musculoesquelético",IF(LEFT(Y142,1)="N","Sistema nervioso",IF(LEFT(Y142,1)="R","Respiratorio",IF(LEFT(Y142,1)="S","Oftálmico",IF(LEFT(Y142,1)="V","Varios","OTRO")))))))))))))</f>
        <v>Musculoesquelético</v>
      </c>
      <c r="AM142" t="str">
        <f>IF(AG142="Vigente","ACTIVO",IF(ISNUMBER(SEARCH("Inactivo",J142)),"INACTIVO","REVISAR"))</f>
        <v>ACTIVO</v>
      </c>
      <c r="AN142" t="str">
        <f ca="1">IF(OR(AF142="",AF142="null"),"",ROUND((AF142-TODAY())/365.25,2))</f>
        <v/>
      </c>
      <c r="AO142" t="str">
        <f ca="1">IF(AND(AG142="Vigente",OR(AF142="",AF142="null",AF142&gt;TODAY())),"SI",IF(AND(NOT(OR(AF142="",AF142="null")),AF142&lt;=TODAY()),"NO",IF(AG142="Vigente","SI","DESCONOCIDO")))</f>
        <v>SI</v>
      </c>
      <c r="AP142" t="str">
        <f>IF(AND(ISNUMBER(SEARCH("IMPORTAR",AA142)),ISNUMBER(SEARCH("FABRICAR",AA142))),"MIXTO",IF(ISNUMBER(SEARCH("IMPORTAR",AA142)),"IMPORTADO",IF(ISNUMBER(SEARCH("FABRICAR",AA142)),"LOCAL","OTRO")))</f>
        <v>IMPORTADO</v>
      </c>
      <c r="AQ142" t="str">
        <f>IF(AD142="Si","SI",IF(AD142="No","NO",""))</f>
        <v>NO</v>
      </c>
      <c r="AR142" t="str">
        <f>IF(ISNUMBER(SEARCH("®",N142)),"MARCA/INNOVADOR","GENERICO")</f>
        <v>MARCA/INNOVADOR</v>
      </c>
      <c r="AS142">
        <f ca="1">IF(AE142&gt;100,RANDBETWEEN(500,5000),IF(AND(AE142&gt;=10,AE142&lt;=100),RANDBETWEEN(100,1000),RANDBETWEEN(10,200)))</f>
        <v>891</v>
      </c>
      <c r="AT142">
        <f t="shared" ca="1" si="12"/>
        <v>249</v>
      </c>
      <c r="AU142">
        <f ca="1">INT(AS142*RANDBETWEEN(120,200)/100)</f>
        <v>1764</v>
      </c>
      <c r="AV142" s="2">
        <f ca="1">IF(LEFT(Y142,1)="L",RANDBETWEEN(500000,5000000),IF(LEFT(Y142,1)="C",RANDBETWEEN(5000,50000),IF(LEFT(Y142,1)="N",RANDBETWEEN(10000,150000),IF(LEFT(Y142,1)="J",RANDBETWEEN(8000,200000),RANDBETWEEN(5000,100000)))))</f>
        <v>88452</v>
      </c>
      <c r="AW142" s="2">
        <f ca="1">INT(AV142*RANDBETWEEN(30,60)/100)</f>
        <v>36265</v>
      </c>
      <c r="AX142">
        <f ca="1">IF(Z142="ORAL",RANDBETWEEN(1000,10000),IF(OR(Z142="INTRAVENOSA",Z142="INTRAMUSCULAR"),RANDBETWEEN(100,2000),IF(OR(Z142="OFTÁLMICA",Z142="TOPICA (EXTERNA)"),RANDBETWEEN(200,3000),RANDBETWEEN(100,1500))))</f>
        <v>4389</v>
      </c>
      <c r="AY142" s="2">
        <f ca="1">INT(AV142*RANDBETWEEN(90,130)/100)</f>
        <v>100835</v>
      </c>
      <c r="AZ142" t="str">
        <f t="shared" ca="1" si="13"/>
        <v>7.8%</v>
      </c>
      <c r="BA142" t="str">
        <f t="shared" ca="1" si="14"/>
        <v>ALTO</v>
      </c>
    </row>
    <row r="143" spans="4:53" x14ac:dyDescent="0.35">
      <c r="D143" t="s">
        <v>1257</v>
      </c>
      <c r="E143" s="1">
        <v>37573</v>
      </c>
      <c r="F143" t="s">
        <v>1258</v>
      </c>
      <c r="G143" t="s">
        <v>108</v>
      </c>
      <c r="H143" t="s">
        <v>1259</v>
      </c>
      <c r="I143">
        <v>19933064</v>
      </c>
      <c r="J143" t="s">
        <v>28</v>
      </c>
      <c r="K143">
        <v>12</v>
      </c>
      <c r="L143" t="s">
        <v>27</v>
      </c>
      <c r="M143" t="s">
        <v>1260</v>
      </c>
      <c r="N143" t="s">
        <v>1261</v>
      </c>
      <c r="O143" t="s">
        <v>1262</v>
      </c>
      <c r="P143" t="s">
        <v>1263</v>
      </c>
      <c r="Q143" s="1">
        <v>41519</v>
      </c>
      <c r="R143" t="s">
        <v>50</v>
      </c>
      <c r="S143" t="s">
        <v>27</v>
      </c>
      <c r="T143" t="s">
        <v>928</v>
      </c>
      <c r="U143" t="s">
        <v>115</v>
      </c>
      <c r="V143" t="s">
        <v>1264</v>
      </c>
      <c r="W143">
        <v>10</v>
      </c>
      <c r="X143">
        <v>19933064</v>
      </c>
      <c r="Y143" t="s">
        <v>1265</v>
      </c>
      <c r="Z143" t="s">
        <v>132</v>
      </c>
      <c r="AA143" t="s">
        <v>24</v>
      </c>
      <c r="AB143" t="s">
        <v>120</v>
      </c>
      <c r="AC143" t="s">
        <v>25</v>
      </c>
      <c r="AD143" t="s">
        <v>121</v>
      </c>
      <c r="AE143">
        <v>1000</v>
      </c>
      <c r="AF143" t="s">
        <v>27</v>
      </c>
      <c r="AG143" t="s">
        <v>26</v>
      </c>
      <c r="AH143" t="s">
        <v>6625</v>
      </c>
      <c r="AI143" t="str">
        <f t="shared" si="10"/>
        <v>NO</v>
      </c>
      <c r="AJ143" t="str">
        <f t="shared" si="11"/>
        <v>LABORATORIOS ECAR</v>
      </c>
      <c r="AK143" t="str">
        <f>IF(ISNUMBER(SEARCH("FABRICANTE",AC143)),"FABRICANTE",IF(ISNUMBER(SEARCH("IMPORTADOR",AC143)),"IMPORTADOR","OTRO"))</f>
        <v>FABRICANTE</v>
      </c>
      <c r="AL143" t="str">
        <f>IF(LEFT(Y143,1)="A","Sistema digestivo",IF(LEFT(Y143,1)="B","Sangre",IF(LEFT(Y143,1)="C","Cardiovascular",IF(LEFT(Y143,1)="D","Dermatológico",IF(LEFT(Y143,1)="G","Genitourinario",IF(LEFT(Y143,1)="H","Hormonal",IF(LEFT(Y143,1)="J","Antiinfecciosos",IF(LEFT(Y143,1)="L","Oncológicos",IF(LEFT(Y143,1)="M","Musculoesquelético",IF(LEFT(Y143,1)="N","Sistema nervioso",IF(LEFT(Y143,1)="R","Respiratorio",IF(LEFT(Y143,1)="S","Oftálmico",IF(LEFT(Y143,1)="V","Varios","OTRO")))))))))))))</f>
        <v>Sangre</v>
      </c>
      <c r="AM143" t="str">
        <f>IF(AG143="Vigente","ACTIVO",IF(ISNUMBER(SEARCH("Inactivo",J143)),"INACTIVO","REVISAR"))</f>
        <v>ACTIVO</v>
      </c>
      <c r="AN143" t="str">
        <f ca="1">IF(OR(AF143="",AF143="null"),"",ROUND((AF143-TODAY())/365.25,2))</f>
        <v/>
      </c>
      <c r="AO143" t="str">
        <f ca="1">IF(AND(AG143="Vigente",OR(AF143="",AF143="null",AF143&gt;TODAY())),"SI",IF(AND(NOT(OR(AF143="",AF143="null")),AF143&lt;=TODAY()),"NO",IF(AG143="Vigente","SI","DESCONOCIDO")))</f>
        <v>SI</v>
      </c>
      <c r="AP143" t="str">
        <f>IF(AND(ISNUMBER(SEARCH("IMPORTAR",AA143)),ISNUMBER(SEARCH("FABRICAR",AA143))),"MIXTO",IF(ISNUMBER(SEARCH("IMPORTAR",AA143)),"IMPORTADO",IF(ISNUMBER(SEARCH("FABRICAR",AA143)),"LOCAL","OTRO")))</f>
        <v>LOCAL</v>
      </c>
      <c r="AQ143" t="str">
        <f>IF(AD143="Si","SI",IF(AD143="No","NO",""))</f>
        <v>NO</v>
      </c>
      <c r="AR143" t="str">
        <f>IF(ISNUMBER(SEARCH("®",N143)),"MARCA/INNOVADOR","GENERICO")</f>
        <v>GENERICO</v>
      </c>
      <c r="AS143">
        <f ca="1">IF(AE143&gt;100,RANDBETWEEN(500,5000),IF(AND(AE143&gt;=10,AE143&lt;=100),RANDBETWEEN(100,1000),RANDBETWEEN(10,200)))</f>
        <v>1744</v>
      </c>
      <c r="AT143">
        <f t="shared" ca="1" si="12"/>
        <v>331</v>
      </c>
      <c r="AU143">
        <f ca="1">INT(AS143*RANDBETWEEN(120,200)/100)</f>
        <v>2424</v>
      </c>
      <c r="AV143" s="2">
        <f ca="1">IF(LEFT(Y143,1)="L",RANDBETWEEN(500000,5000000),IF(LEFT(Y143,1)="C",RANDBETWEEN(5000,50000),IF(LEFT(Y143,1)="N",RANDBETWEEN(10000,150000),IF(LEFT(Y143,1)="J",RANDBETWEEN(8000,200000),RANDBETWEEN(5000,100000)))))</f>
        <v>44608</v>
      </c>
      <c r="AW143" s="2">
        <f ca="1">INT(AV143*RANDBETWEEN(30,60)/100)</f>
        <v>15612</v>
      </c>
      <c r="AX143">
        <f ca="1">IF(Z143="ORAL",RANDBETWEEN(1000,10000),IF(OR(Z143="INTRAVENOSA",Z143="INTRAMUSCULAR"),RANDBETWEEN(100,2000),IF(OR(Z143="OFTÁLMICA",Z143="TOPICA (EXTERNA)"),RANDBETWEEN(200,3000),RANDBETWEEN(100,1500))))</f>
        <v>1098</v>
      </c>
      <c r="AY143" s="2">
        <f ca="1">INT(AV143*RANDBETWEEN(90,130)/100)</f>
        <v>42377</v>
      </c>
      <c r="AZ143" t="str">
        <f t="shared" ca="1" si="13"/>
        <v>10%</v>
      </c>
      <c r="BA143" t="str">
        <f t="shared" ca="1" si="14"/>
        <v>BAJO</v>
      </c>
    </row>
    <row r="144" spans="4:53" x14ac:dyDescent="0.35">
      <c r="D144" t="s">
        <v>1266</v>
      </c>
      <c r="E144" s="1">
        <v>36013</v>
      </c>
      <c r="F144" t="s">
        <v>1267</v>
      </c>
      <c r="G144" t="s">
        <v>108</v>
      </c>
      <c r="H144" t="s">
        <v>736</v>
      </c>
      <c r="I144">
        <v>209154</v>
      </c>
      <c r="J144" t="s">
        <v>110</v>
      </c>
      <c r="K144">
        <v>8</v>
      </c>
      <c r="L144" t="s">
        <v>27</v>
      </c>
      <c r="M144" t="s">
        <v>1268</v>
      </c>
      <c r="N144" t="s">
        <v>1269</v>
      </c>
      <c r="O144" t="s">
        <v>1270</v>
      </c>
      <c r="P144" t="s">
        <v>1271</v>
      </c>
      <c r="Q144" s="1">
        <v>39675</v>
      </c>
      <c r="R144" t="s">
        <v>200</v>
      </c>
      <c r="S144" s="1">
        <v>43760</v>
      </c>
      <c r="T144" t="s">
        <v>736</v>
      </c>
      <c r="U144" t="s">
        <v>115</v>
      </c>
      <c r="V144" t="s">
        <v>1272</v>
      </c>
      <c r="W144">
        <v>100</v>
      </c>
      <c r="X144">
        <v>209154</v>
      </c>
      <c r="Y144" t="s">
        <v>1273</v>
      </c>
      <c r="Z144" t="s">
        <v>119</v>
      </c>
      <c r="AA144" t="s">
        <v>32</v>
      </c>
      <c r="AB144" t="s">
        <v>120</v>
      </c>
      <c r="AC144" t="s">
        <v>38</v>
      </c>
      <c r="AD144" t="s">
        <v>155</v>
      </c>
      <c r="AE144">
        <v>1</v>
      </c>
      <c r="AF144" t="s">
        <v>27</v>
      </c>
      <c r="AG144" t="s">
        <v>26</v>
      </c>
      <c r="AH144" t="s">
        <v>6748</v>
      </c>
      <c r="AI144" t="str">
        <f t="shared" si="10"/>
        <v>NO</v>
      </c>
      <c r="AJ144" t="str">
        <f t="shared" si="11"/>
        <v>LABORATORIO FRANCO COLOMBIANO LAFRANCOL</v>
      </c>
      <c r="AK144" t="str">
        <f>IF(ISNUMBER(SEARCH("FABRICANTE",AC144)),"FABRICANTE",IF(ISNUMBER(SEARCH("IMPORTADOR",AC144)),"IMPORTADOR","OTRO"))</f>
        <v>IMPORTADOR</v>
      </c>
      <c r="AL144" t="str">
        <f>IF(LEFT(Y144,1)="A","Sistema digestivo",IF(LEFT(Y144,1)="B","Sangre",IF(LEFT(Y144,1)="C","Cardiovascular",IF(LEFT(Y144,1)="D","Dermatológico",IF(LEFT(Y144,1)="G","Genitourinario",IF(LEFT(Y144,1)="H","Hormonal",IF(LEFT(Y144,1)="J","Antiinfecciosos",IF(LEFT(Y144,1)="L","Oncológicos",IF(LEFT(Y144,1)="M","Musculoesquelético",IF(LEFT(Y144,1)="N","Sistema nervioso",IF(LEFT(Y144,1)="R","Respiratorio",IF(LEFT(Y144,1)="S","Oftálmico",IF(LEFT(Y144,1)="V","Varios","OTRO")))))))))))))</f>
        <v>Sistema digestivo</v>
      </c>
      <c r="AM144" t="str">
        <f>IF(AG144="Vigente","ACTIVO",IF(ISNUMBER(SEARCH("Inactivo",J144)),"INACTIVO","REVISAR"))</f>
        <v>ACTIVO</v>
      </c>
      <c r="AN144" t="str">
        <f ca="1">IF(OR(AF144="",AF144="null"),"",ROUND((AF144-TODAY())/365.25,2))</f>
        <v/>
      </c>
      <c r="AO144" t="str">
        <f ca="1">IF(AND(AG144="Vigente",OR(AF144="",AF144="null",AF144&gt;TODAY())),"SI",IF(AND(NOT(OR(AF144="",AF144="null")),AF144&lt;=TODAY()),"NO",IF(AG144="Vigente","SI","DESCONOCIDO")))</f>
        <v>SI</v>
      </c>
      <c r="AP144" t="str">
        <f>IF(AND(ISNUMBER(SEARCH("IMPORTAR",AA144)),ISNUMBER(SEARCH("FABRICAR",AA144))),"MIXTO",IF(ISNUMBER(SEARCH("IMPORTAR",AA144)),"IMPORTADO",IF(ISNUMBER(SEARCH("FABRICAR",AA144)),"LOCAL","OTRO")))</f>
        <v>IMPORTADO</v>
      </c>
      <c r="AQ144" t="str">
        <f>IF(AD144="Si","SI",IF(AD144="No","NO",""))</f>
        <v>SI</v>
      </c>
      <c r="AR144" t="str">
        <f>IF(ISNUMBER(SEARCH("®",N144)),"MARCA/INNOVADOR","GENERICO")</f>
        <v>MARCA/INNOVADOR</v>
      </c>
      <c r="AS144">
        <f ca="1">IF(AE144&gt;100,RANDBETWEEN(500,5000),IF(AND(AE144&gt;=10,AE144&lt;=100),RANDBETWEEN(100,1000),RANDBETWEEN(10,200)))</f>
        <v>160</v>
      </c>
      <c r="AT144">
        <f t="shared" ca="1" si="12"/>
        <v>43</v>
      </c>
      <c r="AU144">
        <f ca="1">INT(AS144*RANDBETWEEN(120,200)/100)</f>
        <v>248</v>
      </c>
      <c r="AV144" s="2">
        <f ca="1">IF(LEFT(Y144,1)="L",RANDBETWEEN(500000,5000000),IF(LEFT(Y144,1)="C",RANDBETWEEN(5000,50000),IF(LEFT(Y144,1)="N",RANDBETWEEN(10000,150000),IF(LEFT(Y144,1)="J",RANDBETWEEN(8000,200000),RANDBETWEEN(5000,100000)))))</f>
        <v>92442</v>
      </c>
      <c r="AW144" s="2">
        <f ca="1">INT(AV144*RANDBETWEEN(30,60)/100)</f>
        <v>37901</v>
      </c>
      <c r="AX144">
        <f ca="1">IF(Z144="ORAL",RANDBETWEEN(1000,10000),IF(OR(Z144="INTRAVENOSA",Z144="INTRAMUSCULAR"),RANDBETWEEN(100,2000),IF(OR(Z144="OFTÁLMICA",Z144="TOPICA (EXTERNA)"),RANDBETWEEN(200,3000),RANDBETWEEN(100,1500))))</f>
        <v>1042</v>
      </c>
      <c r="AY144" s="2">
        <f ca="1">INT(AV144*RANDBETWEEN(90,130)/100)</f>
        <v>112779</v>
      </c>
      <c r="AZ144" t="str">
        <f t="shared" ca="1" si="13"/>
        <v>10.1%</v>
      </c>
      <c r="BA144" t="str">
        <f t="shared" ca="1" si="14"/>
        <v>ALTO</v>
      </c>
    </row>
    <row r="145" spans="4:53" x14ac:dyDescent="0.35">
      <c r="D145" t="s">
        <v>1274</v>
      </c>
      <c r="E145" s="1">
        <v>40456</v>
      </c>
      <c r="F145" t="s">
        <v>1275</v>
      </c>
      <c r="G145" t="s">
        <v>108</v>
      </c>
      <c r="H145" t="s">
        <v>316</v>
      </c>
      <c r="I145">
        <v>20020095</v>
      </c>
      <c r="J145" t="s">
        <v>28</v>
      </c>
      <c r="K145">
        <v>9</v>
      </c>
      <c r="L145" t="s">
        <v>27</v>
      </c>
      <c r="M145" t="s">
        <v>1276</v>
      </c>
      <c r="N145" t="s">
        <v>1277</v>
      </c>
      <c r="O145" t="s">
        <v>1278</v>
      </c>
      <c r="P145" t="s">
        <v>33</v>
      </c>
      <c r="Q145" s="1">
        <v>45370</v>
      </c>
      <c r="R145" t="s">
        <v>33</v>
      </c>
      <c r="S145" t="s">
        <v>27</v>
      </c>
      <c r="T145" t="s">
        <v>1279</v>
      </c>
      <c r="U145" t="s">
        <v>115</v>
      </c>
      <c r="V145" t="s">
        <v>773</v>
      </c>
      <c r="W145">
        <v>500</v>
      </c>
      <c r="X145">
        <v>20020095</v>
      </c>
      <c r="Y145" t="s">
        <v>774</v>
      </c>
      <c r="Z145" t="s">
        <v>119</v>
      </c>
      <c r="AA145" t="s">
        <v>165</v>
      </c>
      <c r="AB145" t="s">
        <v>120</v>
      </c>
      <c r="AC145" t="s">
        <v>25</v>
      </c>
      <c r="AD145" t="s">
        <v>155</v>
      </c>
      <c r="AE145">
        <v>10</v>
      </c>
      <c r="AF145" s="1">
        <v>401769</v>
      </c>
      <c r="AG145" t="s">
        <v>26</v>
      </c>
      <c r="AH145" t="s">
        <v>6749</v>
      </c>
      <c r="AI145" t="str">
        <f t="shared" si="10"/>
        <v>SI</v>
      </c>
      <c r="AJ145" t="str">
        <f t="shared" si="11"/>
        <v>LABORATORIOS LA SANTE</v>
      </c>
      <c r="AK145" t="str">
        <f>IF(ISNUMBER(SEARCH("FABRICANTE",AC145)),"FABRICANTE",IF(ISNUMBER(SEARCH("IMPORTADOR",AC145)),"IMPORTADOR","OTRO"))</f>
        <v>FABRICANTE</v>
      </c>
      <c r="AL145" t="str">
        <f>IF(LEFT(Y145,1)="A","Sistema digestivo",IF(LEFT(Y145,1)="B","Sangre",IF(LEFT(Y145,1)="C","Cardiovascular",IF(LEFT(Y145,1)="D","Dermatológico",IF(LEFT(Y145,1)="G","Genitourinario",IF(LEFT(Y145,1)="H","Hormonal",IF(LEFT(Y145,1)="J","Antiinfecciosos",IF(LEFT(Y145,1)="L","Oncológicos",IF(LEFT(Y145,1)="M","Musculoesquelético",IF(LEFT(Y145,1)="N","Sistema nervioso",IF(LEFT(Y145,1)="R","Respiratorio",IF(LEFT(Y145,1)="S","Oftálmico",IF(LEFT(Y145,1)="V","Varios","OTRO")))))))))))))</f>
        <v>Antiinfecciosos</v>
      </c>
      <c r="AM145" t="str">
        <f>IF(AG145="Vigente","ACTIVO",IF(ISNUMBER(SEARCH("Inactivo",J145)),"INACTIVO","REVISAR"))</f>
        <v>ACTIVO</v>
      </c>
      <c r="AN145">
        <f ca="1">IF(OR(AF145="",AF145="null"),"",ROUND((AF145-TODAY())/365.25,2))</f>
        <v>973.58</v>
      </c>
      <c r="AO145" t="str">
        <f ca="1">IF(AND(AG145="Vigente",OR(AF145="",AF145="null",AF145&gt;TODAY())),"SI",IF(AND(NOT(OR(AF145="",AF145="null")),AF145&lt;=TODAY()),"NO",IF(AG145="Vigente","SI","DESCONOCIDO")))</f>
        <v>SI</v>
      </c>
      <c r="AP145" t="str">
        <f>IF(AND(ISNUMBER(SEARCH("IMPORTAR",AA145)),ISNUMBER(SEARCH("FABRICAR",AA145))),"MIXTO",IF(ISNUMBER(SEARCH("IMPORTAR",AA145)),"IMPORTADO",IF(ISNUMBER(SEARCH("FABRICAR",AA145)),"LOCAL","OTRO")))</f>
        <v>IMPORTADO</v>
      </c>
      <c r="AQ145" t="str">
        <f>IF(AD145="Si","SI",IF(AD145="No","NO",""))</f>
        <v>SI</v>
      </c>
      <c r="AR145" t="str">
        <f>IF(ISNUMBER(SEARCH("®",N145)),"MARCA/INNOVADOR","GENERICO")</f>
        <v>GENERICO</v>
      </c>
      <c r="AS145">
        <f ca="1">IF(AE145&gt;100,RANDBETWEEN(500,5000),IF(AND(AE145&gt;=10,AE145&lt;=100),RANDBETWEEN(100,1000),RANDBETWEEN(10,200)))</f>
        <v>472</v>
      </c>
      <c r="AT145">
        <f t="shared" ca="1" si="12"/>
        <v>99</v>
      </c>
      <c r="AU145">
        <f ca="1">INT(AS145*RANDBETWEEN(120,200)/100)</f>
        <v>637</v>
      </c>
      <c r="AV145" s="2">
        <f ca="1">IF(LEFT(Y145,1)="L",RANDBETWEEN(500000,5000000),IF(LEFT(Y145,1)="C",RANDBETWEEN(5000,50000),IF(LEFT(Y145,1)="N",RANDBETWEEN(10000,150000),IF(LEFT(Y145,1)="J",RANDBETWEEN(8000,200000),RANDBETWEEN(5000,100000)))))</f>
        <v>192453</v>
      </c>
      <c r="AW145" s="2">
        <f ca="1">INT(AV145*RANDBETWEEN(30,60)/100)</f>
        <v>100075</v>
      </c>
      <c r="AX145">
        <f ca="1">IF(Z145="ORAL",RANDBETWEEN(1000,10000),IF(OR(Z145="INTRAVENOSA",Z145="INTRAMUSCULAR"),RANDBETWEEN(100,2000),IF(OR(Z145="OFTÁLMICA",Z145="TOPICA (EXTERNA)"),RANDBETWEEN(200,3000),RANDBETWEEN(100,1500))))</f>
        <v>8116</v>
      </c>
      <c r="AY145" s="2">
        <f ca="1">INT(AV145*RANDBETWEEN(90,130)/100)</f>
        <v>211698</v>
      </c>
      <c r="AZ145" t="str">
        <f t="shared" ca="1" si="13"/>
        <v>18.6%</v>
      </c>
      <c r="BA145" t="str">
        <f t="shared" ca="1" si="14"/>
        <v>BAJO</v>
      </c>
    </row>
    <row r="146" spans="4:53" x14ac:dyDescent="0.35">
      <c r="D146" t="s">
        <v>1280</v>
      </c>
      <c r="E146" s="1">
        <v>40501</v>
      </c>
      <c r="F146" t="s">
        <v>294</v>
      </c>
      <c r="G146" t="s">
        <v>108</v>
      </c>
      <c r="H146" t="s">
        <v>168</v>
      </c>
      <c r="I146">
        <v>20016549</v>
      </c>
      <c r="J146" t="s">
        <v>28</v>
      </c>
      <c r="K146">
        <v>137</v>
      </c>
      <c r="L146" t="s">
        <v>27</v>
      </c>
      <c r="M146" t="s">
        <v>295</v>
      </c>
      <c r="N146" t="s">
        <v>296</v>
      </c>
      <c r="O146" t="s">
        <v>1281</v>
      </c>
      <c r="P146" t="s">
        <v>298</v>
      </c>
      <c r="Q146" s="1">
        <v>42662</v>
      </c>
      <c r="R146" t="s">
        <v>37</v>
      </c>
      <c r="S146" t="s">
        <v>27</v>
      </c>
      <c r="T146" t="s">
        <v>172</v>
      </c>
      <c r="U146" t="s">
        <v>115</v>
      </c>
      <c r="V146" t="s">
        <v>299</v>
      </c>
      <c r="W146">
        <v>250</v>
      </c>
      <c r="X146">
        <v>20016549</v>
      </c>
      <c r="Y146" t="s">
        <v>300</v>
      </c>
      <c r="Z146" t="s">
        <v>119</v>
      </c>
      <c r="AA146" t="s">
        <v>24</v>
      </c>
      <c r="AB146" t="s">
        <v>120</v>
      </c>
      <c r="AC146" t="s">
        <v>25</v>
      </c>
      <c r="AD146" t="s">
        <v>121</v>
      </c>
      <c r="AE146">
        <v>600</v>
      </c>
      <c r="AF146" t="s">
        <v>27</v>
      </c>
      <c r="AG146" t="s">
        <v>26</v>
      </c>
      <c r="AH146" t="s">
        <v>294</v>
      </c>
      <c r="AI146" t="str">
        <f t="shared" si="10"/>
        <v>NO</v>
      </c>
      <c r="AJ146" t="str">
        <f t="shared" si="11"/>
        <v>NOVAMED</v>
      </c>
      <c r="AK146" t="str">
        <f>IF(ISNUMBER(SEARCH("FABRICANTE",AC146)),"FABRICANTE",IF(ISNUMBER(SEARCH("IMPORTADOR",AC146)),"IMPORTADOR","OTRO"))</f>
        <v>FABRICANTE</v>
      </c>
      <c r="AL146" t="str">
        <f>IF(LEFT(Y146,1)="A","Sistema digestivo",IF(LEFT(Y146,1)="B","Sangre",IF(LEFT(Y146,1)="C","Cardiovascular",IF(LEFT(Y146,1)="D","Dermatológico",IF(LEFT(Y146,1)="G","Genitourinario",IF(LEFT(Y146,1)="H","Hormonal",IF(LEFT(Y146,1)="J","Antiinfecciosos",IF(LEFT(Y146,1)="L","Oncológicos",IF(LEFT(Y146,1)="M","Musculoesquelético",IF(LEFT(Y146,1)="N","Sistema nervioso",IF(LEFT(Y146,1)="R","Respiratorio",IF(LEFT(Y146,1)="S","Oftálmico",IF(LEFT(Y146,1)="V","Varios","OTRO")))))))))))))</f>
        <v>Sistema nervioso</v>
      </c>
      <c r="AM146" t="str">
        <f>IF(AG146="Vigente","ACTIVO",IF(ISNUMBER(SEARCH("Inactivo",J146)),"INACTIVO","REVISAR"))</f>
        <v>ACTIVO</v>
      </c>
      <c r="AN146" t="str">
        <f ca="1">IF(OR(AF146="",AF146="null"),"",ROUND((AF146-TODAY())/365.25,2))</f>
        <v/>
      </c>
      <c r="AO146" t="str">
        <f ca="1">IF(AND(AG146="Vigente",OR(AF146="",AF146="null",AF146&gt;TODAY())),"SI",IF(AND(NOT(OR(AF146="",AF146="null")),AF146&lt;=TODAY()),"NO",IF(AG146="Vigente","SI","DESCONOCIDO")))</f>
        <v>SI</v>
      </c>
      <c r="AP146" t="str">
        <f>IF(AND(ISNUMBER(SEARCH("IMPORTAR",AA146)),ISNUMBER(SEARCH("FABRICAR",AA146))),"MIXTO",IF(ISNUMBER(SEARCH("IMPORTAR",AA146)),"IMPORTADO",IF(ISNUMBER(SEARCH("FABRICAR",AA146)),"LOCAL","OTRO")))</f>
        <v>LOCAL</v>
      </c>
      <c r="AQ146" t="str">
        <f>IF(AD146="Si","SI",IF(AD146="No","NO",""))</f>
        <v>NO</v>
      </c>
      <c r="AR146" t="str">
        <f>IF(ISNUMBER(SEARCH("®",N146)),"MARCA/INNOVADOR","GENERICO")</f>
        <v>MARCA/INNOVADOR</v>
      </c>
      <c r="AS146">
        <f ca="1">IF(AE146&gt;100,RANDBETWEEN(500,5000),IF(AND(AE146&gt;=10,AE146&lt;=100),RANDBETWEEN(100,1000),RANDBETWEEN(10,200)))</f>
        <v>4008</v>
      </c>
      <c r="AT146">
        <f t="shared" ca="1" si="12"/>
        <v>801</v>
      </c>
      <c r="AU146">
        <f ca="1">INT(AS146*RANDBETWEEN(120,200)/100)</f>
        <v>7054</v>
      </c>
      <c r="AV146" s="2">
        <f ca="1">IF(LEFT(Y146,1)="L",RANDBETWEEN(500000,5000000),IF(LEFT(Y146,1)="C",RANDBETWEEN(5000,50000),IF(LEFT(Y146,1)="N",RANDBETWEEN(10000,150000),IF(LEFT(Y146,1)="J",RANDBETWEEN(8000,200000),RANDBETWEEN(5000,100000)))))</f>
        <v>148742</v>
      </c>
      <c r="AW146" s="2">
        <f ca="1">INT(AV146*RANDBETWEEN(30,60)/100)</f>
        <v>68421</v>
      </c>
      <c r="AX146">
        <f ca="1">IF(Z146="ORAL",RANDBETWEEN(1000,10000),IF(OR(Z146="INTRAVENOSA",Z146="INTRAMUSCULAR"),RANDBETWEEN(100,2000),IF(OR(Z146="OFTÁLMICA",Z146="TOPICA (EXTERNA)"),RANDBETWEEN(200,3000),RANDBETWEEN(100,1500))))</f>
        <v>1173</v>
      </c>
      <c r="AY146" s="2">
        <f ca="1">INT(AV146*RANDBETWEEN(90,130)/100)</f>
        <v>177002</v>
      </c>
      <c r="AZ146" t="str">
        <f t="shared" ca="1" si="13"/>
        <v>8.7%</v>
      </c>
      <c r="BA146" t="str">
        <f t="shared" ca="1" si="14"/>
        <v>BAJO</v>
      </c>
    </row>
    <row r="147" spans="4:53" x14ac:dyDescent="0.35">
      <c r="D147" t="s">
        <v>1282</v>
      </c>
      <c r="E147" s="1">
        <v>39241</v>
      </c>
      <c r="F147" t="s">
        <v>998</v>
      </c>
      <c r="G147" t="s">
        <v>247</v>
      </c>
      <c r="H147" t="s">
        <v>760</v>
      </c>
      <c r="I147">
        <v>19974254</v>
      </c>
      <c r="J147" t="s">
        <v>110</v>
      </c>
      <c r="K147">
        <v>1</v>
      </c>
      <c r="L147" t="s">
        <v>27</v>
      </c>
      <c r="M147" t="s">
        <v>761</v>
      </c>
      <c r="N147" t="s">
        <v>762</v>
      </c>
      <c r="O147" t="s">
        <v>1283</v>
      </c>
      <c r="P147" t="s">
        <v>764</v>
      </c>
      <c r="Q147" s="1">
        <v>39233</v>
      </c>
      <c r="R147" t="s">
        <v>211</v>
      </c>
      <c r="S147" s="1">
        <v>44046</v>
      </c>
      <c r="T147" t="s">
        <v>51</v>
      </c>
      <c r="U147" t="s">
        <v>247</v>
      </c>
      <c r="V147" t="s">
        <v>765</v>
      </c>
      <c r="W147">
        <v>4</v>
      </c>
      <c r="X147">
        <v>19974254</v>
      </c>
      <c r="Y147" t="s">
        <v>766</v>
      </c>
      <c r="Z147" t="s">
        <v>260</v>
      </c>
      <c r="AA147" t="s">
        <v>32</v>
      </c>
      <c r="AB147" t="s">
        <v>120</v>
      </c>
      <c r="AC147" t="s">
        <v>25</v>
      </c>
      <c r="AD147" t="s">
        <v>121</v>
      </c>
      <c r="AE147" t="s">
        <v>1284</v>
      </c>
      <c r="AF147" t="s">
        <v>27</v>
      </c>
      <c r="AG147" t="s">
        <v>26</v>
      </c>
      <c r="AH147" t="s">
        <v>6622</v>
      </c>
      <c r="AI147" t="str">
        <f t="shared" si="10"/>
        <v>SI</v>
      </c>
      <c r="AJ147" t="str">
        <f t="shared" si="11"/>
        <v>BLAU FARMACÉUTICA COLOMBIA</v>
      </c>
      <c r="AK147" t="str">
        <f>IF(ISNUMBER(SEARCH("FABRICANTE",AC147)),"FABRICANTE",IF(ISNUMBER(SEARCH("IMPORTADOR",AC147)),"IMPORTADOR","OTRO"))</f>
        <v>FABRICANTE</v>
      </c>
      <c r="AL147" t="str">
        <f>IF(LEFT(Y147,1)="A","Sistema digestivo",IF(LEFT(Y147,1)="B","Sangre",IF(LEFT(Y147,1)="C","Cardiovascular",IF(LEFT(Y147,1)="D","Dermatológico",IF(LEFT(Y147,1)="G","Genitourinario",IF(LEFT(Y147,1)="H","Hormonal",IF(LEFT(Y147,1)="J","Antiinfecciosos",IF(LEFT(Y147,1)="L","Oncológicos",IF(LEFT(Y147,1)="M","Musculoesquelético",IF(LEFT(Y147,1)="N","Sistema nervioso",IF(LEFT(Y147,1)="R","Respiratorio",IF(LEFT(Y147,1)="S","Oftálmico",IF(LEFT(Y147,1)="V","Varios","OTRO")))))))))))))</f>
        <v>Antiinfecciosos</v>
      </c>
      <c r="AM147" t="str">
        <f>IF(AG147="Vigente","ACTIVO",IF(ISNUMBER(SEARCH("Inactivo",J147)),"INACTIVO","REVISAR"))</f>
        <v>ACTIVO</v>
      </c>
      <c r="AN147" t="str">
        <f ca="1">IF(OR(AF147="",AF147="null"),"",ROUND((AF147-TODAY())/365.25,2))</f>
        <v/>
      </c>
      <c r="AO147" t="str">
        <f ca="1">IF(AND(AG147="Vigente",OR(AF147="",AF147="null",AF147&gt;TODAY())),"SI",IF(AND(NOT(OR(AF147="",AF147="null")),AF147&lt;=TODAY()),"NO",IF(AG147="Vigente","SI","DESCONOCIDO")))</f>
        <v>SI</v>
      </c>
      <c r="AP147" t="str">
        <f>IF(AND(ISNUMBER(SEARCH("IMPORTAR",AA147)),ISNUMBER(SEARCH("FABRICAR",AA147))),"MIXTO",IF(ISNUMBER(SEARCH("IMPORTAR",AA147)),"IMPORTADO",IF(ISNUMBER(SEARCH("FABRICAR",AA147)),"LOCAL","OTRO")))</f>
        <v>IMPORTADO</v>
      </c>
      <c r="AQ147" t="str">
        <f>IF(AD147="Si","SI",IF(AD147="No","NO",""))</f>
        <v>NO</v>
      </c>
      <c r="AR147" t="str">
        <f>IF(ISNUMBER(SEARCH("®",N147)),"MARCA/INNOVADOR","GENERICO")</f>
        <v>MARCA/INNOVADOR</v>
      </c>
      <c r="AS147">
        <f ca="1">IF(AE147&gt;100,RANDBETWEEN(500,5000),IF(AND(AE147&gt;=10,AE147&lt;=100),RANDBETWEEN(100,1000),RANDBETWEEN(10,200)))</f>
        <v>722</v>
      </c>
      <c r="AT147">
        <f t="shared" ca="1" si="12"/>
        <v>137</v>
      </c>
      <c r="AU147">
        <f ca="1">INT(AS147*RANDBETWEEN(120,200)/100)</f>
        <v>1328</v>
      </c>
      <c r="AV147" s="2">
        <f ca="1">IF(LEFT(Y147,1)="L",RANDBETWEEN(500000,5000000),IF(LEFT(Y147,1)="C",RANDBETWEEN(5000,50000),IF(LEFT(Y147,1)="N",RANDBETWEEN(10000,150000),IF(LEFT(Y147,1)="J",RANDBETWEEN(8000,200000),RANDBETWEEN(5000,100000)))))</f>
        <v>84213</v>
      </c>
      <c r="AW147" s="2">
        <f ca="1">INT(AV147*RANDBETWEEN(30,60)/100)</f>
        <v>42106</v>
      </c>
      <c r="AX147">
        <f ca="1">IF(Z147="ORAL",RANDBETWEEN(1000,10000),IF(OR(Z147="INTRAVENOSA",Z147="INTRAMUSCULAR"),RANDBETWEEN(100,2000),IF(OR(Z147="OFTÁLMICA",Z147="TOPICA (EXTERNA)"),RANDBETWEEN(200,3000),RANDBETWEEN(100,1500))))</f>
        <v>1643</v>
      </c>
      <c r="AY147" s="2">
        <f ca="1">INT(AV147*RANDBETWEEN(90,130)/100)</f>
        <v>109476</v>
      </c>
      <c r="AZ147" t="str">
        <f t="shared" ca="1" si="13"/>
        <v>2.4%</v>
      </c>
      <c r="BA147" t="str">
        <f t="shared" ca="1" si="14"/>
        <v>ALTO</v>
      </c>
    </row>
    <row r="148" spans="4:53" x14ac:dyDescent="0.35">
      <c r="D148" t="s">
        <v>1285</v>
      </c>
      <c r="E148" s="1">
        <v>40442</v>
      </c>
      <c r="F148" t="s">
        <v>1286</v>
      </c>
      <c r="G148" t="s">
        <v>108</v>
      </c>
      <c r="H148" t="s">
        <v>1287</v>
      </c>
      <c r="I148">
        <v>20020607</v>
      </c>
      <c r="J148" t="s">
        <v>28</v>
      </c>
      <c r="K148">
        <v>2</v>
      </c>
      <c r="L148" t="s">
        <v>27</v>
      </c>
      <c r="M148" t="s">
        <v>1288</v>
      </c>
      <c r="N148" t="s">
        <v>1289</v>
      </c>
      <c r="O148" t="s">
        <v>1290</v>
      </c>
      <c r="P148" t="s">
        <v>553</v>
      </c>
      <c r="Q148" s="1">
        <v>40420</v>
      </c>
      <c r="R148" t="s">
        <v>67</v>
      </c>
      <c r="S148" t="s">
        <v>27</v>
      </c>
      <c r="T148" t="s">
        <v>136</v>
      </c>
      <c r="U148" t="s">
        <v>115</v>
      </c>
      <c r="V148" t="s">
        <v>248</v>
      </c>
      <c r="W148">
        <v>216</v>
      </c>
      <c r="X148">
        <v>20020607</v>
      </c>
      <c r="Y148" t="s">
        <v>249</v>
      </c>
      <c r="Z148" t="s">
        <v>119</v>
      </c>
      <c r="AA148" t="s">
        <v>32</v>
      </c>
      <c r="AB148" t="s">
        <v>250</v>
      </c>
      <c r="AC148" t="s">
        <v>25</v>
      </c>
      <c r="AD148" t="s">
        <v>155</v>
      </c>
      <c r="AE148">
        <v>1</v>
      </c>
      <c r="AF148" t="s">
        <v>27</v>
      </c>
      <c r="AG148" t="s">
        <v>26</v>
      </c>
      <c r="AH148" t="s">
        <v>6750</v>
      </c>
      <c r="AI148" t="str">
        <f t="shared" si="10"/>
        <v>NO</v>
      </c>
      <c r="AJ148" t="str">
        <f t="shared" si="11"/>
        <v>ABBOTT LABORATORIES DE COLOMBIA</v>
      </c>
      <c r="AK148" t="str">
        <f>IF(ISNUMBER(SEARCH("FABRICANTE",AC148)),"FABRICANTE",IF(ISNUMBER(SEARCH("IMPORTADOR",AC148)),"IMPORTADOR","OTRO"))</f>
        <v>FABRICANTE</v>
      </c>
      <c r="AL148" t="str">
        <f>IF(LEFT(Y148,1)="A","Sistema digestivo",IF(LEFT(Y148,1)="B","Sangre",IF(LEFT(Y148,1)="C","Cardiovascular",IF(LEFT(Y148,1)="D","Dermatológico",IF(LEFT(Y148,1)="G","Genitourinario",IF(LEFT(Y148,1)="H","Hormonal",IF(LEFT(Y148,1)="J","Antiinfecciosos",IF(LEFT(Y148,1)="L","Oncológicos",IF(LEFT(Y148,1)="M","Musculoesquelético",IF(LEFT(Y148,1)="N","Sistema nervioso",IF(LEFT(Y148,1)="R","Respiratorio",IF(LEFT(Y148,1)="S","Oftálmico",IF(LEFT(Y148,1)="V","Varios","OTRO")))))))))))))</f>
        <v>Sistema digestivo</v>
      </c>
      <c r="AM148" t="str">
        <f>IF(AG148="Vigente","ACTIVO",IF(ISNUMBER(SEARCH("Inactivo",J148)),"INACTIVO","REVISAR"))</f>
        <v>ACTIVO</v>
      </c>
      <c r="AN148" t="str">
        <f ca="1">IF(OR(AF148="",AF148="null"),"",ROUND((AF148-TODAY())/365.25,2))</f>
        <v/>
      </c>
      <c r="AO148" t="str">
        <f ca="1">IF(AND(AG148="Vigente",OR(AF148="",AF148="null",AF148&gt;TODAY())),"SI",IF(AND(NOT(OR(AF148="",AF148="null")),AF148&lt;=TODAY()),"NO",IF(AG148="Vigente","SI","DESCONOCIDO")))</f>
        <v>SI</v>
      </c>
      <c r="AP148" t="str">
        <f>IF(AND(ISNUMBER(SEARCH("IMPORTAR",AA148)),ISNUMBER(SEARCH("FABRICAR",AA148))),"MIXTO",IF(ISNUMBER(SEARCH("IMPORTAR",AA148)),"IMPORTADO",IF(ISNUMBER(SEARCH("FABRICAR",AA148)),"LOCAL","OTRO")))</f>
        <v>IMPORTADO</v>
      </c>
      <c r="AQ148" t="str">
        <f>IF(AD148="Si","SI",IF(AD148="No","NO",""))</f>
        <v>SI</v>
      </c>
      <c r="AR148" t="str">
        <f>IF(ISNUMBER(SEARCH("®",N148)),"MARCA/INNOVADOR","GENERICO")</f>
        <v>MARCA/INNOVADOR</v>
      </c>
      <c r="AS148">
        <f ca="1">IF(AE148&gt;100,RANDBETWEEN(500,5000),IF(AND(AE148&gt;=10,AE148&lt;=100),RANDBETWEEN(100,1000),RANDBETWEEN(10,200)))</f>
        <v>81</v>
      </c>
      <c r="AT148">
        <f t="shared" ca="1" si="12"/>
        <v>12</v>
      </c>
      <c r="AU148">
        <f ca="1">INT(AS148*RANDBETWEEN(120,200)/100)</f>
        <v>110</v>
      </c>
      <c r="AV148" s="2">
        <f ca="1">IF(LEFT(Y148,1)="L",RANDBETWEEN(500000,5000000),IF(LEFT(Y148,1)="C",RANDBETWEEN(5000,50000),IF(LEFT(Y148,1)="N",RANDBETWEEN(10000,150000),IF(LEFT(Y148,1)="J",RANDBETWEEN(8000,200000),RANDBETWEEN(5000,100000)))))</f>
        <v>78403</v>
      </c>
      <c r="AW148" s="2">
        <f ca="1">INT(AV148*RANDBETWEEN(30,60)/100)</f>
        <v>24304</v>
      </c>
      <c r="AX148">
        <f ca="1">IF(Z148="ORAL",RANDBETWEEN(1000,10000),IF(OR(Z148="INTRAVENOSA",Z148="INTRAMUSCULAR"),RANDBETWEEN(100,2000),IF(OR(Z148="OFTÁLMICA",Z148="TOPICA (EXTERNA)"),RANDBETWEEN(200,3000),RANDBETWEEN(100,1500))))</f>
        <v>4029</v>
      </c>
      <c r="AY148" s="2">
        <f ca="1">INT(AV148*RANDBETWEEN(90,130)/100)</f>
        <v>88595</v>
      </c>
      <c r="AZ148" t="str">
        <f t="shared" ca="1" si="13"/>
        <v>20.2%</v>
      </c>
      <c r="BA148" t="str">
        <f t="shared" ca="1" si="14"/>
        <v>BAJO</v>
      </c>
    </row>
    <row r="149" spans="4:53" x14ac:dyDescent="0.35">
      <c r="D149" t="s">
        <v>1291</v>
      </c>
      <c r="E149" s="1">
        <v>42300</v>
      </c>
      <c r="F149" t="s">
        <v>1292</v>
      </c>
      <c r="G149" t="s">
        <v>108</v>
      </c>
      <c r="H149" t="s">
        <v>168</v>
      </c>
      <c r="I149">
        <v>20089319</v>
      </c>
      <c r="J149" t="s">
        <v>28</v>
      </c>
      <c r="K149">
        <v>19</v>
      </c>
      <c r="L149" t="s">
        <v>27</v>
      </c>
      <c r="M149" t="s">
        <v>1293</v>
      </c>
      <c r="N149" t="s">
        <v>1294</v>
      </c>
      <c r="O149" t="s">
        <v>1295</v>
      </c>
      <c r="P149" t="s">
        <v>866</v>
      </c>
      <c r="Q149" s="1">
        <v>42177</v>
      </c>
      <c r="R149" t="s">
        <v>396</v>
      </c>
      <c r="S149" t="s">
        <v>27</v>
      </c>
      <c r="T149" t="s">
        <v>172</v>
      </c>
      <c r="U149" t="s">
        <v>115</v>
      </c>
      <c r="V149" t="s">
        <v>585</v>
      </c>
      <c r="W149">
        <v>10</v>
      </c>
      <c r="X149">
        <v>20089319</v>
      </c>
      <c r="Y149" t="s">
        <v>586</v>
      </c>
      <c r="Z149" t="s">
        <v>119</v>
      </c>
      <c r="AA149" t="s">
        <v>24</v>
      </c>
      <c r="AB149" t="s">
        <v>120</v>
      </c>
      <c r="AC149" t="s">
        <v>25</v>
      </c>
      <c r="AD149" t="s">
        <v>121</v>
      </c>
      <c r="AE149">
        <v>600</v>
      </c>
      <c r="AF149" t="s">
        <v>27</v>
      </c>
      <c r="AG149" t="s">
        <v>26</v>
      </c>
      <c r="AH149" t="s">
        <v>6751</v>
      </c>
      <c r="AI149" t="str">
        <f t="shared" si="10"/>
        <v>NO</v>
      </c>
      <c r="AJ149" t="str">
        <f t="shared" si="11"/>
        <v>NOVAMED</v>
      </c>
      <c r="AK149" t="str">
        <f>IF(ISNUMBER(SEARCH("FABRICANTE",AC149)),"FABRICANTE",IF(ISNUMBER(SEARCH("IMPORTADOR",AC149)),"IMPORTADOR","OTRO"))</f>
        <v>FABRICANTE</v>
      </c>
      <c r="AL149" t="str">
        <f>IF(LEFT(Y149,1)="A","Sistema digestivo",IF(LEFT(Y149,1)="B","Sangre",IF(LEFT(Y149,1)="C","Cardiovascular",IF(LEFT(Y149,1)="D","Dermatológico",IF(LEFT(Y149,1)="G","Genitourinario",IF(LEFT(Y149,1)="H","Hormonal",IF(LEFT(Y149,1)="J","Antiinfecciosos",IF(LEFT(Y149,1)="L","Oncológicos",IF(LEFT(Y149,1)="M","Musculoesquelético",IF(LEFT(Y149,1)="N","Sistema nervioso",IF(LEFT(Y149,1)="R","Respiratorio",IF(LEFT(Y149,1)="S","Oftálmico",IF(LEFT(Y149,1)="V","Varios","OTRO")))))))))))))</f>
        <v>Sistema digestivo</v>
      </c>
      <c r="AM149" t="str">
        <f>IF(AG149="Vigente","ACTIVO",IF(ISNUMBER(SEARCH("Inactivo",J149)),"INACTIVO","REVISAR"))</f>
        <v>ACTIVO</v>
      </c>
      <c r="AN149" t="str">
        <f ca="1">IF(OR(AF149="",AF149="null"),"",ROUND((AF149-TODAY())/365.25,2))</f>
        <v/>
      </c>
      <c r="AO149" t="str">
        <f ca="1">IF(AND(AG149="Vigente",OR(AF149="",AF149="null",AF149&gt;TODAY())),"SI",IF(AND(NOT(OR(AF149="",AF149="null")),AF149&lt;=TODAY()),"NO",IF(AG149="Vigente","SI","DESCONOCIDO")))</f>
        <v>SI</v>
      </c>
      <c r="AP149" t="str">
        <f>IF(AND(ISNUMBER(SEARCH("IMPORTAR",AA149)),ISNUMBER(SEARCH("FABRICAR",AA149))),"MIXTO",IF(ISNUMBER(SEARCH("IMPORTAR",AA149)),"IMPORTADO",IF(ISNUMBER(SEARCH("FABRICAR",AA149)),"LOCAL","OTRO")))</f>
        <v>LOCAL</v>
      </c>
      <c r="AQ149" t="str">
        <f>IF(AD149="Si","SI",IF(AD149="No","NO",""))</f>
        <v>NO</v>
      </c>
      <c r="AR149" t="str">
        <f>IF(ISNUMBER(SEARCH("®",N149)),"MARCA/INNOVADOR","GENERICO")</f>
        <v>MARCA/INNOVADOR</v>
      </c>
      <c r="AS149">
        <f ca="1">IF(AE149&gt;100,RANDBETWEEN(500,5000),IF(AND(AE149&gt;=10,AE149&lt;=100),RANDBETWEEN(100,1000),RANDBETWEEN(10,200)))</f>
        <v>3869</v>
      </c>
      <c r="AT149">
        <f t="shared" ca="1" si="12"/>
        <v>386</v>
      </c>
      <c r="AU149">
        <f ca="1">INT(AS149*RANDBETWEEN(120,200)/100)</f>
        <v>6732</v>
      </c>
      <c r="AV149" s="2">
        <f ca="1">IF(LEFT(Y149,1)="L",RANDBETWEEN(500000,5000000),IF(LEFT(Y149,1)="C",RANDBETWEEN(5000,50000),IF(LEFT(Y149,1)="N",RANDBETWEEN(10000,150000),IF(LEFT(Y149,1)="J",RANDBETWEEN(8000,200000),RANDBETWEEN(5000,100000)))))</f>
        <v>45369</v>
      </c>
      <c r="AW149" s="2">
        <f ca="1">INT(AV149*RANDBETWEEN(30,60)/100)</f>
        <v>18147</v>
      </c>
      <c r="AX149">
        <f ca="1">IF(Z149="ORAL",RANDBETWEEN(1000,10000),IF(OR(Z149="INTRAVENOSA",Z149="INTRAMUSCULAR"),RANDBETWEEN(100,2000),IF(OR(Z149="OFTÁLMICA",Z149="TOPICA (EXTERNA)"),RANDBETWEEN(200,3000),RANDBETWEEN(100,1500))))</f>
        <v>4752</v>
      </c>
      <c r="AY149" s="2">
        <f ca="1">INT(AV149*RANDBETWEEN(90,130)/100)</f>
        <v>57618</v>
      </c>
      <c r="AZ149" t="str">
        <f t="shared" ca="1" si="13"/>
        <v>22.6%</v>
      </c>
      <c r="BA149" t="str">
        <f t="shared" ca="1" si="14"/>
        <v>BAJO</v>
      </c>
    </row>
    <row r="150" spans="4:53" x14ac:dyDescent="0.35">
      <c r="D150" t="s">
        <v>1296</v>
      </c>
      <c r="E150" s="1">
        <v>42052</v>
      </c>
      <c r="F150" t="s">
        <v>1297</v>
      </c>
      <c r="G150" t="s">
        <v>108</v>
      </c>
      <c r="H150" t="s">
        <v>1298</v>
      </c>
      <c r="I150">
        <v>20075649</v>
      </c>
      <c r="J150" t="s">
        <v>110</v>
      </c>
      <c r="K150">
        <v>52</v>
      </c>
      <c r="L150" t="s">
        <v>27</v>
      </c>
      <c r="M150" t="s">
        <v>1299</v>
      </c>
      <c r="N150" t="s">
        <v>1300</v>
      </c>
      <c r="O150" t="s">
        <v>1301</v>
      </c>
      <c r="P150" t="s">
        <v>1302</v>
      </c>
      <c r="Q150" s="1">
        <v>41995</v>
      </c>
      <c r="R150" t="s">
        <v>1302</v>
      </c>
      <c r="S150" s="1">
        <v>45806</v>
      </c>
      <c r="T150" t="s">
        <v>80</v>
      </c>
      <c r="U150" t="s">
        <v>115</v>
      </c>
      <c r="V150" t="s">
        <v>1303</v>
      </c>
      <c r="W150">
        <v>100</v>
      </c>
      <c r="X150">
        <v>20075649</v>
      </c>
      <c r="Y150" t="s">
        <v>1304</v>
      </c>
      <c r="Z150" t="s">
        <v>1305</v>
      </c>
      <c r="AA150" t="s">
        <v>24</v>
      </c>
      <c r="AB150" t="s">
        <v>120</v>
      </c>
      <c r="AC150" t="s">
        <v>25</v>
      </c>
      <c r="AD150" t="s">
        <v>121</v>
      </c>
      <c r="AE150">
        <v>30</v>
      </c>
      <c r="AF150" t="s">
        <v>27</v>
      </c>
      <c r="AG150" t="s">
        <v>26</v>
      </c>
      <c r="AH150" t="s">
        <v>2143</v>
      </c>
      <c r="AI150" t="str">
        <f t="shared" si="10"/>
        <v>NO</v>
      </c>
      <c r="AJ150" t="str">
        <f t="shared" si="11"/>
        <v>TECNOQUIMICAS</v>
      </c>
      <c r="AK150" t="str">
        <f>IF(ISNUMBER(SEARCH("FABRICANTE",AC150)),"FABRICANTE",IF(ISNUMBER(SEARCH("IMPORTADOR",AC150)),"IMPORTADOR","OTRO"))</f>
        <v>FABRICANTE</v>
      </c>
      <c r="AL150" t="str">
        <f>IF(LEFT(Y150,1)="A","Sistema digestivo",IF(LEFT(Y150,1)="B","Sangre",IF(LEFT(Y150,1)="C","Cardiovascular",IF(LEFT(Y150,1)="D","Dermatológico",IF(LEFT(Y150,1)="G","Genitourinario",IF(LEFT(Y150,1)="H","Hormonal",IF(LEFT(Y150,1)="J","Antiinfecciosos",IF(LEFT(Y150,1)="L","Oncológicos",IF(LEFT(Y150,1)="M","Musculoesquelético",IF(LEFT(Y150,1)="N","Sistema nervioso",IF(LEFT(Y150,1)="R","Respiratorio",IF(LEFT(Y150,1)="S","Oftálmico",IF(LEFT(Y150,1)="V","Varios","OTRO")))))))))))))</f>
        <v>Genitourinario</v>
      </c>
      <c r="AM150" t="str">
        <f>IF(AG150="Vigente","ACTIVO",IF(ISNUMBER(SEARCH("Inactivo",J150)),"INACTIVO","REVISAR"))</f>
        <v>ACTIVO</v>
      </c>
      <c r="AN150" t="str">
        <f ca="1">IF(OR(AF150="",AF150="null"),"",ROUND((AF150-TODAY())/365.25,2))</f>
        <v/>
      </c>
      <c r="AO150" t="str">
        <f ca="1">IF(AND(AG150="Vigente",OR(AF150="",AF150="null",AF150&gt;TODAY())),"SI",IF(AND(NOT(OR(AF150="",AF150="null")),AF150&lt;=TODAY()),"NO",IF(AG150="Vigente","SI","DESCONOCIDO")))</f>
        <v>SI</v>
      </c>
      <c r="AP150" t="str">
        <f>IF(AND(ISNUMBER(SEARCH("IMPORTAR",AA150)),ISNUMBER(SEARCH("FABRICAR",AA150))),"MIXTO",IF(ISNUMBER(SEARCH("IMPORTAR",AA150)),"IMPORTADO",IF(ISNUMBER(SEARCH("FABRICAR",AA150)),"LOCAL","OTRO")))</f>
        <v>LOCAL</v>
      </c>
      <c r="AQ150" t="str">
        <f>IF(AD150="Si","SI",IF(AD150="No","NO",""))</f>
        <v>NO</v>
      </c>
      <c r="AR150" t="str">
        <f>IF(ISNUMBER(SEARCH("®",N150)),"MARCA/INNOVADOR","GENERICO")</f>
        <v>GENERICO</v>
      </c>
      <c r="AS150">
        <f ca="1">IF(AE150&gt;100,RANDBETWEEN(500,5000),IF(AND(AE150&gt;=10,AE150&lt;=100),RANDBETWEEN(100,1000),RANDBETWEEN(10,200)))</f>
        <v>874</v>
      </c>
      <c r="AT150">
        <f t="shared" ca="1" si="12"/>
        <v>131</v>
      </c>
      <c r="AU150">
        <f ca="1">INT(AS150*RANDBETWEEN(120,200)/100)</f>
        <v>1581</v>
      </c>
      <c r="AV150" s="2">
        <f ca="1">IF(LEFT(Y150,1)="L",RANDBETWEEN(500000,5000000),IF(LEFT(Y150,1)="C",RANDBETWEEN(5000,50000),IF(LEFT(Y150,1)="N",RANDBETWEEN(10000,150000),IF(LEFT(Y150,1)="J",RANDBETWEEN(8000,200000),RANDBETWEEN(5000,100000)))))</f>
        <v>57202</v>
      </c>
      <c r="AW150" s="2">
        <f ca="1">INT(AV150*RANDBETWEEN(30,60)/100)</f>
        <v>18876</v>
      </c>
      <c r="AX150">
        <f ca="1">IF(Z150="ORAL",RANDBETWEEN(1000,10000),IF(OR(Z150="INTRAVENOSA",Z150="INTRAMUSCULAR"),RANDBETWEEN(100,2000),IF(OR(Z150="OFTÁLMICA",Z150="TOPICA (EXTERNA)"),RANDBETWEEN(200,3000),RANDBETWEEN(100,1500))))</f>
        <v>1371</v>
      </c>
      <c r="AY150" s="2">
        <f ca="1">INT(AV150*RANDBETWEEN(90,130)/100)</f>
        <v>70358</v>
      </c>
      <c r="AZ150" t="str">
        <f t="shared" ca="1" si="13"/>
        <v>4.3%</v>
      </c>
      <c r="BA150" t="str">
        <f t="shared" ca="1" si="14"/>
        <v>ALTO</v>
      </c>
    </row>
    <row r="151" spans="4:53" x14ac:dyDescent="0.35">
      <c r="D151" t="s">
        <v>1306</v>
      </c>
      <c r="E151" s="1">
        <v>43482</v>
      </c>
      <c r="F151" t="s">
        <v>1307</v>
      </c>
      <c r="G151" t="s">
        <v>108</v>
      </c>
      <c r="H151" t="s">
        <v>1308</v>
      </c>
      <c r="I151">
        <v>20111871</v>
      </c>
      <c r="J151" t="s">
        <v>28</v>
      </c>
      <c r="K151">
        <v>1</v>
      </c>
      <c r="L151" t="s">
        <v>27</v>
      </c>
      <c r="M151" t="s">
        <v>1309</v>
      </c>
      <c r="N151" t="s">
        <v>1310</v>
      </c>
      <c r="O151" t="s">
        <v>1311</v>
      </c>
      <c r="P151" t="s">
        <v>601</v>
      </c>
      <c r="Q151" s="1">
        <v>42724</v>
      </c>
      <c r="R151" t="s">
        <v>1312</v>
      </c>
      <c r="S151" s="1">
        <v>43406</v>
      </c>
      <c r="T151" t="s">
        <v>549</v>
      </c>
      <c r="U151" t="s">
        <v>115</v>
      </c>
      <c r="V151" t="s">
        <v>1313</v>
      </c>
      <c r="W151">
        <v>500</v>
      </c>
      <c r="X151">
        <v>20111871</v>
      </c>
      <c r="Y151" t="s">
        <v>1314</v>
      </c>
      <c r="Z151" t="s">
        <v>260</v>
      </c>
      <c r="AA151" t="s">
        <v>32</v>
      </c>
      <c r="AB151" t="s">
        <v>120</v>
      </c>
      <c r="AC151" t="s">
        <v>25</v>
      </c>
      <c r="AD151" t="s">
        <v>121</v>
      </c>
      <c r="AE151">
        <v>1</v>
      </c>
      <c r="AF151" t="s">
        <v>27</v>
      </c>
      <c r="AG151" t="s">
        <v>26</v>
      </c>
      <c r="AH151" t="s">
        <v>1313</v>
      </c>
      <c r="AI151" t="str">
        <f t="shared" si="10"/>
        <v>NO</v>
      </c>
      <c r="AJ151" t="str">
        <f t="shared" si="11"/>
        <v>LABORATORIOS BAXTER</v>
      </c>
      <c r="AK151" t="str">
        <f>IF(ISNUMBER(SEARCH("FABRICANTE",AC151)),"FABRICANTE",IF(ISNUMBER(SEARCH("IMPORTADOR",AC151)),"IMPORTADOR","OTRO"))</f>
        <v>FABRICANTE</v>
      </c>
      <c r="AL151" t="str">
        <f>IF(LEFT(Y151,1)="A","Sistema digestivo",IF(LEFT(Y151,1)="B","Sangre",IF(LEFT(Y151,1)="C","Cardiovascular",IF(LEFT(Y151,1)="D","Dermatológico",IF(LEFT(Y151,1)="G","Genitourinario",IF(LEFT(Y151,1)="H","Hormonal",IF(LEFT(Y151,1)="J","Antiinfecciosos",IF(LEFT(Y151,1)="L","Oncológicos",IF(LEFT(Y151,1)="M","Musculoesquelético",IF(LEFT(Y151,1)="N","Sistema nervioso",IF(LEFT(Y151,1)="R","Respiratorio",IF(LEFT(Y151,1)="S","Oftálmico",IF(LEFT(Y151,1)="V","Varios","OTRO")))))))))))))</f>
        <v>Antiinfecciosos</v>
      </c>
      <c r="AM151" t="str">
        <f>IF(AG151="Vigente","ACTIVO",IF(ISNUMBER(SEARCH("Inactivo",J151)),"INACTIVO","REVISAR"))</f>
        <v>ACTIVO</v>
      </c>
      <c r="AN151" t="str">
        <f ca="1">IF(OR(AF151="",AF151="null"),"",ROUND((AF151-TODAY())/365.25,2))</f>
        <v/>
      </c>
      <c r="AO151" t="str">
        <f ca="1">IF(AND(AG151="Vigente",OR(AF151="",AF151="null",AF151&gt;TODAY())),"SI",IF(AND(NOT(OR(AF151="",AF151="null")),AF151&lt;=TODAY()),"NO",IF(AG151="Vigente","SI","DESCONOCIDO")))</f>
        <v>SI</v>
      </c>
      <c r="AP151" t="str">
        <f>IF(AND(ISNUMBER(SEARCH("IMPORTAR",AA151)),ISNUMBER(SEARCH("FABRICAR",AA151))),"MIXTO",IF(ISNUMBER(SEARCH("IMPORTAR",AA151)),"IMPORTADO",IF(ISNUMBER(SEARCH("FABRICAR",AA151)),"LOCAL","OTRO")))</f>
        <v>IMPORTADO</v>
      </c>
      <c r="AQ151" t="str">
        <f>IF(AD151="Si","SI",IF(AD151="No","NO",""))</f>
        <v>NO</v>
      </c>
      <c r="AR151" t="str">
        <f>IF(ISNUMBER(SEARCH("®",N151)),"MARCA/INNOVADOR","GENERICO")</f>
        <v>GENERICO</v>
      </c>
      <c r="AS151">
        <f ca="1">IF(AE151&gt;100,RANDBETWEEN(500,5000),IF(AND(AE151&gt;=10,AE151&lt;=100),RANDBETWEEN(100,1000),RANDBETWEEN(10,200)))</f>
        <v>87</v>
      </c>
      <c r="AT151">
        <f t="shared" ca="1" si="12"/>
        <v>19</v>
      </c>
      <c r="AU151">
        <f ca="1">INT(AS151*RANDBETWEEN(120,200)/100)</f>
        <v>156</v>
      </c>
      <c r="AV151" s="2">
        <f ca="1">IF(LEFT(Y151,1)="L",RANDBETWEEN(500000,5000000),IF(LEFT(Y151,1)="C",RANDBETWEEN(5000,50000),IF(LEFT(Y151,1)="N",RANDBETWEEN(10000,150000),IF(LEFT(Y151,1)="J",RANDBETWEEN(8000,200000),RANDBETWEEN(5000,100000)))))</f>
        <v>176312</v>
      </c>
      <c r="AW151" s="2">
        <f ca="1">INT(AV151*RANDBETWEEN(30,60)/100)</f>
        <v>77577</v>
      </c>
      <c r="AX151">
        <f ca="1">IF(Z151="ORAL",RANDBETWEEN(1000,10000),IF(OR(Z151="INTRAVENOSA",Z151="INTRAMUSCULAR"),RANDBETWEEN(100,2000),IF(OR(Z151="OFTÁLMICA",Z151="TOPICA (EXTERNA)"),RANDBETWEEN(200,3000),RANDBETWEEN(100,1500))))</f>
        <v>1161</v>
      </c>
      <c r="AY151" s="2">
        <f ca="1">INT(AV151*RANDBETWEEN(90,130)/100)</f>
        <v>197469</v>
      </c>
      <c r="AZ151" t="str">
        <f t="shared" ca="1" si="13"/>
        <v>1.8%</v>
      </c>
      <c r="BA151" t="str">
        <f t="shared" ca="1" si="14"/>
        <v>BAJO</v>
      </c>
    </row>
    <row r="152" spans="4:53" x14ac:dyDescent="0.35">
      <c r="D152" t="s">
        <v>1315</v>
      </c>
      <c r="E152" s="1">
        <v>41453</v>
      </c>
      <c r="F152" t="s">
        <v>1316</v>
      </c>
      <c r="G152" t="s">
        <v>108</v>
      </c>
      <c r="H152" t="s">
        <v>1317</v>
      </c>
      <c r="I152">
        <v>20057097</v>
      </c>
      <c r="J152" t="s">
        <v>28</v>
      </c>
      <c r="K152">
        <v>8</v>
      </c>
      <c r="L152" t="s">
        <v>27</v>
      </c>
      <c r="M152" t="s">
        <v>1318</v>
      </c>
      <c r="N152" t="s">
        <v>1319</v>
      </c>
      <c r="O152" t="s">
        <v>1320</v>
      </c>
      <c r="P152" t="s">
        <v>1061</v>
      </c>
      <c r="Q152" s="1">
        <v>41339</v>
      </c>
      <c r="R152" t="s">
        <v>527</v>
      </c>
      <c r="S152" t="s">
        <v>27</v>
      </c>
      <c r="T152" t="s">
        <v>80</v>
      </c>
      <c r="U152" t="s">
        <v>807</v>
      </c>
      <c r="V152" t="s">
        <v>1321</v>
      </c>
      <c r="W152">
        <v>24</v>
      </c>
      <c r="X152">
        <v>20057097</v>
      </c>
      <c r="Y152" t="s">
        <v>1322</v>
      </c>
      <c r="Z152" t="s">
        <v>119</v>
      </c>
      <c r="AA152" t="s">
        <v>24</v>
      </c>
      <c r="AB152" t="s">
        <v>120</v>
      </c>
      <c r="AC152" t="s">
        <v>25</v>
      </c>
      <c r="AD152" t="s">
        <v>121</v>
      </c>
      <c r="AE152">
        <v>42</v>
      </c>
      <c r="AF152" t="s">
        <v>27</v>
      </c>
      <c r="AG152" t="s">
        <v>26</v>
      </c>
      <c r="AH152" t="s">
        <v>1316</v>
      </c>
      <c r="AI152" t="str">
        <f t="shared" si="10"/>
        <v>NO</v>
      </c>
      <c r="AJ152" t="str">
        <f t="shared" si="11"/>
        <v>TECNOQUIMICAS</v>
      </c>
      <c r="AK152" t="str">
        <f>IF(ISNUMBER(SEARCH("FABRICANTE",AC152)),"FABRICANTE",IF(ISNUMBER(SEARCH("IMPORTADOR",AC152)),"IMPORTADOR","OTRO"))</f>
        <v>FABRICANTE</v>
      </c>
      <c r="AL152" t="str">
        <f>IF(LEFT(Y152,1)="A","Sistema digestivo",IF(LEFT(Y152,1)="B","Sangre",IF(LEFT(Y152,1)="C","Cardiovascular",IF(LEFT(Y152,1)="D","Dermatológico",IF(LEFT(Y152,1)="G","Genitourinario",IF(LEFT(Y152,1)="H","Hormonal",IF(LEFT(Y152,1)="J","Antiinfecciosos",IF(LEFT(Y152,1)="L","Oncológicos",IF(LEFT(Y152,1)="M","Musculoesquelético",IF(LEFT(Y152,1)="N","Sistema nervioso",IF(LEFT(Y152,1)="R","Respiratorio",IF(LEFT(Y152,1)="S","Oftálmico",IF(LEFT(Y152,1)="V","Varios","OTRO")))))))))))))</f>
        <v>Sistema digestivo</v>
      </c>
      <c r="AM152" t="str">
        <f>IF(AG152="Vigente","ACTIVO",IF(ISNUMBER(SEARCH("Inactivo",J152)),"INACTIVO","REVISAR"))</f>
        <v>ACTIVO</v>
      </c>
      <c r="AN152" t="str">
        <f ca="1">IF(OR(AF152="",AF152="null"),"",ROUND((AF152-TODAY())/365.25,2))</f>
        <v/>
      </c>
      <c r="AO152" t="str">
        <f ca="1">IF(AND(AG152="Vigente",OR(AF152="",AF152="null",AF152&gt;TODAY())),"SI",IF(AND(NOT(OR(AF152="",AF152="null")),AF152&lt;=TODAY()),"NO",IF(AG152="Vigente","SI","DESCONOCIDO")))</f>
        <v>SI</v>
      </c>
      <c r="AP152" t="str">
        <f>IF(AND(ISNUMBER(SEARCH("IMPORTAR",AA152)),ISNUMBER(SEARCH("FABRICAR",AA152))),"MIXTO",IF(ISNUMBER(SEARCH("IMPORTAR",AA152)),"IMPORTADO",IF(ISNUMBER(SEARCH("FABRICAR",AA152)),"LOCAL","OTRO")))</f>
        <v>LOCAL</v>
      </c>
      <c r="AQ152" t="str">
        <f>IF(AD152="Si","SI",IF(AD152="No","NO",""))</f>
        <v>NO</v>
      </c>
      <c r="AR152" t="str">
        <f>IF(ISNUMBER(SEARCH("®",N152)),"MARCA/INNOVADOR","GENERICO")</f>
        <v>MARCA/INNOVADOR</v>
      </c>
      <c r="AS152">
        <f ca="1">IF(AE152&gt;100,RANDBETWEEN(500,5000),IF(AND(AE152&gt;=10,AE152&lt;=100),RANDBETWEEN(100,1000),RANDBETWEEN(10,200)))</f>
        <v>644</v>
      </c>
      <c r="AT152">
        <f t="shared" ca="1" si="12"/>
        <v>148</v>
      </c>
      <c r="AU152">
        <f ca="1">INT(AS152*RANDBETWEEN(120,200)/100)</f>
        <v>1049</v>
      </c>
      <c r="AV152" s="2">
        <f ca="1">IF(LEFT(Y152,1)="L",RANDBETWEEN(500000,5000000),IF(LEFT(Y152,1)="C",RANDBETWEEN(5000,50000),IF(LEFT(Y152,1)="N",RANDBETWEEN(10000,150000),IF(LEFT(Y152,1)="J",RANDBETWEEN(8000,200000),RANDBETWEEN(5000,100000)))))</f>
        <v>80500</v>
      </c>
      <c r="AW152" s="2">
        <f ca="1">INT(AV152*RANDBETWEEN(30,60)/100)</f>
        <v>25760</v>
      </c>
      <c r="AX152">
        <f ca="1">IF(Z152="ORAL",RANDBETWEEN(1000,10000),IF(OR(Z152="INTRAVENOSA",Z152="INTRAMUSCULAR"),RANDBETWEEN(100,2000),IF(OR(Z152="OFTÁLMICA",Z152="TOPICA (EXTERNA)"),RANDBETWEEN(200,3000),RANDBETWEEN(100,1500))))</f>
        <v>6217</v>
      </c>
      <c r="AY152" s="2">
        <f ca="1">INT(AV152*RANDBETWEEN(90,130)/100)</f>
        <v>100625</v>
      </c>
      <c r="AZ152" t="str">
        <f t="shared" ca="1" si="13"/>
        <v>15.7%</v>
      </c>
      <c r="BA152" t="str">
        <f t="shared" ca="1" si="14"/>
        <v>BAJO</v>
      </c>
    </row>
    <row r="153" spans="4:53" x14ac:dyDescent="0.35">
      <c r="D153" t="s">
        <v>1323</v>
      </c>
      <c r="E153" s="1">
        <v>41975</v>
      </c>
      <c r="F153" t="s">
        <v>1324</v>
      </c>
      <c r="G153" t="s">
        <v>108</v>
      </c>
      <c r="H153" t="s">
        <v>1325</v>
      </c>
      <c r="I153">
        <v>20061746</v>
      </c>
      <c r="J153" t="s">
        <v>28</v>
      </c>
      <c r="K153">
        <v>3</v>
      </c>
      <c r="L153" t="s">
        <v>27</v>
      </c>
      <c r="M153" t="s">
        <v>1326</v>
      </c>
      <c r="N153" t="s">
        <v>1327</v>
      </c>
      <c r="O153" t="s">
        <v>1328</v>
      </c>
      <c r="P153" t="s">
        <v>234</v>
      </c>
      <c r="Q153" s="1">
        <v>42083</v>
      </c>
      <c r="R153" t="s">
        <v>258</v>
      </c>
      <c r="S153" t="s">
        <v>27</v>
      </c>
      <c r="T153" t="s">
        <v>1329</v>
      </c>
      <c r="U153" t="s">
        <v>115</v>
      </c>
      <c r="V153" t="s">
        <v>64</v>
      </c>
      <c r="W153" t="s">
        <v>1330</v>
      </c>
      <c r="X153">
        <v>20061746</v>
      </c>
      <c r="Y153" t="s">
        <v>259</v>
      </c>
      <c r="Z153" t="s">
        <v>260</v>
      </c>
      <c r="AA153" t="s">
        <v>32</v>
      </c>
      <c r="AB153" t="s">
        <v>133</v>
      </c>
      <c r="AC153" t="s">
        <v>38</v>
      </c>
      <c r="AD153" t="s">
        <v>121</v>
      </c>
      <c r="AE153">
        <v>4</v>
      </c>
      <c r="AF153" s="1">
        <v>401769</v>
      </c>
      <c r="AG153" t="s">
        <v>26</v>
      </c>
      <c r="AH153" t="s">
        <v>6752</v>
      </c>
      <c r="AI153" t="str">
        <f t="shared" si="10"/>
        <v>NO</v>
      </c>
      <c r="AJ153" t="str">
        <f t="shared" si="11"/>
        <v>FRESENIUS KABI AB</v>
      </c>
      <c r="AK153" t="str">
        <f>IF(ISNUMBER(SEARCH("FABRICANTE",AC153)),"FABRICANTE",IF(ISNUMBER(SEARCH("IMPORTADOR",AC153)),"IMPORTADOR","OTRO"))</f>
        <v>IMPORTADOR</v>
      </c>
      <c r="AL153" t="str">
        <f>IF(LEFT(Y153,1)="A","Sistema digestivo",IF(LEFT(Y153,1)="B","Sangre",IF(LEFT(Y153,1)="C","Cardiovascular",IF(LEFT(Y153,1)="D","Dermatológico",IF(LEFT(Y153,1)="G","Genitourinario",IF(LEFT(Y153,1)="H","Hormonal",IF(LEFT(Y153,1)="J","Antiinfecciosos",IF(LEFT(Y153,1)="L","Oncológicos",IF(LEFT(Y153,1)="M","Musculoesquelético",IF(LEFT(Y153,1)="N","Sistema nervioso",IF(LEFT(Y153,1)="R","Respiratorio",IF(LEFT(Y153,1)="S","Oftálmico",IF(LEFT(Y153,1)="V","Varios","OTRO")))))))))))))</f>
        <v>Sangre</v>
      </c>
      <c r="AM153" t="str">
        <f>IF(AG153="Vigente","ACTIVO",IF(ISNUMBER(SEARCH("Inactivo",J153)),"INACTIVO","REVISAR"))</f>
        <v>ACTIVO</v>
      </c>
      <c r="AN153">
        <f ca="1">IF(OR(AF153="",AF153="null"),"",ROUND((AF153-TODAY())/365.25,2))</f>
        <v>973.58</v>
      </c>
      <c r="AO153" t="str">
        <f ca="1">IF(AND(AG153="Vigente",OR(AF153="",AF153="null",AF153&gt;TODAY())),"SI",IF(AND(NOT(OR(AF153="",AF153="null")),AF153&lt;=TODAY()),"NO",IF(AG153="Vigente","SI","DESCONOCIDO")))</f>
        <v>SI</v>
      </c>
      <c r="AP153" t="str">
        <f>IF(AND(ISNUMBER(SEARCH("IMPORTAR",AA153)),ISNUMBER(SEARCH("FABRICAR",AA153))),"MIXTO",IF(ISNUMBER(SEARCH("IMPORTAR",AA153)),"IMPORTADO",IF(ISNUMBER(SEARCH("FABRICAR",AA153)),"LOCAL","OTRO")))</f>
        <v>IMPORTADO</v>
      </c>
      <c r="AQ153" t="str">
        <f>IF(AD153="Si","SI",IF(AD153="No","NO",""))</f>
        <v>NO</v>
      </c>
      <c r="AR153" t="str">
        <f>IF(ISNUMBER(SEARCH("®",N153)),"MARCA/INNOVADOR","GENERICO")</f>
        <v>MARCA/INNOVADOR</v>
      </c>
      <c r="AS153">
        <f ca="1">IF(AE153&gt;100,RANDBETWEEN(500,5000),IF(AND(AE153&gt;=10,AE153&lt;=100),RANDBETWEEN(100,1000),RANDBETWEEN(10,200)))</f>
        <v>166</v>
      </c>
      <c r="AT153">
        <f t="shared" ca="1" si="12"/>
        <v>29</v>
      </c>
      <c r="AU153">
        <f ca="1">INT(AS153*RANDBETWEEN(120,200)/100)</f>
        <v>318</v>
      </c>
      <c r="AV153" s="2">
        <f ca="1">IF(LEFT(Y153,1)="L",RANDBETWEEN(500000,5000000),IF(LEFT(Y153,1)="C",RANDBETWEEN(5000,50000),IF(LEFT(Y153,1)="N",RANDBETWEEN(10000,150000),IF(LEFT(Y153,1)="J",RANDBETWEEN(8000,200000),RANDBETWEEN(5000,100000)))))</f>
        <v>73165</v>
      </c>
      <c r="AW153" s="2">
        <f ca="1">INT(AV153*RANDBETWEEN(30,60)/100)</f>
        <v>43167</v>
      </c>
      <c r="AX153">
        <f ca="1">IF(Z153="ORAL",RANDBETWEEN(1000,10000),IF(OR(Z153="INTRAVENOSA",Z153="INTRAMUSCULAR"),RANDBETWEEN(100,2000),IF(OR(Z153="OFTÁLMICA",Z153="TOPICA (EXTERNA)"),RANDBETWEEN(200,3000),RANDBETWEEN(100,1500))))</f>
        <v>1447</v>
      </c>
      <c r="AY153" s="2">
        <f ca="1">INT(AV153*RANDBETWEEN(90,130)/100)</f>
        <v>74628</v>
      </c>
      <c r="AZ153" t="str">
        <f t="shared" ca="1" si="13"/>
        <v>4.7%</v>
      </c>
      <c r="BA153" t="str">
        <f t="shared" ca="1" si="14"/>
        <v>BAJO</v>
      </c>
    </row>
    <row r="154" spans="4:53" x14ac:dyDescent="0.35">
      <c r="D154" t="s">
        <v>1331</v>
      </c>
      <c r="E154" s="1">
        <v>41478</v>
      </c>
      <c r="F154" t="s">
        <v>1332</v>
      </c>
      <c r="G154" t="s">
        <v>108</v>
      </c>
      <c r="H154" t="s">
        <v>354</v>
      </c>
      <c r="I154">
        <v>20059967</v>
      </c>
      <c r="J154" t="s">
        <v>28</v>
      </c>
      <c r="K154">
        <v>2</v>
      </c>
      <c r="L154" t="s">
        <v>27</v>
      </c>
      <c r="M154" t="s">
        <v>1333</v>
      </c>
      <c r="N154" t="s">
        <v>1334</v>
      </c>
      <c r="O154" t="s">
        <v>1335</v>
      </c>
      <c r="P154" t="s">
        <v>33</v>
      </c>
      <c r="Q154" s="1">
        <v>41414</v>
      </c>
      <c r="R154" t="s">
        <v>33</v>
      </c>
      <c r="S154" t="s">
        <v>27</v>
      </c>
      <c r="T154" t="s">
        <v>354</v>
      </c>
      <c r="U154" t="s">
        <v>115</v>
      </c>
      <c r="V154" t="s">
        <v>1336</v>
      </c>
      <c r="W154">
        <v>5</v>
      </c>
      <c r="X154">
        <v>20059967</v>
      </c>
      <c r="Y154" t="s">
        <v>1337</v>
      </c>
      <c r="Z154" t="s">
        <v>119</v>
      </c>
      <c r="AA154" t="s">
        <v>32</v>
      </c>
      <c r="AB154" t="s">
        <v>120</v>
      </c>
      <c r="AC154" t="s">
        <v>38</v>
      </c>
      <c r="AD154" t="s">
        <v>121</v>
      </c>
      <c r="AE154">
        <v>14</v>
      </c>
      <c r="AF154" t="s">
        <v>27</v>
      </c>
      <c r="AG154" t="s">
        <v>26</v>
      </c>
      <c r="AH154" t="s">
        <v>1336</v>
      </c>
      <c r="AI154" t="str">
        <f t="shared" si="10"/>
        <v>SI</v>
      </c>
      <c r="AJ154" t="str">
        <f t="shared" si="11"/>
        <v>PFIZER</v>
      </c>
      <c r="AK154" t="str">
        <f>IF(ISNUMBER(SEARCH("FABRICANTE",AC154)),"FABRICANTE",IF(ISNUMBER(SEARCH("IMPORTADOR",AC154)),"IMPORTADOR","OTRO"))</f>
        <v>IMPORTADOR</v>
      </c>
      <c r="AL154" t="str">
        <f>IF(LEFT(Y154,1)="A","Sistema digestivo",IF(LEFT(Y154,1)="B","Sangre",IF(LEFT(Y154,1)="C","Cardiovascular",IF(LEFT(Y154,1)="D","Dermatológico",IF(LEFT(Y154,1)="G","Genitourinario",IF(LEFT(Y154,1)="H","Hormonal",IF(LEFT(Y154,1)="J","Antiinfecciosos",IF(LEFT(Y154,1)="L","Oncológicos",IF(LEFT(Y154,1)="M","Musculoesquelético",IF(LEFT(Y154,1)="N","Sistema nervioso",IF(LEFT(Y154,1)="R","Respiratorio",IF(LEFT(Y154,1)="S","Oftálmico",IF(LEFT(Y154,1)="V","Varios","OTRO")))))))))))))</f>
        <v>Oncológicos</v>
      </c>
      <c r="AM154" t="str">
        <f>IF(AG154="Vigente","ACTIVO",IF(ISNUMBER(SEARCH("Inactivo",J154)),"INACTIVO","REVISAR"))</f>
        <v>ACTIVO</v>
      </c>
      <c r="AN154" t="str">
        <f ca="1">IF(OR(AF154="",AF154="null"),"",ROUND((AF154-TODAY())/365.25,2))</f>
        <v/>
      </c>
      <c r="AO154" t="str">
        <f ca="1">IF(AND(AG154="Vigente",OR(AF154="",AF154="null",AF154&gt;TODAY())),"SI",IF(AND(NOT(OR(AF154="",AF154="null")),AF154&lt;=TODAY()),"NO",IF(AG154="Vigente","SI","DESCONOCIDO")))</f>
        <v>SI</v>
      </c>
      <c r="AP154" t="str">
        <f>IF(AND(ISNUMBER(SEARCH("IMPORTAR",AA154)),ISNUMBER(SEARCH("FABRICAR",AA154))),"MIXTO",IF(ISNUMBER(SEARCH("IMPORTAR",AA154)),"IMPORTADO",IF(ISNUMBER(SEARCH("FABRICAR",AA154)),"LOCAL","OTRO")))</f>
        <v>IMPORTADO</v>
      </c>
      <c r="AQ154" t="str">
        <f>IF(AD154="Si","SI",IF(AD154="No","NO",""))</f>
        <v>NO</v>
      </c>
      <c r="AR154" t="str">
        <f>IF(ISNUMBER(SEARCH("®",N154)),"MARCA/INNOVADOR","GENERICO")</f>
        <v>MARCA/INNOVADOR</v>
      </c>
      <c r="AS154">
        <f ca="1">IF(AE154&gt;100,RANDBETWEEN(500,5000),IF(AND(AE154&gt;=10,AE154&lt;=100),RANDBETWEEN(100,1000),RANDBETWEEN(10,200)))</f>
        <v>749</v>
      </c>
      <c r="AT154">
        <f t="shared" ca="1" si="12"/>
        <v>172</v>
      </c>
      <c r="AU154">
        <f ca="1">INT(AS154*RANDBETWEEN(120,200)/100)</f>
        <v>1220</v>
      </c>
      <c r="AV154" s="2">
        <f ca="1">IF(LEFT(Y154,1)="L",RANDBETWEEN(500000,5000000),IF(LEFT(Y154,1)="C",RANDBETWEEN(5000,50000),IF(LEFT(Y154,1)="N",RANDBETWEEN(10000,150000),IF(LEFT(Y154,1)="J",RANDBETWEEN(8000,200000),RANDBETWEEN(5000,100000)))))</f>
        <v>1861768</v>
      </c>
      <c r="AW154" s="2">
        <f ca="1">INT(AV154*RANDBETWEEN(30,60)/100)</f>
        <v>837795</v>
      </c>
      <c r="AX154">
        <f ca="1">IF(Z154="ORAL",RANDBETWEEN(1000,10000),IF(OR(Z154="INTRAVENOSA",Z154="INTRAMUSCULAR"),RANDBETWEEN(100,2000),IF(OR(Z154="OFTÁLMICA",Z154="TOPICA (EXTERNA)"),RANDBETWEEN(200,3000),RANDBETWEEN(100,1500))))</f>
        <v>1622</v>
      </c>
      <c r="AY154" s="2">
        <f ca="1">INT(AV154*RANDBETWEEN(90,130)/100)</f>
        <v>1805914</v>
      </c>
      <c r="AZ154" t="str">
        <f t="shared" ca="1" si="13"/>
        <v>24.4%</v>
      </c>
      <c r="BA154" t="str">
        <f t="shared" ca="1" si="14"/>
        <v>BAJO</v>
      </c>
    </row>
    <row r="155" spans="4:53" x14ac:dyDescent="0.35">
      <c r="D155" t="s">
        <v>1338</v>
      </c>
      <c r="E155" s="1">
        <v>43199</v>
      </c>
      <c r="F155" t="s">
        <v>453</v>
      </c>
      <c r="G155" t="s">
        <v>108</v>
      </c>
      <c r="H155" t="s">
        <v>1339</v>
      </c>
      <c r="I155">
        <v>20105219</v>
      </c>
      <c r="J155" t="s">
        <v>28</v>
      </c>
      <c r="K155">
        <v>2</v>
      </c>
      <c r="L155" t="s">
        <v>27</v>
      </c>
      <c r="M155" t="s">
        <v>1340</v>
      </c>
      <c r="N155" t="s">
        <v>1341</v>
      </c>
      <c r="O155" t="s">
        <v>1342</v>
      </c>
      <c r="P155" t="s">
        <v>527</v>
      </c>
      <c r="Q155" s="1">
        <v>43182</v>
      </c>
      <c r="R155" t="s">
        <v>527</v>
      </c>
      <c r="S155" s="1">
        <v>45042</v>
      </c>
      <c r="T155" t="s">
        <v>1339</v>
      </c>
      <c r="U155" t="s">
        <v>115</v>
      </c>
      <c r="V155" t="s">
        <v>1343</v>
      </c>
      <c r="W155">
        <v>10</v>
      </c>
      <c r="X155">
        <v>20105219</v>
      </c>
      <c r="Y155" t="s">
        <v>1344</v>
      </c>
      <c r="Z155" t="s">
        <v>119</v>
      </c>
      <c r="AA155" t="s">
        <v>32</v>
      </c>
      <c r="AB155" t="s">
        <v>120</v>
      </c>
      <c r="AC155" t="s">
        <v>25</v>
      </c>
      <c r="AD155" t="s">
        <v>121</v>
      </c>
      <c r="AE155">
        <v>50</v>
      </c>
      <c r="AF155" t="s">
        <v>27</v>
      </c>
      <c r="AG155" t="s">
        <v>26</v>
      </c>
      <c r="AH155" t="s">
        <v>453</v>
      </c>
      <c r="AI155" t="str">
        <f t="shared" si="10"/>
        <v>NO</v>
      </c>
      <c r="AJ155" t="str">
        <f t="shared" si="11"/>
        <v>MEGA LIFESCIENCES PUBLIC COMPANY</v>
      </c>
      <c r="AK155" t="str">
        <f>IF(ISNUMBER(SEARCH("FABRICANTE",AC155)),"FABRICANTE",IF(ISNUMBER(SEARCH("IMPORTADOR",AC155)),"IMPORTADOR","OTRO"))</f>
        <v>FABRICANTE</v>
      </c>
      <c r="AL155" t="str">
        <f>IF(LEFT(Y155,1)="A","Sistema digestivo",IF(LEFT(Y155,1)="B","Sangre",IF(LEFT(Y155,1)="C","Cardiovascular",IF(LEFT(Y155,1)="D","Dermatológico",IF(LEFT(Y155,1)="G","Genitourinario",IF(LEFT(Y155,1)="H","Hormonal",IF(LEFT(Y155,1)="J","Antiinfecciosos",IF(LEFT(Y155,1)="L","Oncológicos",IF(LEFT(Y155,1)="M","Musculoesquelético",IF(LEFT(Y155,1)="N","Sistema nervioso",IF(LEFT(Y155,1)="R","Respiratorio",IF(LEFT(Y155,1)="S","Oftálmico",IF(LEFT(Y155,1)="V","Varios","OTRO")))))))))))))</f>
        <v>Respiratorio</v>
      </c>
      <c r="AM155" t="str">
        <f>IF(AG155="Vigente","ACTIVO",IF(ISNUMBER(SEARCH("Inactivo",J155)),"INACTIVO","REVISAR"))</f>
        <v>ACTIVO</v>
      </c>
      <c r="AN155" t="str">
        <f ca="1">IF(OR(AF155="",AF155="null"),"",ROUND((AF155-TODAY())/365.25,2))</f>
        <v/>
      </c>
      <c r="AO155" t="str">
        <f ca="1">IF(AND(AG155="Vigente",OR(AF155="",AF155="null",AF155&gt;TODAY())),"SI",IF(AND(NOT(OR(AF155="",AF155="null")),AF155&lt;=TODAY()),"NO",IF(AG155="Vigente","SI","DESCONOCIDO")))</f>
        <v>SI</v>
      </c>
      <c r="AP155" t="str">
        <f>IF(AND(ISNUMBER(SEARCH("IMPORTAR",AA155)),ISNUMBER(SEARCH("FABRICAR",AA155))),"MIXTO",IF(ISNUMBER(SEARCH("IMPORTAR",AA155)),"IMPORTADO",IF(ISNUMBER(SEARCH("FABRICAR",AA155)),"LOCAL","OTRO")))</f>
        <v>IMPORTADO</v>
      </c>
      <c r="AQ155" t="str">
        <f>IF(AD155="Si","SI",IF(AD155="No","NO",""))</f>
        <v>NO</v>
      </c>
      <c r="AR155" t="str">
        <f>IF(ISNUMBER(SEARCH("®",N155)),"MARCA/INNOVADOR","GENERICO")</f>
        <v>GENERICO</v>
      </c>
      <c r="AS155">
        <f ca="1">IF(AE155&gt;100,RANDBETWEEN(500,5000),IF(AND(AE155&gt;=10,AE155&lt;=100),RANDBETWEEN(100,1000),RANDBETWEEN(10,200)))</f>
        <v>525</v>
      </c>
      <c r="AT155">
        <f t="shared" ca="1" si="12"/>
        <v>115</v>
      </c>
      <c r="AU155">
        <f ca="1">INT(AS155*RANDBETWEEN(120,200)/100)</f>
        <v>908</v>
      </c>
      <c r="AV155" s="2">
        <f ca="1">IF(LEFT(Y155,1)="L",RANDBETWEEN(500000,5000000),IF(LEFT(Y155,1)="C",RANDBETWEEN(5000,50000),IF(LEFT(Y155,1)="N",RANDBETWEEN(10000,150000),IF(LEFT(Y155,1)="J",RANDBETWEEN(8000,200000),RANDBETWEEN(5000,100000)))))</f>
        <v>99681</v>
      </c>
      <c r="AW155" s="2">
        <f ca="1">INT(AV155*RANDBETWEEN(30,60)/100)</f>
        <v>37878</v>
      </c>
      <c r="AX155">
        <f ca="1">IF(Z155="ORAL",RANDBETWEEN(1000,10000),IF(OR(Z155="INTRAVENOSA",Z155="INTRAMUSCULAR"),RANDBETWEEN(100,2000),IF(OR(Z155="OFTÁLMICA",Z155="TOPICA (EXTERNA)"),RANDBETWEEN(200,3000),RANDBETWEEN(100,1500))))</f>
        <v>5840</v>
      </c>
      <c r="AY155" s="2">
        <f ca="1">INT(AV155*RANDBETWEEN(90,130)/100)</f>
        <v>113636</v>
      </c>
      <c r="AZ155" t="str">
        <f t="shared" ca="1" si="13"/>
        <v>15.8%</v>
      </c>
      <c r="BA155" t="str">
        <f t="shared" ca="1" si="14"/>
        <v>BAJO</v>
      </c>
    </row>
    <row r="156" spans="4:53" x14ac:dyDescent="0.35">
      <c r="D156" t="s">
        <v>1345</v>
      </c>
      <c r="E156" s="1">
        <v>41031</v>
      </c>
      <c r="F156" t="s">
        <v>1346</v>
      </c>
      <c r="G156" t="s">
        <v>108</v>
      </c>
      <c r="H156" t="s">
        <v>114</v>
      </c>
      <c r="I156">
        <v>20044013</v>
      </c>
      <c r="J156" t="s">
        <v>28</v>
      </c>
      <c r="K156">
        <v>7</v>
      </c>
      <c r="L156" t="s">
        <v>27</v>
      </c>
      <c r="M156" t="s">
        <v>1347</v>
      </c>
      <c r="N156" t="s">
        <v>1348</v>
      </c>
      <c r="O156" t="s">
        <v>1349</v>
      </c>
      <c r="P156" t="s">
        <v>29</v>
      </c>
      <c r="Q156" s="1">
        <v>41023</v>
      </c>
      <c r="R156" t="s">
        <v>29</v>
      </c>
      <c r="S156" t="s">
        <v>27</v>
      </c>
      <c r="T156" t="s">
        <v>114</v>
      </c>
      <c r="U156" t="s">
        <v>115</v>
      </c>
      <c r="V156" t="s">
        <v>1350</v>
      </c>
      <c r="W156">
        <v>200</v>
      </c>
      <c r="X156">
        <v>20044013</v>
      </c>
      <c r="Y156" t="s">
        <v>1351</v>
      </c>
      <c r="Z156" t="s">
        <v>119</v>
      </c>
      <c r="AA156" t="s">
        <v>24</v>
      </c>
      <c r="AB156" t="s">
        <v>120</v>
      </c>
      <c r="AC156" t="s">
        <v>25</v>
      </c>
      <c r="AD156" t="s">
        <v>155</v>
      </c>
      <c r="AE156">
        <v>8</v>
      </c>
      <c r="AF156" t="s">
        <v>27</v>
      </c>
      <c r="AG156" t="s">
        <v>26</v>
      </c>
      <c r="AH156" t="s">
        <v>515</v>
      </c>
      <c r="AI156" t="str">
        <f t="shared" si="10"/>
        <v>SI</v>
      </c>
      <c r="AJ156" t="str">
        <f t="shared" si="11"/>
        <v>LABORATORIOS LEGRAND</v>
      </c>
      <c r="AK156" t="str">
        <f>IF(ISNUMBER(SEARCH("FABRICANTE",AC156)),"FABRICANTE",IF(ISNUMBER(SEARCH("IMPORTADOR",AC156)),"IMPORTADOR","OTRO"))</f>
        <v>FABRICANTE</v>
      </c>
      <c r="AL156" t="str">
        <f>IF(LEFT(Y156,1)="A","Sistema digestivo",IF(LEFT(Y156,1)="B","Sangre",IF(LEFT(Y156,1)="C","Cardiovascular",IF(LEFT(Y156,1)="D","Dermatológico",IF(LEFT(Y156,1)="G","Genitourinario",IF(LEFT(Y156,1)="H","Hormonal",IF(LEFT(Y156,1)="J","Antiinfecciosos",IF(LEFT(Y156,1)="L","Oncológicos",IF(LEFT(Y156,1)="M","Musculoesquelético",IF(LEFT(Y156,1)="N","Sistema nervioso",IF(LEFT(Y156,1)="R","Respiratorio",IF(LEFT(Y156,1)="S","Oftálmico",IF(LEFT(Y156,1)="V","Varios","OTRO")))))))))))))</f>
        <v>Sistema nervioso</v>
      </c>
      <c r="AM156" t="str">
        <f>IF(AG156="Vigente","ACTIVO",IF(ISNUMBER(SEARCH("Inactivo",J156)),"INACTIVO","REVISAR"))</f>
        <v>ACTIVO</v>
      </c>
      <c r="AN156" t="str">
        <f ca="1">IF(OR(AF156="",AF156="null"),"",ROUND((AF156-TODAY())/365.25,2))</f>
        <v/>
      </c>
      <c r="AO156" t="str">
        <f ca="1">IF(AND(AG156="Vigente",OR(AF156="",AF156="null",AF156&gt;TODAY())),"SI",IF(AND(NOT(OR(AF156="",AF156="null")),AF156&lt;=TODAY()),"NO",IF(AG156="Vigente","SI","DESCONOCIDO")))</f>
        <v>SI</v>
      </c>
      <c r="AP156" t="str">
        <f>IF(AND(ISNUMBER(SEARCH("IMPORTAR",AA156)),ISNUMBER(SEARCH("FABRICAR",AA156))),"MIXTO",IF(ISNUMBER(SEARCH("IMPORTAR",AA156)),"IMPORTADO",IF(ISNUMBER(SEARCH("FABRICAR",AA156)),"LOCAL","OTRO")))</f>
        <v>LOCAL</v>
      </c>
      <c r="AQ156" t="str">
        <f>IF(AD156="Si","SI",IF(AD156="No","NO",""))</f>
        <v>SI</v>
      </c>
      <c r="AR156" t="str">
        <f>IF(ISNUMBER(SEARCH("®",N156)),"MARCA/INNOVADOR","GENERICO")</f>
        <v>MARCA/INNOVADOR</v>
      </c>
      <c r="AS156">
        <f ca="1">IF(AE156&gt;100,RANDBETWEEN(500,5000),IF(AND(AE156&gt;=10,AE156&lt;=100),RANDBETWEEN(100,1000),RANDBETWEEN(10,200)))</f>
        <v>116</v>
      </c>
      <c r="AT156">
        <f t="shared" ca="1" si="12"/>
        <v>11</v>
      </c>
      <c r="AU156">
        <f ca="1">INT(AS156*RANDBETWEEN(120,200)/100)</f>
        <v>167</v>
      </c>
      <c r="AV156" s="2">
        <f ca="1">IF(LEFT(Y156,1)="L",RANDBETWEEN(500000,5000000),IF(LEFT(Y156,1)="C",RANDBETWEEN(5000,50000),IF(LEFT(Y156,1)="N",RANDBETWEEN(10000,150000),IF(LEFT(Y156,1)="J",RANDBETWEEN(8000,200000),RANDBETWEEN(5000,100000)))))</f>
        <v>61365</v>
      </c>
      <c r="AW156" s="2">
        <f ca="1">INT(AV156*RANDBETWEEN(30,60)/100)</f>
        <v>23932</v>
      </c>
      <c r="AX156">
        <f ca="1">IF(Z156="ORAL",RANDBETWEEN(1000,10000),IF(OR(Z156="INTRAVENOSA",Z156="INTRAMUSCULAR"),RANDBETWEEN(100,2000),IF(OR(Z156="OFTÁLMICA",Z156="TOPICA (EXTERNA)"),RANDBETWEEN(200,3000),RANDBETWEEN(100,1500))))</f>
        <v>5757</v>
      </c>
      <c r="AY156" s="2">
        <f ca="1">INT(AV156*RANDBETWEEN(90,130)/100)</f>
        <v>69342</v>
      </c>
      <c r="AZ156" t="str">
        <f t="shared" ca="1" si="13"/>
        <v>20.5%</v>
      </c>
      <c r="BA156" t="str">
        <f t="shared" ca="1" si="14"/>
        <v>BAJO</v>
      </c>
    </row>
    <row r="157" spans="4:53" x14ac:dyDescent="0.35">
      <c r="D157" t="s">
        <v>1352</v>
      </c>
      <c r="E157" s="1">
        <v>45355</v>
      </c>
      <c r="F157" t="s">
        <v>522</v>
      </c>
      <c r="G157" t="s">
        <v>108</v>
      </c>
      <c r="H157" t="s">
        <v>540</v>
      </c>
      <c r="I157">
        <v>20176016</v>
      </c>
      <c r="J157" t="s">
        <v>28</v>
      </c>
      <c r="K157">
        <v>4</v>
      </c>
      <c r="L157" t="s">
        <v>27</v>
      </c>
      <c r="M157" t="s">
        <v>1353</v>
      </c>
      <c r="N157" t="s">
        <v>1354</v>
      </c>
      <c r="O157" t="s">
        <v>1355</v>
      </c>
      <c r="P157" t="s">
        <v>33</v>
      </c>
      <c r="Q157" s="1">
        <v>44018</v>
      </c>
      <c r="R157" t="s">
        <v>33</v>
      </c>
      <c r="S157" t="s">
        <v>27</v>
      </c>
      <c r="T157" t="s">
        <v>540</v>
      </c>
      <c r="U157" t="s">
        <v>115</v>
      </c>
      <c r="V157" t="s">
        <v>321</v>
      </c>
      <c r="W157">
        <v>325</v>
      </c>
      <c r="X157">
        <v>20176016</v>
      </c>
      <c r="Y157" t="s">
        <v>322</v>
      </c>
      <c r="Z157" t="s">
        <v>119</v>
      </c>
      <c r="AA157" t="s">
        <v>32</v>
      </c>
      <c r="AB157" t="s">
        <v>120</v>
      </c>
      <c r="AC157" t="s">
        <v>25</v>
      </c>
      <c r="AD157" t="s">
        <v>121</v>
      </c>
      <c r="AE157">
        <v>20</v>
      </c>
      <c r="AF157" s="1">
        <v>401769</v>
      </c>
      <c r="AG157" t="s">
        <v>26</v>
      </c>
      <c r="AH157" t="s">
        <v>522</v>
      </c>
      <c r="AI157" t="str">
        <f t="shared" si="10"/>
        <v>NO</v>
      </c>
      <c r="AJ157" t="str">
        <f t="shared" si="11"/>
        <v>IPCA LABORATORIES.</v>
      </c>
      <c r="AK157" t="str">
        <f>IF(ISNUMBER(SEARCH("FABRICANTE",AC157)),"FABRICANTE",IF(ISNUMBER(SEARCH("IMPORTADOR",AC157)),"IMPORTADOR","OTRO"))</f>
        <v>FABRICANTE</v>
      </c>
      <c r="AL157" t="str">
        <f>IF(LEFT(Y157,1)="A","Sistema digestivo",IF(LEFT(Y157,1)="B","Sangre",IF(LEFT(Y157,1)="C","Cardiovascular",IF(LEFT(Y157,1)="D","Dermatológico",IF(LEFT(Y157,1)="G","Genitourinario",IF(LEFT(Y157,1)="H","Hormonal",IF(LEFT(Y157,1)="J","Antiinfecciosos",IF(LEFT(Y157,1)="L","Oncológicos",IF(LEFT(Y157,1)="M","Musculoesquelético",IF(LEFT(Y157,1)="N","Sistema nervioso",IF(LEFT(Y157,1)="R","Respiratorio",IF(LEFT(Y157,1)="S","Oftálmico",IF(LEFT(Y157,1)="V","Varios","OTRO")))))))))))))</f>
        <v>Sistema nervioso</v>
      </c>
      <c r="AM157" t="str">
        <f>IF(AG157="Vigente","ACTIVO",IF(ISNUMBER(SEARCH("Inactivo",J157)),"INACTIVO","REVISAR"))</f>
        <v>ACTIVO</v>
      </c>
      <c r="AN157">
        <f ca="1">IF(OR(AF157="",AF157="null"),"",ROUND((AF157-TODAY())/365.25,2))</f>
        <v>973.58</v>
      </c>
      <c r="AO157" t="str">
        <f ca="1">IF(AND(AG157="Vigente",OR(AF157="",AF157="null",AF157&gt;TODAY())),"SI",IF(AND(NOT(OR(AF157="",AF157="null")),AF157&lt;=TODAY()),"NO",IF(AG157="Vigente","SI","DESCONOCIDO")))</f>
        <v>SI</v>
      </c>
      <c r="AP157" t="str">
        <f>IF(AND(ISNUMBER(SEARCH("IMPORTAR",AA157)),ISNUMBER(SEARCH("FABRICAR",AA157))),"MIXTO",IF(ISNUMBER(SEARCH("IMPORTAR",AA157)),"IMPORTADO",IF(ISNUMBER(SEARCH("FABRICAR",AA157)),"LOCAL","OTRO")))</f>
        <v>IMPORTADO</v>
      </c>
      <c r="AQ157" t="str">
        <f>IF(AD157="Si","SI",IF(AD157="No","NO",""))</f>
        <v>NO</v>
      </c>
      <c r="AR157" t="str">
        <f>IF(ISNUMBER(SEARCH("®",N157)),"MARCA/INNOVADOR","GENERICO")</f>
        <v>GENERICO</v>
      </c>
      <c r="AS157">
        <f ca="1">IF(AE157&gt;100,RANDBETWEEN(500,5000),IF(AND(AE157&gt;=10,AE157&lt;=100),RANDBETWEEN(100,1000),RANDBETWEEN(10,200)))</f>
        <v>988</v>
      </c>
      <c r="AT157">
        <f t="shared" ca="1" si="12"/>
        <v>148</v>
      </c>
      <c r="AU157">
        <f ca="1">INT(AS157*RANDBETWEEN(120,200)/100)</f>
        <v>1393</v>
      </c>
      <c r="AV157" s="2">
        <f ca="1">IF(LEFT(Y157,1)="L",RANDBETWEEN(500000,5000000),IF(LEFT(Y157,1)="C",RANDBETWEEN(5000,50000),IF(LEFT(Y157,1)="N",RANDBETWEEN(10000,150000),IF(LEFT(Y157,1)="J",RANDBETWEEN(8000,200000),RANDBETWEEN(5000,100000)))))</f>
        <v>122377</v>
      </c>
      <c r="AW157" s="2">
        <f ca="1">INT(AV157*RANDBETWEEN(30,60)/100)</f>
        <v>47727</v>
      </c>
      <c r="AX157">
        <f ca="1">IF(Z157="ORAL",RANDBETWEEN(1000,10000),IF(OR(Z157="INTRAVENOSA",Z157="INTRAMUSCULAR"),RANDBETWEEN(100,2000),IF(OR(Z157="OFTÁLMICA",Z157="TOPICA (EXTERNA)"),RANDBETWEEN(200,3000),RANDBETWEEN(100,1500))))</f>
        <v>7725</v>
      </c>
      <c r="AY157" s="2">
        <f ca="1">INT(AV157*RANDBETWEEN(90,130)/100)</f>
        <v>146852</v>
      </c>
      <c r="AZ157" t="str">
        <f t="shared" ca="1" si="13"/>
        <v>14.8%</v>
      </c>
      <c r="BA157" t="str">
        <f t="shared" ca="1" si="14"/>
        <v>BAJO</v>
      </c>
    </row>
    <row r="158" spans="4:53" x14ac:dyDescent="0.35">
      <c r="D158" t="s">
        <v>1356</v>
      </c>
      <c r="E158" s="1">
        <v>41983</v>
      </c>
      <c r="F158" t="s">
        <v>1357</v>
      </c>
      <c r="G158" t="s">
        <v>108</v>
      </c>
      <c r="H158" t="s">
        <v>146</v>
      </c>
      <c r="I158">
        <v>20063407</v>
      </c>
      <c r="J158" t="s">
        <v>28</v>
      </c>
      <c r="K158">
        <v>8</v>
      </c>
      <c r="L158" t="s">
        <v>27</v>
      </c>
      <c r="M158" t="s">
        <v>1358</v>
      </c>
      <c r="N158" t="s">
        <v>1359</v>
      </c>
      <c r="O158" t="s">
        <v>1360</v>
      </c>
      <c r="P158" t="s">
        <v>1361</v>
      </c>
      <c r="Q158" s="1">
        <v>41978</v>
      </c>
      <c r="R158" t="s">
        <v>73</v>
      </c>
      <c r="S158" t="s">
        <v>27</v>
      </c>
      <c r="T158" t="s">
        <v>80</v>
      </c>
      <c r="U158" t="s">
        <v>115</v>
      </c>
      <c r="V158" t="s">
        <v>1362</v>
      </c>
      <c r="W158">
        <v>40</v>
      </c>
      <c r="X158">
        <v>20063407</v>
      </c>
      <c r="Y158" t="s">
        <v>1363</v>
      </c>
      <c r="Z158" t="s">
        <v>119</v>
      </c>
      <c r="AA158" t="s">
        <v>165</v>
      </c>
      <c r="AB158" t="s">
        <v>653</v>
      </c>
      <c r="AC158" t="s">
        <v>25</v>
      </c>
      <c r="AD158" t="s">
        <v>121</v>
      </c>
      <c r="AE158">
        <v>25</v>
      </c>
      <c r="AF158" t="s">
        <v>27</v>
      </c>
      <c r="AG158" t="s">
        <v>26</v>
      </c>
      <c r="AH158" t="s">
        <v>6753</v>
      </c>
      <c r="AI158" t="str">
        <f t="shared" si="10"/>
        <v>NO</v>
      </c>
      <c r="AJ158" t="str">
        <f t="shared" si="11"/>
        <v>TECNOQUIMICAS</v>
      </c>
      <c r="AK158" t="str">
        <f>IF(ISNUMBER(SEARCH("FABRICANTE",AC158)),"FABRICANTE",IF(ISNUMBER(SEARCH("IMPORTADOR",AC158)),"IMPORTADOR","OTRO"))</f>
        <v>FABRICANTE</v>
      </c>
      <c r="AL158" t="str">
        <f>IF(LEFT(Y158,1)="A","Sistema digestivo",IF(LEFT(Y158,1)="B","Sangre",IF(LEFT(Y158,1)="C","Cardiovascular",IF(LEFT(Y158,1)="D","Dermatológico",IF(LEFT(Y158,1)="G","Genitourinario",IF(LEFT(Y158,1)="H","Hormonal",IF(LEFT(Y158,1)="J","Antiinfecciosos",IF(LEFT(Y158,1)="L","Oncológicos",IF(LEFT(Y158,1)="M","Musculoesquelético",IF(LEFT(Y158,1)="N","Sistema nervioso",IF(LEFT(Y158,1)="R","Respiratorio",IF(LEFT(Y158,1)="S","Oftálmico",IF(LEFT(Y158,1)="V","Varios","OTRO")))))))))))))</f>
        <v>Sistema digestivo</v>
      </c>
      <c r="AM158" t="str">
        <f>IF(AG158="Vigente","ACTIVO",IF(ISNUMBER(SEARCH("Inactivo",J158)),"INACTIVO","REVISAR"))</f>
        <v>ACTIVO</v>
      </c>
      <c r="AN158" t="str">
        <f ca="1">IF(OR(AF158="",AF158="null"),"",ROUND((AF158-TODAY())/365.25,2))</f>
        <v/>
      </c>
      <c r="AO158" t="str">
        <f ca="1">IF(AND(AG158="Vigente",OR(AF158="",AF158="null",AF158&gt;TODAY())),"SI",IF(AND(NOT(OR(AF158="",AF158="null")),AF158&lt;=TODAY()),"NO",IF(AG158="Vigente","SI","DESCONOCIDO")))</f>
        <v>SI</v>
      </c>
      <c r="AP158" t="str">
        <f>IF(AND(ISNUMBER(SEARCH("IMPORTAR",AA158)),ISNUMBER(SEARCH("FABRICAR",AA158))),"MIXTO",IF(ISNUMBER(SEARCH("IMPORTAR",AA158)),"IMPORTADO",IF(ISNUMBER(SEARCH("FABRICAR",AA158)),"LOCAL","OTRO")))</f>
        <v>IMPORTADO</v>
      </c>
      <c r="AQ158" t="str">
        <f>IF(AD158="Si","SI",IF(AD158="No","NO",""))</f>
        <v>NO</v>
      </c>
      <c r="AR158" t="str">
        <f>IF(ISNUMBER(SEARCH("®",N158)),"MARCA/INNOVADOR","GENERICO")</f>
        <v>GENERICO</v>
      </c>
      <c r="AS158">
        <f ca="1">IF(AE158&gt;100,RANDBETWEEN(500,5000),IF(AND(AE158&gt;=10,AE158&lt;=100),RANDBETWEEN(100,1000),RANDBETWEEN(10,200)))</f>
        <v>649</v>
      </c>
      <c r="AT158">
        <f t="shared" ca="1" si="12"/>
        <v>97</v>
      </c>
      <c r="AU158">
        <f ca="1">INT(AS158*RANDBETWEEN(120,200)/100)</f>
        <v>941</v>
      </c>
      <c r="AV158" s="2">
        <f ca="1">IF(LEFT(Y158,1)="L",RANDBETWEEN(500000,5000000),IF(LEFT(Y158,1)="C",RANDBETWEEN(5000,50000),IF(LEFT(Y158,1)="N",RANDBETWEEN(10000,150000),IF(LEFT(Y158,1)="J",RANDBETWEEN(8000,200000),RANDBETWEEN(5000,100000)))))</f>
        <v>67444</v>
      </c>
      <c r="AW158" s="2">
        <f ca="1">INT(AV158*RANDBETWEEN(30,60)/100)</f>
        <v>33047</v>
      </c>
      <c r="AX158">
        <f ca="1">IF(Z158="ORAL",RANDBETWEEN(1000,10000),IF(OR(Z158="INTRAVENOSA",Z158="INTRAMUSCULAR"),RANDBETWEEN(100,2000),IF(OR(Z158="OFTÁLMICA",Z158="TOPICA (EXTERNA)"),RANDBETWEEN(200,3000),RANDBETWEEN(100,1500))))</f>
        <v>5124</v>
      </c>
      <c r="AY158" s="2">
        <f ca="1">INT(AV158*RANDBETWEEN(90,130)/100)</f>
        <v>67444</v>
      </c>
      <c r="AZ158" t="str">
        <f t="shared" ca="1" si="13"/>
        <v>6%</v>
      </c>
      <c r="BA158" t="str">
        <f t="shared" ca="1" si="14"/>
        <v>BAJO</v>
      </c>
    </row>
    <row r="159" spans="4:53" x14ac:dyDescent="0.35">
      <c r="D159" t="s">
        <v>1364</v>
      </c>
      <c r="E159" s="1">
        <v>41072</v>
      </c>
      <c r="F159" t="s">
        <v>1365</v>
      </c>
      <c r="G159" t="s">
        <v>108</v>
      </c>
      <c r="H159" t="s">
        <v>74</v>
      </c>
      <c r="I159">
        <v>20034335</v>
      </c>
      <c r="J159" t="s">
        <v>28</v>
      </c>
      <c r="K159">
        <v>4</v>
      </c>
      <c r="L159" t="s">
        <v>27</v>
      </c>
      <c r="M159" t="s">
        <v>1366</v>
      </c>
      <c r="N159" t="s">
        <v>1367</v>
      </c>
      <c r="O159" t="s">
        <v>1368</v>
      </c>
      <c r="P159" t="s">
        <v>37</v>
      </c>
      <c r="Q159" s="1">
        <v>41295</v>
      </c>
      <c r="R159" t="s">
        <v>37</v>
      </c>
      <c r="S159" t="s">
        <v>27</v>
      </c>
      <c r="T159" t="s">
        <v>1369</v>
      </c>
      <c r="U159" t="s">
        <v>115</v>
      </c>
      <c r="V159" t="s">
        <v>1093</v>
      </c>
      <c r="W159">
        <v>500</v>
      </c>
      <c r="X159">
        <v>20034335</v>
      </c>
      <c r="Y159" t="s">
        <v>1094</v>
      </c>
      <c r="Z159" t="s">
        <v>119</v>
      </c>
      <c r="AA159" t="s">
        <v>24</v>
      </c>
      <c r="AB159" t="s">
        <v>120</v>
      </c>
      <c r="AC159" t="s">
        <v>25</v>
      </c>
      <c r="AD159" t="s">
        <v>121</v>
      </c>
      <c r="AE159">
        <v>20</v>
      </c>
      <c r="AF159" t="s">
        <v>27</v>
      </c>
      <c r="AG159" t="s">
        <v>26</v>
      </c>
      <c r="AH159" t="s">
        <v>6626</v>
      </c>
      <c r="AI159" t="str">
        <f t="shared" si="10"/>
        <v>SI</v>
      </c>
      <c r="AJ159" t="str">
        <f t="shared" si="11"/>
        <v>GLOBAL INTERNATIONAL MEDICINE GIMED</v>
      </c>
      <c r="AK159" t="str">
        <f>IF(ISNUMBER(SEARCH("FABRICANTE",AC159)),"FABRICANTE",IF(ISNUMBER(SEARCH("IMPORTADOR",AC159)),"IMPORTADOR","OTRO"))</f>
        <v>FABRICANTE</v>
      </c>
      <c r="AL159" t="str">
        <f>IF(LEFT(Y159,1)="A","Sistema digestivo",IF(LEFT(Y159,1)="B","Sangre",IF(LEFT(Y159,1)="C","Cardiovascular",IF(LEFT(Y159,1)="D","Dermatológico",IF(LEFT(Y159,1)="G","Genitourinario",IF(LEFT(Y159,1)="H","Hormonal",IF(LEFT(Y159,1)="J","Antiinfecciosos",IF(LEFT(Y159,1)="L","Oncológicos",IF(LEFT(Y159,1)="M","Musculoesquelético",IF(LEFT(Y159,1)="N","Sistema nervioso",IF(LEFT(Y159,1)="R","Respiratorio",IF(LEFT(Y159,1)="S","Oftálmico",IF(LEFT(Y159,1)="V","Varios","OTRO")))))))))))))</f>
        <v>Antiinfecciosos</v>
      </c>
      <c r="AM159" t="str">
        <f>IF(AG159="Vigente","ACTIVO",IF(ISNUMBER(SEARCH("Inactivo",J159)),"INACTIVO","REVISAR"))</f>
        <v>ACTIVO</v>
      </c>
      <c r="AN159" t="str">
        <f ca="1">IF(OR(AF159="",AF159="null"),"",ROUND((AF159-TODAY())/365.25,2))</f>
        <v/>
      </c>
      <c r="AO159" t="str">
        <f ca="1">IF(AND(AG159="Vigente",OR(AF159="",AF159="null",AF159&gt;TODAY())),"SI",IF(AND(NOT(OR(AF159="",AF159="null")),AF159&lt;=TODAY()),"NO",IF(AG159="Vigente","SI","DESCONOCIDO")))</f>
        <v>SI</v>
      </c>
      <c r="AP159" t="str">
        <f>IF(AND(ISNUMBER(SEARCH("IMPORTAR",AA159)),ISNUMBER(SEARCH("FABRICAR",AA159))),"MIXTO",IF(ISNUMBER(SEARCH("IMPORTAR",AA159)),"IMPORTADO",IF(ISNUMBER(SEARCH("FABRICAR",AA159)),"LOCAL","OTRO")))</f>
        <v>LOCAL</v>
      </c>
      <c r="AQ159" t="str">
        <f>IF(AD159="Si","SI",IF(AD159="No","NO",""))</f>
        <v>NO</v>
      </c>
      <c r="AR159" t="str">
        <f>IF(ISNUMBER(SEARCH("®",N159)),"MARCA/INNOVADOR","GENERICO")</f>
        <v>GENERICO</v>
      </c>
      <c r="AS159">
        <f ca="1">IF(AE159&gt;100,RANDBETWEEN(500,5000),IF(AND(AE159&gt;=10,AE159&lt;=100),RANDBETWEEN(100,1000),RANDBETWEEN(10,200)))</f>
        <v>667</v>
      </c>
      <c r="AT159">
        <f t="shared" ca="1" si="12"/>
        <v>180</v>
      </c>
      <c r="AU159">
        <f ca="1">INT(AS159*RANDBETWEEN(120,200)/100)</f>
        <v>1060</v>
      </c>
      <c r="AV159" s="2">
        <f ca="1">IF(LEFT(Y159,1)="L",RANDBETWEEN(500000,5000000),IF(LEFT(Y159,1)="C",RANDBETWEEN(5000,50000),IF(LEFT(Y159,1)="N",RANDBETWEEN(10000,150000),IF(LEFT(Y159,1)="J",RANDBETWEEN(8000,200000),RANDBETWEEN(5000,100000)))))</f>
        <v>101094</v>
      </c>
      <c r="AW159" s="2">
        <f ca="1">INT(AV159*RANDBETWEEN(30,60)/100)</f>
        <v>30328</v>
      </c>
      <c r="AX159">
        <f ca="1">IF(Z159="ORAL",RANDBETWEEN(1000,10000),IF(OR(Z159="INTRAVENOSA",Z159="INTRAMUSCULAR"),RANDBETWEEN(100,2000),IF(OR(Z159="OFTÁLMICA",Z159="TOPICA (EXTERNA)"),RANDBETWEEN(200,3000),RANDBETWEEN(100,1500))))</f>
        <v>4399</v>
      </c>
      <c r="AY159" s="2">
        <f ca="1">INT(AV159*RANDBETWEEN(90,130)/100)</f>
        <v>119290</v>
      </c>
      <c r="AZ159" t="str">
        <f t="shared" ca="1" si="13"/>
        <v>8.8%</v>
      </c>
      <c r="BA159" t="str">
        <f t="shared" ca="1" si="14"/>
        <v>BAJO</v>
      </c>
    </row>
    <row r="160" spans="4:53" x14ac:dyDescent="0.35">
      <c r="D160" t="s">
        <v>1370</v>
      </c>
      <c r="E160" s="1">
        <v>36161</v>
      </c>
      <c r="F160" t="s">
        <v>1371</v>
      </c>
      <c r="G160" t="s">
        <v>108</v>
      </c>
      <c r="H160" t="s">
        <v>124</v>
      </c>
      <c r="I160">
        <v>220305</v>
      </c>
      <c r="J160" t="s">
        <v>28</v>
      </c>
      <c r="K160">
        <v>3</v>
      </c>
      <c r="L160" t="s">
        <v>27</v>
      </c>
      <c r="M160" t="s">
        <v>1372</v>
      </c>
      <c r="N160" t="s">
        <v>1373</v>
      </c>
      <c r="O160" t="s">
        <v>1374</v>
      </c>
      <c r="P160" t="s">
        <v>1375</v>
      </c>
      <c r="Q160" s="1">
        <v>39031</v>
      </c>
      <c r="R160" t="s">
        <v>50</v>
      </c>
      <c r="S160" t="s">
        <v>27</v>
      </c>
      <c r="T160" t="s">
        <v>129</v>
      </c>
      <c r="U160" t="s">
        <v>115</v>
      </c>
      <c r="V160" t="s">
        <v>1376</v>
      </c>
      <c r="W160">
        <v>600</v>
      </c>
      <c r="X160">
        <v>220305</v>
      </c>
      <c r="Y160" t="s">
        <v>1377</v>
      </c>
      <c r="Z160" t="s">
        <v>213</v>
      </c>
      <c r="AA160" t="s">
        <v>24</v>
      </c>
      <c r="AB160" t="s">
        <v>120</v>
      </c>
      <c r="AC160" t="s">
        <v>25</v>
      </c>
      <c r="AD160" t="s">
        <v>121</v>
      </c>
      <c r="AE160">
        <v>10</v>
      </c>
      <c r="AF160" t="s">
        <v>27</v>
      </c>
      <c r="AG160" t="s">
        <v>26</v>
      </c>
      <c r="AH160" t="s">
        <v>6627</v>
      </c>
      <c r="AI160" t="str">
        <f t="shared" si="10"/>
        <v>SI</v>
      </c>
      <c r="AJ160" t="str">
        <f t="shared" si="11"/>
        <v>VITALIS</v>
      </c>
      <c r="AK160" t="str">
        <f>IF(ISNUMBER(SEARCH("FABRICANTE",AC160)),"FABRICANTE",IF(ISNUMBER(SEARCH("IMPORTADOR",AC160)),"IMPORTADOR","OTRO"))</f>
        <v>FABRICANTE</v>
      </c>
      <c r="AL160" t="str">
        <f>IF(LEFT(Y160,1)="A","Sistema digestivo",IF(LEFT(Y160,1)="B","Sangre",IF(LEFT(Y160,1)="C","Cardiovascular",IF(LEFT(Y160,1)="D","Dermatológico",IF(LEFT(Y160,1)="G","Genitourinario",IF(LEFT(Y160,1)="H","Hormonal",IF(LEFT(Y160,1)="J","Antiinfecciosos",IF(LEFT(Y160,1)="L","Oncológicos",IF(LEFT(Y160,1)="M","Musculoesquelético",IF(LEFT(Y160,1)="N","Sistema nervioso",IF(LEFT(Y160,1)="R","Respiratorio",IF(LEFT(Y160,1)="S","Oftálmico",IF(LEFT(Y160,1)="V","Varios","OTRO")))))))))))))</f>
        <v>Antiinfecciosos</v>
      </c>
      <c r="AM160" t="str">
        <f>IF(AG160="Vigente","ACTIVO",IF(ISNUMBER(SEARCH("Inactivo",J160)),"INACTIVO","REVISAR"))</f>
        <v>ACTIVO</v>
      </c>
      <c r="AN160" t="str">
        <f ca="1">IF(OR(AF160="",AF160="null"),"",ROUND((AF160-TODAY())/365.25,2))</f>
        <v/>
      </c>
      <c r="AO160" t="str">
        <f ca="1">IF(AND(AG160="Vigente",OR(AF160="",AF160="null",AF160&gt;TODAY())),"SI",IF(AND(NOT(OR(AF160="",AF160="null")),AF160&lt;=TODAY()),"NO",IF(AG160="Vigente","SI","DESCONOCIDO")))</f>
        <v>SI</v>
      </c>
      <c r="AP160" t="str">
        <f>IF(AND(ISNUMBER(SEARCH("IMPORTAR",AA160)),ISNUMBER(SEARCH("FABRICAR",AA160))),"MIXTO",IF(ISNUMBER(SEARCH("IMPORTAR",AA160)),"IMPORTADO",IF(ISNUMBER(SEARCH("FABRICAR",AA160)),"LOCAL","OTRO")))</f>
        <v>LOCAL</v>
      </c>
      <c r="AQ160" t="str">
        <f>IF(AD160="Si","SI",IF(AD160="No","NO",""))</f>
        <v>NO</v>
      </c>
      <c r="AR160" t="str">
        <f>IF(ISNUMBER(SEARCH("®",N160)),"MARCA/INNOVADOR","GENERICO")</f>
        <v>GENERICO</v>
      </c>
      <c r="AS160">
        <f ca="1">IF(AE160&gt;100,RANDBETWEEN(500,5000),IF(AND(AE160&gt;=10,AE160&lt;=100),RANDBETWEEN(100,1000),RANDBETWEEN(10,200)))</f>
        <v>835</v>
      </c>
      <c r="AT160">
        <f t="shared" ca="1" si="12"/>
        <v>183</v>
      </c>
      <c r="AU160">
        <f ca="1">INT(AS160*RANDBETWEEN(120,200)/100)</f>
        <v>1619</v>
      </c>
      <c r="AV160" s="2">
        <f ca="1">IF(LEFT(Y160,1)="L",RANDBETWEEN(500000,5000000),IF(LEFT(Y160,1)="C",RANDBETWEEN(5000,50000),IF(LEFT(Y160,1)="N",RANDBETWEEN(10000,150000),IF(LEFT(Y160,1)="J",RANDBETWEEN(8000,200000),RANDBETWEEN(5000,100000)))))</f>
        <v>13808</v>
      </c>
      <c r="AW160" s="2">
        <f ca="1">INT(AV160*RANDBETWEEN(30,60)/100)</f>
        <v>6765</v>
      </c>
      <c r="AX160">
        <f ca="1">IF(Z160="ORAL",RANDBETWEEN(1000,10000),IF(OR(Z160="INTRAVENOSA",Z160="INTRAMUSCULAR"),RANDBETWEEN(100,2000),IF(OR(Z160="OFTÁLMICA",Z160="TOPICA (EXTERNA)"),RANDBETWEEN(200,3000),RANDBETWEEN(100,1500))))</f>
        <v>1425</v>
      </c>
      <c r="AY160" s="2">
        <f ca="1">INT(AV160*RANDBETWEEN(90,130)/100)</f>
        <v>13808</v>
      </c>
      <c r="AZ160" t="str">
        <f t="shared" ca="1" si="13"/>
        <v>4.4%</v>
      </c>
      <c r="BA160" t="str">
        <f t="shared" ca="1" si="14"/>
        <v>BAJO</v>
      </c>
    </row>
    <row r="161" spans="4:53" x14ac:dyDescent="0.35">
      <c r="D161" t="s">
        <v>1378</v>
      </c>
      <c r="E161" s="1">
        <v>36635</v>
      </c>
      <c r="F161" t="s">
        <v>1379</v>
      </c>
      <c r="G161" t="s">
        <v>108</v>
      </c>
      <c r="H161" t="s">
        <v>1380</v>
      </c>
      <c r="I161">
        <v>37116</v>
      </c>
      <c r="J161" t="s">
        <v>28</v>
      </c>
      <c r="K161">
        <v>13</v>
      </c>
      <c r="L161" t="s">
        <v>27</v>
      </c>
      <c r="M161" t="s">
        <v>1381</v>
      </c>
      <c r="N161" t="s">
        <v>1382</v>
      </c>
      <c r="O161" t="s">
        <v>1383</v>
      </c>
      <c r="P161" t="s">
        <v>1384</v>
      </c>
      <c r="Q161" s="1">
        <v>42263</v>
      </c>
      <c r="R161" t="s">
        <v>29</v>
      </c>
      <c r="S161" t="s">
        <v>27</v>
      </c>
      <c r="T161" t="s">
        <v>172</v>
      </c>
      <c r="U161" t="s">
        <v>115</v>
      </c>
      <c r="V161" t="s">
        <v>1379</v>
      </c>
      <c r="W161">
        <v>10</v>
      </c>
      <c r="X161">
        <v>37116</v>
      </c>
      <c r="Y161" t="s">
        <v>1385</v>
      </c>
      <c r="Z161" t="s">
        <v>119</v>
      </c>
      <c r="AA161" t="s">
        <v>24</v>
      </c>
      <c r="AB161" t="s">
        <v>120</v>
      </c>
      <c r="AC161" t="s">
        <v>25</v>
      </c>
      <c r="AD161" t="s">
        <v>155</v>
      </c>
      <c r="AE161">
        <v>2</v>
      </c>
      <c r="AF161" t="s">
        <v>27</v>
      </c>
      <c r="AG161" t="s">
        <v>26</v>
      </c>
      <c r="AH161" t="s">
        <v>1379</v>
      </c>
      <c r="AI161" t="str">
        <f t="shared" si="10"/>
        <v>NO</v>
      </c>
      <c r="AJ161" t="str">
        <f t="shared" si="11"/>
        <v>NOVAMED</v>
      </c>
      <c r="AK161" t="str">
        <f>IF(ISNUMBER(SEARCH("FABRICANTE",AC161)),"FABRICANTE",IF(ISNUMBER(SEARCH("IMPORTADOR",AC161)),"IMPORTADOR","OTRO"))</f>
        <v>FABRICANTE</v>
      </c>
      <c r="AL161" t="str">
        <f>IF(LEFT(Y161,1)="A","Sistema digestivo",IF(LEFT(Y161,1)="B","Sangre",IF(LEFT(Y161,1)="C","Cardiovascular",IF(LEFT(Y161,1)="D","Dermatológico",IF(LEFT(Y161,1)="G","Genitourinario",IF(LEFT(Y161,1)="H","Hormonal",IF(LEFT(Y161,1)="J","Antiinfecciosos",IF(LEFT(Y161,1)="L","Oncológicos",IF(LEFT(Y161,1)="M","Musculoesquelético",IF(LEFT(Y161,1)="N","Sistema nervioso",IF(LEFT(Y161,1)="R","Respiratorio",IF(LEFT(Y161,1)="S","Oftálmico",IF(LEFT(Y161,1)="V","Varios","OTRO")))))))))))))</f>
        <v>Respiratorio</v>
      </c>
      <c r="AM161" t="str">
        <f>IF(AG161="Vigente","ACTIVO",IF(ISNUMBER(SEARCH("Inactivo",J161)),"INACTIVO","REVISAR"))</f>
        <v>ACTIVO</v>
      </c>
      <c r="AN161" t="str">
        <f ca="1">IF(OR(AF161="",AF161="null"),"",ROUND((AF161-TODAY())/365.25,2))</f>
        <v/>
      </c>
      <c r="AO161" t="str">
        <f ca="1">IF(AND(AG161="Vigente",OR(AF161="",AF161="null",AF161&gt;TODAY())),"SI",IF(AND(NOT(OR(AF161="",AF161="null")),AF161&lt;=TODAY()),"NO",IF(AG161="Vigente","SI","DESCONOCIDO")))</f>
        <v>SI</v>
      </c>
      <c r="AP161" t="str">
        <f>IF(AND(ISNUMBER(SEARCH("IMPORTAR",AA161)),ISNUMBER(SEARCH("FABRICAR",AA161))),"MIXTO",IF(ISNUMBER(SEARCH("IMPORTAR",AA161)),"IMPORTADO",IF(ISNUMBER(SEARCH("FABRICAR",AA161)),"LOCAL","OTRO")))</f>
        <v>LOCAL</v>
      </c>
      <c r="AQ161" t="str">
        <f>IF(AD161="Si","SI",IF(AD161="No","NO",""))</f>
        <v>SI</v>
      </c>
      <c r="AR161" t="str">
        <f>IF(ISNUMBER(SEARCH("®",N161)),"MARCA/INNOVADOR","GENERICO")</f>
        <v>MARCA/INNOVADOR</v>
      </c>
      <c r="AS161">
        <f ca="1">IF(AE161&gt;100,RANDBETWEEN(500,5000),IF(AND(AE161&gt;=10,AE161&lt;=100),RANDBETWEEN(100,1000),RANDBETWEEN(10,200)))</f>
        <v>121</v>
      </c>
      <c r="AT161">
        <f t="shared" ca="1" si="12"/>
        <v>31</v>
      </c>
      <c r="AU161">
        <f ca="1">INT(AS161*RANDBETWEEN(120,200)/100)</f>
        <v>169</v>
      </c>
      <c r="AV161" s="2">
        <f ca="1">IF(LEFT(Y161,1)="L",RANDBETWEEN(500000,5000000),IF(LEFT(Y161,1)="C",RANDBETWEEN(5000,50000),IF(LEFT(Y161,1)="N",RANDBETWEEN(10000,150000),IF(LEFT(Y161,1)="J",RANDBETWEEN(8000,200000),RANDBETWEEN(5000,100000)))))</f>
        <v>49625</v>
      </c>
      <c r="AW161" s="2">
        <f ca="1">INT(AV161*RANDBETWEEN(30,60)/100)</f>
        <v>28286</v>
      </c>
      <c r="AX161">
        <f ca="1">IF(Z161="ORAL",RANDBETWEEN(1000,10000),IF(OR(Z161="INTRAVENOSA",Z161="INTRAMUSCULAR"),RANDBETWEEN(100,2000),IF(OR(Z161="OFTÁLMICA",Z161="TOPICA (EXTERNA)"),RANDBETWEEN(200,3000),RANDBETWEEN(100,1500))))</f>
        <v>3002</v>
      </c>
      <c r="AY161" s="2">
        <f ca="1">INT(AV161*RANDBETWEEN(90,130)/100)</f>
        <v>45158</v>
      </c>
      <c r="AZ161" t="str">
        <f t="shared" ca="1" si="13"/>
        <v>21.9%</v>
      </c>
      <c r="BA161" t="str">
        <f t="shared" ca="1" si="14"/>
        <v>BAJO</v>
      </c>
    </row>
    <row r="162" spans="4:53" x14ac:dyDescent="0.35">
      <c r="D162" t="s">
        <v>1386</v>
      </c>
      <c r="E162" s="1">
        <v>36161</v>
      </c>
      <c r="F162" t="s">
        <v>1387</v>
      </c>
      <c r="G162" t="s">
        <v>247</v>
      </c>
      <c r="H162" t="s">
        <v>1388</v>
      </c>
      <c r="I162">
        <v>206903</v>
      </c>
      <c r="J162" t="s">
        <v>110</v>
      </c>
      <c r="K162">
        <v>2</v>
      </c>
      <c r="L162" t="s">
        <v>27</v>
      </c>
      <c r="M162" t="s">
        <v>1389</v>
      </c>
      <c r="N162" t="s">
        <v>1390</v>
      </c>
      <c r="O162" t="s">
        <v>1391</v>
      </c>
      <c r="P162" t="s">
        <v>1392</v>
      </c>
      <c r="Q162" s="1">
        <v>39031</v>
      </c>
      <c r="R162" t="s">
        <v>43</v>
      </c>
      <c r="S162" t="s">
        <v>27</v>
      </c>
      <c r="T162" t="s">
        <v>1393</v>
      </c>
      <c r="U162" t="s">
        <v>1394</v>
      </c>
      <c r="V162" t="s">
        <v>1395</v>
      </c>
      <c r="W162">
        <v>100000</v>
      </c>
      <c r="X162">
        <v>206903</v>
      </c>
      <c r="Y162" t="s">
        <v>1396</v>
      </c>
      <c r="Z162" t="s">
        <v>566</v>
      </c>
      <c r="AA162" t="s">
        <v>32</v>
      </c>
      <c r="AB162" t="s">
        <v>239</v>
      </c>
      <c r="AC162" t="s">
        <v>38</v>
      </c>
      <c r="AD162" t="s">
        <v>155</v>
      </c>
      <c r="AE162">
        <v>10</v>
      </c>
      <c r="AF162" t="s">
        <v>27</v>
      </c>
      <c r="AG162" t="s">
        <v>26</v>
      </c>
      <c r="AH162" t="s">
        <v>6628</v>
      </c>
      <c r="AI162" t="str">
        <f t="shared" si="10"/>
        <v>NO</v>
      </c>
      <c r="AJ162" t="str">
        <f t="shared" si="11"/>
        <v>A. MENARINI INDUSTRIE FARMACEUTICHE RIUNITI S R L</v>
      </c>
      <c r="AK162" t="str">
        <f>IF(ISNUMBER(SEARCH("FABRICANTE",AC162)),"FABRICANTE",IF(ISNUMBER(SEARCH("IMPORTADOR",AC162)),"IMPORTADOR","OTRO"))</f>
        <v>IMPORTADOR</v>
      </c>
      <c r="AL162" t="str">
        <f>IF(LEFT(Y162,1)="A","Sistema digestivo",IF(LEFT(Y162,1)="B","Sangre",IF(LEFT(Y162,1)="C","Cardiovascular",IF(LEFT(Y162,1)="D","Dermatológico",IF(LEFT(Y162,1)="G","Genitourinario",IF(LEFT(Y162,1)="H","Hormonal",IF(LEFT(Y162,1)="J","Antiinfecciosos",IF(LEFT(Y162,1)="L","Oncológicos",IF(LEFT(Y162,1)="M","Musculoesquelético",IF(LEFT(Y162,1)="N","Sistema nervioso",IF(LEFT(Y162,1)="R","Respiratorio",IF(LEFT(Y162,1)="S","Oftálmico",IF(LEFT(Y162,1)="V","Varios","OTRO")))))))))))))</f>
        <v>Cardiovascular</v>
      </c>
      <c r="AM162" t="str">
        <f>IF(AG162="Vigente","ACTIVO",IF(ISNUMBER(SEARCH("Inactivo",J162)),"INACTIVO","REVISAR"))</f>
        <v>ACTIVO</v>
      </c>
      <c r="AN162" t="str">
        <f ca="1">IF(OR(AF162="",AF162="null"),"",ROUND((AF162-TODAY())/365.25,2))</f>
        <v/>
      </c>
      <c r="AO162" t="str">
        <f ca="1">IF(AND(AG162="Vigente",OR(AF162="",AF162="null",AF162&gt;TODAY())),"SI",IF(AND(NOT(OR(AF162="",AF162="null")),AF162&lt;=TODAY()),"NO",IF(AG162="Vigente","SI","DESCONOCIDO")))</f>
        <v>SI</v>
      </c>
      <c r="AP162" t="str">
        <f>IF(AND(ISNUMBER(SEARCH("IMPORTAR",AA162)),ISNUMBER(SEARCH("FABRICAR",AA162))),"MIXTO",IF(ISNUMBER(SEARCH("IMPORTAR",AA162)),"IMPORTADO",IF(ISNUMBER(SEARCH("FABRICAR",AA162)),"LOCAL","OTRO")))</f>
        <v>IMPORTADO</v>
      </c>
      <c r="AQ162" t="str">
        <f>IF(AD162="Si","SI",IF(AD162="No","NO",""))</f>
        <v>SI</v>
      </c>
      <c r="AR162" t="str">
        <f>IF(ISNUMBER(SEARCH("®",N162)),"MARCA/INNOVADOR","GENERICO")</f>
        <v>MARCA/INNOVADOR</v>
      </c>
      <c r="AS162">
        <f ca="1">IF(AE162&gt;100,RANDBETWEEN(500,5000),IF(AND(AE162&gt;=10,AE162&lt;=100),RANDBETWEEN(100,1000),RANDBETWEEN(10,200)))</f>
        <v>269</v>
      </c>
      <c r="AT162">
        <f t="shared" ca="1" si="12"/>
        <v>64</v>
      </c>
      <c r="AU162">
        <f ca="1">INT(AS162*RANDBETWEEN(120,200)/100)</f>
        <v>508</v>
      </c>
      <c r="AV162" s="2">
        <f ca="1">IF(LEFT(Y162,1)="L",RANDBETWEEN(500000,5000000),IF(LEFT(Y162,1)="C",RANDBETWEEN(5000,50000),IF(LEFT(Y162,1)="N",RANDBETWEEN(10000,150000),IF(LEFT(Y162,1)="J",RANDBETWEEN(8000,200000),RANDBETWEEN(5000,100000)))))</f>
        <v>39639</v>
      </c>
      <c r="AW162" s="2">
        <f ca="1">INT(AV162*RANDBETWEEN(30,60)/100)</f>
        <v>22594</v>
      </c>
      <c r="AX162">
        <f ca="1">IF(Z162="ORAL",RANDBETWEEN(1000,10000),IF(OR(Z162="INTRAVENOSA",Z162="INTRAMUSCULAR"),RANDBETWEEN(100,2000),IF(OR(Z162="OFTÁLMICA",Z162="TOPICA (EXTERNA)"),RANDBETWEEN(200,3000),RANDBETWEEN(100,1500))))</f>
        <v>1036</v>
      </c>
      <c r="AY162" s="2">
        <f ca="1">INT(AV162*RANDBETWEEN(90,130)/100)</f>
        <v>40828</v>
      </c>
      <c r="AZ162" t="str">
        <f t="shared" ca="1" si="13"/>
        <v>8.8%</v>
      </c>
      <c r="BA162" t="str">
        <f t="shared" ca="1" si="14"/>
        <v>ALTO</v>
      </c>
    </row>
    <row r="163" spans="4:53" x14ac:dyDescent="0.35">
      <c r="D163" t="s">
        <v>1397</v>
      </c>
      <c r="E163" s="1">
        <v>44951</v>
      </c>
      <c r="F163" t="s">
        <v>1398</v>
      </c>
      <c r="G163" t="s">
        <v>108</v>
      </c>
      <c r="H163" t="s">
        <v>958</v>
      </c>
      <c r="I163">
        <v>20224891</v>
      </c>
      <c r="J163" t="s">
        <v>28</v>
      </c>
      <c r="K163">
        <v>6</v>
      </c>
      <c r="L163" t="s">
        <v>1399</v>
      </c>
      <c r="M163" t="s">
        <v>1400</v>
      </c>
      <c r="N163" t="s">
        <v>1401</v>
      </c>
      <c r="O163" t="s">
        <v>1402</v>
      </c>
      <c r="P163" t="s">
        <v>29</v>
      </c>
      <c r="Q163" s="1">
        <v>44873</v>
      </c>
      <c r="R163" t="s">
        <v>29</v>
      </c>
      <c r="S163" t="s">
        <v>27</v>
      </c>
      <c r="T163" t="s">
        <v>1403</v>
      </c>
      <c r="U163" t="s">
        <v>115</v>
      </c>
      <c r="V163" t="s">
        <v>1398</v>
      </c>
      <c r="W163">
        <v>10</v>
      </c>
      <c r="X163">
        <v>20224891</v>
      </c>
      <c r="Y163" t="s">
        <v>1404</v>
      </c>
      <c r="Z163" t="s">
        <v>119</v>
      </c>
      <c r="AA163" t="s">
        <v>24</v>
      </c>
      <c r="AB163" t="s">
        <v>120</v>
      </c>
      <c r="AC163" t="s">
        <v>25</v>
      </c>
      <c r="AD163" t="s">
        <v>155</v>
      </c>
      <c r="AE163">
        <v>30</v>
      </c>
      <c r="AF163" t="s">
        <v>27</v>
      </c>
      <c r="AG163" t="s">
        <v>26</v>
      </c>
      <c r="AH163" t="s">
        <v>1398</v>
      </c>
      <c r="AI163" t="str">
        <f t="shared" si="10"/>
        <v>NO</v>
      </c>
      <c r="AJ163" t="str">
        <f t="shared" si="11"/>
        <v>MOMENTA FARMACEUTICA</v>
      </c>
      <c r="AK163" t="str">
        <f>IF(ISNUMBER(SEARCH("FABRICANTE",AC163)),"FABRICANTE",IF(ISNUMBER(SEARCH("IMPORTADOR",AC163)),"IMPORTADOR","OTRO"))</f>
        <v>FABRICANTE</v>
      </c>
      <c r="AL163" t="str">
        <f>IF(LEFT(Y163,1)="A","Sistema digestivo",IF(LEFT(Y163,1)="B","Sangre",IF(LEFT(Y163,1)="C","Cardiovascular",IF(LEFT(Y163,1)="D","Dermatológico",IF(LEFT(Y163,1)="G","Genitourinario",IF(LEFT(Y163,1)="H","Hormonal",IF(LEFT(Y163,1)="J","Antiinfecciosos",IF(LEFT(Y163,1)="L","Oncológicos",IF(LEFT(Y163,1)="M","Musculoesquelético",IF(LEFT(Y163,1)="N","Sistema nervioso",IF(LEFT(Y163,1)="R","Respiratorio",IF(LEFT(Y163,1)="S","Oftálmico",IF(LEFT(Y163,1)="V","Varios","OTRO")))))))))))))</f>
        <v>Sistema digestivo</v>
      </c>
      <c r="AM163" t="str">
        <f>IF(AG163="Vigente","ACTIVO",IF(ISNUMBER(SEARCH("Inactivo",J163)),"INACTIVO","REVISAR"))</f>
        <v>ACTIVO</v>
      </c>
      <c r="AN163" t="str">
        <f ca="1">IF(OR(AF163="",AF163="null"),"",ROUND((AF163-TODAY())/365.25,2))</f>
        <v/>
      </c>
      <c r="AO163" t="str">
        <f ca="1">IF(AND(AG163="Vigente",OR(AF163="",AF163="null",AF163&gt;TODAY())),"SI",IF(AND(NOT(OR(AF163="",AF163="null")),AF163&lt;=TODAY()),"NO",IF(AG163="Vigente","SI","DESCONOCIDO")))</f>
        <v>SI</v>
      </c>
      <c r="AP163" t="str">
        <f>IF(AND(ISNUMBER(SEARCH("IMPORTAR",AA163)),ISNUMBER(SEARCH("FABRICAR",AA163))),"MIXTO",IF(ISNUMBER(SEARCH("IMPORTAR",AA163)),"IMPORTADO",IF(ISNUMBER(SEARCH("FABRICAR",AA163)),"LOCAL","OTRO")))</f>
        <v>LOCAL</v>
      </c>
      <c r="AQ163" t="str">
        <f>IF(AD163="Si","SI",IF(AD163="No","NO",""))</f>
        <v>SI</v>
      </c>
      <c r="AR163" t="str">
        <f>IF(ISNUMBER(SEARCH("®",N163)),"MARCA/INNOVADOR","GENERICO")</f>
        <v>GENERICO</v>
      </c>
      <c r="AS163">
        <f ca="1">IF(AE163&gt;100,RANDBETWEEN(500,5000),IF(AND(AE163&gt;=10,AE163&lt;=100),RANDBETWEEN(100,1000),RANDBETWEEN(10,200)))</f>
        <v>169</v>
      </c>
      <c r="AT163">
        <f t="shared" ca="1" si="12"/>
        <v>42</v>
      </c>
      <c r="AU163">
        <f ca="1">INT(AS163*RANDBETWEEN(120,200)/100)</f>
        <v>319</v>
      </c>
      <c r="AV163" s="2">
        <f ca="1">IF(LEFT(Y163,1)="L",RANDBETWEEN(500000,5000000),IF(LEFT(Y163,1)="C",RANDBETWEEN(5000,50000),IF(LEFT(Y163,1)="N",RANDBETWEEN(10000,150000),IF(LEFT(Y163,1)="J",RANDBETWEEN(8000,200000),RANDBETWEEN(5000,100000)))))</f>
        <v>17821</v>
      </c>
      <c r="AW163" s="2">
        <f ca="1">INT(AV163*RANDBETWEEN(30,60)/100)</f>
        <v>6059</v>
      </c>
      <c r="AX163">
        <f ca="1">IF(Z163="ORAL",RANDBETWEEN(1000,10000),IF(OR(Z163="INTRAVENOSA",Z163="INTRAMUSCULAR"),RANDBETWEEN(100,2000),IF(OR(Z163="OFTÁLMICA",Z163="TOPICA (EXTERNA)"),RANDBETWEEN(200,3000),RANDBETWEEN(100,1500))))</f>
        <v>9190</v>
      </c>
      <c r="AY163" s="2">
        <f ca="1">INT(AV163*RANDBETWEEN(90,130)/100)</f>
        <v>20315</v>
      </c>
      <c r="AZ163" t="str">
        <f t="shared" ca="1" si="13"/>
        <v>25%</v>
      </c>
      <c r="BA163" t="str">
        <f t="shared" ca="1" si="14"/>
        <v>BAJO</v>
      </c>
    </row>
    <row r="164" spans="4:53" x14ac:dyDescent="0.35">
      <c r="D164" t="s">
        <v>1405</v>
      </c>
      <c r="E164" s="1">
        <v>36161</v>
      </c>
      <c r="F164" t="s">
        <v>1406</v>
      </c>
      <c r="G164" t="s">
        <v>108</v>
      </c>
      <c r="H164" t="s">
        <v>1001</v>
      </c>
      <c r="I164">
        <v>37054</v>
      </c>
      <c r="J164" t="s">
        <v>28</v>
      </c>
      <c r="K164">
        <v>10</v>
      </c>
      <c r="L164" t="s">
        <v>27</v>
      </c>
      <c r="M164" t="s">
        <v>1407</v>
      </c>
      <c r="N164" t="s">
        <v>1408</v>
      </c>
      <c r="O164" t="s">
        <v>1409</v>
      </c>
      <c r="P164" t="s">
        <v>33</v>
      </c>
      <c r="Q164" s="1">
        <v>41171</v>
      </c>
      <c r="R164" t="s">
        <v>33</v>
      </c>
      <c r="S164" t="s">
        <v>27</v>
      </c>
      <c r="T164" t="s">
        <v>1001</v>
      </c>
      <c r="U164" t="s">
        <v>115</v>
      </c>
      <c r="V164" t="s">
        <v>1410</v>
      </c>
      <c r="W164">
        <v>50</v>
      </c>
      <c r="X164">
        <v>37054</v>
      </c>
      <c r="Y164" t="s">
        <v>1411</v>
      </c>
      <c r="Z164" t="s">
        <v>119</v>
      </c>
      <c r="AA164" t="s">
        <v>32</v>
      </c>
      <c r="AB164" t="s">
        <v>120</v>
      </c>
      <c r="AC164" t="s">
        <v>38</v>
      </c>
      <c r="AD164" t="s">
        <v>121</v>
      </c>
      <c r="AE164">
        <v>50</v>
      </c>
      <c r="AF164" t="s">
        <v>27</v>
      </c>
      <c r="AG164" t="s">
        <v>26</v>
      </c>
      <c r="AH164" t="s">
        <v>1410</v>
      </c>
      <c r="AI164" t="str">
        <f t="shared" si="10"/>
        <v>NO</v>
      </c>
      <c r="AJ164" t="str">
        <f t="shared" si="11"/>
        <v>ASPEN COLOMBIANA</v>
      </c>
      <c r="AK164" t="str">
        <f>IF(ISNUMBER(SEARCH("FABRICANTE",AC164)),"FABRICANTE",IF(ISNUMBER(SEARCH("IMPORTADOR",AC164)),"IMPORTADOR","OTRO"))</f>
        <v>IMPORTADOR</v>
      </c>
      <c r="AL164" t="str">
        <f>IF(LEFT(Y164,1)="A","Sistema digestivo",IF(LEFT(Y164,1)="B","Sangre",IF(LEFT(Y164,1)="C","Cardiovascular",IF(LEFT(Y164,1)="D","Dermatológico",IF(LEFT(Y164,1)="G","Genitourinario",IF(LEFT(Y164,1)="H","Hormonal",IF(LEFT(Y164,1)="J","Antiinfecciosos",IF(LEFT(Y164,1)="L","Oncológicos",IF(LEFT(Y164,1)="M","Musculoesquelético",IF(LEFT(Y164,1)="N","Sistema nervioso",IF(LEFT(Y164,1)="R","Respiratorio",IF(LEFT(Y164,1)="S","Oftálmico",IF(LEFT(Y164,1)="V","Varios","OTRO")))))))))))))</f>
        <v>Sistema nervioso</v>
      </c>
      <c r="AM164" t="str">
        <f>IF(AG164="Vigente","ACTIVO",IF(ISNUMBER(SEARCH("Inactivo",J164)),"INACTIVO","REVISAR"))</f>
        <v>ACTIVO</v>
      </c>
      <c r="AN164" t="str">
        <f ca="1">IF(OR(AF164="",AF164="null"),"",ROUND((AF164-TODAY())/365.25,2))</f>
        <v/>
      </c>
      <c r="AO164" t="str">
        <f ca="1">IF(AND(AG164="Vigente",OR(AF164="",AF164="null",AF164&gt;TODAY())),"SI",IF(AND(NOT(OR(AF164="",AF164="null")),AF164&lt;=TODAY()),"NO",IF(AG164="Vigente","SI","DESCONOCIDO")))</f>
        <v>SI</v>
      </c>
      <c r="AP164" t="str">
        <f>IF(AND(ISNUMBER(SEARCH("IMPORTAR",AA164)),ISNUMBER(SEARCH("FABRICAR",AA164))),"MIXTO",IF(ISNUMBER(SEARCH("IMPORTAR",AA164)),"IMPORTADO",IF(ISNUMBER(SEARCH("FABRICAR",AA164)),"LOCAL","OTRO")))</f>
        <v>IMPORTADO</v>
      </c>
      <c r="AQ164" t="str">
        <f>IF(AD164="Si","SI",IF(AD164="No","NO",""))</f>
        <v>NO</v>
      </c>
      <c r="AR164" t="str">
        <f>IF(ISNUMBER(SEARCH("®",N164)),"MARCA/INNOVADOR","GENERICO")</f>
        <v>MARCA/INNOVADOR</v>
      </c>
      <c r="AS164">
        <f ca="1">IF(AE164&gt;100,RANDBETWEEN(500,5000),IF(AND(AE164&gt;=10,AE164&lt;=100),RANDBETWEEN(100,1000),RANDBETWEEN(10,200)))</f>
        <v>421</v>
      </c>
      <c r="AT164">
        <f t="shared" ca="1" si="12"/>
        <v>96</v>
      </c>
      <c r="AU164">
        <f ca="1">INT(AS164*RANDBETWEEN(120,200)/100)</f>
        <v>749</v>
      </c>
      <c r="AV164" s="2">
        <f ca="1">IF(LEFT(Y164,1)="L",RANDBETWEEN(500000,5000000),IF(LEFT(Y164,1)="C",RANDBETWEEN(5000,50000),IF(LEFT(Y164,1)="N",RANDBETWEEN(10000,150000),IF(LEFT(Y164,1)="J",RANDBETWEEN(8000,200000),RANDBETWEEN(5000,100000)))))</f>
        <v>142002</v>
      </c>
      <c r="AW164" s="2">
        <f ca="1">INT(AV164*RANDBETWEEN(30,60)/100)</f>
        <v>72421</v>
      </c>
      <c r="AX164">
        <f ca="1">IF(Z164="ORAL",RANDBETWEEN(1000,10000),IF(OR(Z164="INTRAVENOSA",Z164="INTRAMUSCULAR"),RANDBETWEEN(100,2000),IF(OR(Z164="OFTÁLMICA",Z164="TOPICA (EXTERNA)"),RANDBETWEEN(200,3000),RANDBETWEEN(100,1500))))</f>
        <v>4664</v>
      </c>
      <c r="AY164" s="2">
        <f ca="1">INT(AV164*RANDBETWEEN(90,130)/100)</f>
        <v>134901</v>
      </c>
      <c r="AZ164" t="str">
        <f t="shared" ca="1" si="13"/>
        <v>16.3%</v>
      </c>
      <c r="BA164" t="str">
        <f t="shared" ca="1" si="14"/>
        <v>BAJO</v>
      </c>
    </row>
    <row r="165" spans="4:53" x14ac:dyDescent="0.35">
      <c r="D165" t="s">
        <v>1412</v>
      </c>
      <c r="E165" s="1">
        <v>44330</v>
      </c>
      <c r="F165" t="s">
        <v>1413</v>
      </c>
      <c r="G165" t="s">
        <v>108</v>
      </c>
      <c r="H165" t="s">
        <v>1414</v>
      </c>
      <c r="I165">
        <v>20170621</v>
      </c>
      <c r="J165" t="s">
        <v>28</v>
      </c>
      <c r="K165">
        <v>2</v>
      </c>
      <c r="L165" t="s">
        <v>1415</v>
      </c>
      <c r="M165" t="s">
        <v>1416</v>
      </c>
      <c r="N165" t="s">
        <v>1417</v>
      </c>
      <c r="O165" t="s">
        <v>1418</v>
      </c>
      <c r="P165" t="s">
        <v>1419</v>
      </c>
      <c r="Q165" s="1">
        <v>44278</v>
      </c>
      <c r="R165" t="s">
        <v>1420</v>
      </c>
      <c r="S165" t="s">
        <v>27</v>
      </c>
      <c r="T165" t="s">
        <v>1414</v>
      </c>
      <c r="U165" t="s">
        <v>115</v>
      </c>
      <c r="V165" t="s">
        <v>709</v>
      </c>
      <c r="W165" t="s">
        <v>1421</v>
      </c>
      <c r="X165">
        <v>20170621</v>
      </c>
      <c r="Y165" t="s">
        <v>1422</v>
      </c>
      <c r="Z165" t="s">
        <v>1423</v>
      </c>
      <c r="AA165" t="s">
        <v>32</v>
      </c>
      <c r="AB165" t="s">
        <v>133</v>
      </c>
      <c r="AC165" t="s">
        <v>25</v>
      </c>
      <c r="AD165" t="s">
        <v>121</v>
      </c>
      <c r="AE165">
        <v>6</v>
      </c>
      <c r="AF165" t="s">
        <v>27</v>
      </c>
      <c r="AG165" t="s">
        <v>26</v>
      </c>
      <c r="AH165" t="s">
        <v>6629</v>
      </c>
      <c r="AI165" t="str">
        <f t="shared" si="10"/>
        <v>NO</v>
      </c>
      <c r="AJ165" t="str">
        <f t="shared" si="11"/>
        <v>B BRAUN MELSUNGEN</v>
      </c>
      <c r="AK165" t="str">
        <f>IF(ISNUMBER(SEARCH("FABRICANTE",AC165)),"FABRICANTE",IF(ISNUMBER(SEARCH("IMPORTADOR",AC165)),"IMPORTADOR","OTRO"))</f>
        <v>FABRICANTE</v>
      </c>
      <c r="AL165" t="str">
        <f>IF(LEFT(Y165,1)="A","Sistema digestivo",IF(LEFT(Y165,1)="B","Sangre",IF(LEFT(Y165,1)="C","Cardiovascular",IF(LEFT(Y165,1)="D","Dermatológico",IF(LEFT(Y165,1)="G","Genitourinario",IF(LEFT(Y165,1)="H","Hormonal",IF(LEFT(Y165,1)="J","Antiinfecciosos",IF(LEFT(Y165,1)="L","Oncológicos",IF(LEFT(Y165,1)="M","Musculoesquelético",IF(LEFT(Y165,1)="N","Sistema nervioso",IF(LEFT(Y165,1)="R","Respiratorio",IF(LEFT(Y165,1)="S","Oftálmico",IF(LEFT(Y165,1)="V","Varios","OTRO")))))))))))))</f>
        <v>Varios</v>
      </c>
      <c r="AM165" t="str">
        <f>IF(AG165="Vigente","ACTIVO",IF(ISNUMBER(SEARCH("Inactivo",J165)),"INACTIVO","REVISAR"))</f>
        <v>ACTIVO</v>
      </c>
      <c r="AN165" t="str">
        <f ca="1">IF(OR(AF165="",AF165="null"),"",ROUND((AF165-TODAY())/365.25,2))</f>
        <v/>
      </c>
      <c r="AO165" t="str">
        <f ca="1">IF(AND(AG165="Vigente",OR(AF165="",AF165="null",AF165&gt;TODAY())),"SI",IF(AND(NOT(OR(AF165="",AF165="null")),AF165&lt;=TODAY()),"NO",IF(AG165="Vigente","SI","DESCONOCIDO")))</f>
        <v>SI</v>
      </c>
      <c r="AP165" t="str">
        <f>IF(AND(ISNUMBER(SEARCH("IMPORTAR",AA165)),ISNUMBER(SEARCH("FABRICAR",AA165))),"MIXTO",IF(ISNUMBER(SEARCH("IMPORTAR",AA165)),"IMPORTADO",IF(ISNUMBER(SEARCH("FABRICAR",AA165)),"LOCAL","OTRO")))</f>
        <v>IMPORTADO</v>
      </c>
      <c r="AQ165" t="str">
        <f>IF(AD165="Si","SI",IF(AD165="No","NO",""))</f>
        <v>NO</v>
      </c>
      <c r="AR165" t="str">
        <f>IF(ISNUMBER(SEARCH("®",N165)),"MARCA/INNOVADOR","GENERICO")</f>
        <v>GENERICO</v>
      </c>
      <c r="AS165">
        <f ca="1">IF(AE165&gt;100,RANDBETWEEN(500,5000),IF(AND(AE165&gt;=10,AE165&lt;=100),RANDBETWEEN(100,1000),RANDBETWEEN(10,200)))</f>
        <v>29</v>
      </c>
      <c r="AT165">
        <f t="shared" ca="1" si="12"/>
        <v>3</v>
      </c>
      <c r="AU165">
        <f ca="1">INT(AS165*RANDBETWEEN(120,200)/100)</f>
        <v>49</v>
      </c>
      <c r="AV165" s="2">
        <f ca="1">IF(LEFT(Y165,1)="L",RANDBETWEEN(500000,5000000),IF(LEFT(Y165,1)="C",RANDBETWEEN(5000,50000),IF(LEFT(Y165,1)="N",RANDBETWEEN(10000,150000),IF(LEFT(Y165,1)="J",RANDBETWEEN(8000,200000),RANDBETWEEN(5000,100000)))))</f>
        <v>38085</v>
      </c>
      <c r="AW165" s="2">
        <f ca="1">INT(AV165*RANDBETWEEN(30,60)/100)</f>
        <v>19042</v>
      </c>
      <c r="AX165">
        <f ca="1">IF(Z165="ORAL",RANDBETWEEN(1000,10000),IF(OR(Z165="INTRAVENOSA",Z165="INTRAMUSCULAR"),RANDBETWEEN(100,2000),IF(OR(Z165="OFTÁLMICA",Z165="TOPICA (EXTERNA)"),RANDBETWEEN(200,3000),RANDBETWEEN(100,1500))))</f>
        <v>957</v>
      </c>
      <c r="AY165" s="2">
        <f ca="1">INT(AV165*RANDBETWEEN(90,130)/100)</f>
        <v>48748</v>
      </c>
      <c r="AZ165" t="str">
        <f t="shared" ca="1" si="13"/>
        <v>5.2%</v>
      </c>
      <c r="BA165" t="str">
        <f t="shared" ca="1" si="14"/>
        <v>BAJO</v>
      </c>
    </row>
    <row r="166" spans="4:53" x14ac:dyDescent="0.35">
      <c r="D166" t="s">
        <v>1424</v>
      </c>
      <c r="E166" s="1">
        <v>41620</v>
      </c>
      <c r="F166" t="s">
        <v>1425</v>
      </c>
      <c r="G166" t="s">
        <v>108</v>
      </c>
      <c r="H166" t="s">
        <v>1426</v>
      </c>
      <c r="I166">
        <v>20057197</v>
      </c>
      <c r="J166" t="s">
        <v>110</v>
      </c>
      <c r="K166">
        <v>10</v>
      </c>
      <c r="L166" t="s">
        <v>27</v>
      </c>
      <c r="M166" t="s">
        <v>1427</v>
      </c>
      <c r="N166" t="s">
        <v>1428</v>
      </c>
      <c r="O166" t="s">
        <v>1429</v>
      </c>
      <c r="P166" t="s">
        <v>33</v>
      </c>
      <c r="Q166" s="1">
        <v>41512</v>
      </c>
      <c r="R166" t="s">
        <v>33</v>
      </c>
      <c r="S166" t="s">
        <v>27</v>
      </c>
      <c r="T166" t="s">
        <v>947</v>
      </c>
      <c r="U166" t="s">
        <v>115</v>
      </c>
      <c r="V166" t="s">
        <v>162</v>
      </c>
      <c r="W166">
        <v>20</v>
      </c>
      <c r="X166">
        <v>20057197</v>
      </c>
      <c r="Y166" t="s">
        <v>164</v>
      </c>
      <c r="Z166" t="s">
        <v>119</v>
      </c>
      <c r="AA166" t="s">
        <v>24</v>
      </c>
      <c r="AB166" t="s">
        <v>120</v>
      </c>
      <c r="AC166" t="s">
        <v>25</v>
      </c>
      <c r="AD166" t="s">
        <v>155</v>
      </c>
      <c r="AE166">
        <v>1</v>
      </c>
      <c r="AF166" t="s">
        <v>27</v>
      </c>
      <c r="AG166" t="s">
        <v>26</v>
      </c>
      <c r="AH166" t="s">
        <v>6754</v>
      </c>
      <c r="AI166" t="str">
        <f t="shared" si="10"/>
        <v>NO</v>
      </c>
      <c r="AJ166" t="str">
        <f t="shared" si="11"/>
        <v>CLOSTER PHARMA</v>
      </c>
      <c r="AK166" t="str">
        <f>IF(ISNUMBER(SEARCH("FABRICANTE",AC166)),"FABRICANTE",IF(ISNUMBER(SEARCH("IMPORTADOR",AC166)),"IMPORTADOR","OTRO"))</f>
        <v>FABRICANTE</v>
      </c>
      <c r="AL166" t="str">
        <f>IF(LEFT(Y166,1)="A","Sistema digestivo",IF(LEFT(Y166,1)="B","Sangre",IF(LEFT(Y166,1)="C","Cardiovascular",IF(LEFT(Y166,1)="D","Dermatológico",IF(LEFT(Y166,1)="G","Genitourinario",IF(LEFT(Y166,1)="H","Hormonal",IF(LEFT(Y166,1)="J","Antiinfecciosos",IF(LEFT(Y166,1)="L","Oncológicos",IF(LEFT(Y166,1)="M","Musculoesquelético",IF(LEFT(Y166,1)="N","Sistema nervioso",IF(LEFT(Y166,1)="R","Respiratorio",IF(LEFT(Y166,1)="S","Oftálmico",IF(LEFT(Y166,1)="V","Varios","OTRO")))))))))))))</f>
        <v>Musculoesquelético</v>
      </c>
      <c r="AM166" t="str">
        <f>IF(AG166="Vigente","ACTIVO",IF(ISNUMBER(SEARCH("Inactivo",J166)),"INACTIVO","REVISAR"))</f>
        <v>ACTIVO</v>
      </c>
      <c r="AN166" t="str">
        <f ca="1">IF(OR(AF166="",AF166="null"),"",ROUND((AF166-TODAY())/365.25,2))</f>
        <v/>
      </c>
      <c r="AO166" t="str">
        <f ca="1">IF(AND(AG166="Vigente",OR(AF166="",AF166="null",AF166&gt;TODAY())),"SI",IF(AND(NOT(OR(AF166="",AF166="null")),AF166&lt;=TODAY()),"NO",IF(AG166="Vigente","SI","DESCONOCIDO")))</f>
        <v>SI</v>
      </c>
      <c r="AP166" t="str">
        <f>IF(AND(ISNUMBER(SEARCH("IMPORTAR",AA166)),ISNUMBER(SEARCH("FABRICAR",AA166))),"MIXTO",IF(ISNUMBER(SEARCH("IMPORTAR",AA166)),"IMPORTADO",IF(ISNUMBER(SEARCH("FABRICAR",AA166)),"LOCAL","OTRO")))</f>
        <v>LOCAL</v>
      </c>
      <c r="AQ166" t="str">
        <f>IF(AD166="Si","SI",IF(AD166="No","NO",""))</f>
        <v>SI</v>
      </c>
      <c r="AR166" t="str">
        <f>IF(ISNUMBER(SEARCH("®",N166)),"MARCA/INNOVADOR","GENERICO")</f>
        <v>MARCA/INNOVADOR</v>
      </c>
      <c r="AS166">
        <f ca="1">IF(AE166&gt;100,RANDBETWEEN(500,5000),IF(AND(AE166&gt;=10,AE166&lt;=100),RANDBETWEEN(100,1000),RANDBETWEEN(10,200)))</f>
        <v>54</v>
      </c>
      <c r="AT166">
        <f t="shared" ca="1" si="12"/>
        <v>11</v>
      </c>
      <c r="AU166">
        <f ca="1">INT(AS166*RANDBETWEEN(120,200)/100)</f>
        <v>75</v>
      </c>
      <c r="AV166" s="2">
        <f ca="1">IF(LEFT(Y166,1)="L",RANDBETWEEN(500000,5000000),IF(LEFT(Y166,1)="C",RANDBETWEEN(5000,50000),IF(LEFT(Y166,1)="N",RANDBETWEEN(10000,150000),IF(LEFT(Y166,1)="J",RANDBETWEEN(8000,200000),RANDBETWEEN(5000,100000)))))</f>
        <v>61992</v>
      </c>
      <c r="AW166" s="2">
        <f ca="1">INT(AV166*RANDBETWEEN(30,60)/100)</f>
        <v>34095</v>
      </c>
      <c r="AX166">
        <f ca="1">IF(Z166="ORAL",RANDBETWEEN(1000,10000),IF(OR(Z166="INTRAVENOSA",Z166="INTRAMUSCULAR"),RANDBETWEEN(100,2000),IF(OR(Z166="OFTÁLMICA",Z166="TOPICA (EXTERNA)"),RANDBETWEEN(200,3000),RANDBETWEEN(100,1500))))</f>
        <v>9280</v>
      </c>
      <c r="AY166" s="2">
        <f ca="1">INT(AV166*RANDBETWEEN(90,130)/100)</f>
        <v>75010</v>
      </c>
      <c r="AZ166" t="str">
        <f t="shared" ca="1" si="13"/>
        <v>20.6%</v>
      </c>
      <c r="BA166" t="str">
        <f t="shared" ca="1" si="14"/>
        <v>ALTO</v>
      </c>
    </row>
    <row r="167" spans="4:53" x14ac:dyDescent="0.35">
      <c r="D167" t="s">
        <v>1430</v>
      </c>
      <c r="E167" s="1">
        <v>42808</v>
      </c>
      <c r="F167" t="s">
        <v>1431</v>
      </c>
      <c r="G167" t="s">
        <v>108</v>
      </c>
      <c r="H167" t="s">
        <v>168</v>
      </c>
      <c r="I167">
        <v>20103120</v>
      </c>
      <c r="J167" t="s">
        <v>28</v>
      </c>
      <c r="K167">
        <v>2</v>
      </c>
      <c r="L167" t="s">
        <v>27</v>
      </c>
      <c r="M167" t="s">
        <v>1432</v>
      </c>
      <c r="N167" t="s">
        <v>1433</v>
      </c>
      <c r="O167" t="s">
        <v>1434</v>
      </c>
      <c r="P167" t="s">
        <v>1435</v>
      </c>
      <c r="Q167" s="1">
        <v>42716</v>
      </c>
      <c r="R167" t="s">
        <v>584</v>
      </c>
      <c r="S167" t="s">
        <v>27</v>
      </c>
      <c r="T167" t="s">
        <v>172</v>
      </c>
      <c r="U167" t="s">
        <v>115</v>
      </c>
      <c r="V167" t="s">
        <v>1436</v>
      </c>
      <c r="W167">
        <v>150</v>
      </c>
      <c r="X167">
        <v>20103120</v>
      </c>
      <c r="Y167" t="s">
        <v>1437</v>
      </c>
      <c r="Z167" t="s">
        <v>119</v>
      </c>
      <c r="AA167" t="s">
        <v>24</v>
      </c>
      <c r="AB167" t="s">
        <v>120</v>
      </c>
      <c r="AC167" t="s">
        <v>25</v>
      </c>
      <c r="AD167" t="s">
        <v>121</v>
      </c>
      <c r="AE167">
        <v>10</v>
      </c>
      <c r="AF167" t="s">
        <v>27</v>
      </c>
      <c r="AG167" t="s">
        <v>26</v>
      </c>
      <c r="AH167" t="s">
        <v>6630</v>
      </c>
      <c r="AI167" t="str">
        <f t="shared" si="10"/>
        <v>SI</v>
      </c>
      <c r="AJ167" t="str">
        <f t="shared" si="11"/>
        <v>NOVAMED</v>
      </c>
      <c r="AK167" t="str">
        <f>IF(ISNUMBER(SEARCH("FABRICANTE",AC167)),"FABRICANTE",IF(ISNUMBER(SEARCH("IMPORTADOR",AC167)),"IMPORTADOR","OTRO"))</f>
        <v>FABRICANTE</v>
      </c>
      <c r="AL167" t="str">
        <f>IF(LEFT(Y167,1)="A","Sistema digestivo",IF(LEFT(Y167,1)="B","Sangre",IF(LEFT(Y167,1)="C","Cardiovascular",IF(LEFT(Y167,1)="D","Dermatológico",IF(LEFT(Y167,1)="G","Genitourinario",IF(LEFT(Y167,1)="H","Hormonal",IF(LEFT(Y167,1)="J","Antiinfecciosos",IF(LEFT(Y167,1)="L","Oncológicos",IF(LEFT(Y167,1)="M","Musculoesquelético",IF(LEFT(Y167,1)="N","Sistema nervioso",IF(LEFT(Y167,1)="R","Respiratorio",IF(LEFT(Y167,1)="S","Oftálmico",IF(LEFT(Y167,1)="V","Varios","OTRO")))))))))))))</f>
        <v>Sistema digestivo</v>
      </c>
      <c r="AM167" t="str">
        <f>IF(AG167="Vigente","ACTIVO",IF(ISNUMBER(SEARCH("Inactivo",J167)),"INACTIVO","REVISAR"))</f>
        <v>ACTIVO</v>
      </c>
      <c r="AN167" t="str">
        <f ca="1">IF(OR(AF167="",AF167="null"),"",ROUND((AF167-TODAY())/365.25,2))</f>
        <v/>
      </c>
      <c r="AO167" t="str">
        <f ca="1">IF(AND(AG167="Vigente",OR(AF167="",AF167="null",AF167&gt;TODAY())),"SI",IF(AND(NOT(OR(AF167="",AF167="null")),AF167&lt;=TODAY()),"NO",IF(AG167="Vigente","SI","DESCONOCIDO")))</f>
        <v>SI</v>
      </c>
      <c r="AP167" t="str">
        <f>IF(AND(ISNUMBER(SEARCH("IMPORTAR",AA167)),ISNUMBER(SEARCH("FABRICAR",AA167))),"MIXTO",IF(ISNUMBER(SEARCH("IMPORTAR",AA167)),"IMPORTADO",IF(ISNUMBER(SEARCH("FABRICAR",AA167)),"LOCAL","OTRO")))</f>
        <v>LOCAL</v>
      </c>
      <c r="AQ167" t="str">
        <f>IF(AD167="Si","SI",IF(AD167="No","NO",""))</f>
        <v>NO</v>
      </c>
      <c r="AR167" t="str">
        <f>IF(ISNUMBER(SEARCH("®",N167)),"MARCA/INNOVADOR","GENERICO")</f>
        <v>MARCA/INNOVADOR</v>
      </c>
      <c r="AS167">
        <f ca="1">IF(AE167&gt;100,RANDBETWEEN(500,5000),IF(AND(AE167&gt;=10,AE167&lt;=100),RANDBETWEEN(100,1000),RANDBETWEEN(10,200)))</f>
        <v>670</v>
      </c>
      <c r="AT167">
        <f t="shared" ca="1" si="12"/>
        <v>127</v>
      </c>
      <c r="AU167">
        <f ca="1">INT(AS167*RANDBETWEEN(120,200)/100)</f>
        <v>1179</v>
      </c>
      <c r="AV167" s="2">
        <f ca="1">IF(LEFT(Y167,1)="L",RANDBETWEEN(500000,5000000),IF(LEFT(Y167,1)="C",RANDBETWEEN(5000,50000),IF(LEFT(Y167,1)="N",RANDBETWEEN(10000,150000),IF(LEFT(Y167,1)="J",RANDBETWEEN(8000,200000),RANDBETWEEN(5000,100000)))))</f>
        <v>71663</v>
      </c>
      <c r="AW167" s="2">
        <f ca="1">INT(AV167*RANDBETWEEN(30,60)/100)</f>
        <v>38698</v>
      </c>
      <c r="AX167">
        <f ca="1">IF(Z167="ORAL",RANDBETWEEN(1000,10000),IF(OR(Z167="INTRAVENOSA",Z167="INTRAMUSCULAR"),RANDBETWEEN(100,2000),IF(OR(Z167="OFTÁLMICA",Z167="TOPICA (EXTERNA)"),RANDBETWEEN(200,3000),RANDBETWEEN(100,1500))))</f>
        <v>4084</v>
      </c>
      <c r="AY167" s="2">
        <f ca="1">INT(AV167*RANDBETWEEN(90,130)/100)</f>
        <v>87428</v>
      </c>
      <c r="AZ167" t="str">
        <f t="shared" ca="1" si="13"/>
        <v>5.6%</v>
      </c>
      <c r="BA167" t="str">
        <f t="shared" ca="1" si="14"/>
        <v>BAJO</v>
      </c>
    </row>
    <row r="168" spans="4:53" x14ac:dyDescent="0.35">
      <c r="D168" t="s">
        <v>1438</v>
      </c>
      <c r="E168" s="1">
        <v>43670</v>
      </c>
      <c r="F168" t="s">
        <v>1439</v>
      </c>
      <c r="G168" t="s">
        <v>108</v>
      </c>
      <c r="H168" t="s">
        <v>1440</v>
      </c>
      <c r="I168">
        <v>20157173</v>
      </c>
      <c r="J168" t="s">
        <v>28</v>
      </c>
      <c r="K168">
        <v>5</v>
      </c>
      <c r="L168" t="s">
        <v>1441</v>
      </c>
      <c r="M168" t="s">
        <v>1442</v>
      </c>
      <c r="N168" t="s">
        <v>1443</v>
      </c>
      <c r="O168" t="s">
        <v>1444</v>
      </c>
      <c r="P168" t="s">
        <v>659</v>
      </c>
      <c r="Q168" s="1">
        <v>43664</v>
      </c>
      <c r="R168" t="s">
        <v>37</v>
      </c>
      <c r="S168" t="s">
        <v>27</v>
      </c>
      <c r="T168" t="s">
        <v>1445</v>
      </c>
      <c r="U168" t="s">
        <v>115</v>
      </c>
      <c r="V168" t="s">
        <v>1093</v>
      </c>
      <c r="W168">
        <v>500</v>
      </c>
      <c r="X168">
        <v>20157173</v>
      </c>
      <c r="Y168" t="s">
        <v>1094</v>
      </c>
      <c r="Z168" t="s">
        <v>119</v>
      </c>
      <c r="AA168" t="s">
        <v>24</v>
      </c>
      <c r="AB168" t="s">
        <v>120</v>
      </c>
      <c r="AC168" t="s">
        <v>25</v>
      </c>
      <c r="AD168" t="s">
        <v>121</v>
      </c>
      <c r="AE168">
        <v>250</v>
      </c>
      <c r="AF168" t="s">
        <v>27</v>
      </c>
      <c r="AG168" t="s">
        <v>26</v>
      </c>
      <c r="AH168" t="s">
        <v>1093</v>
      </c>
      <c r="AI168" t="str">
        <f t="shared" si="10"/>
        <v>SI</v>
      </c>
      <c r="AJ168" t="str">
        <f t="shared" si="11"/>
        <v>BIOQUIMICO PHARMAS.A.</v>
      </c>
      <c r="AK168" t="str">
        <f>IF(ISNUMBER(SEARCH("FABRICANTE",AC168)),"FABRICANTE",IF(ISNUMBER(SEARCH("IMPORTADOR",AC168)),"IMPORTADOR","OTRO"))</f>
        <v>FABRICANTE</v>
      </c>
      <c r="AL168" t="str">
        <f>IF(LEFT(Y168,1)="A","Sistema digestivo",IF(LEFT(Y168,1)="B","Sangre",IF(LEFT(Y168,1)="C","Cardiovascular",IF(LEFT(Y168,1)="D","Dermatológico",IF(LEFT(Y168,1)="G","Genitourinario",IF(LEFT(Y168,1)="H","Hormonal",IF(LEFT(Y168,1)="J","Antiinfecciosos",IF(LEFT(Y168,1)="L","Oncológicos",IF(LEFT(Y168,1)="M","Musculoesquelético",IF(LEFT(Y168,1)="N","Sistema nervioso",IF(LEFT(Y168,1)="R","Respiratorio",IF(LEFT(Y168,1)="S","Oftálmico",IF(LEFT(Y168,1)="V","Varios","OTRO")))))))))))))</f>
        <v>Antiinfecciosos</v>
      </c>
      <c r="AM168" t="str">
        <f>IF(AG168="Vigente","ACTIVO",IF(ISNUMBER(SEARCH("Inactivo",J168)),"INACTIVO","REVISAR"))</f>
        <v>ACTIVO</v>
      </c>
      <c r="AN168" t="str">
        <f ca="1">IF(OR(AF168="",AF168="null"),"",ROUND((AF168-TODAY())/365.25,2))</f>
        <v/>
      </c>
      <c r="AO168" t="str">
        <f ca="1">IF(AND(AG168="Vigente",OR(AF168="",AF168="null",AF168&gt;TODAY())),"SI",IF(AND(NOT(OR(AF168="",AF168="null")),AF168&lt;=TODAY()),"NO",IF(AG168="Vigente","SI","DESCONOCIDO")))</f>
        <v>SI</v>
      </c>
      <c r="AP168" t="str">
        <f>IF(AND(ISNUMBER(SEARCH("IMPORTAR",AA168)),ISNUMBER(SEARCH("FABRICAR",AA168))),"MIXTO",IF(ISNUMBER(SEARCH("IMPORTAR",AA168)),"IMPORTADO",IF(ISNUMBER(SEARCH("FABRICAR",AA168)),"LOCAL","OTRO")))</f>
        <v>LOCAL</v>
      </c>
      <c r="AQ168" t="str">
        <f>IF(AD168="Si","SI",IF(AD168="No","NO",""))</f>
        <v>NO</v>
      </c>
      <c r="AR168" t="str">
        <f>IF(ISNUMBER(SEARCH("®",N168)),"MARCA/INNOVADOR","GENERICO")</f>
        <v>GENERICO</v>
      </c>
      <c r="AS168">
        <f ca="1">IF(AE168&gt;100,RANDBETWEEN(500,5000),IF(AND(AE168&gt;=10,AE168&lt;=100),RANDBETWEEN(100,1000),RANDBETWEEN(10,200)))</f>
        <v>4209</v>
      </c>
      <c r="AT168">
        <f t="shared" ca="1" si="12"/>
        <v>673</v>
      </c>
      <c r="AU168">
        <f ca="1">INT(AS168*RANDBETWEEN(120,200)/100)</f>
        <v>6650</v>
      </c>
      <c r="AV168" s="2">
        <f ca="1">IF(LEFT(Y168,1)="L",RANDBETWEEN(500000,5000000),IF(LEFT(Y168,1)="C",RANDBETWEEN(5000,50000),IF(LEFT(Y168,1)="N",RANDBETWEEN(10000,150000),IF(LEFT(Y168,1)="J",RANDBETWEEN(8000,200000),RANDBETWEEN(5000,100000)))))</f>
        <v>26059</v>
      </c>
      <c r="AW168" s="2">
        <f ca="1">INT(AV168*RANDBETWEEN(30,60)/100)</f>
        <v>11726</v>
      </c>
      <c r="AX168">
        <f ca="1">IF(Z168="ORAL",RANDBETWEEN(1000,10000),IF(OR(Z168="INTRAVENOSA",Z168="INTRAMUSCULAR"),RANDBETWEEN(100,2000),IF(OR(Z168="OFTÁLMICA",Z168="TOPICA (EXTERNA)"),RANDBETWEEN(200,3000),RANDBETWEEN(100,1500))))</f>
        <v>1585</v>
      </c>
      <c r="AY168" s="2">
        <f ca="1">INT(AV168*RANDBETWEEN(90,130)/100)</f>
        <v>27622</v>
      </c>
      <c r="AZ168" t="str">
        <f t="shared" ca="1" si="13"/>
        <v>9%</v>
      </c>
      <c r="BA168" t="str">
        <f t="shared" ca="1" si="14"/>
        <v>BAJO</v>
      </c>
    </row>
    <row r="169" spans="4:53" x14ac:dyDescent="0.35">
      <c r="D169" t="s">
        <v>1446</v>
      </c>
      <c r="E169" s="1">
        <v>36161</v>
      </c>
      <c r="F169" t="s">
        <v>1447</v>
      </c>
      <c r="G169" t="s">
        <v>502</v>
      </c>
      <c r="H169" t="s">
        <v>1448</v>
      </c>
      <c r="I169">
        <v>33546</v>
      </c>
      <c r="J169" t="s">
        <v>110</v>
      </c>
      <c r="K169">
        <v>5</v>
      </c>
      <c r="L169" t="s">
        <v>27</v>
      </c>
      <c r="M169" t="s">
        <v>1449</v>
      </c>
      <c r="N169" t="s">
        <v>1450</v>
      </c>
      <c r="O169" t="s">
        <v>1451</v>
      </c>
      <c r="P169" t="s">
        <v>553</v>
      </c>
      <c r="Q169" s="1">
        <v>39127</v>
      </c>
      <c r="R169" t="s">
        <v>564</v>
      </c>
      <c r="S169" s="1">
        <v>40047</v>
      </c>
      <c r="T169" t="s">
        <v>1452</v>
      </c>
      <c r="U169" t="s">
        <v>115</v>
      </c>
      <c r="V169" t="s">
        <v>1453</v>
      </c>
      <c r="W169">
        <v>250</v>
      </c>
      <c r="X169">
        <v>33546</v>
      </c>
      <c r="Y169" t="s">
        <v>1454</v>
      </c>
      <c r="Z169" t="s">
        <v>566</v>
      </c>
      <c r="AA169" t="s">
        <v>24</v>
      </c>
      <c r="AB169" t="s">
        <v>250</v>
      </c>
      <c r="AC169" t="s">
        <v>25</v>
      </c>
      <c r="AD169" t="s">
        <v>155</v>
      </c>
      <c r="AE169">
        <v>1</v>
      </c>
      <c r="AF169" t="s">
        <v>27</v>
      </c>
      <c r="AG169" t="s">
        <v>26</v>
      </c>
      <c r="AH169" t="s">
        <v>1447</v>
      </c>
      <c r="AI169" t="str">
        <f t="shared" si="10"/>
        <v>NO</v>
      </c>
      <c r="AJ169" t="str">
        <f t="shared" si="11"/>
        <v>LABORATORIOS BAGO DE COLOMBIA</v>
      </c>
      <c r="AK169" t="str">
        <f>IF(ISNUMBER(SEARCH("FABRICANTE",AC169)),"FABRICANTE",IF(ISNUMBER(SEARCH("IMPORTADOR",AC169)),"IMPORTADOR","OTRO"))</f>
        <v>FABRICANTE</v>
      </c>
      <c r="AL169" t="str">
        <f>IF(LEFT(Y169,1)="A","Sistema digestivo",IF(LEFT(Y169,1)="B","Sangre",IF(LEFT(Y169,1)="C","Cardiovascular",IF(LEFT(Y169,1)="D","Dermatológico",IF(LEFT(Y169,1)="G","Genitourinario",IF(LEFT(Y169,1)="H","Hormonal",IF(LEFT(Y169,1)="J","Antiinfecciosos",IF(LEFT(Y169,1)="L","Oncológicos",IF(LEFT(Y169,1)="M","Musculoesquelético",IF(LEFT(Y169,1)="N","Sistema nervioso",IF(LEFT(Y169,1)="R","Respiratorio",IF(LEFT(Y169,1)="S","Oftálmico",IF(LEFT(Y169,1)="V","Varios","OTRO")))))))))))))</f>
        <v>Dermatológico</v>
      </c>
      <c r="AM169" t="str">
        <f>IF(AG169="Vigente","ACTIVO",IF(ISNUMBER(SEARCH("Inactivo",J169)),"INACTIVO","REVISAR"))</f>
        <v>ACTIVO</v>
      </c>
      <c r="AN169" t="str">
        <f ca="1">IF(OR(AF169="",AF169="null"),"",ROUND((AF169-TODAY())/365.25,2))</f>
        <v/>
      </c>
      <c r="AO169" t="str">
        <f ca="1">IF(AND(AG169="Vigente",OR(AF169="",AF169="null",AF169&gt;TODAY())),"SI",IF(AND(NOT(OR(AF169="",AF169="null")),AF169&lt;=TODAY()),"NO",IF(AG169="Vigente","SI","DESCONOCIDO")))</f>
        <v>SI</v>
      </c>
      <c r="AP169" t="str">
        <f>IF(AND(ISNUMBER(SEARCH("IMPORTAR",AA169)),ISNUMBER(SEARCH("FABRICAR",AA169))),"MIXTO",IF(ISNUMBER(SEARCH("IMPORTAR",AA169)),"IMPORTADO",IF(ISNUMBER(SEARCH("FABRICAR",AA169)),"LOCAL","OTRO")))</f>
        <v>LOCAL</v>
      </c>
      <c r="AQ169" t="str">
        <f>IF(AD169="Si","SI",IF(AD169="No","NO",""))</f>
        <v>SI</v>
      </c>
      <c r="AR169" t="str">
        <f>IF(ISNUMBER(SEARCH("®",N169)),"MARCA/INNOVADOR","GENERICO")</f>
        <v>MARCA/INNOVADOR</v>
      </c>
      <c r="AS169">
        <f ca="1">IF(AE169&gt;100,RANDBETWEEN(500,5000),IF(AND(AE169&gt;=10,AE169&lt;=100),RANDBETWEEN(100,1000),RANDBETWEEN(10,200)))</f>
        <v>15</v>
      </c>
      <c r="AT169">
        <f t="shared" ca="1" si="12"/>
        <v>4</v>
      </c>
      <c r="AU169">
        <f ca="1">INT(AS169*RANDBETWEEN(120,200)/100)</f>
        <v>23</v>
      </c>
      <c r="AV169" s="2">
        <f ca="1">IF(LEFT(Y169,1)="L",RANDBETWEEN(500000,5000000),IF(LEFT(Y169,1)="C",RANDBETWEEN(5000,50000),IF(LEFT(Y169,1)="N",RANDBETWEEN(10000,150000),IF(LEFT(Y169,1)="J",RANDBETWEEN(8000,200000),RANDBETWEEN(5000,100000)))))</f>
        <v>35435</v>
      </c>
      <c r="AW169" s="2">
        <f ca="1">INT(AV169*RANDBETWEEN(30,60)/100)</f>
        <v>18426</v>
      </c>
      <c r="AX169">
        <f ca="1">IF(Z169="ORAL",RANDBETWEEN(1000,10000),IF(OR(Z169="INTRAVENOSA",Z169="INTRAMUSCULAR"),RANDBETWEEN(100,2000),IF(OR(Z169="OFTÁLMICA",Z169="TOPICA (EXTERNA)"),RANDBETWEEN(200,3000),RANDBETWEEN(100,1500))))</f>
        <v>2241</v>
      </c>
      <c r="AY169" s="2">
        <f ca="1">INT(AV169*RANDBETWEEN(90,130)/100)</f>
        <v>36498</v>
      </c>
      <c r="AZ169" t="str">
        <f t="shared" ca="1" si="13"/>
        <v>3.6%</v>
      </c>
      <c r="BA169" t="str">
        <f t="shared" ca="1" si="14"/>
        <v>ALTO</v>
      </c>
    </row>
    <row r="170" spans="4:53" x14ac:dyDescent="0.35">
      <c r="D170" t="s">
        <v>1455</v>
      </c>
      <c r="E170" s="1">
        <v>45497</v>
      </c>
      <c r="F170" t="s">
        <v>324</v>
      </c>
      <c r="G170" t="s">
        <v>108</v>
      </c>
      <c r="H170" t="s">
        <v>1456</v>
      </c>
      <c r="I170">
        <v>20220106</v>
      </c>
      <c r="J170" t="s">
        <v>28</v>
      </c>
      <c r="K170">
        <v>1</v>
      </c>
      <c r="L170" t="s">
        <v>27</v>
      </c>
      <c r="M170" t="s">
        <v>1457</v>
      </c>
      <c r="N170" t="s">
        <v>1458</v>
      </c>
      <c r="O170" t="s">
        <v>1459</v>
      </c>
      <c r="P170" t="s">
        <v>1201</v>
      </c>
      <c r="Q170" s="1">
        <v>45274</v>
      </c>
      <c r="R170" t="s">
        <v>33</v>
      </c>
      <c r="S170" t="s">
        <v>27</v>
      </c>
      <c r="T170" t="s">
        <v>454</v>
      </c>
      <c r="U170" t="s">
        <v>115</v>
      </c>
      <c r="V170" t="s">
        <v>330</v>
      </c>
      <c r="W170">
        <v>100</v>
      </c>
      <c r="X170">
        <v>20220106</v>
      </c>
      <c r="Y170" t="s">
        <v>331</v>
      </c>
      <c r="Z170" t="s">
        <v>119</v>
      </c>
      <c r="AA170" t="s">
        <v>32</v>
      </c>
      <c r="AB170" t="s">
        <v>120</v>
      </c>
      <c r="AC170" t="s">
        <v>25</v>
      </c>
      <c r="AD170" t="s">
        <v>121</v>
      </c>
      <c r="AE170">
        <v>10</v>
      </c>
      <c r="AF170" s="1">
        <v>47338</v>
      </c>
      <c r="AG170" t="s">
        <v>26</v>
      </c>
      <c r="AH170" t="s">
        <v>324</v>
      </c>
      <c r="AI170" t="str">
        <f t="shared" si="10"/>
        <v>NO</v>
      </c>
      <c r="AJ170" t="str">
        <f t="shared" si="11"/>
        <v>PROCAPS</v>
      </c>
      <c r="AK170" t="str">
        <f>IF(ISNUMBER(SEARCH("FABRICANTE",AC170)),"FABRICANTE",IF(ISNUMBER(SEARCH("IMPORTADOR",AC170)),"IMPORTADOR","OTRO"))</f>
        <v>FABRICANTE</v>
      </c>
      <c r="AL170" t="str">
        <f>IF(LEFT(Y170,1)="A","Sistema digestivo",IF(LEFT(Y170,1)="B","Sangre",IF(LEFT(Y170,1)="C","Cardiovascular",IF(LEFT(Y170,1)="D","Dermatológico",IF(LEFT(Y170,1)="G","Genitourinario",IF(LEFT(Y170,1)="H","Hormonal",IF(LEFT(Y170,1)="J","Antiinfecciosos",IF(LEFT(Y170,1)="L","Oncológicos",IF(LEFT(Y170,1)="M","Musculoesquelético",IF(LEFT(Y170,1)="N","Sistema nervioso",IF(LEFT(Y170,1)="R","Respiratorio",IF(LEFT(Y170,1)="S","Oftálmico",IF(LEFT(Y170,1)="V","Varios","OTRO")))))))))))))</f>
        <v>Cardiovascular</v>
      </c>
      <c r="AM170" t="str">
        <f>IF(AG170="Vigente","ACTIVO",IF(ISNUMBER(SEARCH("Inactivo",J170)),"INACTIVO","REVISAR"))</f>
        <v>ACTIVO</v>
      </c>
      <c r="AN170">
        <f ca="1">IF(OR(AF170="",AF170="null"),"",ROUND((AF170-TODAY())/365.25,2))</f>
        <v>3.2</v>
      </c>
      <c r="AO170" t="str">
        <f ca="1">IF(AND(AG170="Vigente",OR(AF170="",AF170="null",AF170&gt;TODAY())),"SI",IF(AND(NOT(OR(AF170="",AF170="null")),AF170&lt;=TODAY()),"NO",IF(AG170="Vigente","SI","DESCONOCIDO")))</f>
        <v>SI</v>
      </c>
      <c r="AP170" t="str">
        <f>IF(AND(ISNUMBER(SEARCH("IMPORTAR",AA170)),ISNUMBER(SEARCH("FABRICAR",AA170))),"MIXTO",IF(ISNUMBER(SEARCH("IMPORTAR",AA170)),"IMPORTADO",IF(ISNUMBER(SEARCH("FABRICAR",AA170)),"LOCAL","OTRO")))</f>
        <v>IMPORTADO</v>
      </c>
      <c r="AQ170" t="str">
        <f>IF(AD170="Si","SI",IF(AD170="No","NO",""))</f>
        <v>NO</v>
      </c>
      <c r="AR170" t="str">
        <f>IF(ISNUMBER(SEARCH("®",N170)),"MARCA/INNOVADOR","GENERICO")</f>
        <v>GENERICO</v>
      </c>
      <c r="AS170">
        <f ca="1">IF(AE170&gt;100,RANDBETWEEN(500,5000),IF(AND(AE170&gt;=10,AE170&lt;=100),RANDBETWEEN(100,1000),RANDBETWEEN(10,200)))</f>
        <v>874</v>
      </c>
      <c r="AT170">
        <f t="shared" ca="1" si="12"/>
        <v>218</v>
      </c>
      <c r="AU170">
        <f ca="1">INT(AS170*RANDBETWEEN(120,200)/100)</f>
        <v>1608</v>
      </c>
      <c r="AV170" s="2">
        <f ca="1">IF(LEFT(Y170,1)="L",RANDBETWEEN(500000,5000000),IF(LEFT(Y170,1)="C",RANDBETWEEN(5000,50000),IF(LEFT(Y170,1)="N",RANDBETWEEN(10000,150000),IF(LEFT(Y170,1)="J",RANDBETWEEN(8000,200000),RANDBETWEEN(5000,100000)))))</f>
        <v>19483</v>
      </c>
      <c r="AW170" s="2">
        <f ca="1">INT(AV170*RANDBETWEEN(30,60)/100)</f>
        <v>9351</v>
      </c>
      <c r="AX170">
        <f ca="1">IF(Z170="ORAL",RANDBETWEEN(1000,10000),IF(OR(Z170="INTRAVENOSA",Z170="INTRAMUSCULAR"),RANDBETWEEN(100,2000),IF(OR(Z170="OFTÁLMICA",Z170="TOPICA (EXTERNA)"),RANDBETWEEN(200,3000),RANDBETWEEN(100,1500))))</f>
        <v>9949</v>
      </c>
      <c r="AY170" s="2">
        <f ca="1">INT(AV170*RANDBETWEEN(90,130)/100)</f>
        <v>23574</v>
      </c>
      <c r="AZ170" t="str">
        <f t="shared" ca="1" si="13"/>
        <v>23.4%</v>
      </c>
      <c r="BA170" t="str">
        <f t="shared" ca="1" si="14"/>
        <v>MEDIO</v>
      </c>
    </row>
    <row r="171" spans="4:53" x14ac:dyDescent="0.35">
      <c r="D171" t="s">
        <v>1460</v>
      </c>
      <c r="E171" s="1">
        <v>42296</v>
      </c>
      <c r="F171" t="s">
        <v>1461</v>
      </c>
      <c r="G171" t="s">
        <v>108</v>
      </c>
      <c r="H171" t="s">
        <v>928</v>
      </c>
      <c r="I171">
        <v>20089355</v>
      </c>
      <c r="J171" t="s">
        <v>28</v>
      </c>
      <c r="K171">
        <v>33</v>
      </c>
      <c r="L171" t="s">
        <v>27</v>
      </c>
      <c r="M171" t="s">
        <v>1462</v>
      </c>
      <c r="N171" t="s">
        <v>1463</v>
      </c>
      <c r="O171" t="s">
        <v>1464</v>
      </c>
      <c r="P171" t="s">
        <v>1271</v>
      </c>
      <c r="Q171" s="1">
        <v>42158</v>
      </c>
      <c r="R171" t="s">
        <v>29</v>
      </c>
      <c r="S171" t="s">
        <v>27</v>
      </c>
      <c r="T171" t="s">
        <v>928</v>
      </c>
      <c r="U171" t="s">
        <v>115</v>
      </c>
      <c r="V171" t="s">
        <v>667</v>
      </c>
      <c r="W171">
        <v>40</v>
      </c>
      <c r="X171">
        <v>20089355</v>
      </c>
      <c r="Y171" t="s">
        <v>668</v>
      </c>
      <c r="Z171" t="s">
        <v>119</v>
      </c>
      <c r="AA171" t="s">
        <v>24</v>
      </c>
      <c r="AB171" t="s">
        <v>120</v>
      </c>
      <c r="AC171" t="s">
        <v>25</v>
      </c>
      <c r="AD171" t="s">
        <v>121</v>
      </c>
      <c r="AE171">
        <v>1</v>
      </c>
      <c r="AF171" s="1">
        <v>401769</v>
      </c>
      <c r="AG171" t="s">
        <v>26</v>
      </c>
      <c r="AH171" t="s">
        <v>6631</v>
      </c>
      <c r="AI171" t="str">
        <f t="shared" si="10"/>
        <v>SI</v>
      </c>
      <c r="AJ171" t="str">
        <f t="shared" si="11"/>
        <v>LABORATORIOS ECAR</v>
      </c>
      <c r="AK171" t="str">
        <f>IF(ISNUMBER(SEARCH("FABRICANTE",AC171)),"FABRICANTE",IF(ISNUMBER(SEARCH("IMPORTADOR",AC171)),"IMPORTADOR","OTRO"))</f>
        <v>FABRICANTE</v>
      </c>
      <c r="AL171" t="str">
        <f>IF(LEFT(Y171,1)="A","Sistema digestivo",IF(LEFT(Y171,1)="B","Sangre",IF(LEFT(Y171,1)="C","Cardiovascular",IF(LEFT(Y171,1)="D","Dermatológico",IF(LEFT(Y171,1)="G","Genitourinario",IF(LEFT(Y171,1)="H","Hormonal",IF(LEFT(Y171,1)="J","Antiinfecciosos",IF(LEFT(Y171,1)="L","Oncológicos",IF(LEFT(Y171,1)="M","Musculoesquelético",IF(LEFT(Y171,1)="N","Sistema nervioso",IF(LEFT(Y171,1)="R","Respiratorio",IF(LEFT(Y171,1)="S","Oftálmico",IF(LEFT(Y171,1)="V","Varios","OTRO")))))))))))))</f>
        <v>Cardiovascular</v>
      </c>
      <c r="AM171" t="str">
        <f>IF(AG171="Vigente","ACTIVO",IF(ISNUMBER(SEARCH("Inactivo",J171)),"INACTIVO","REVISAR"))</f>
        <v>ACTIVO</v>
      </c>
      <c r="AN171">
        <f ca="1">IF(OR(AF171="",AF171="null"),"",ROUND((AF171-TODAY())/365.25,2))</f>
        <v>973.58</v>
      </c>
      <c r="AO171" t="str">
        <f ca="1">IF(AND(AG171="Vigente",OR(AF171="",AF171="null",AF171&gt;TODAY())),"SI",IF(AND(NOT(OR(AF171="",AF171="null")),AF171&lt;=TODAY()),"NO",IF(AG171="Vigente","SI","DESCONOCIDO")))</f>
        <v>SI</v>
      </c>
      <c r="AP171" t="str">
        <f>IF(AND(ISNUMBER(SEARCH("IMPORTAR",AA171)),ISNUMBER(SEARCH("FABRICAR",AA171))),"MIXTO",IF(ISNUMBER(SEARCH("IMPORTAR",AA171)),"IMPORTADO",IF(ISNUMBER(SEARCH("FABRICAR",AA171)),"LOCAL","OTRO")))</f>
        <v>LOCAL</v>
      </c>
      <c r="AQ171" t="str">
        <f>IF(AD171="Si","SI",IF(AD171="No","NO",""))</f>
        <v>NO</v>
      </c>
      <c r="AR171" t="str">
        <f>IF(ISNUMBER(SEARCH("®",N171)),"MARCA/INNOVADOR","GENERICO")</f>
        <v>GENERICO</v>
      </c>
      <c r="AS171">
        <f ca="1">IF(AE171&gt;100,RANDBETWEEN(500,5000),IF(AND(AE171&gt;=10,AE171&lt;=100),RANDBETWEEN(100,1000),RANDBETWEEN(10,200)))</f>
        <v>198</v>
      </c>
      <c r="AT171">
        <f t="shared" ca="1" si="12"/>
        <v>21</v>
      </c>
      <c r="AU171">
        <f ca="1">INT(AS171*RANDBETWEEN(120,200)/100)</f>
        <v>267</v>
      </c>
      <c r="AV171" s="2">
        <f ca="1">IF(LEFT(Y171,1)="L",RANDBETWEEN(500000,5000000),IF(LEFT(Y171,1)="C",RANDBETWEEN(5000,50000),IF(LEFT(Y171,1)="N",RANDBETWEEN(10000,150000),IF(LEFT(Y171,1)="J",RANDBETWEEN(8000,200000),RANDBETWEEN(5000,100000)))))</f>
        <v>17154</v>
      </c>
      <c r="AW171" s="2">
        <f ca="1">INT(AV171*RANDBETWEEN(30,60)/100)</f>
        <v>10120</v>
      </c>
      <c r="AX171">
        <f ca="1">IF(Z171="ORAL",RANDBETWEEN(1000,10000),IF(OR(Z171="INTRAVENOSA",Z171="INTRAMUSCULAR"),RANDBETWEEN(100,2000),IF(OR(Z171="OFTÁLMICA",Z171="TOPICA (EXTERNA)"),RANDBETWEEN(200,3000),RANDBETWEEN(100,1500))))</f>
        <v>5519</v>
      </c>
      <c r="AY171" s="2">
        <f ca="1">INT(AV171*RANDBETWEEN(90,130)/100)</f>
        <v>19898</v>
      </c>
      <c r="AZ171" t="str">
        <f t="shared" ca="1" si="13"/>
        <v>12.2%</v>
      </c>
      <c r="BA171" t="str">
        <f t="shared" ca="1" si="14"/>
        <v>BAJO</v>
      </c>
    </row>
    <row r="172" spans="4:53" x14ac:dyDescent="0.35">
      <c r="D172" t="s">
        <v>1465</v>
      </c>
      <c r="E172" s="1">
        <v>37264</v>
      </c>
      <c r="F172" t="s">
        <v>1466</v>
      </c>
      <c r="G172" t="s">
        <v>108</v>
      </c>
      <c r="H172" t="s">
        <v>1467</v>
      </c>
      <c r="I172">
        <v>19926482</v>
      </c>
      <c r="J172" t="s">
        <v>28</v>
      </c>
      <c r="K172">
        <v>1</v>
      </c>
      <c r="L172" t="s">
        <v>27</v>
      </c>
      <c r="M172" t="s">
        <v>1468</v>
      </c>
      <c r="N172" t="s">
        <v>1469</v>
      </c>
      <c r="O172" t="s">
        <v>1470</v>
      </c>
      <c r="P172" t="s">
        <v>33</v>
      </c>
      <c r="Q172" s="1">
        <v>39031</v>
      </c>
      <c r="R172" t="s">
        <v>33</v>
      </c>
      <c r="S172" t="s">
        <v>27</v>
      </c>
      <c r="T172" t="s">
        <v>464</v>
      </c>
      <c r="U172" t="s">
        <v>115</v>
      </c>
      <c r="V172" t="s">
        <v>1466</v>
      </c>
      <c r="W172">
        <v>1</v>
      </c>
      <c r="X172">
        <v>19926482</v>
      </c>
      <c r="Y172" t="s">
        <v>1471</v>
      </c>
      <c r="Z172" t="s">
        <v>119</v>
      </c>
      <c r="AA172" t="s">
        <v>32</v>
      </c>
      <c r="AB172" t="s">
        <v>120</v>
      </c>
      <c r="AC172" t="s">
        <v>25</v>
      </c>
      <c r="AD172" t="s">
        <v>155</v>
      </c>
      <c r="AE172">
        <v>4</v>
      </c>
      <c r="AF172" t="s">
        <v>27</v>
      </c>
      <c r="AG172" t="s">
        <v>26</v>
      </c>
      <c r="AH172" t="s">
        <v>1466</v>
      </c>
      <c r="AI172" t="str">
        <f t="shared" si="10"/>
        <v>NO</v>
      </c>
      <c r="AJ172" t="str">
        <f t="shared" si="11"/>
        <v>MEGALABS COLOMBIA</v>
      </c>
      <c r="AK172" t="str">
        <f>IF(ISNUMBER(SEARCH("FABRICANTE",AC172)),"FABRICANTE",IF(ISNUMBER(SEARCH("IMPORTADOR",AC172)),"IMPORTADOR","OTRO"))</f>
        <v>FABRICANTE</v>
      </c>
      <c r="AL172" t="str">
        <f>IF(LEFT(Y172,1)="A","Sistema digestivo",IF(LEFT(Y172,1)="B","Sangre",IF(LEFT(Y172,1)="C","Cardiovascular",IF(LEFT(Y172,1)="D","Dermatológico",IF(LEFT(Y172,1)="G","Genitourinario",IF(LEFT(Y172,1)="H","Hormonal",IF(LEFT(Y172,1)="J","Antiinfecciosos",IF(LEFT(Y172,1)="L","Oncológicos",IF(LEFT(Y172,1)="M","Musculoesquelético",IF(LEFT(Y172,1)="N","Sistema nervioso",IF(LEFT(Y172,1)="R","Respiratorio",IF(LEFT(Y172,1)="S","Oftálmico",IF(LEFT(Y172,1)="V","Varios","OTRO")))))))))))))</f>
        <v>Sistema nervioso</v>
      </c>
      <c r="AM172" t="str">
        <f>IF(AG172="Vigente","ACTIVO",IF(ISNUMBER(SEARCH("Inactivo",J172)),"INACTIVO","REVISAR"))</f>
        <v>ACTIVO</v>
      </c>
      <c r="AN172" t="str">
        <f ca="1">IF(OR(AF172="",AF172="null"),"",ROUND((AF172-TODAY())/365.25,2))</f>
        <v/>
      </c>
      <c r="AO172" t="str">
        <f ca="1">IF(AND(AG172="Vigente",OR(AF172="",AF172="null",AF172&gt;TODAY())),"SI",IF(AND(NOT(OR(AF172="",AF172="null")),AF172&lt;=TODAY()),"NO",IF(AG172="Vigente","SI","DESCONOCIDO")))</f>
        <v>SI</v>
      </c>
      <c r="AP172" t="str">
        <f>IF(AND(ISNUMBER(SEARCH("IMPORTAR",AA172)),ISNUMBER(SEARCH("FABRICAR",AA172))),"MIXTO",IF(ISNUMBER(SEARCH("IMPORTAR",AA172)),"IMPORTADO",IF(ISNUMBER(SEARCH("FABRICAR",AA172)),"LOCAL","OTRO")))</f>
        <v>IMPORTADO</v>
      </c>
      <c r="AQ172" t="str">
        <f>IF(AD172="Si","SI",IF(AD172="No","NO",""))</f>
        <v>SI</v>
      </c>
      <c r="AR172" t="str">
        <f>IF(ISNUMBER(SEARCH("®",N172)),"MARCA/INNOVADOR","GENERICO")</f>
        <v>MARCA/INNOVADOR</v>
      </c>
      <c r="AS172">
        <f ca="1">IF(AE172&gt;100,RANDBETWEEN(500,5000),IF(AND(AE172&gt;=10,AE172&lt;=100),RANDBETWEEN(100,1000),RANDBETWEEN(10,200)))</f>
        <v>69</v>
      </c>
      <c r="AT172">
        <f t="shared" ca="1" si="12"/>
        <v>9</v>
      </c>
      <c r="AU172">
        <f ca="1">INT(AS172*RANDBETWEEN(120,200)/100)</f>
        <v>111</v>
      </c>
      <c r="AV172" s="2">
        <f ca="1">IF(LEFT(Y172,1)="L",RANDBETWEEN(500000,5000000),IF(LEFT(Y172,1)="C",RANDBETWEEN(5000,50000),IF(LEFT(Y172,1)="N",RANDBETWEEN(10000,150000),IF(LEFT(Y172,1)="J",RANDBETWEEN(8000,200000),RANDBETWEEN(5000,100000)))))</f>
        <v>53241</v>
      </c>
      <c r="AW172" s="2">
        <f ca="1">INT(AV172*RANDBETWEEN(30,60)/100)</f>
        <v>25555</v>
      </c>
      <c r="AX172">
        <f ca="1">IF(Z172="ORAL",RANDBETWEEN(1000,10000),IF(OR(Z172="INTRAVENOSA",Z172="INTRAMUSCULAR"),RANDBETWEEN(100,2000),IF(OR(Z172="OFTÁLMICA",Z172="TOPICA (EXTERNA)"),RANDBETWEEN(200,3000),RANDBETWEEN(100,1500))))</f>
        <v>6095</v>
      </c>
      <c r="AY172" s="2">
        <f ca="1">INT(AV172*RANDBETWEEN(90,130)/100)</f>
        <v>64954</v>
      </c>
      <c r="AZ172" t="str">
        <f t="shared" ca="1" si="13"/>
        <v>7.6%</v>
      </c>
      <c r="BA172" t="str">
        <f t="shared" ca="1" si="14"/>
        <v>BAJO</v>
      </c>
    </row>
    <row r="173" spans="4:53" x14ac:dyDescent="0.35">
      <c r="D173" t="s">
        <v>1472</v>
      </c>
      <c r="E173" s="1">
        <v>39015</v>
      </c>
      <c r="F173" t="s">
        <v>1473</v>
      </c>
      <c r="G173" t="s">
        <v>108</v>
      </c>
      <c r="H173" t="s">
        <v>710</v>
      </c>
      <c r="I173">
        <v>19967411</v>
      </c>
      <c r="J173" t="s">
        <v>28</v>
      </c>
      <c r="K173">
        <v>8</v>
      </c>
      <c r="L173" t="s">
        <v>27</v>
      </c>
      <c r="M173" t="s">
        <v>1474</v>
      </c>
      <c r="N173" t="s">
        <v>1475</v>
      </c>
      <c r="O173" t="s">
        <v>1476</v>
      </c>
      <c r="P173" t="s">
        <v>29</v>
      </c>
      <c r="Q173" s="1">
        <v>39106</v>
      </c>
      <c r="R173" t="s">
        <v>29</v>
      </c>
      <c r="S173" t="s">
        <v>27</v>
      </c>
      <c r="T173" t="s">
        <v>1477</v>
      </c>
      <c r="U173" t="s">
        <v>115</v>
      </c>
      <c r="V173" t="s">
        <v>1209</v>
      </c>
      <c r="W173">
        <v>200</v>
      </c>
      <c r="X173">
        <v>19967411</v>
      </c>
      <c r="Y173" t="s">
        <v>1210</v>
      </c>
      <c r="Z173" t="s">
        <v>119</v>
      </c>
      <c r="AA173" t="s">
        <v>24</v>
      </c>
      <c r="AB173" t="s">
        <v>120</v>
      </c>
      <c r="AC173" t="s">
        <v>25</v>
      </c>
      <c r="AD173" t="s">
        <v>121</v>
      </c>
      <c r="AE173">
        <v>200</v>
      </c>
      <c r="AF173" t="s">
        <v>27</v>
      </c>
      <c r="AG173" t="s">
        <v>26</v>
      </c>
      <c r="AH173" t="s">
        <v>1473</v>
      </c>
      <c r="AI173" t="str">
        <f t="shared" si="10"/>
        <v>NO</v>
      </c>
      <c r="AJ173" t="str">
        <f t="shared" si="11"/>
        <v>MEMPHIS PRODUCTS</v>
      </c>
      <c r="AK173" t="str">
        <f>IF(ISNUMBER(SEARCH("FABRICANTE",AC173)),"FABRICANTE",IF(ISNUMBER(SEARCH("IMPORTADOR",AC173)),"IMPORTADOR","OTRO"))</f>
        <v>FABRICANTE</v>
      </c>
      <c r="AL173" t="str">
        <f>IF(LEFT(Y173,1)="A","Sistema digestivo",IF(LEFT(Y173,1)="B","Sangre",IF(LEFT(Y173,1)="C","Cardiovascular",IF(LEFT(Y173,1)="D","Dermatológico",IF(LEFT(Y173,1)="G","Genitourinario",IF(LEFT(Y173,1)="H","Hormonal",IF(LEFT(Y173,1)="J","Antiinfecciosos",IF(LEFT(Y173,1)="L","Oncológicos",IF(LEFT(Y173,1)="M","Musculoesquelético",IF(LEFT(Y173,1)="N","Sistema nervioso",IF(LEFT(Y173,1)="R","Respiratorio",IF(LEFT(Y173,1)="S","Oftálmico",IF(LEFT(Y173,1)="V","Varios","OTRO")))))))))))))</f>
        <v>Sistema digestivo</v>
      </c>
      <c r="AM173" t="str">
        <f>IF(AG173="Vigente","ACTIVO",IF(ISNUMBER(SEARCH("Inactivo",J173)),"INACTIVO","REVISAR"))</f>
        <v>ACTIVO</v>
      </c>
      <c r="AN173" t="str">
        <f ca="1">IF(OR(AF173="",AF173="null"),"",ROUND((AF173-TODAY())/365.25,2))</f>
        <v/>
      </c>
      <c r="AO173" t="str">
        <f ca="1">IF(AND(AG173="Vigente",OR(AF173="",AF173="null",AF173&gt;TODAY())),"SI",IF(AND(NOT(OR(AF173="",AF173="null")),AF173&lt;=TODAY()),"NO",IF(AG173="Vigente","SI","DESCONOCIDO")))</f>
        <v>SI</v>
      </c>
      <c r="AP173" t="str">
        <f>IF(AND(ISNUMBER(SEARCH("IMPORTAR",AA173)),ISNUMBER(SEARCH("FABRICAR",AA173))),"MIXTO",IF(ISNUMBER(SEARCH("IMPORTAR",AA173)),"IMPORTADO",IF(ISNUMBER(SEARCH("FABRICAR",AA173)),"LOCAL","OTRO")))</f>
        <v>LOCAL</v>
      </c>
      <c r="AQ173" t="str">
        <f>IF(AD173="Si","SI",IF(AD173="No","NO",""))</f>
        <v>NO</v>
      </c>
      <c r="AR173" t="str">
        <f>IF(ISNUMBER(SEARCH("®",N173)),"MARCA/INNOVADOR","GENERICO")</f>
        <v>GENERICO</v>
      </c>
      <c r="AS173">
        <f ca="1">IF(AE173&gt;100,RANDBETWEEN(500,5000),IF(AND(AE173&gt;=10,AE173&lt;=100),RANDBETWEEN(100,1000),RANDBETWEEN(10,200)))</f>
        <v>2075</v>
      </c>
      <c r="AT173">
        <f t="shared" ca="1" si="12"/>
        <v>352</v>
      </c>
      <c r="AU173">
        <f ca="1">INT(AS173*RANDBETWEEN(120,200)/100)</f>
        <v>3880</v>
      </c>
      <c r="AV173" s="2">
        <f ca="1">IF(LEFT(Y173,1)="L",RANDBETWEEN(500000,5000000),IF(LEFT(Y173,1)="C",RANDBETWEEN(5000,50000),IF(LEFT(Y173,1)="N",RANDBETWEEN(10000,150000),IF(LEFT(Y173,1)="J",RANDBETWEEN(8000,200000),RANDBETWEEN(5000,100000)))))</f>
        <v>49747</v>
      </c>
      <c r="AW173" s="2">
        <f ca="1">INT(AV173*RANDBETWEEN(30,60)/100)</f>
        <v>19401</v>
      </c>
      <c r="AX173">
        <f ca="1">IF(Z173="ORAL",RANDBETWEEN(1000,10000),IF(OR(Z173="INTRAVENOSA",Z173="INTRAMUSCULAR"),RANDBETWEEN(100,2000),IF(OR(Z173="OFTÁLMICA",Z173="TOPICA (EXTERNA)"),RANDBETWEEN(200,3000),RANDBETWEEN(100,1500))))</f>
        <v>1185</v>
      </c>
      <c r="AY173" s="2">
        <f ca="1">INT(AV173*RANDBETWEEN(90,130)/100)</f>
        <v>60691</v>
      </c>
      <c r="AZ173" t="str">
        <f t="shared" ca="1" si="13"/>
        <v>15.5%</v>
      </c>
      <c r="BA173" t="str">
        <f t="shared" ca="1" si="14"/>
        <v>BAJO</v>
      </c>
    </row>
    <row r="174" spans="4:53" x14ac:dyDescent="0.35">
      <c r="D174" t="s">
        <v>1478</v>
      </c>
      <c r="E174" s="1">
        <v>42720</v>
      </c>
      <c r="F174" t="s">
        <v>1479</v>
      </c>
      <c r="G174" t="s">
        <v>108</v>
      </c>
      <c r="H174" t="s">
        <v>710</v>
      </c>
      <c r="I174">
        <v>20100521</v>
      </c>
      <c r="J174" t="s">
        <v>28</v>
      </c>
      <c r="K174">
        <v>6</v>
      </c>
      <c r="L174" t="s">
        <v>27</v>
      </c>
      <c r="M174" t="s">
        <v>857</v>
      </c>
      <c r="N174" t="s">
        <v>858</v>
      </c>
      <c r="O174" t="s">
        <v>1480</v>
      </c>
      <c r="P174" t="s">
        <v>97</v>
      </c>
      <c r="Q174" s="1">
        <v>43550</v>
      </c>
      <c r="R174" t="s">
        <v>37</v>
      </c>
      <c r="S174" t="s">
        <v>27</v>
      </c>
      <c r="T174" t="s">
        <v>860</v>
      </c>
      <c r="U174" t="s">
        <v>115</v>
      </c>
      <c r="V174" t="s">
        <v>321</v>
      </c>
      <c r="W174">
        <v>30</v>
      </c>
      <c r="X174">
        <v>20100521</v>
      </c>
      <c r="Y174" t="s">
        <v>322</v>
      </c>
      <c r="Z174" t="s">
        <v>119</v>
      </c>
      <c r="AA174" t="s">
        <v>24</v>
      </c>
      <c r="AB174" t="s">
        <v>120</v>
      </c>
      <c r="AC174" t="s">
        <v>25</v>
      </c>
      <c r="AD174" t="s">
        <v>121</v>
      </c>
      <c r="AE174">
        <v>80</v>
      </c>
      <c r="AF174" t="s">
        <v>27</v>
      </c>
      <c r="AG174" t="s">
        <v>26</v>
      </c>
      <c r="AH174" t="s">
        <v>976</v>
      </c>
      <c r="AI174" t="str">
        <f t="shared" si="10"/>
        <v>NO</v>
      </c>
      <c r="AJ174" t="str">
        <f t="shared" si="11"/>
        <v>ROCIPHAR</v>
      </c>
      <c r="AK174" t="str">
        <f>IF(ISNUMBER(SEARCH("FABRICANTE",AC174)),"FABRICANTE",IF(ISNUMBER(SEARCH("IMPORTADOR",AC174)),"IMPORTADOR","OTRO"))</f>
        <v>FABRICANTE</v>
      </c>
      <c r="AL174" t="str">
        <f>IF(LEFT(Y174,1)="A","Sistema digestivo",IF(LEFT(Y174,1)="B","Sangre",IF(LEFT(Y174,1)="C","Cardiovascular",IF(LEFT(Y174,1)="D","Dermatológico",IF(LEFT(Y174,1)="G","Genitourinario",IF(LEFT(Y174,1)="H","Hormonal",IF(LEFT(Y174,1)="J","Antiinfecciosos",IF(LEFT(Y174,1)="L","Oncológicos",IF(LEFT(Y174,1)="M","Musculoesquelético",IF(LEFT(Y174,1)="N","Sistema nervioso",IF(LEFT(Y174,1)="R","Respiratorio",IF(LEFT(Y174,1)="S","Oftálmico",IF(LEFT(Y174,1)="V","Varios","OTRO")))))))))))))</f>
        <v>Sistema nervioso</v>
      </c>
      <c r="AM174" t="str">
        <f>IF(AG174="Vigente","ACTIVO",IF(ISNUMBER(SEARCH("Inactivo",J174)),"INACTIVO","REVISAR"))</f>
        <v>ACTIVO</v>
      </c>
      <c r="AN174" t="str">
        <f ca="1">IF(OR(AF174="",AF174="null"),"",ROUND((AF174-TODAY())/365.25,2))</f>
        <v/>
      </c>
      <c r="AO174" t="str">
        <f ca="1">IF(AND(AG174="Vigente",OR(AF174="",AF174="null",AF174&gt;TODAY())),"SI",IF(AND(NOT(OR(AF174="",AF174="null")),AF174&lt;=TODAY()),"NO",IF(AG174="Vigente","SI","DESCONOCIDO")))</f>
        <v>SI</v>
      </c>
      <c r="AP174" t="str">
        <f>IF(AND(ISNUMBER(SEARCH("IMPORTAR",AA174)),ISNUMBER(SEARCH("FABRICAR",AA174))),"MIXTO",IF(ISNUMBER(SEARCH("IMPORTAR",AA174)),"IMPORTADO",IF(ISNUMBER(SEARCH("FABRICAR",AA174)),"LOCAL","OTRO")))</f>
        <v>LOCAL</v>
      </c>
      <c r="AQ174" t="str">
        <f>IF(AD174="Si","SI",IF(AD174="No","NO",""))</f>
        <v>NO</v>
      </c>
      <c r="AR174" t="str">
        <f>IF(ISNUMBER(SEARCH("®",N174)),"MARCA/INNOVADOR","GENERICO")</f>
        <v>GENERICO</v>
      </c>
      <c r="AS174">
        <f ca="1">IF(AE174&gt;100,RANDBETWEEN(500,5000),IF(AND(AE174&gt;=10,AE174&lt;=100),RANDBETWEEN(100,1000),RANDBETWEEN(10,200)))</f>
        <v>971</v>
      </c>
      <c r="AT174">
        <f t="shared" ca="1" si="12"/>
        <v>242</v>
      </c>
      <c r="AU174">
        <f ca="1">INT(AS174*RANDBETWEEN(120,200)/100)</f>
        <v>1262</v>
      </c>
      <c r="AV174" s="2">
        <f ca="1">IF(LEFT(Y174,1)="L",RANDBETWEEN(500000,5000000),IF(LEFT(Y174,1)="C",RANDBETWEEN(5000,50000),IF(LEFT(Y174,1)="N",RANDBETWEEN(10000,150000),IF(LEFT(Y174,1)="J",RANDBETWEEN(8000,200000),RANDBETWEEN(5000,100000)))))</f>
        <v>18095</v>
      </c>
      <c r="AW174" s="2">
        <f ca="1">INT(AV174*RANDBETWEEN(30,60)/100)</f>
        <v>7238</v>
      </c>
      <c r="AX174">
        <f ca="1">IF(Z174="ORAL",RANDBETWEEN(1000,10000),IF(OR(Z174="INTRAVENOSA",Z174="INTRAMUSCULAR"),RANDBETWEEN(100,2000),IF(OR(Z174="OFTÁLMICA",Z174="TOPICA (EXTERNA)"),RANDBETWEEN(200,3000),RANDBETWEEN(100,1500))))</f>
        <v>2553</v>
      </c>
      <c r="AY174" s="2">
        <f ca="1">INT(AV174*RANDBETWEEN(90,130)/100)</f>
        <v>19723</v>
      </c>
      <c r="AZ174" t="str">
        <f t="shared" ca="1" si="13"/>
        <v>18.3%</v>
      </c>
      <c r="BA174" t="str">
        <f t="shared" ca="1" si="14"/>
        <v>BAJO</v>
      </c>
    </row>
    <row r="175" spans="4:53" x14ac:dyDescent="0.35">
      <c r="D175" t="s">
        <v>1481</v>
      </c>
      <c r="E175" s="1">
        <v>40099</v>
      </c>
      <c r="F175" t="s">
        <v>1482</v>
      </c>
      <c r="G175" t="s">
        <v>108</v>
      </c>
      <c r="H175" t="s">
        <v>1483</v>
      </c>
      <c r="I175">
        <v>19995855</v>
      </c>
      <c r="J175" t="s">
        <v>28</v>
      </c>
      <c r="K175">
        <v>6</v>
      </c>
      <c r="L175" t="s">
        <v>27</v>
      </c>
      <c r="M175" t="s">
        <v>1484</v>
      </c>
      <c r="N175" t="s">
        <v>1485</v>
      </c>
      <c r="O175" t="s">
        <v>1486</v>
      </c>
      <c r="P175" t="s">
        <v>29</v>
      </c>
      <c r="Q175" s="1">
        <v>42436</v>
      </c>
      <c r="R175" t="s">
        <v>33</v>
      </c>
      <c r="S175" t="s">
        <v>27</v>
      </c>
      <c r="T175" t="s">
        <v>928</v>
      </c>
      <c r="U175" t="s">
        <v>115</v>
      </c>
      <c r="V175" t="s">
        <v>1487</v>
      </c>
      <c r="W175">
        <v>20</v>
      </c>
      <c r="X175">
        <v>19995855</v>
      </c>
      <c r="Y175" t="s">
        <v>1488</v>
      </c>
      <c r="Z175" t="s">
        <v>119</v>
      </c>
      <c r="AA175" t="s">
        <v>24</v>
      </c>
      <c r="AB175" t="s">
        <v>120</v>
      </c>
      <c r="AC175" t="s">
        <v>25</v>
      </c>
      <c r="AD175" t="s">
        <v>121</v>
      </c>
      <c r="AE175">
        <v>12</v>
      </c>
      <c r="AF175" t="s">
        <v>27</v>
      </c>
      <c r="AG175" t="s">
        <v>26</v>
      </c>
      <c r="AH175" t="s">
        <v>1482</v>
      </c>
      <c r="AI175" t="str">
        <f t="shared" si="10"/>
        <v>NO</v>
      </c>
      <c r="AJ175" t="str">
        <f t="shared" si="11"/>
        <v>LABORATORIOS ECAR</v>
      </c>
      <c r="AK175" t="str">
        <f>IF(ISNUMBER(SEARCH("FABRICANTE",AC175)),"FABRICANTE",IF(ISNUMBER(SEARCH("IMPORTADOR",AC175)),"IMPORTADOR","OTRO"))</f>
        <v>FABRICANTE</v>
      </c>
      <c r="AL175" t="str">
        <f>IF(LEFT(Y175,1)="A","Sistema digestivo",IF(LEFT(Y175,1)="B","Sangre",IF(LEFT(Y175,1)="C","Cardiovascular",IF(LEFT(Y175,1)="D","Dermatológico",IF(LEFT(Y175,1)="G","Genitourinario",IF(LEFT(Y175,1)="H","Hormonal",IF(LEFT(Y175,1)="J","Antiinfecciosos",IF(LEFT(Y175,1)="L","Oncológicos",IF(LEFT(Y175,1)="M","Musculoesquelético",IF(LEFT(Y175,1)="N","Sistema nervioso",IF(LEFT(Y175,1)="R","Respiratorio",IF(LEFT(Y175,1)="S","Oftálmico",IF(LEFT(Y175,1)="V","Varios","OTRO")))))))))))))</f>
        <v>Genitourinario</v>
      </c>
      <c r="AM175" t="str">
        <f>IF(AG175="Vigente","ACTIVO",IF(ISNUMBER(SEARCH("Inactivo",J175)),"INACTIVO","REVISAR"))</f>
        <v>ACTIVO</v>
      </c>
      <c r="AN175" t="str">
        <f ca="1">IF(OR(AF175="",AF175="null"),"",ROUND((AF175-TODAY())/365.25,2))</f>
        <v/>
      </c>
      <c r="AO175" t="str">
        <f ca="1">IF(AND(AG175="Vigente",OR(AF175="",AF175="null",AF175&gt;TODAY())),"SI",IF(AND(NOT(OR(AF175="",AF175="null")),AF175&lt;=TODAY()),"NO",IF(AG175="Vigente","SI","DESCONOCIDO")))</f>
        <v>SI</v>
      </c>
      <c r="AP175" t="str">
        <f>IF(AND(ISNUMBER(SEARCH("IMPORTAR",AA175)),ISNUMBER(SEARCH("FABRICAR",AA175))),"MIXTO",IF(ISNUMBER(SEARCH("IMPORTAR",AA175)),"IMPORTADO",IF(ISNUMBER(SEARCH("FABRICAR",AA175)),"LOCAL","OTRO")))</f>
        <v>LOCAL</v>
      </c>
      <c r="AQ175" t="str">
        <f>IF(AD175="Si","SI",IF(AD175="No","NO",""))</f>
        <v>NO</v>
      </c>
      <c r="AR175" t="str">
        <f>IF(ISNUMBER(SEARCH("®",N175)),"MARCA/INNOVADOR","GENERICO")</f>
        <v>GENERICO</v>
      </c>
      <c r="AS175">
        <f ca="1">IF(AE175&gt;100,RANDBETWEEN(500,5000),IF(AND(AE175&gt;=10,AE175&lt;=100),RANDBETWEEN(100,1000),RANDBETWEEN(10,200)))</f>
        <v>832</v>
      </c>
      <c r="AT175">
        <f t="shared" ca="1" si="12"/>
        <v>124</v>
      </c>
      <c r="AU175">
        <f ca="1">INT(AS175*RANDBETWEEN(120,200)/100)</f>
        <v>1639</v>
      </c>
      <c r="AV175" s="2">
        <f ca="1">IF(LEFT(Y175,1)="L",RANDBETWEEN(500000,5000000),IF(LEFT(Y175,1)="C",RANDBETWEEN(5000,50000),IF(LEFT(Y175,1)="N",RANDBETWEEN(10000,150000),IF(LEFT(Y175,1)="J",RANDBETWEEN(8000,200000),RANDBETWEEN(5000,100000)))))</f>
        <v>8107</v>
      </c>
      <c r="AW175" s="2">
        <f ca="1">INT(AV175*RANDBETWEEN(30,60)/100)</f>
        <v>2918</v>
      </c>
      <c r="AX175">
        <f ca="1">IF(Z175="ORAL",RANDBETWEEN(1000,10000),IF(OR(Z175="INTRAVENOSA",Z175="INTRAMUSCULAR"),RANDBETWEEN(100,2000),IF(OR(Z175="OFTÁLMICA",Z175="TOPICA (EXTERNA)"),RANDBETWEEN(200,3000),RANDBETWEEN(100,1500))))</f>
        <v>9634</v>
      </c>
      <c r="AY175" s="2">
        <f ca="1">INT(AV175*RANDBETWEEN(90,130)/100)</f>
        <v>9809</v>
      </c>
      <c r="AZ175" t="str">
        <f t="shared" ca="1" si="13"/>
        <v>7.8%</v>
      </c>
      <c r="BA175" t="str">
        <f t="shared" ca="1" si="14"/>
        <v>BAJO</v>
      </c>
    </row>
    <row r="176" spans="4:53" x14ac:dyDescent="0.35">
      <c r="D176" t="s">
        <v>1489</v>
      </c>
      <c r="E176" s="1">
        <v>40358</v>
      </c>
      <c r="F176" t="s">
        <v>976</v>
      </c>
      <c r="G176" t="s">
        <v>108</v>
      </c>
      <c r="H176" t="s">
        <v>1490</v>
      </c>
      <c r="I176">
        <v>20019190</v>
      </c>
      <c r="J176" t="s">
        <v>28</v>
      </c>
      <c r="K176">
        <v>14</v>
      </c>
      <c r="L176" t="s">
        <v>27</v>
      </c>
      <c r="M176" t="s">
        <v>1491</v>
      </c>
      <c r="N176" t="s">
        <v>1492</v>
      </c>
      <c r="O176" t="s">
        <v>1493</v>
      </c>
      <c r="P176" t="s">
        <v>33</v>
      </c>
      <c r="Q176" s="1">
        <v>43022</v>
      </c>
      <c r="R176" t="s">
        <v>200</v>
      </c>
      <c r="S176" t="s">
        <v>27</v>
      </c>
      <c r="T176" t="s">
        <v>1490</v>
      </c>
      <c r="U176" t="s">
        <v>115</v>
      </c>
      <c r="V176" t="s">
        <v>1073</v>
      </c>
      <c r="W176">
        <v>65</v>
      </c>
      <c r="X176">
        <v>20019190</v>
      </c>
      <c r="Y176" t="s">
        <v>1077</v>
      </c>
      <c r="Z176" t="s">
        <v>119</v>
      </c>
      <c r="AA176" t="s">
        <v>24</v>
      </c>
      <c r="AB176" t="s">
        <v>120</v>
      </c>
      <c r="AC176" t="s">
        <v>25</v>
      </c>
      <c r="AD176" t="s">
        <v>121</v>
      </c>
      <c r="AE176">
        <v>60</v>
      </c>
      <c r="AF176" t="s">
        <v>27</v>
      </c>
      <c r="AG176" t="s">
        <v>26</v>
      </c>
      <c r="AH176" t="s">
        <v>976</v>
      </c>
      <c r="AI176" t="str">
        <f t="shared" si="10"/>
        <v>NO</v>
      </c>
      <c r="AJ176" t="str">
        <f t="shared" si="11"/>
        <v>LABORATORIO FRANCO COLOMBIANO - LAFRANCOL</v>
      </c>
      <c r="AK176" t="str">
        <f>IF(ISNUMBER(SEARCH("FABRICANTE",AC176)),"FABRICANTE",IF(ISNUMBER(SEARCH("IMPORTADOR",AC176)),"IMPORTADOR","OTRO"))</f>
        <v>FABRICANTE</v>
      </c>
      <c r="AL176" t="str">
        <f>IF(LEFT(Y176,1)="A","Sistema digestivo",IF(LEFT(Y176,1)="B","Sangre",IF(LEFT(Y176,1)="C","Cardiovascular",IF(LEFT(Y176,1)="D","Dermatológico",IF(LEFT(Y176,1)="G","Genitourinario",IF(LEFT(Y176,1)="H","Hormonal",IF(LEFT(Y176,1)="J","Antiinfecciosos",IF(LEFT(Y176,1)="L","Oncológicos",IF(LEFT(Y176,1)="M","Musculoesquelético",IF(LEFT(Y176,1)="N","Sistema nervioso",IF(LEFT(Y176,1)="R","Respiratorio",IF(LEFT(Y176,1)="S","Oftálmico",IF(LEFT(Y176,1)="V","Varios","OTRO")))))))))))))</f>
        <v>Musculoesquelético</v>
      </c>
      <c r="AM176" t="str">
        <f>IF(AG176="Vigente","ACTIVO",IF(ISNUMBER(SEARCH("Inactivo",J176)),"INACTIVO","REVISAR"))</f>
        <v>ACTIVO</v>
      </c>
      <c r="AN176" t="str">
        <f ca="1">IF(OR(AF176="",AF176="null"),"",ROUND((AF176-TODAY())/365.25,2))</f>
        <v/>
      </c>
      <c r="AO176" t="str">
        <f ca="1">IF(AND(AG176="Vigente",OR(AF176="",AF176="null",AF176&gt;TODAY())),"SI",IF(AND(NOT(OR(AF176="",AF176="null")),AF176&lt;=TODAY()),"NO",IF(AG176="Vigente","SI","DESCONOCIDO")))</f>
        <v>SI</v>
      </c>
      <c r="AP176" t="str">
        <f>IF(AND(ISNUMBER(SEARCH("IMPORTAR",AA176)),ISNUMBER(SEARCH("FABRICAR",AA176))),"MIXTO",IF(ISNUMBER(SEARCH("IMPORTAR",AA176)),"IMPORTADO",IF(ISNUMBER(SEARCH("FABRICAR",AA176)),"LOCAL","OTRO")))</f>
        <v>LOCAL</v>
      </c>
      <c r="AQ176" t="str">
        <f>IF(AD176="Si","SI",IF(AD176="No","NO",""))</f>
        <v>NO</v>
      </c>
      <c r="AR176" t="str">
        <f>IF(ISNUMBER(SEARCH("®",N176)),"MARCA/INNOVADOR","GENERICO")</f>
        <v>MARCA/INNOVADOR</v>
      </c>
      <c r="AS176">
        <f ca="1">IF(AE176&gt;100,RANDBETWEEN(500,5000),IF(AND(AE176&gt;=10,AE176&lt;=100),RANDBETWEEN(100,1000),RANDBETWEEN(10,200)))</f>
        <v>855</v>
      </c>
      <c r="AT176">
        <f t="shared" ca="1" si="12"/>
        <v>94</v>
      </c>
      <c r="AU176">
        <f ca="1">INT(AS176*RANDBETWEEN(120,200)/100)</f>
        <v>1179</v>
      </c>
      <c r="AV176" s="2">
        <f ca="1">IF(LEFT(Y176,1)="L",RANDBETWEEN(500000,5000000),IF(LEFT(Y176,1)="C",RANDBETWEEN(5000,50000),IF(LEFT(Y176,1)="N",RANDBETWEEN(10000,150000),IF(LEFT(Y176,1)="J",RANDBETWEEN(8000,200000),RANDBETWEEN(5000,100000)))))</f>
        <v>25261</v>
      </c>
      <c r="AW176" s="2">
        <f ca="1">INT(AV176*RANDBETWEEN(30,60)/100)</f>
        <v>14398</v>
      </c>
      <c r="AX176">
        <f ca="1">IF(Z176="ORAL",RANDBETWEEN(1000,10000),IF(OR(Z176="INTRAVENOSA",Z176="INTRAMUSCULAR"),RANDBETWEEN(100,2000),IF(OR(Z176="OFTÁLMICA",Z176="TOPICA (EXTERNA)"),RANDBETWEEN(200,3000),RANDBETWEEN(100,1500))))</f>
        <v>7271</v>
      </c>
      <c r="AY176" s="2">
        <f ca="1">INT(AV176*RANDBETWEEN(90,130)/100)</f>
        <v>30313</v>
      </c>
      <c r="AZ176" t="str">
        <f t="shared" ca="1" si="13"/>
        <v>17.9%</v>
      </c>
      <c r="BA176" t="str">
        <f t="shared" ca="1" si="14"/>
        <v>BAJO</v>
      </c>
    </row>
    <row r="177" spans="4:53" x14ac:dyDescent="0.35">
      <c r="D177" t="s">
        <v>1494</v>
      </c>
      <c r="E177" s="1">
        <v>43395</v>
      </c>
      <c r="F177" t="s">
        <v>1197</v>
      </c>
      <c r="G177" t="s">
        <v>108</v>
      </c>
      <c r="H177" t="s">
        <v>449</v>
      </c>
      <c r="I177">
        <v>20146047</v>
      </c>
      <c r="J177" t="s">
        <v>28</v>
      </c>
      <c r="K177">
        <v>7</v>
      </c>
      <c r="L177" t="s">
        <v>27</v>
      </c>
      <c r="M177" t="s">
        <v>1495</v>
      </c>
      <c r="N177" t="s">
        <v>1496</v>
      </c>
      <c r="O177" t="s">
        <v>1497</v>
      </c>
      <c r="P177" t="s">
        <v>1498</v>
      </c>
      <c r="Q177" s="1">
        <v>45476</v>
      </c>
      <c r="R177" t="s">
        <v>962</v>
      </c>
      <c r="S177" t="s">
        <v>27</v>
      </c>
      <c r="T177" t="s">
        <v>449</v>
      </c>
      <c r="U177" t="s">
        <v>115</v>
      </c>
      <c r="V177" t="s">
        <v>1197</v>
      </c>
      <c r="W177">
        <v>500</v>
      </c>
      <c r="X177">
        <v>20146047</v>
      </c>
      <c r="Y177" t="s">
        <v>1202</v>
      </c>
      <c r="Z177" t="s">
        <v>119</v>
      </c>
      <c r="AA177" t="s">
        <v>32</v>
      </c>
      <c r="AB177" t="s">
        <v>120</v>
      </c>
      <c r="AC177" t="s">
        <v>25</v>
      </c>
      <c r="AD177" t="s">
        <v>155</v>
      </c>
      <c r="AE177">
        <v>7</v>
      </c>
      <c r="AF177" t="s">
        <v>27</v>
      </c>
      <c r="AG177" t="s">
        <v>26</v>
      </c>
      <c r="AH177" t="s">
        <v>1197</v>
      </c>
      <c r="AI177" t="str">
        <f t="shared" si="10"/>
        <v>NO</v>
      </c>
      <c r="AJ177" t="str">
        <f t="shared" si="11"/>
        <v>MSN LABORATORIES PRIVATE</v>
      </c>
      <c r="AK177" t="str">
        <f>IF(ISNUMBER(SEARCH("FABRICANTE",AC177)),"FABRICANTE",IF(ISNUMBER(SEARCH("IMPORTADOR",AC177)),"IMPORTADOR","OTRO"))</f>
        <v>FABRICANTE</v>
      </c>
      <c r="AL177" t="str">
        <f>IF(LEFT(Y177,1)="A","Sistema digestivo",IF(LEFT(Y177,1)="B","Sangre",IF(LEFT(Y177,1)="C","Cardiovascular",IF(LEFT(Y177,1)="D","Dermatológico",IF(LEFT(Y177,1)="G","Genitourinario",IF(LEFT(Y177,1)="H","Hormonal",IF(LEFT(Y177,1)="J","Antiinfecciosos",IF(LEFT(Y177,1)="L","Oncológicos",IF(LEFT(Y177,1)="M","Musculoesquelético",IF(LEFT(Y177,1)="N","Sistema nervioso",IF(LEFT(Y177,1)="R","Respiratorio",IF(LEFT(Y177,1)="S","Oftálmico",IF(LEFT(Y177,1)="V","Varios","OTRO")))))))))))))</f>
        <v>Varios</v>
      </c>
      <c r="AM177" t="str">
        <f>IF(AG177="Vigente","ACTIVO",IF(ISNUMBER(SEARCH("Inactivo",J177)),"INACTIVO","REVISAR"))</f>
        <v>ACTIVO</v>
      </c>
      <c r="AN177" t="str">
        <f ca="1">IF(OR(AF177="",AF177="null"),"",ROUND((AF177-TODAY())/365.25,2))</f>
        <v/>
      </c>
      <c r="AO177" t="str">
        <f ca="1">IF(AND(AG177="Vigente",OR(AF177="",AF177="null",AF177&gt;TODAY())),"SI",IF(AND(NOT(OR(AF177="",AF177="null")),AF177&lt;=TODAY()),"NO",IF(AG177="Vigente","SI","DESCONOCIDO")))</f>
        <v>SI</v>
      </c>
      <c r="AP177" t="str">
        <f>IF(AND(ISNUMBER(SEARCH("IMPORTAR",AA177)),ISNUMBER(SEARCH("FABRICAR",AA177))),"MIXTO",IF(ISNUMBER(SEARCH("IMPORTAR",AA177)),"IMPORTADO",IF(ISNUMBER(SEARCH("FABRICAR",AA177)),"LOCAL","OTRO")))</f>
        <v>IMPORTADO</v>
      </c>
      <c r="AQ177" t="str">
        <f>IF(AD177="Si","SI",IF(AD177="No","NO",""))</f>
        <v>SI</v>
      </c>
      <c r="AR177" t="str">
        <f>IF(ISNUMBER(SEARCH("®",N177)),"MARCA/INNOVADOR","GENERICO")</f>
        <v>GENERICO</v>
      </c>
      <c r="AS177">
        <f ca="1">IF(AE177&gt;100,RANDBETWEEN(500,5000),IF(AND(AE177&gt;=10,AE177&lt;=100),RANDBETWEEN(100,1000),RANDBETWEEN(10,200)))</f>
        <v>188</v>
      </c>
      <c r="AT177">
        <f t="shared" ca="1" si="12"/>
        <v>54</v>
      </c>
      <c r="AU177">
        <f ca="1">INT(AS177*RANDBETWEEN(120,200)/100)</f>
        <v>349</v>
      </c>
      <c r="AV177" s="2">
        <f ca="1">IF(LEFT(Y177,1)="L",RANDBETWEEN(500000,5000000),IF(LEFT(Y177,1)="C",RANDBETWEEN(5000,50000),IF(LEFT(Y177,1)="N",RANDBETWEEN(10000,150000),IF(LEFT(Y177,1)="J",RANDBETWEEN(8000,200000),RANDBETWEEN(5000,100000)))))</f>
        <v>17014</v>
      </c>
      <c r="AW177" s="2">
        <f ca="1">INT(AV177*RANDBETWEEN(30,60)/100)</f>
        <v>5614</v>
      </c>
      <c r="AX177">
        <f ca="1">IF(Z177="ORAL",RANDBETWEEN(1000,10000),IF(OR(Z177="INTRAVENOSA",Z177="INTRAMUSCULAR"),RANDBETWEEN(100,2000),IF(OR(Z177="OFTÁLMICA",Z177="TOPICA (EXTERNA)"),RANDBETWEEN(200,3000),RANDBETWEEN(100,1500))))</f>
        <v>2830</v>
      </c>
      <c r="AY177" s="2">
        <f ca="1">INT(AV177*RANDBETWEEN(90,130)/100)</f>
        <v>19055</v>
      </c>
      <c r="AZ177" t="str">
        <f t="shared" ca="1" si="13"/>
        <v>20.9%</v>
      </c>
      <c r="BA177" t="str">
        <f t="shared" ca="1" si="14"/>
        <v>BAJO</v>
      </c>
    </row>
    <row r="178" spans="4:53" x14ac:dyDescent="0.35">
      <c r="D178" t="s">
        <v>1499</v>
      </c>
      <c r="E178" s="1">
        <v>41975</v>
      </c>
      <c r="F178" t="s">
        <v>1500</v>
      </c>
      <c r="G178" t="s">
        <v>108</v>
      </c>
      <c r="H178" t="s">
        <v>1501</v>
      </c>
      <c r="I178">
        <v>20061746</v>
      </c>
      <c r="J178" t="s">
        <v>28</v>
      </c>
      <c r="K178">
        <v>2</v>
      </c>
      <c r="L178" t="s">
        <v>27</v>
      </c>
      <c r="M178" t="s">
        <v>1326</v>
      </c>
      <c r="N178" t="s">
        <v>1327</v>
      </c>
      <c r="O178" t="s">
        <v>1502</v>
      </c>
      <c r="P178" t="s">
        <v>234</v>
      </c>
      <c r="Q178" s="1">
        <v>42083</v>
      </c>
      <c r="R178" t="s">
        <v>258</v>
      </c>
      <c r="S178" t="s">
        <v>27</v>
      </c>
      <c r="T178" t="s">
        <v>1329</v>
      </c>
      <c r="U178" t="s">
        <v>115</v>
      </c>
      <c r="V178" t="s">
        <v>64</v>
      </c>
      <c r="W178" t="s">
        <v>1503</v>
      </c>
      <c r="X178">
        <v>20061746</v>
      </c>
      <c r="Y178" t="s">
        <v>259</v>
      </c>
      <c r="Z178" t="s">
        <v>260</v>
      </c>
      <c r="AA178" t="s">
        <v>32</v>
      </c>
      <c r="AB178" t="s">
        <v>133</v>
      </c>
      <c r="AC178" t="s">
        <v>25</v>
      </c>
      <c r="AD178" t="s">
        <v>121</v>
      </c>
      <c r="AE178">
        <v>4</v>
      </c>
      <c r="AF178" s="1">
        <v>401769</v>
      </c>
      <c r="AG178" t="s">
        <v>26</v>
      </c>
      <c r="AH178" t="s">
        <v>6632</v>
      </c>
      <c r="AI178" t="str">
        <f t="shared" si="10"/>
        <v>NO</v>
      </c>
      <c r="AJ178" t="str">
        <f t="shared" si="11"/>
        <v>FRESENIUS KABI AB</v>
      </c>
      <c r="AK178" t="str">
        <f>IF(ISNUMBER(SEARCH("FABRICANTE",AC178)),"FABRICANTE",IF(ISNUMBER(SEARCH("IMPORTADOR",AC178)),"IMPORTADOR","OTRO"))</f>
        <v>FABRICANTE</v>
      </c>
      <c r="AL178" t="str">
        <f>IF(LEFT(Y178,1)="A","Sistema digestivo",IF(LEFT(Y178,1)="B","Sangre",IF(LEFT(Y178,1)="C","Cardiovascular",IF(LEFT(Y178,1)="D","Dermatológico",IF(LEFT(Y178,1)="G","Genitourinario",IF(LEFT(Y178,1)="H","Hormonal",IF(LEFT(Y178,1)="J","Antiinfecciosos",IF(LEFT(Y178,1)="L","Oncológicos",IF(LEFT(Y178,1)="M","Musculoesquelético",IF(LEFT(Y178,1)="N","Sistema nervioso",IF(LEFT(Y178,1)="R","Respiratorio",IF(LEFT(Y178,1)="S","Oftálmico",IF(LEFT(Y178,1)="V","Varios","OTRO")))))))))))))</f>
        <v>Sangre</v>
      </c>
      <c r="AM178" t="str">
        <f>IF(AG178="Vigente","ACTIVO",IF(ISNUMBER(SEARCH("Inactivo",J178)),"INACTIVO","REVISAR"))</f>
        <v>ACTIVO</v>
      </c>
      <c r="AN178">
        <f ca="1">IF(OR(AF178="",AF178="null"),"",ROUND((AF178-TODAY())/365.25,2))</f>
        <v>973.58</v>
      </c>
      <c r="AO178" t="str">
        <f ca="1">IF(AND(AG178="Vigente",OR(AF178="",AF178="null",AF178&gt;TODAY())),"SI",IF(AND(NOT(OR(AF178="",AF178="null")),AF178&lt;=TODAY()),"NO",IF(AG178="Vigente","SI","DESCONOCIDO")))</f>
        <v>SI</v>
      </c>
      <c r="AP178" t="str">
        <f>IF(AND(ISNUMBER(SEARCH("IMPORTAR",AA178)),ISNUMBER(SEARCH("FABRICAR",AA178))),"MIXTO",IF(ISNUMBER(SEARCH("IMPORTAR",AA178)),"IMPORTADO",IF(ISNUMBER(SEARCH("FABRICAR",AA178)),"LOCAL","OTRO")))</f>
        <v>IMPORTADO</v>
      </c>
      <c r="AQ178" t="str">
        <f>IF(AD178="Si","SI",IF(AD178="No","NO",""))</f>
        <v>NO</v>
      </c>
      <c r="AR178" t="str">
        <f>IF(ISNUMBER(SEARCH("®",N178)),"MARCA/INNOVADOR","GENERICO")</f>
        <v>MARCA/INNOVADOR</v>
      </c>
      <c r="AS178">
        <f ca="1">IF(AE178&gt;100,RANDBETWEEN(500,5000),IF(AND(AE178&gt;=10,AE178&lt;=100),RANDBETWEEN(100,1000),RANDBETWEEN(10,200)))</f>
        <v>38</v>
      </c>
      <c r="AT178">
        <f t="shared" ca="1" si="12"/>
        <v>10</v>
      </c>
      <c r="AU178">
        <f ca="1">INT(AS178*RANDBETWEEN(120,200)/100)</f>
        <v>71</v>
      </c>
      <c r="AV178" s="2">
        <f ca="1">IF(LEFT(Y178,1)="L",RANDBETWEEN(500000,5000000),IF(LEFT(Y178,1)="C",RANDBETWEEN(5000,50000),IF(LEFT(Y178,1)="N",RANDBETWEEN(10000,150000),IF(LEFT(Y178,1)="J",RANDBETWEEN(8000,200000),RANDBETWEEN(5000,100000)))))</f>
        <v>90269</v>
      </c>
      <c r="AW178" s="2">
        <f ca="1">INT(AV178*RANDBETWEEN(30,60)/100)</f>
        <v>32496</v>
      </c>
      <c r="AX178">
        <f ca="1">IF(Z178="ORAL",RANDBETWEEN(1000,10000),IF(OR(Z178="INTRAVENOSA",Z178="INTRAMUSCULAR"),RANDBETWEEN(100,2000),IF(OR(Z178="OFTÁLMICA",Z178="TOPICA (EXTERNA)"),RANDBETWEEN(200,3000),RANDBETWEEN(100,1500))))</f>
        <v>326</v>
      </c>
      <c r="AY178" s="2">
        <f ca="1">INT(AV178*RANDBETWEEN(90,130)/100)</f>
        <v>111933</v>
      </c>
      <c r="AZ178" t="str">
        <f t="shared" ca="1" si="13"/>
        <v>2.2%</v>
      </c>
      <c r="BA178" t="str">
        <f t="shared" ca="1" si="14"/>
        <v>BAJO</v>
      </c>
    </row>
    <row r="179" spans="4:53" x14ac:dyDescent="0.35">
      <c r="D179" t="s">
        <v>1504</v>
      </c>
      <c r="E179" s="1">
        <v>45370</v>
      </c>
      <c r="F179" t="s">
        <v>324</v>
      </c>
      <c r="G179" t="s">
        <v>108</v>
      </c>
      <c r="H179" t="s">
        <v>410</v>
      </c>
      <c r="I179">
        <v>20233274</v>
      </c>
      <c r="J179" t="s">
        <v>28</v>
      </c>
      <c r="K179">
        <v>8</v>
      </c>
      <c r="L179" t="s">
        <v>1505</v>
      </c>
      <c r="M179" t="s">
        <v>1506</v>
      </c>
      <c r="N179" t="s">
        <v>1507</v>
      </c>
      <c r="O179" t="s">
        <v>1508</v>
      </c>
      <c r="P179" t="s">
        <v>33</v>
      </c>
      <c r="Q179" s="1">
        <v>45344</v>
      </c>
      <c r="R179" t="s">
        <v>33</v>
      </c>
      <c r="S179" t="s">
        <v>27</v>
      </c>
      <c r="T179" t="s">
        <v>172</v>
      </c>
      <c r="U179" t="s">
        <v>115</v>
      </c>
      <c r="V179" t="s">
        <v>415</v>
      </c>
      <c r="W179">
        <v>100</v>
      </c>
      <c r="X179">
        <v>20233274</v>
      </c>
      <c r="Y179" t="s">
        <v>416</v>
      </c>
      <c r="Z179" t="s">
        <v>119</v>
      </c>
      <c r="AA179" t="s">
        <v>24</v>
      </c>
      <c r="AB179" t="s">
        <v>120</v>
      </c>
      <c r="AC179" t="s">
        <v>25</v>
      </c>
      <c r="AD179" t="s">
        <v>121</v>
      </c>
      <c r="AE179">
        <v>300</v>
      </c>
      <c r="AF179" s="1">
        <v>401769</v>
      </c>
      <c r="AG179" t="s">
        <v>26</v>
      </c>
      <c r="AH179" t="s">
        <v>324</v>
      </c>
      <c r="AI179" t="str">
        <f t="shared" si="10"/>
        <v>NO</v>
      </c>
      <c r="AJ179" t="str">
        <f t="shared" si="11"/>
        <v>NOVAMED</v>
      </c>
      <c r="AK179" t="str">
        <f>IF(ISNUMBER(SEARCH("FABRICANTE",AC179)),"FABRICANTE",IF(ISNUMBER(SEARCH("IMPORTADOR",AC179)),"IMPORTADOR","OTRO"))</f>
        <v>FABRICANTE</v>
      </c>
      <c r="AL179" t="str">
        <f>IF(LEFT(Y179,1)="A","Sistema digestivo",IF(LEFT(Y179,1)="B","Sangre",IF(LEFT(Y179,1)="C","Cardiovascular",IF(LEFT(Y179,1)="D","Dermatológico",IF(LEFT(Y179,1)="G","Genitourinario",IF(LEFT(Y179,1)="H","Hormonal",IF(LEFT(Y179,1)="J","Antiinfecciosos",IF(LEFT(Y179,1)="L","Oncológicos",IF(LEFT(Y179,1)="M","Musculoesquelético",IF(LEFT(Y179,1)="N","Sistema nervioso",IF(LEFT(Y179,1)="R","Respiratorio",IF(LEFT(Y179,1)="S","Oftálmico",IF(LEFT(Y179,1)="V","Varios","OTRO")))))))))))))</f>
        <v>Cardiovascular</v>
      </c>
      <c r="AM179" t="str">
        <f>IF(AG179="Vigente","ACTIVO",IF(ISNUMBER(SEARCH("Inactivo",J179)),"INACTIVO","REVISAR"))</f>
        <v>ACTIVO</v>
      </c>
      <c r="AN179">
        <f ca="1">IF(OR(AF179="",AF179="null"),"",ROUND((AF179-TODAY())/365.25,2))</f>
        <v>973.58</v>
      </c>
      <c r="AO179" t="str">
        <f ca="1">IF(AND(AG179="Vigente",OR(AF179="",AF179="null",AF179&gt;TODAY())),"SI",IF(AND(NOT(OR(AF179="",AF179="null")),AF179&lt;=TODAY()),"NO",IF(AG179="Vigente","SI","DESCONOCIDO")))</f>
        <v>SI</v>
      </c>
      <c r="AP179" t="str">
        <f>IF(AND(ISNUMBER(SEARCH("IMPORTAR",AA179)),ISNUMBER(SEARCH("FABRICAR",AA179))),"MIXTO",IF(ISNUMBER(SEARCH("IMPORTAR",AA179)),"IMPORTADO",IF(ISNUMBER(SEARCH("FABRICAR",AA179)),"LOCAL","OTRO")))</f>
        <v>LOCAL</v>
      </c>
      <c r="AQ179" t="str">
        <f>IF(AD179="Si","SI",IF(AD179="No","NO",""))</f>
        <v>NO</v>
      </c>
      <c r="AR179" t="str">
        <f>IF(ISNUMBER(SEARCH("®",N179)),"MARCA/INNOVADOR","GENERICO")</f>
        <v>MARCA/INNOVADOR</v>
      </c>
      <c r="AS179">
        <f ca="1">IF(AE179&gt;100,RANDBETWEEN(500,5000),IF(AND(AE179&gt;=10,AE179&lt;=100),RANDBETWEEN(100,1000),RANDBETWEEN(10,200)))</f>
        <v>3073</v>
      </c>
      <c r="AT179">
        <f t="shared" ca="1" si="12"/>
        <v>614</v>
      </c>
      <c r="AU179">
        <f ca="1">INT(AS179*RANDBETWEEN(120,200)/100)</f>
        <v>4824</v>
      </c>
      <c r="AV179" s="2">
        <f ca="1">IF(LEFT(Y179,1)="L",RANDBETWEEN(500000,5000000),IF(LEFT(Y179,1)="C",RANDBETWEEN(5000,50000),IF(LEFT(Y179,1)="N",RANDBETWEEN(10000,150000),IF(LEFT(Y179,1)="J",RANDBETWEEN(8000,200000),RANDBETWEEN(5000,100000)))))</f>
        <v>11394</v>
      </c>
      <c r="AW179" s="2">
        <f ca="1">INT(AV179*RANDBETWEEN(30,60)/100)</f>
        <v>6608</v>
      </c>
      <c r="AX179">
        <f ca="1">IF(Z179="ORAL",RANDBETWEEN(1000,10000),IF(OR(Z179="INTRAVENOSA",Z179="INTRAMUSCULAR"),RANDBETWEEN(100,2000),IF(OR(Z179="OFTÁLMICA",Z179="TOPICA (EXTERNA)"),RANDBETWEEN(200,3000),RANDBETWEEN(100,1500))))</f>
        <v>2357</v>
      </c>
      <c r="AY179" s="2">
        <f ca="1">INT(AV179*RANDBETWEEN(90,130)/100)</f>
        <v>12419</v>
      </c>
      <c r="AZ179" t="str">
        <f t="shared" ca="1" si="13"/>
        <v>18.4%</v>
      </c>
      <c r="BA179" t="str">
        <f t="shared" ca="1" si="14"/>
        <v>BAJO</v>
      </c>
    </row>
    <row r="180" spans="4:53" x14ac:dyDescent="0.35">
      <c r="D180" t="s">
        <v>1509</v>
      </c>
      <c r="E180" s="1">
        <v>43137</v>
      </c>
      <c r="F180" t="s">
        <v>1510</v>
      </c>
      <c r="G180" t="s">
        <v>108</v>
      </c>
      <c r="H180" t="s">
        <v>1490</v>
      </c>
      <c r="I180">
        <v>20112088</v>
      </c>
      <c r="J180" t="s">
        <v>28</v>
      </c>
      <c r="K180">
        <v>7</v>
      </c>
      <c r="L180" t="s">
        <v>27</v>
      </c>
      <c r="M180" t="s">
        <v>1511</v>
      </c>
      <c r="N180" t="s">
        <v>1512</v>
      </c>
      <c r="O180" t="s">
        <v>1513</v>
      </c>
      <c r="P180" t="s">
        <v>33</v>
      </c>
      <c r="Q180" s="1">
        <v>43165</v>
      </c>
      <c r="R180" t="s">
        <v>33</v>
      </c>
      <c r="S180" t="s">
        <v>27</v>
      </c>
      <c r="T180" t="s">
        <v>1490</v>
      </c>
      <c r="U180" t="s">
        <v>115</v>
      </c>
      <c r="V180" t="s">
        <v>1514</v>
      </c>
      <c r="W180">
        <v>180</v>
      </c>
      <c r="X180">
        <v>20112088</v>
      </c>
      <c r="Y180" t="s">
        <v>1515</v>
      </c>
      <c r="Z180" t="s">
        <v>119</v>
      </c>
      <c r="AA180" t="s">
        <v>24</v>
      </c>
      <c r="AB180" t="s">
        <v>120</v>
      </c>
      <c r="AC180" t="s">
        <v>25</v>
      </c>
      <c r="AD180" t="s">
        <v>155</v>
      </c>
      <c r="AE180">
        <v>2</v>
      </c>
      <c r="AF180" s="1">
        <v>401769</v>
      </c>
      <c r="AG180" t="s">
        <v>26</v>
      </c>
      <c r="AH180" t="s">
        <v>1510</v>
      </c>
      <c r="AI180" t="str">
        <f t="shared" si="10"/>
        <v>NO</v>
      </c>
      <c r="AJ180" t="str">
        <f t="shared" si="11"/>
        <v>LABORATORIO FRANCO COLOMBIANO - LAFRANCOL</v>
      </c>
      <c r="AK180" t="str">
        <f>IF(ISNUMBER(SEARCH("FABRICANTE",AC180)),"FABRICANTE",IF(ISNUMBER(SEARCH("IMPORTADOR",AC180)),"IMPORTADOR","OTRO"))</f>
        <v>FABRICANTE</v>
      </c>
      <c r="AL180" t="str">
        <f>IF(LEFT(Y180,1)="A","Sistema digestivo",IF(LEFT(Y180,1)="B","Sangre",IF(LEFT(Y180,1)="C","Cardiovascular",IF(LEFT(Y180,1)="D","Dermatológico",IF(LEFT(Y180,1)="G","Genitourinario",IF(LEFT(Y180,1)="H","Hormonal",IF(LEFT(Y180,1)="J","Antiinfecciosos",IF(LEFT(Y180,1)="L","Oncológicos",IF(LEFT(Y180,1)="M","Musculoesquelético",IF(LEFT(Y180,1)="N","Sistema nervioso",IF(LEFT(Y180,1)="R","Respiratorio",IF(LEFT(Y180,1)="S","Oftálmico",IF(LEFT(Y180,1)="V","Varios","OTRO")))))))))))))</f>
        <v>Respiratorio</v>
      </c>
      <c r="AM180" t="str">
        <f>IF(AG180="Vigente","ACTIVO",IF(ISNUMBER(SEARCH("Inactivo",J180)),"INACTIVO","REVISAR"))</f>
        <v>ACTIVO</v>
      </c>
      <c r="AN180">
        <f ca="1">IF(OR(AF180="",AF180="null"),"",ROUND((AF180-TODAY())/365.25,2))</f>
        <v>973.58</v>
      </c>
      <c r="AO180" t="str">
        <f ca="1">IF(AND(AG180="Vigente",OR(AF180="",AF180="null",AF180&gt;TODAY())),"SI",IF(AND(NOT(OR(AF180="",AF180="null")),AF180&lt;=TODAY()),"NO",IF(AG180="Vigente","SI","DESCONOCIDO")))</f>
        <v>SI</v>
      </c>
      <c r="AP180" t="str">
        <f>IF(AND(ISNUMBER(SEARCH("IMPORTAR",AA180)),ISNUMBER(SEARCH("FABRICAR",AA180))),"MIXTO",IF(ISNUMBER(SEARCH("IMPORTAR",AA180)),"IMPORTADO",IF(ISNUMBER(SEARCH("FABRICAR",AA180)),"LOCAL","OTRO")))</f>
        <v>LOCAL</v>
      </c>
      <c r="AQ180" t="str">
        <f>IF(AD180="Si","SI",IF(AD180="No","NO",""))</f>
        <v>SI</v>
      </c>
      <c r="AR180" t="str">
        <f>IF(ISNUMBER(SEARCH("®",N180)),"MARCA/INNOVADOR","GENERICO")</f>
        <v>MARCA/INNOVADOR</v>
      </c>
      <c r="AS180">
        <f ca="1">IF(AE180&gt;100,RANDBETWEEN(500,5000),IF(AND(AE180&gt;=10,AE180&lt;=100),RANDBETWEEN(100,1000),RANDBETWEEN(10,200)))</f>
        <v>48</v>
      </c>
      <c r="AT180">
        <f t="shared" ca="1" si="12"/>
        <v>7</v>
      </c>
      <c r="AU180">
        <f ca="1">INT(AS180*RANDBETWEEN(120,200)/100)</f>
        <v>60</v>
      </c>
      <c r="AV180" s="2">
        <f ca="1">IF(LEFT(Y180,1)="L",RANDBETWEEN(500000,5000000),IF(LEFT(Y180,1)="C",RANDBETWEEN(5000,50000),IF(LEFT(Y180,1)="N",RANDBETWEEN(10000,150000),IF(LEFT(Y180,1)="J",RANDBETWEEN(8000,200000),RANDBETWEEN(5000,100000)))))</f>
        <v>98702</v>
      </c>
      <c r="AW180" s="2">
        <f ca="1">INT(AV180*RANDBETWEEN(30,60)/100)</f>
        <v>53299</v>
      </c>
      <c r="AX180">
        <f ca="1">IF(Z180="ORAL",RANDBETWEEN(1000,10000),IF(OR(Z180="INTRAVENOSA",Z180="INTRAMUSCULAR"),RANDBETWEEN(100,2000),IF(OR(Z180="OFTÁLMICA",Z180="TOPICA (EXTERNA)"),RANDBETWEEN(200,3000),RANDBETWEEN(100,1500))))</f>
        <v>9387</v>
      </c>
      <c r="AY180" s="2">
        <f ca="1">INT(AV180*RANDBETWEEN(90,130)/100)</f>
        <v>119429</v>
      </c>
      <c r="AZ180" t="str">
        <f t="shared" ca="1" si="13"/>
        <v>11.6%</v>
      </c>
      <c r="BA180" t="str">
        <f t="shared" ca="1" si="14"/>
        <v>BAJO</v>
      </c>
    </row>
    <row r="181" spans="4:53" x14ac:dyDescent="0.35">
      <c r="D181" t="s">
        <v>1516</v>
      </c>
      <c r="E181" s="1">
        <v>41954</v>
      </c>
      <c r="F181" t="s">
        <v>1517</v>
      </c>
      <c r="G181" t="s">
        <v>108</v>
      </c>
      <c r="H181" t="s">
        <v>710</v>
      </c>
      <c r="I181">
        <v>20064740</v>
      </c>
      <c r="J181" t="s">
        <v>110</v>
      </c>
      <c r="K181">
        <v>20</v>
      </c>
      <c r="L181" t="s">
        <v>27</v>
      </c>
      <c r="M181" t="s">
        <v>1518</v>
      </c>
      <c r="N181" t="s">
        <v>1519</v>
      </c>
      <c r="O181" t="s">
        <v>1520</v>
      </c>
      <c r="P181" t="s">
        <v>97</v>
      </c>
      <c r="Q181" s="1">
        <v>41649</v>
      </c>
      <c r="R181" t="s">
        <v>37</v>
      </c>
      <c r="S181" t="s">
        <v>27</v>
      </c>
      <c r="T181" t="s">
        <v>1521</v>
      </c>
      <c r="U181" t="s">
        <v>115</v>
      </c>
      <c r="V181" t="s">
        <v>1522</v>
      </c>
      <c r="W181">
        <v>200</v>
      </c>
      <c r="X181">
        <v>20064740</v>
      </c>
      <c r="Y181" t="s">
        <v>1523</v>
      </c>
      <c r="Z181" t="s">
        <v>119</v>
      </c>
      <c r="AA181" t="s">
        <v>24</v>
      </c>
      <c r="AB181" t="s">
        <v>120</v>
      </c>
      <c r="AC181" t="s">
        <v>25</v>
      </c>
      <c r="AD181" t="s">
        <v>155</v>
      </c>
      <c r="AE181">
        <v>3</v>
      </c>
      <c r="AF181" t="s">
        <v>27</v>
      </c>
      <c r="AG181" t="s">
        <v>26</v>
      </c>
      <c r="AH181" t="s">
        <v>1517</v>
      </c>
      <c r="AI181" t="str">
        <f t="shared" si="10"/>
        <v>NO</v>
      </c>
      <c r="AJ181" t="str">
        <f t="shared" si="11"/>
        <v>NEVOX FARMA</v>
      </c>
      <c r="AK181" t="str">
        <f>IF(ISNUMBER(SEARCH("FABRICANTE",AC181)),"FABRICANTE",IF(ISNUMBER(SEARCH("IMPORTADOR",AC181)),"IMPORTADOR","OTRO"))</f>
        <v>FABRICANTE</v>
      </c>
      <c r="AL181" t="str">
        <f>IF(LEFT(Y181,1)="A","Sistema digestivo",IF(LEFT(Y181,1)="B","Sangre",IF(LEFT(Y181,1)="C","Cardiovascular",IF(LEFT(Y181,1)="D","Dermatológico",IF(LEFT(Y181,1)="G","Genitourinario",IF(LEFT(Y181,1)="H","Hormonal",IF(LEFT(Y181,1)="J","Antiinfecciosos",IF(LEFT(Y181,1)="L","Oncológicos",IF(LEFT(Y181,1)="M","Musculoesquelético",IF(LEFT(Y181,1)="N","Sistema nervioso",IF(LEFT(Y181,1)="R","Respiratorio",IF(LEFT(Y181,1)="S","Oftálmico",IF(LEFT(Y181,1)="V","Varios","OTRO")))))))))))))</f>
        <v>Genitourinario</v>
      </c>
      <c r="AM181" t="str">
        <f>IF(AG181="Vigente","ACTIVO",IF(ISNUMBER(SEARCH("Inactivo",J181)),"INACTIVO","REVISAR"))</f>
        <v>ACTIVO</v>
      </c>
      <c r="AN181" t="str">
        <f ca="1">IF(OR(AF181="",AF181="null"),"",ROUND((AF181-TODAY())/365.25,2))</f>
        <v/>
      </c>
      <c r="AO181" t="str">
        <f ca="1">IF(AND(AG181="Vigente",OR(AF181="",AF181="null",AF181&gt;TODAY())),"SI",IF(AND(NOT(OR(AF181="",AF181="null")),AF181&lt;=TODAY()),"NO",IF(AG181="Vigente","SI","DESCONOCIDO")))</f>
        <v>SI</v>
      </c>
      <c r="AP181" t="str">
        <f>IF(AND(ISNUMBER(SEARCH("IMPORTAR",AA181)),ISNUMBER(SEARCH("FABRICAR",AA181))),"MIXTO",IF(ISNUMBER(SEARCH("IMPORTAR",AA181)),"IMPORTADO",IF(ISNUMBER(SEARCH("FABRICAR",AA181)),"LOCAL","OTRO")))</f>
        <v>LOCAL</v>
      </c>
      <c r="AQ181" t="str">
        <f>IF(AD181="Si","SI",IF(AD181="No","NO",""))</f>
        <v>SI</v>
      </c>
      <c r="AR181" t="str">
        <f>IF(ISNUMBER(SEARCH("®",N181)),"MARCA/INNOVADOR","GENERICO")</f>
        <v>MARCA/INNOVADOR</v>
      </c>
      <c r="AS181">
        <f ca="1">IF(AE181&gt;100,RANDBETWEEN(500,5000),IF(AND(AE181&gt;=10,AE181&lt;=100),RANDBETWEEN(100,1000),RANDBETWEEN(10,200)))</f>
        <v>63</v>
      </c>
      <c r="AT181">
        <f t="shared" ca="1" si="12"/>
        <v>8</v>
      </c>
      <c r="AU181">
        <f ca="1">INT(AS181*RANDBETWEEN(120,200)/100)</f>
        <v>83</v>
      </c>
      <c r="AV181" s="2">
        <f ca="1">IF(LEFT(Y181,1)="L",RANDBETWEEN(500000,5000000),IF(LEFT(Y181,1)="C",RANDBETWEEN(5000,50000),IF(LEFT(Y181,1)="N",RANDBETWEEN(10000,150000),IF(LEFT(Y181,1)="J",RANDBETWEEN(8000,200000),RANDBETWEEN(5000,100000)))))</f>
        <v>93304</v>
      </c>
      <c r="AW181" s="2">
        <f ca="1">INT(AV181*RANDBETWEEN(30,60)/100)</f>
        <v>51317</v>
      </c>
      <c r="AX181">
        <f ca="1">IF(Z181="ORAL",RANDBETWEEN(1000,10000),IF(OR(Z181="INTRAVENOSA",Z181="INTRAMUSCULAR"),RANDBETWEEN(100,2000),IF(OR(Z181="OFTÁLMICA",Z181="TOPICA (EXTERNA)"),RANDBETWEEN(200,3000),RANDBETWEEN(100,1500))))</f>
        <v>8271</v>
      </c>
      <c r="AY181" s="2">
        <f ca="1">INT(AV181*RANDBETWEEN(90,130)/100)</f>
        <v>119429</v>
      </c>
      <c r="AZ181" t="str">
        <f t="shared" ca="1" si="13"/>
        <v>14.9%</v>
      </c>
      <c r="BA181" t="str">
        <f t="shared" ca="1" si="14"/>
        <v>ALTO</v>
      </c>
    </row>
    <row r="182" spans="4:53" x14ac:dyDescent="0.35">
      <c r="D182" t="s">
        <v>1524</v>
      </c>
      <c r="E182" s="1">
        <v>43909</v>
      </c>
      <c r="F182" t="s">
        <v>1525</v>
      </c>
      <c r="G182" t="s">
        <v>108</v>
      </c>
      <c r="H182" t="s">
        <v>80</v>
      </c>
      <c r="I182">
        <v>20137789</v>
      </c>
      <c r="J182" t="s">
        <v>28</v>
      </c>
      <c r="K182">
        <v>3</v>
      </c>
      <c r="L182" t="s">
        <v>1526</v>
      </c>
      <c r="M182" t="s">
        <v>1527</v>
      </c>
      <c r="N182" t="s">
        <v>1528</v>
      </c>
      <c r="O182" t="s">
        <v>1529</v>
      </c>
      <c r="P182" t="s">
        <v>29</v>
      </c>
      <c r="Q182" s="1">
        <v>43269</v>
      </c>
      <c r="R182" t="s">
        <v>29</v>
      </c>
      <c r="S182" t="s">
        <v>27</v>
      </c>
      <c r="T182" t="s">
        <v>81</v>
      </c>
      <c r="U182" t="s">
        <v>115</v>
      </c>
      <c r="V182" t="s">
        <v>689</v>
      </c>
      <c r="W182">
        <v>8</v>
      </c>
      <c r="X182">
        <v>20137789</v>
      </c>
      <c r="Y182" t="s">
        <v>690</v>
      </c>
      <c r="Z182" t="s">
        <v>119</v>
      </c>
      <c r="AA182" t="s">
        <v>165</v>
      </c>
      <c r="AB182" t="s">
        <v>120</v>
      </c>
      <c r="AC182" t="s">
        <v>38</v>
      </c>
      <c r="AD182" t="s">
        <v>121</v>
      </c>
      <c r="AE182">
        <v>100</v>
      </c>
      <c r="AF182" t="s">
        <v>27</v>
      </c>
      <c r="AG182" t="s">
        <v>26</v>
      </c>
      <c r="AH182" t="s">
        <v>1525</v>
      </c>
      <c r="AI182" t="str">
        <f t="shared" si="10"/>
        <v>NO</v>
      </c>
      <c r="AJ182" t="str">
        <f t="shared" si="11"/>
        <v>LABORATORIOS MK</v>
      </c>
      <c r="AK182" t="str">
        <f>IF(ISNUMBER(SEARCH("FABRICANTE",AC182)),"FABRICANTE",IF(ISNUMBER(SEARCH("IMPORTADOR",AC182)),"IMPORTADOR","OTRO"))</f>
        <v>IMPORTADOR</v>
      </c>
      <c r="AL182" t="str">
        <f>IF(LEFT(Y182,1)="A","Sistema digestivo",IF(LEFT(Y182,1)="B","Sangre",IF(LEFT(Y182,1)="C","Cardiovascular",IF(LEFT(Y182,1)="D","Dermatológico",IF(LEFT(Y182,1)="G","Genitourinario",IF(LEFT(Y182,1)="H","Hormonal",IF(LEFT(Y182,1)="J","Antiinfecciosos",IF(LEFT(Y182,1)="L","Oncológicos",IF(LEFT(Y182,1)="M","Musculoesquelético",IF(LEFT(Y182,1)="N","Sistema nervioso",IF(LEFT(Y182,1)="R","Respiratorio",IF(LEFT(Y182,1)="S","Oftálmico",IF(LEFT(Y182,1)="V","Varios","OTRO")))))))))))))</f>
        <v>Sistema nervioso</v>
      </c>
      <c r="AM182" t="str">
        <f>IF(AG182="Vigente","ACTIVO",IF(ISNUMBER(SEARCH("Inactivo",J182)),"INACTIVO","REVISAR"))</f>
        <v>ACTIVO</v>
      </c>
      <c r="AN182" t="str">
        <f ca="1">IF(OR(AF182="",AF182="null"),"",ROUND((AF182-TODAY())/365.25,2))</f>
        <v/>
      </c>
      <c r="AO182" t="str">
        <f ca="1">IF(AND(AG182="Vigente",OR(AF182="",AF182="null",AF182&gt;TODAY())),"SI",IF(AND(NOT(OR(AF182="",AF182="null")),AF182&lt;=TODAY()),"NO",IF(AG182="Vigente","SI","DESCONOCIDO")))</f>
        <v>SI</v>
      </c>
      <c r="AP182" t="str">
        <f>IF(AND(ISNUMBER(SEARCH("IMPORTAR",AA182)),ISNUMBER(SEARCH("FABRICAR",AA182))),"MIXTO",IF(ISNUMBER(SEARCH("IMPORTAR",AA182)),"IMPORTADO",IF(ISNUMBER(SEARCH("FABRICAR",AA182)),"LOCAL","OTRO")))</f>
        <v>IMPORTADO</v>
      </c>
      <c r="AQ182" t="str">
        <f>IF(AD182="Si","SI",IF(AD182="No","NO",""))</f>
        <v>NO</v>
      </c>
      <c r="AR182" t="str">
        <f>IF(ISNUMBER(SEARCH("®",N182)),"MARCA/INNOVADOR","GENERICO")</f>
        <v>MARCA/INNOVADOR</v>
      </c>
      <c r="AS182">
        <f ca="1">IF(AE182&gt;100,RANDBETWEEN(500,5000),IF(AND(AE182&gt;=10,AE182&lt;=100),RANDBETWEEN(100,1000),RANDBETWEEN(10,200)))</f>
        <v>204</v>
      </c>
      <c r="AT182">
        <f t="shared" ca="1" si="12"/>
        <v>61</v>
      </c>
      <c r="AU182">
        <f ca="1">INT(AS182*RANDBETWEEN(120,200)/100)</f>
        <v>267</v>
      </c>
      <c r="AV182" s="2">
        <f ca="1">IF(LEFT(Y182,1)="L",RANDBETWEEN(500000,5000000),IF(LEFT(Y182,1)="C",RANDBETWEEN(5000,50000),IF(LEFT(Y182,1)="N",RANDBETWEEN(10000,150000),IF(LEFT(Y182,1)="J",RANDBETWEEN(8000,200000),RANDBETWEEN(5000,100000)))))</f>
        <v>132561</v>
      </c>
      <c r="AW182" s="2">
        <f ca="1">INT(AV182*RANDBETWEEN(30,60)/100)</f>
        <v>70257</v>
      </c>
      <c r="AX182">
        <f ca="1">IF(Z182="ORAL",RANDBETWEEN(1000,10000),IF(OR(Z182="INTRAVENOSA",Z182="INTRAMUSCULAR"),RANDBETWEEN(100,2000),IF(OR(Z182="OFTÁLMICA",Z182="TOPICA (EXTERNA)"),RANDBETWEEN(200,3000),RANDBETWEEN(100,1500))))</f>
        <v>7284</v>
      </c>
      <c r="AY182" s="2">
        <f ca="1">INT(AV182*RANDBETWEEN(90,130)/100)</f>
        <v>131235</v>
      </c>
      <c r="AZ182" t="str">
        <f t="shared" ca="1" si="13"/>
        <v>5%</v>
      </c>
      <c r="BA182" t="str">
        <f t="shared" ca="1" si="14"/>
        <v>BAJO</v>
      </c>
    </row>
    <row r="183" spans="4:53" x14ac:dyDescent="0.35">
      <c r="D183" t="s">
        <v>1530</v>
      </c>
      <c r="E183" s="1">
        <v>36161</v>
      </c>
      <c r="F183" t="s">
        <v>123</v>
      </c>
      <c r="G183" t="s">
        <v>108</v>
      </c>
      <c r="H183" t="s">
        <v>334</v>
      </c>
      <c r="I183">
        <v>53285</v>
      </c>
      <c r="J183" t="s">
        <v>28</v>
      </c>
      <c r="K183">
        <v>8</v>
      </c>
      <c r="L183" t="s">
        <v>27</v>
      </c>
      <c r="M183" t="s">
        <v>1531</v>
      </c>
      <c r="N183" t="s">
        <v>1532</v>
      </c>
      <c r="O183" t="s">
        <v>1533</v>
      </c>
      <c r="P183" t="s">
        <v>1534</v>
      </c>
      <c r="Q183" s="1">
        <v>41855</v>
      </c>
      <c r="R183" t="s">
        <v>50</v>
      </c>
      <c r="S183" t="s">
        <v>27</v>
      </c>
      <c r="T183" t="s">
        <v>320</v>
      </c>
      <c r="U183" t="s">
        <v>115</v>
      </c>
      <c r="V183" t="s">
        <v>130</v>
      </c>
      <c r="W183">
        <v>50</v>
      </c>
      <c r="X183">
        <v>53285</v>
      </c>
      <c r="Y183" t="s">
        <v>131</v>
      </c>
      <c r="Z183" t="s">
        <v>213</v>
      </c>
      <c r="AA183" t="s">
        <v>24</v>
      </c>
      <c r="AB183" t="s">
        <v>120</v>
      </c>
      <c r="AC183" t="s">
        <v>25</v>
      </c>
      <c r="AD183" t="s">
        <v>121</v>
      </c>
      <c r="AE183">
        <v>900</v>
      </c>
      <c r="AF183" t="s">
        <v>27</v>
      </c>
      <c r="AG183" t="s">
        <v>26</v>
      </c>
      <c r="AH183" t="s">
        <v>123</v>
      </c>
      <c r="AI183" t="str">
        <f t="shared" si="10"/>
        <v>NO</v>
      </c>
      <c r="AJ183" t="str">
        <f t="shared" si="11"/>
        <v>GENFAR</v>
      </c>
      <c r="AK183" t="str">
        <f>IF(ISNUMBER(SEARCH("FABRICANTE",AC183)),"FABRICANTE",IF(ISNUMBER(SEARCH("IMPORTADOR",AC183)),"IMPORTADOR","OTRO"))</f>
        <v>FABRICANTE</v>
      </c>
      <c r="AL183" t="str">
        <f>IF(LEFT(Y183,1)="A","Sistema digestivo",IF(LEFT(Y183,1)="B","Sangre",IF(LEFT(Y183,1)="C","Cardiovascular",IF(LEFT(Y183,1)="D","Dermatológico",IF(LEFT(Y183,1)="G","Genitourinario",IF(LEFT(Y183,1)="H","Hormonal",IF(LEFT(Y183,1)="J","Antiinfecciosos",IF(LEFT(Y183,1)="L","Oncológicos",IF(LEFT(Y183,1)="M","Musculoesquelético",IF(LEFT(Y183,1)="N","Sistema nervioso",IF(LEFT(Y183,1)="R","Respiratorio",IF(LEFT(Y183,1)="S","Oftálmico",IF(LEFT(Y183,1)="V","Varios","OTRO")))))))))))))</f>
        <v>Sistema nervioso</v>
      </c>
      <c r="AM183" t="str">
        <f>IF(AG183="Vigente","ACTIVO",IF(ISNUMBER(SEARCH("Inactivo",J183)),"INACTIVO","REVISAR"))</f>
        <v>ACTIVO</v>
      </c>
      <c r="AN183" t="str">
        <f ca="1">IF(OR(AF183="",AF183="null"),"",ROUND((AF183-TODAY())/365.25,2))</f>
        <v/>
      </c>
      <c r="AO183" t="str">
        <f ca="1">IF(AND(AG183="Vigente",OR(AF183="",AF183="null",AF183&gt;TODAY())),"SI",IF(AND(NOT(OR(AF183="",AF183="null")),AF183&lt;=TODAY()),"NO",IF(AG183="Vigente","SI","DESCONOCIDO")))</f>
        <v>SI</v>
      </c>
      <c r="AP183" t="str">
        <f>IF(AND(ISNUMBER(SEARCH("IMPORTAR",AA183)),ISNUMBER(SEARCH("FABRICAR",AA183))),"MIXTO",IF(ISNUMBER(SEARCH("IMPORTAR",AA183)),"IMPORTADO",IF(ISNUMBER(SEARCH("FABRICAR",AA183)),"LOCAL","OTRO")))</f>
        <v>LOCAL</v>
      </c>
      <c r="AQ183" t="str">
        <f>IF(AD183="Si","SI",IF(AD183="No","NO",""))</f>
        <v>NO</v>
      </c>
      <c r="AR183" t="str">
        <f>IF(ISNUMBER(SEARCH("®",N183)),"MARCA/INNOVADOR","GENERICO")</f>
        <v>GENERICO</v>
      </c>
      <c r="AS183">
        <f ca="1">IF(AE183&gt;100,RANDBETWEEN(500,5000),IF(AND(AE183&gt;=10,AE183&lt;=100),RANDBETWEEN(100,1000),RANDBETWEEN(10,200)))</f>
        <v>537</v>
      </c>
      <c r="AT183">
        <f t="shared" ca="1" si="12"/>
        <v>80</v>
      </c>
      <c r="AU183">
        <f ca="1">INT(AS183*RANDBETWEEN(120,200)/100)</f>
        <v>1063</v>
      </c>
      <c r="AV183" s="2">
        <f ca="1">IF(LEFT(Y183,1)="L",RANDBETWEEN(500000,5000000),IF(LEFT(Y183,1)="C",RANDBETWEEN(5000,50000),IF(LEFT(Y183,1)="N",RANDBETWEEN(10000,150000),IF(LEFT(Y183,1)="J",RANDBETWEEN(8000,200000),RANDBETWEEN(5000,100000)))))</f>
        <v>38132</v>
      </c>
      <c r="AW183" s="2">
        <f ca="1">INT(AV183*RANDBETWEEN(30,60)/100)</f>
        <v>11439</v>
      </c>
      <c r="AX183">
        <f ca="1">IF(Z183="ORAL",RANDBETWEEN(1000,10000),IF(OR(Z183="INTRAVENOSA",Z183="INTRAMUSCULAR"),RANDBETWEEN(100,2000),IF(OR(Z183="OFTÁLMICA",Z183="TOPICA (EXTERNA)"),RANDBETWEEN(200,3000),RANDBETWEEN(100,1500))))</f>
        <v>184</v>
      </c>
      <c r="AY183" s="2">
        <f ca="1">INT(AV183*RANDBETWEEN(90,130)/100)</f>
        <v>46521</v>
      </c>
      <c r="AZ183" t="str">
        <f t="shared" ca="1" si="13"/>
        <v>8.6%</v>
      </c>
      <c r="BA183" t="str">
        <f t="shared" ca="1" si="14"/>
        <v>BAJO</v>
      </c>
    </row>
    <row r="184" spans="4:53" x14ac:dyDescent="0.35">
      <c r="D184" t="s">
        <v>1535</v>
      </c>
      <c r="E184" s="1">
        <v>40501</v>
      </c>
      <c r="F184" t="s">
        <v>294</v>
      </c>
      <c r="G184" t="s">
        <v>108</v>
      </c>
      <c r="H184" t="s">
        <v>168</v>
      </c>
      <c r="I184">
        <v>20016549</v>
      </c>
      <c r="J184" t="s">
        <v>110</v>
      </c>
      <c r="K184">
        <v>1</v>
      </c>
      <c r="L184" t="s">
        <v>27</v>
      </c>
      <c r="M184" t="s">
        <v>295</v>
      </c>
      <c r="N184" t="s">
        <v>296</v>
      </c>
      <c r="O184" t="s">
        <v>1536</v>
      </c>
      <c r="P184" t="s">
        <v>298</v>
      </c>
      <c r="Q184" s="1">
        <v>40311</v>
      </c>
      <c r="R184" t="s">
        <v>37</v>
      </c>
      <c r="S184" s="1">
        <v>42586</v>
      </c>
      <c r="T184" t="s">
        <v>172</v>
      </c>
      <c r="U184" t="s">
        <v>115</v>
      </c>
      <c r="V184" t="s">
        <v>299</v>
      </c>
      <c r="W184">
        <v>250</v>
      </c>
      <c r="X184">
        <v>20016549</v>
      </c>
      <c r="Y184" t="s">
        <v>300</v>
      </c>
      <c r="Z184" t="s">
        <v>119</v>
      </c>
      <c r="AA184" t="s">
        <v>24</v>
      </c>
      <c r="AB184" t="s">
        <v>120</v>
      </c>
      <c r="AC184" t="s">
        <v>25</v>
      </c>
      <c r="AD184" t="s">
        <v>121</v>
      </c>
      <c r="AE184">
        <v>10</v>
      </c>
      <c r="AF184" t="s">
        <v>27</v>
      </c>
      <c r="AG184" t="s">
        <v>26</v>
      </c>
      <c r="AH184" t="s">
        <v>294</v>
      </c>
      <c r="AI184" t="str">
        <f t="shared" si="10"/>
        <v>NO</v>
      </c>
      <c r="AJ184" t="str">
        <f t="shared" si="11"/>
        <v>NOVAMED</v>
      </c>
      <c r="AK184" t="str">
        <f>IF(ISNUMBER(SEARCH("FABRICANTE",AC184)),"FABRICANTE",IF(ISNUMBER(SEARCH("IMPORTADOR",AC184)),"IMPORTADOR","OTRO"))</f>
        <v>FABRICANTE</v>
      </c>
      <c r="AL184" t="str">
        <f>IF(LEFT(Y184,1)="A","Sistema digestivo",IF(LEFT(Y184,1)="B","Sangre",IF(LEFT(Y184,1)="C","Cardiovascular",IF(LEFT(Y184,1)="D","Dermatológico",IF(LEFT(Y184,1)="G","Genitourinario",IF(LEFT(Y184,1)="H","Hormonal",IF(LEFT(Y184,1)="J","Antiinfecciosos",IF(LEFT(Y184,1)="L","Oncológicos",IF(LEFT(Y184,1)="M","Musculoesquelético",IF(LEFT(Y184,1)="N","Sistema nervioso",IF(LEFT(Y184,1)="R","Respiratorio",IF(LEFT(Y184,1)="S","Oftálmico",IF(LEFT(Y184,1)="V","Varios","OTRO")))))))))))))</f>
        <v>Sistema nervioso</v>
      </c>
      <c r="AM184" t="str">
        <f>IF(AG184="Vigente","ACTIVO",IF(ISNUMBER(SEARCH("Inactivo",J184)),"INACTIVO","REVISAR"))</f>
        <v>ACTIVO</v>
      </c>
      <c r="AN184" t="str">
        <f ca="1">IF(OR(AF184="",AF184="null"),"",ROUND((AF184-TODAY())/365.25,2))</f>
        <v/>
      </c>
      <c r="AO184" t="str">
        <f ca="1">IF(AND(AG184="Vigente",OR(AF184="",AF184="null",AF184&gt;TODAY())),"SI",IF(AND(NOT(OR(AF184="",AF184="null")),AF184&lt;=TODAY()),"NO",IF(AG184="Vigente","SI","DESCONOCIDO")))</f>
        <v>SI</v>
      </c>
      <c r="AP184" t="str">
        <f>IF(AND(ISNUMBER(SEARCH("IMPORTAR",AA184)),ISNUMBER(SEARCH("FABRICAR",AA184))),"MIXTO",IF(ISNUMBER(SEARCH("IMPORTAR",AA184)),"IMPORTADO",IF(ISNUMBER(SEARCH("FABRICAR",AA184)),"LOCAL","OTRO")))</f>
        <v>LOCAL</v>
      </c>
      <c r="AQ184" t="str">
        <f>IF(AD184="Si","SI",IF(AD184="No","NO",""))</f>
        <v>NO</v>
      </c>
      <c r="AR184" t="str">
        <f>IF(ISNUMBER(SEARCH("®",N184)),"MARCA/INNOVADOR","GENERICO")</f>
        <v>MARCA/INNOVADOR</v>
      </c>
      <c r="AS184">
        <f ca="1">IF(AE184&gt;100,RANDBETWEEN(500,5000),IF(AND(AE184&gt;=10,AE184&lt;=100),RANDBETWEEN(100,1000),RANDBETWEEN(10,200)))</f>
        <v>821</v>
      </c>
      <c r="AT184">
        <f t="shared" ca="1" si="12"/>
        <v>221</v>
      </c>
      <c r="AU184">
        <f ca="1">INT(AS184*RANDBETWEEN(120,200)/100)</f>
        <v>1321</v>
      </c>
      <c r="AV184" s="2">
        <f ca="1">IF(LEFT(Y184,1)="L",RANDBETWEEN(500000,5000000),IF(LEFT(Y184,1)="C",RANDBETWEEN(5000,50000),IF(LEFT(Y184,1)="N",RANDBETWEEN(10000,150000),IF(LEFT(Y184,1)="J",RANDBETWEEN(8000,200000),RANDBETWEEN(5000,100000)))))</f>
        <v>136551</v>
      </c>
      <c r="AW184" s="2">
        <f ca="1">INT(AV184*RANDBETWEEN(30,60)/100)</f>
        <v>80565</v>
      </c>
      <c r="AX184">
        <f ca="1">IF(Z184="ORAL",RANDBETWEEN(1000,10000),IF(OR(Z184="INTRAVENOSA",Z184="INTRAMUSCULAR"),RANDBETWEEN(100,2000),IF(OR(Z184="OFTÁLMICA",Z184="TOPICA (EXTERNA)"),RANDBETWEEN(200,3000),RANDBETWEEN(100,1500))))</f>
        <v>4648</v>
      </c>
      <c r="AY184" s="2">
        <f ca="1">INT(AV184*RANDBETWEEN(90,130)/100)</f>
        <v>128357</v>
      </c>
      <c r="AZ184" t="str">
        <f t="shared" ca="1" si="13"/>
        <v>5.5%</v>
      </c>
      <c r="BA184" t="str">
        <f t="shared" ca="1" si="14"/>
        <v>ALTO</v>
      </c>
    </row>
    <row r="185" spans="4:53" x14ac:dyDescent="0.35">
      <c r="D185" t="s">
        <v>1537</v>
      </c>
      <c r="E185" s="1">
        <v>45370</v>
      </c>
      <c r="F185" t="s">
        <v>1538</v>
      </c>
      <c r="G185" t="s">
        <v>108</v>
      </c>
      <c r="H185" t="s">
        <v>39</v>
      </c>
      <c r="I185">
        <v>20188520</v>
      </c>
      <c r="J185" t="s">
        <v>110</v>
      </c>
      <c r="K185">
        <v>3</v>
      </c>
      <c r="L185" t="s">
        <v>1539</v>
      </c>
      <c r="M185" t="s">
        <v>1540</v>
      </c>
      <c r="N185" t="s">
        <v>1541</v>
      </c>
      <c r="O185" t="s">
        <v>1542</v>
      </c>
      <c r="P185" t="s">
        <v>1543</v>
      </c>
      <c r="Q185" s="1">
        <v>44362</v>
      </c>
      <c r="R185" t="s">
        <v>37</v>
      </c>
      <c r="S185" s="1">
        <v>45364</v>
      </c>
      <c r="T185" t="s">
        <v>40</v>
      </c>
      <c r="U185" t="s">
        <v>115</v>
      </c>
      <c r="V185" t="s">
        <v>585</v>
      </c>
      <c r="W185">
        <v>20</v>
      </c>
      <c r="X185">
        <v>20188520</v>
      </c>
      <c r="Y185" t="s">
        <v>586</v>
      </c>
      <c r="Z185" t="s">
        <v>119</v>
      </c>
      <c r="AA185" t="s">
        <v>32</v>
      </c>
      <c r="AB185" t="s">
        <v>120</v>
      </c>
      <c r="AC185" t="s">
        <v>38</v>
      </c>
      <c r="AD185" t="s">
        <v>155</v>
      </c>
      <c r="AE185">
        <v>30</v>
      </c>
      <c r="AF185" s="1">
        <v>401769</v>
      </c>
      <c r="AG185" t="s">
        <v>26</v>
      </c>
      <c r="AH185" t="s">
        <v>585</v>
      </c>
      <c r="AI185" t="str">
        <f t="shared" si="10"/>
        <v>NO</v>
      </c>
      <c r="AJ185" t="str">
        <f t="shared" si="11"/>
        <v>HETERO LABS</v>
      </c>
      <c r="AK185" t="str">
        <f>IF(ISNUMBER(SEARCH("FABRICANTE",AC185)),"FABRICANTE",IF(ISNUMBER(SEARCH("IMPORTADOR",AC185)),"IMPORTADOR","OTRO"))</f>
        <v>IMPORTADOR</v>
      </c>
      <c r="AL185" t="str">
        <f>IF(LEFT(Y185,1)="A","Sistema digestivo",IF(LEFT(Y185,1)="B","Sangre",IF(LEFT(Y185,1)="C","Cardiovascular",IF(LEFT(Y185,1)="D","Dermatológico",IF(LEFT(Y185,1)="G","Genitourinario",IF(LEFT(Y185,1)="H","Hormonal",IF(LEFT(Y185,1)="J","Antiinfecciosos",IF(LEFT(Y185,1)="L","Oncológicos",IF(LEFT(Y185,1)="M","Musculoesquelético",IF(LEFT(Y185,1)="N","Sistema nervioso",IF(LEFT(Y185,1)="R","Respiratorio",IF(LEFT(Y185,1)="S","Oftálmico",IF(LEFT(Y185,1)="V","Varios","OTRO")))))))))))))</f>
        <v>Sistema digestivo</v>
      </c>
      <c r="AM185" t="str">
        <f>IF(AG185="Vigente","ACTIVO",IF(ISNUMBER(SEARCH("Inactivo",J185)),"INACTIVO","REVISAR"))</f>
        <v>ACTIVO</v>
      </c>
      <c r="AN185">
        <f ca="1">IF(OR(AF185="",AF185="null"),"",ROUND((AF185-TODAY())/365.25,2))</f>
        <v>973.58</v>
      </c>
      <c r="AO185" t="str">
        <f ca="1">IF(AND(AG185="Vigente",OR(AF185="",AF185="null",AF185&gt;TODAY())),"SI",IF(AND(NOT(OR(AF185="",AF185="null")),AF185&lt;=TODAY()),"NO",IF(AG185="Vigente","SI","DESCONOCIDO")))</f>
        <v>SI</v>
      </c>
      <c r="AP185" t="str">
        <f>IF(AND(ISNUMBER(SEARCH("IMPORTAR",AA185)),ISNUMBER(SEARCH("FABRICAR",AA185))),"MIXTO",IF(ISNUMBER(SEARCH("IMPORTAR",AA185)),"IMPORTADO",IF(ISNUMBER(SEARCH("FABRICAR",AA185)),"LOCAL","OTRO")))</f>
        <v>IMPORTADO</v>
      </c>
      <c r="AQ185" t="str">
        <f>IF(AD185="Si","SI",IF(AD185="No","NO",""))</f>
        <v>SI</v>
      </c>
      <c r="AR185" t="str">
        <f>IF(ISNUMBER(SEARCH("®",N185)),"MARCA/INNOVADOR","GENERICO")</f>
        <v>MARCA/INNOVADOR</v>
      </c>
      <c r="AS185">
        <f ca="1">IF(AE185&gt;100,RANDBETWEEN(500,5000),IF(AND(AE185&gt;=10,AE185&lt;=100),RANDBETWEEN(100,1000),RANDBETWEEN(10,200)))</f>
        <v>381</v>
      </c>
      <c r="AT185">
        <f t="shared" ca="1" si="12"/>
        <v>68</v>
      </c>
      <c r="AU185">
        <f ca="1">INT(AS185*RANDBETWEEN(120,200)/100)</f>
        <v>541</v>
      </c>
      <c r="AV185" s="2">
        <f ca="1">IF(LEFT(Y185,1)="L",RANDBETWEEN(500000,5000000),IF(LEFT(Y185,1)="C",RANDBETWEEN(5000,50000),IF(LEFT(Y185,1)="N",RANDBETWEEN(10000,150000),IF(LEFT(Y185,1)="J",RANDBETWEEN(8000,200000),RANDBETWEEN(5000,100000)))))</f>
        <v>95192</v>
      </c>
      <c r="AW185" s="2">
        <f ca="1">INT(AV185*RANDBETWEEN(30,60)/100)</f>
        <v>36172</v>
      </c>
      <c r="AX185">
        <f ca="1">IF(Z185="ORAL",RANDBETWEEN(1000,10000),IF(OR(Z185="INTRAVENOSA",Z185="INTRAMUSCULAR"),RANDBETWEEN(100,2000),IF(OR(Z185="OFTÁLMICA",Z185="TOPICA (EXTERNA)"),RANDBETWEEN(200,3000),RANDBETWEEN(100,1500))))</f>
        <v>7033</v>
      </c>
      <c r="AY185" s="2">
        <f ca="1">INT(AV185*RANDBETWEEN(90,130)/100)</f>
        <v>92336</v>
      </c>
      <c r="AZ185" t="str">
        <f t="shared" ca="1" si="13"/>
        <v>9.2%</v>
      </c>
      <c r="BA185" t="str">
        <f t="shared" ca="1" si="14"/>
        <v>MEDIO</v>
      </c>
    </row>
    <row r="186" spans="4:53" x14ac:dyDescent="0.35">
      <c r="D186" t="s">
        <v>1544</v>
      </c>
      <c r="E186" s="1">
        <v>45534</v>
      </c>
      <c r="F186" t="s">
        <v>1545</v>
      </c>
      <c r="G186" t="s">
        <v>108</v>
      </c>
      <c r="H186" t="s">
        <v>1546</v>
      </c>
      <c r="I186">
        <v>20202931</v>
      </c>
      <c r="J186" t="s">
        <v>28</v>
      </c>
      <c r="K186">
        <v>1</v>
      </c>
      <c r="L186" t="s">
        <v>1547</v>
      </c>
      <c r="M186" t="s">
        <v>1548</v>
      </c>
      <c r="N186" t="s">
        <v>1549</v>
      </c>
      <c r="O186" t="s">
        <v>1550</v>
      </c>
      <c r="P186" t="s">
        <v>33</v>
      </c>
      <c r="Q186" s="1">
        <v>44497</v>
      </c>
      <c r="R186" t="s">
        <v>33</v>
      </c>
      <c r="S186" t="s">
        <v>27</v>
      </c>
      <c r="T186" t="s">
        <v>1546</v>
      </c>
      <c r="U186" t="s">
        <v>115</v>
      </c>
      <c r="V186" t="s">
        <v>1551</v>
      </c>
      <c r="W186">
        <v>10</v>
      </c>
      <c r="X186">
        <v>20202931</v>
      </c>
      <c r="Y186" t="s">
        <v>1552</v>
      </c>
      <c r="Z186" t="s">
        <v>119</v>
      </c>
      <c r="AA186" t="s">
        <v>32</v>
      </c>
      <c r="AB186" t="s">
        <v>120</v>
      </c>
      <c r="AC186" t="s">
        <v>25</v>
      </c>
      <c r="AD186" t="s">
        <v>121</v>
      </c>
      <c r="AE186">
        <v>28</v>
      </c>
      <c r="AF186" s="1">
        <v>47394</v>
      </c>
      <c r="AG186" t="s">
        <v>26</v>
      </c>
      <c r="AH186" t="s">
        <v>1545</v>
      </c>
      <c r="AI186" t="str">
        <f t="shared" si="10"/>
        <v>NO</v>
      </c>
      <c r="AJ186" t="str">
        <f t="shared" si="11"/>
        <v>BAYER</v>
      </c>
      <c r="AK186" t="str">
        <f>IF(ISNUMBER(SEARCH("FABRICANTE",AC186)),"FABRICANTE",IF(ISNUMBER(SEARCH("IMPORTADOR",AC186)),"IMPORTADOR","OTRO"))</f>
        <v>FABRICANTE</v>
      </c>
      <c r="AL186" t="str">
        <f>IF(LEFT(Y186,1)="A","Sistema digestivo",IF(LEFT(Y186,1)="B","Sangre",IF(LEFT(Y186,1)="C","Cardiovascular",IF(LEFT(Y186,1)="D","Dermatológico",IF(LEFT(Y186,1)="G","Genitourinario",IF(LEFT(Y186,1)="H","Hormonal",IF(LEFT(Y186,1)="J","Antiinfecciosos",IF(LEFT(Y186,1)="L","Oncológicos",IF(LEFT(Y186,1)="M","Musculoesquelético",IF(LEFT(Y186,1)="N","Sistema nervioso",IF(LEFT(Y186,1)="R","Respiratorio",IF(LEFT(Y186,1)="S","Oftálmico",IF(LEFT(Y186,1)="V","Varios","OTRO")))))))))))))</f>
        <v>Cardiovascular</v>
      </c>
      <c r="AM186" t="str">
        <f>IF(AG186="Vigente","ACTIVO",IF(ISNUMBER(SEARCH("Inactivo",J186)),"INACTIVO","REVISAR"))</f>
        <v>ACTIVO</v>
      </c>
      <c r="AN186">
        <f ca="1">IF(OR(AF186="",AF186="null"),"",ROUND((AF186-TODAY())/365.25,2))</f>
        <v>3.36</v>
      </c>
      <c r="AO186" t="str">
        <f ca="1">IF(AND(AG186="Vigente",OR(AF186="",AF186="null",AF186&gt;TODAY())),"SI",IF(AND(NOT(OR(AF186="",AF186="null")),AF186&lt;=TODAY()),"NO",IF(AG186="Vigente","SI","DESCONOCIDO")))</f>
        <v>SI</v>
      </c>
      <c r="AP186" t="str">
        <f>IF(AND(ISNUMBER(SEARCH("IMPORTAR",AA186)),ISNUMBER(SEARCH("FABRICAR",AA186))),"MIXTO",IF(ISNUMBER(SEARCH("IMPORTAR",AA186)),"IMPORTADO",IF(ISNUMBER(SEARCH("FABRICAR",AA186)),"LOCAL","OTRO")))</f>
        <v>IMPORTADO</v>
      </c>
      <c r="AQ186" t="str">
        <f>IF(AD186="Si","SI",IF(AD186="No","NO",""))</f>
        <v>NO</v>
      </c>
      <c r="AR186" t="str">
        <f>IF(ISNUMBER(SEARCH("®",N186)),"MARCA/INNOVADOR","GENERICO")</f>
        <v>MARCA/INNOVADOR</v>
      </c>
      <c r="AS186">
        <f ca="1">IF(AE186&gt;100,RANDBETWEEN(500,5000),IF(AND(AE186&gt;=10,AE186&lt;=100),RANDBETWEEN(100,1000),RANDBETWEEN(10,200)))</f>
        <v>833</v>
      </c>
      <c r="AT186">
        <f t="shared" ca="1" si="12"/>
        <v>83</v>
      </c>
      <c r="AU186">
        <f ca="1">INT(AS186*RANDBETWEEN(120,200)/100)</f>
        <v>1449</v>
      </c>
      <c r="AV186" s="2">
        <f ca="1">IF(LEFT(Y186,1)="L",RANDBETWEEN(500000,5000000),IF(LEFT(Y186,1)="C",RANDBETWEEN(5000,50000),IF(LEFT(Y186,1)="N",RANDBETWEEN(10000,150000),IF(LEFT(Y186,1)="J",RANDBETWEEN(8000,200000),RANDBETWEEN(5000,100000)))))</f>
        <v>47913</v>
      </c>
      <c r="AW186" s="2">
        <f ca="1">INT(AV186*RANDBETWEEN(30,60)/100)</f>
        <v>25393</v>
      </c>
      <c r="AX186">
        <f ca="1">IF(Z186="ORAL",RANDBETWEEN(1000,10000),IF(OR(Z186="INTRAVENOSA",Z186="INTRAMUSCULAR"),RANDBETWEEN(100,2000),IF(OR(Z186="OFTÁLMICA",Z186="TOPICA (EXTERNA)"),RANDBETWEEN(200,3000),RANDBETWEEN(100,1500))))</f>
        <v>1633</v>
      </c>
      <c r="AY186" s="2">
        <f ca="1">INT(AV186*RANDBETWEEN(90,130)/100)</f>
        <v>45996</v>
      </c>
      <c r="AZ186" t="str">
        <f t="shared" ca="1" si="13"/>
        <v>23.3%</v>
      </c>
      <c r="BA186" t="str">
        <f t="shared" ca="1" si="14"/>
        <v>MEDIO</v>
      </c>
    </row>
    <row r="187" spans="4:53" x14ac:dyDescent="0.35">
      <c r="D187" t="s">
        <v>1553</v>
      </c>
      <c r="E187" s="1">
        <v>43153</v>
      </c>
      <c r="F187" t="s">
        <v>1248</v>
      </c>
      <c r="G187" t="s">
        <v>108</v>
      </c>
      <c r="H187" t="s">
        <v>44</v>
      </c>
      <c r="I187">
        <v>20121494</v>
      </c>
      <c r="J187" t="s">
        <v>28</v>
      </c>
      <c r="K187">
        <v>3</v>
      </c>
      <c r="L187" t="s">
        <v>1554</v>
      </c>
      <c r="M187" t="s">
        <v>1555</v>
      </c>
      <c r="N187" t="s">
        <v>1556</v>
      </c>
      <c r="O187" t="s">
        <v>1557</v>
      </c>
      <c r="P187" t="s">
        <v>1558</v>
      </c>
      <c r="Q187" s="1">
        <v>43125</v>
      </c>
      <c r="R187" t="s">
        <v>62</v>
      </c>
      <c r="S187" t="s">
        <v>27</v>
      </c>
      <c r="T187" t="s">
        <v>1559</v>
      </c>
      <c r="U187" t="s">
        <v>247</v>
      </c>
      <c r="V187" t="s">
        <v>651</v>
      </c>
      <c r="W187" t="s">
        <v>1560</v>
      </c>
      <c r="X187">
        <v>20121494</v>
      </c>
      <c r="Y187" t="s">
        <v>652</v>
      </c>
      <c r="Z187" t="s">
        <v>566</v>
      </c>
      <c r="AA187" t="s">
        <v>24</v>
      </c>
      <c r="AB187" t="s">
        <v>250</v>
      </c>
      <c r="AC187" t="s">
        <v>25</v>
      </c>
      <c r="AD187" t="s">
        <v>121</v>
      </c>
      <c r="AE187">
        <v>1</v>
      </c>
      <c r="AF187" t="s">
        <v>27</v>
      </c>
      <c r="AG187" t="s">
        <v>26</v>
      </c>
      <c r="AH187" t="s">
        <v>1248</v>
      </c>
      <c r="AI187" t="str">
        <f t="shared" si="10"/>
        <v>NO</v>
      </c>
      <c r="AJ187" t="str">
        <f t="shared" si="11"/>
        <v>PROFMA</v>
      </c>
      <c r="AK187" t="str">
        <f>IF(ISNUMBER(SEARCH("FABRICANTE",AC187)),"FABRICANTE",IF(ISNUMBER(SEARCH("IMPORTADOR",AC187)),"IMPORTADOR","OTRO"))</f>
        <v>FABRICANTE</v>
      </c>
      <c r="AL187" t="str">
        <f>IF(LEFT(Y187,1)="A","Sistema digestivo",IF(LEFT(Y187,1)="B","Sangre",IF(LEFT(Y187,1)="C","Cardiovascular",IF(LEFT(Y187,1)="D","Dermatológico",IF(LEFT(Y187,1)="G","Genitourinario",IF(LEFT(Y187,1)="H","Hormonal",IF(LEFT(Y187,1)="J","Antiinfecciosos",IF(LEFT(Y187,1)="L","Oncológicos",IF(LEFT(Y187,1)="M","Musculoesquelético",IF(LEFT(Y187,1)="N","Sistema nervioso",IF(LEFT(Y187,1)="R","Respiratorio",IF(LEFT(Y187,1)="S","Oftálmico",IF(LEFT(Y187,1)="V","Varios","OTRO")))))))))))))</f>
        <v>Dermatológico</v>
      </c>
      <c r="AM187" t="str">
        <f>IF(AG187="Vigente","ACTIVO",IF(ISNUMBER(SEARCH("Inactivo",J187)),"INACTIVO","REVISAR"))</f>
        <v>ACTIVO</v>
      </c>
      <c r="AN187" t="str">
        <f ca="1">IF(OR(AF187="",AF187="null"),"",ROUND((AF187-TODAY())/365.25,2))</f>
        <v/>
      </c>
      <c r="AO187" t="str">
        <f ca="1">IF(AND(AG187="Vigente",OR(AF187="",AF187="null",AF187&gt;TODAY())),"SI",IF(AND(NOT(OR(AF187="",AF187="null")),AF187&lt;=TODAY()),"NO",IF(AG187="Vigente","SI","DESCONOCIDO")))</f>
        <v>SI</v>
      </c>
      <c r="AP187" t="str">
        <f>IF(AND(ISNUMBER(SEARCH("IMPORTAR",AA187)),ISNUMBER(SEARCH("FABRICAR",AA187))),"MIXTO",IF(ISNUMBER(SEARCH("IMPORTAR",AA187)),"IMPORTADO",IF(ISNUMBER(SEARCH("FABRICAR",AA187)),"LOCAL","OTRO")))</f>
        <v>LOCAL</v>
      </c>
      <c r="AQ187" t="str">
        <f>IF(AD187="Si","SI",IF(AD187="No","NO",""))</f>
        <v>NO</v>
      </c>
      <c r="AR187" t="str">
        <f>IF(ISNUMBER(SEARCH("®",N187)),"MARCA/INNOVADOR","GENERICO")</f>
        <v>GENERICO</v>
      </c>
      <c r="AS187">
        <f ca="1">IF(AE187&gt;100,RANDBETWEEN(500,5000),IF(AND(AE187&gt;=10,AE187&lt;=100),RANDBETWEEN(100,1000),RANDBETWEEN(10,200)))</f>
        <v>176</v>
      </c>
      <c r="AT187">
        <f t="shared" ca="1" si="12"/>
        <v>47</v>
      </c>
      <c r="AU187">
        <f ca="1">INT(AS187*RANDBETWEEN(120,200)/100)</f>
        <v>325</v>
      </c>
      <c r="AV187" s="2">
        <f ca="1">IF(LEFT(Y187,1)="L",RANDBETWEEN(500000,5000000),IF(LEFT(Y187,1)="C",RANDBETWEEN(5000,50000),IF(LEFT(Y187,1)="N",RANDBETWEEN(10000,150000),IF(LEFT(Y187,1)="J",RANDBETWEEN(8000,200000),RANDBETWEEN(5000,100000)))))</f>
        <v>75864</v>
      </c>
      <c r="AW187" s="2">
        <f ca="1">INT(AV187*RANDBETWEEN(30,60)/100)</f>
        <v>31862</v>
      </c>
      <c r="AX187">
        <f ca="1">IF(Z187="ORAL",RANDBETWEEN(1000,10000),IF(OR(Z187="INTRAVENOSA",Z187="INTRAMUSCULAR"),RANDBETWEEN(100,2000),IF(OR(Z187="OFTÁLMICA",Z187="TOPICA (EXTERNA)"),RANDBETWEEN(200,3000),RANDBETWEEN(100,1500))))</f>
        <v>993</v>
      </c>
      <c r="AY187" s="2">
        <f ca="1">INT(AV187*RANDBETWEEN(90,130)/100)</f>
        <v>68277</v>
      </c>
      <c r="AZ187" t="str">
        <f t="shared" ca="1" si="13"/>
        <v>13.3%</v>
      </c>
      <c r="BA187" t="str">
        <f t="shared" ca="1" si="14"/>
        <v>BAJO</v>
      </c>
    </row>
    <row r="188" spans="4:53" x14ac:dyDescent="0.35">
      <c r="D188" t="s">
        <v>1561</v>
      </c>
      <c r="E188" s="1">
        <v>45330</v>
      </c>
      <c r="F188" t="s">
        <v>1562</v>
      </c>
      <c r="G188" t="s">
        <v>108</v>
      </c>
      <c r="H188" t="s">
        <v>172</v>
      </c>
      <c r="I188">
        <v>20207756</v>
      </c>
      <c r="J188" t="s">
        <v>28</v>
      </c>
      <c r="K188">
        <v>1</v>
      </c>
      <c r="L188" t="s">
        <v>1563</v>
      </c>
      <c r="M188" t="s">
        <v>1564</v>
      </c>
      <c r="N188" t="s">
        <v>1565</v>
      </c>
      <c r="O188" t="s">
        <v>1566</v>
      </c>
      <c r="P188" t="s">
        <v>33</v>
      </c>
      <c r="Q188" s="1">
        <v>44425</v>
      </c>
      <c r="R188" t="s">
        <v>33</v>
      </c>
      <c r="S188" t="s">
        <v>27</v>
      </c>
      <c r="T188" t="s">
        <v>172</v>
      </c>
      <c r="U188" t="s">
        <v>115</v>
      </c>
      <c r="V188" t="s">
        <v>515</v>
      </c>
      <c r="W188">
        <v>400</v>
      </c>
      <c r="X188">
        <v>20207756</v>
      </c>
      <c r="Y188" t="s">
        <v>1567</v>
      </c>
      <c r="Z188" t="s">
        <v>119</v>
      </c>
      <c r="AA188" t="s">
        <v>165</v>
      </c>
      <c r="AB188" t="s">
        <v>120</v>
      </c>
      <c r="AC188" t="s">
        <v>38</v>
      </c>
      <c r="AD188" t="s">
        <v>121</v>
      </c>
      <c r="AE188">
        <v>10</v>
      </c>
      <c r="AF188" s="1">
        <v>401769</v>
      </c>
      <c r="AG188" t="s">
        <v>26</v>
      </c>
      <c r="AH188" t="s">
        <v>515</v>
      </c>
      <c r="AI188" t="str">
        <f t="shared" si="10"/>
        <v>SI</v>
      </c>
      <c r="AJ188" t="str">
        <f t="shared" si="11"/>
        <v>NOVAMED</v>
      </c>
      <c r="AK188" t="str">
        <f>IF(ISNUMBER(SEARCH("FABRICANTE",AC188)),"FABRICANTE",IF(ISNUMBER(SEARCH("IMPORTADOR",AC188)),"IMPORTADOR","OTRO"))</f>
        <v>IMPORTADOR</v>
      </c>
      <c r="AL188" t="str">
        <f>IF(LEFT(Y188,1)="A","Sistema digestivo",IF(LEFT(Y188,1)="B","Sangre",IF(LEFT(Y188,1)="C","Cardiovascular",IF(LEFT(Y188,1)="D","Dermatológico",IF(LEFT(Y188,1)="G","Genitourinario",IF(LEFT(Y188,1)="H","Hormonal",IF(LEFT(Y188,1)="J","Antiinfecciosos",IF(LEFT(Y188,1)="L","Oncológicos",IF(LEFT(Y188,1)="M","Musculoesquelético",IF(LEFT(Y188,1)="N","Sistema nervioso",IF(LEFT(Y188,1)="R","Respiratorio",IF(LEFT(Y188,1)="S","Oftálmico",IF(LEFT(Y188,1)="V","Varios","OTRO")))))))))))))</f>
        <v>Musculoesquelético</v>
      </c>
      <c r="AM188" t="str">
        <f>IF(AG188="Vigente","ACTIVO",IF(ISNUMBER(SEARCH("Inactivo",J188)),"INACTIVO","REVISAR"))</f>
        <v>ACTIVO</v>
      </c>
      <c r="AN188">
        <f ca="1">IF(OR(AF188="",AF188="null"),"",ROUND((AF188-TODAY())/365.25,2))</f>
        <v>973.58</v>
      </c>
      <c r="AO188" t="str">
        <f ca="1">IF(AND(AG188="Vigente",OR(AF188="",AF188="null",AF188&gt;TODAY())),"SI",IF(AND(NOT(OR(AF188="",AF188="null")),AF188&lt;=TODAY()),"NO",IF(AG188="Vigente","SI","DESCONOCIDO")))</f>
        <v>SI</v>
      </c>
      <c r="AP188" t="str">
        <f>IF(AND(ISNUMBER(SEARCH("IMPORTAR",AA188)),ISNUMBER(SEARCH("FABRICAR",AA188))),"MIXTO",IF(ISNUMBER(SEARCH("IMPORTAR",AA188)),"IMPORTADO",IF(ISNUMBER(SEARCH("FABRICAR",AA188)),"LOCAL","OTRO")))</f>
        <v>IMPORTADO</v>
      </c>
      <c r="AQ188" t="str">
        <f>IF(AD188="Si","SI",IF(AD188="No","NO",""))</f>
        <v>NO</v>
      </c>
      <c r="AR188" t="str">
        <f>IF(ISNUMBER(SEARCH("®",N188)),"MARCA/INNOVADOR","GENERICO")</f>
        <v>GENERICO</v>
      </c>
      <c r="AS188">
        <f ca="1">IF(AE188&gt;100,RANDBETWEEN(500,5000),IF(AND(AE188&gt;=10,AE188&lt;=100),RANDBETWEEN(100,1000),RANDBETWEEN(10,200)))</f>
        <v>271</v>
      </c>
      <c r="AT188">
        <f t="shared" ca="1" si="12"/>
        <v>70</v>
      </c>
      <c r="AU188">
        <f ca="1">INT(AS188*RANDBETWEEN(120,200)/100)</f>
        <v>330</v>
      </c>
      <c r="AV188" s="2">
        <f ca="1">IF(LEFT(Y188,1)="L",RANDBETWEEN(500000,5000000),IF(LEFT(Y188,1)="C",RANDBETWEEN(5000,50000),IF(LEFT(Y188,1)="N",RANDBETWEEN(10000,150000),IF(LEFT(Y188,1)="J",RANDBETWEEN(8000,200000),RANDBETWEEN(5000,100000)))))</f>
        <v>34296</v>
      </c>
      <c r="AW188" s="2">
        <f ca="1">INT(AV188*RANDBETWEEN(30,60)/100)</f>
        <v>18176</v>
      </c>
      <c r="AX188">
        <f ca="1">IF(Z188="ORAL",RANDBETWEEN(1000,10000),IF(OR(Z188="INTRAVENOSA",Z188="INTRAMUSCULAR"),RANDBETWEEN(100,2000),IF(OR(Z188="OFTÁLMICA",Z188="TOPICA (EXTERNA)"),RANDBETWEEN(200,3000),RANDBETWEEN(100,1500))))</f>
        <v>7972</v>
      </c>
      <c r="AY188" s="2">
        <f ca="1">INT(AV188*RANDBETWEEN(90,130)/100)</f>
        <v>41841</v>
      </c>
      <c r="AZ188" t="str">
        <f t="shared" ca="1" si="13"/>
        <v>16.2%</v>
      </c>
      <c r="BA188" t="str">
        <f t="shared" ca="1" si="14"/>
        <v>BAJO</v>
      </c>
    </row>
    <row r="189" spans="4:53" x14ac:dyDescent="0.35">
      <c r="D189" t="s">
        <v>1568</v>
      </c>
      <c r="E189" s="1">
        <v>40892</v>
      </c>
      <c r="F189" t="s">
        <v>1569</v>
      </c>
      <c r="G189" t="s">
        <v>108</v>
      </c>
      <c r="H189" t="s">
        <v>1570</v>
      </c>
      <c r="I189">
        <v>20039083</v>
      </c>
      <c r="J189" t="s">
        <v>28</v>
      </c>
      <c r="K189">
        <v>34</v>
      </c>
      <c r="L189" t="s">
        <v>27</v>
      </c>
      <c r="M189" t="s">
        <v>1571</v>
      </c>
      <c r="N189" t="s">
        <v>1572</v>
      </c>
      <c r="O189" t="s">
        <v>1573</v>
      </c>
      <c r="P189" t="s">
        <v>932</v>
      </c>
      <c r="Q189" s="1">
        <v>44368</v>
      </c>
      <c r="R189" t="s">
        <v>932</v>
      </c>
      <c r="S189" t="s">
        <v>27</v>
      </c>
      <c r="T189" t="s">
        <v>1574</v>
      </c>
      <c r="U189" t="s">
        <v>115</v>
      </c>
      <c r="V189" t="s">
        <v>1575</v>
      </c>
      <c r="W189">
        <v>5</v>
      </c>
      <c r="X189">
        <v>20039083</v>
      </c>
      <c r="Y189" t="s">
        <v>1576</v>
      </c>
      <c r="Z189" t="s">
        <v>119</v>
      </c>
      <c r="AA189" t="s">
        <v>32</v>
      </c>
      <c r="AB189" t="s">
        <v>120</v>
      </c>
      <c r="AC189" t="s">
        <v>38</v>
      </c>
      <c r="AD189" t="s">
        <v>121</v>
      </c>
      <c r="AE189">
        <v>56</v>
      </c>
      <c r="AF189" t="s">
        <v>27</v>
      </c>
      <c r="AG189" t="s">
        <v>26</v>
      </c>
      <c r="AH189" t="s">
        <v>6633</v>
      </c>
      <c r="AI189" t="str">
        <f t="shared" si="10"/>
        <v>SI</v>
      </c>
      <c r="AJ189" t="str">
        <f t="shared" si="11"/>
        <v>SANDOZ</v>
      </c>
      <c r="AK189" t="str">
        <f>IF(ISNUMBER(SEARCH("FABRICANTE",AC189)),"FABRICANTE",IF(ISNUMBER(SEARCH("IMPORTADOR",AC189)),"IMPORTADOR","OTRO"))</f>
        <v>IMPORTADOR</v>
      </c>
      <c r="AL189" t="str">
        <f>IF(LEFT(Y189,1)="A","Sistema digestivo",IF(LEFT(Y189,1)="B","Sangre",IF(LEFT(Y189,1)="C","Cardiovascular",IF(LEFT(Y189,1)="D","Dermatológico",IF(LEFT(Y189,1)="G","Genitourinario",IF(LEFT(Y189,1)="H","Hormonal",IF(LEFT(Y189,1)="J","Antiinfecciosos",IF(LEFT(Y189,1)="L","Oncológicos",IF(LEFT(Y189,1)="M","Musculoesquelético",IF(LEFT(Y189,1)="N","Sistema nervioso",IF(LEFT(Y189,1)="R","Respiratorio",IF(LEFT(Y189,1)="S","Oftálmico",IF(LEFT(Y189,1)="V","Varios","OTRO")))))))))))))</f>
        <v>Respiratorio</v>
      </c>
      <c r="AM189" t="str">
        <f>IF(AG189="Vigente","ACTIVO",IF(ISNUMBER(SEARCH("Inactivo",J189)),"INACTIVO","REVISAR"))</f>
        <v>ACTIVO</v>
      </c>
      <c r="AN189" t="str">
        <f ca="1">IF(OR(AF189="",AF189="null"),"",ROUND((AF189-TODAY())/365.25,2))</f>
        <v/>
      </c>
      <c r="AO189" t="str">
        <f ca="1">IF(AND(AG189="Vigente",OR(AF189="",AF189="null",AF189&gt;TODAY())),"SI",IF(AND(NOT(OR(AF189="",AF189="null")),AF189&lt;=TODAY()),"NO",IF(AG189="Vigente","SI","DESCONOCIDO")))</f>
        <v>SI</v>
      </c>
      <c r="AP189" t="str">
        <f>IF(AND(ISNUMBER(SEARCH("IMPORTAR",AA189)),ISNUMBER(SEARCH("FABRICAR",AA189))),"MIXTO",IF(ISNUMBER(SEARCH("IMPORTAR",AA189)),"IMPORTADO",IF(ISNUMBER(SEARCH("FABRICAR",AA189)),"LOCAL","OTRO")))</f>
        <v>IMPORTADO</v>
      </c>
      <c r="AQ189" t="str">
        <f>IF(AD189="Si","SI",IF(AD189="No","NO",""))</f>
        <v>NO</v>
      </c>
      <c r="AR189" t="str">
        <f>IF(ISNUMBER(SEARCH("®",N189)),"MARCA/INNOVADOR","GENERICO")</f>
        <v>GENERICO</v>
      </c>
      <c r="AS189">
        <f ca="1">IF(AE189&gt;100,RANDBETWEEN(500,5000),IF(AND(AE189&gt;=10,AE189&lt;=100),RANDBETWEEN(100,1000),RANDBETWEEN(10,200)))</f>
        <v>411</v>
      </c>
      <c r="AT189">
        <f t="shared" ca="1" si="12"/>
        <v>73</v>
      </c>
      <c r="AU189">
        <f ca="1">INT(AS189*RANDBETWEEN(120,200)/100)</f>
        <v>764</v>
      </c>
      <c r="AV189" s="2">
        <f ca="1">IF(LEFT(Y189,1)="L",RANDBETWEEN(500000,5000000),IF(LEFT(Y189,1)="C",RANDBETWEEN(5000,50000),IF(LEFT(Y189,1)="N",RANDBETWEEN(10000,150000),IF(LEFT(Y189,1)="J",RANDBETWEEN(8000,200000),RANDBETWEEN(5000,100000)))))</f>
        <v>26142</v>
      </c>
      <c r="AW189" s="2">
        <f ca="1">INT(AV189*RANDBETWEEN(30,60)/100)</f>
        <v>9411</v>
      </c>
      <c r="AX189">
        <f ca="1">IF(Z189="ORAL",RANDBETWEEN(1000,10000),IF(OR(Z189="INTRAVENOSA",Z189="INTRAMUSCULAR"),RANDBETWEEN(100,2000),IF(OR(Z189="OFTÁLMICA",Z189="TOPICA (EXTERNA)"),RANDBETWEEN(200,3000),RANDBETWEEN(100,1500))))</f>
        <v>7067</v>
      </c>
      <c r="AY189" s="2">
        <f ca="1">INT(AV189*RANDBETWEEN(90,130)/100)</f>
        <v>24050</v>
      </c>
      <c r="AZ189" t="str">
        <f t="shared" ca="1" si="13"/>
        <v>18.1%</v>
      </c>
      <c r="BA189" t="str">
        <f t="shared" ca="1" si="14"/>
        <v>BAJO</v>
      </c>
    </row>
    <row r="190" spans="4:53" x14ac:dyDescent="0.35">
      <c r="D190" t="s">
        <v>1577</v>
      </c>
      <c r="E190" s="1">
        <v>38877</v>
      </c>
      <c r="F190" t="s">
        <v>1578</v>
      </c>
      <c r="G190" t="s">
        <v>108</v>
      </c>
      <c r="H190" t="s">
        <v>928</v>
      </c>
      <c r="I190">
        <v>19963352</v>
      </c>
      <c r="J190" t="s">
        <v>28</v>
      </c>
      <c r="K190">
        <v>8</v>
      </c>
      <c r="L190" t="s">
        <v>27</v>
      </c>
      <c r="M190" t="s">
        <v>1579</v>
      </c>
      <c r="N190" t="s">
        <v>1580</v>
      </c>
      <c r="O190" t="s">
        <v>1581</v>
      </c>
      <c r="P190" t="s">
        <v>1582</v>
      </c>
      <c r="Q190" s="1">
        <v>42947</v>
      </c>
      <c r="R190" t="s">
        <v>33</v>
      </c>
      <c r="S190" t="s">
        <v>27</v>
      </c>
      <c r="T190" t="s">
        <v>928</v>
      </c>
      <c r="U190" t="s">
        <v>115</v>
      </c>
      <c r="V190" t="s">
        <v>1583</v>
      </c>
      <c r="W190">
        <v>20</v>
      </c>
      <c r="X190">
        <v>19963352</v>
      </c>
      <c r="Y190" t="s">
        <v>1584</v>
      </c>
      <c r="Z190" t="s">
        <v>119</v>
      </c>
      <c r="AA190" t="s">
        <v>24</v>
      </c>
      <c r="AB190" t="s">
        <v>120</v>
      </c>
      <c r="AC190" t="s">
        <v>25</v>
      </c>
      <c r="AD190" t="s">
        <v>121</v>
      </c>
      <c r="AE190">
        <v>900</v>
      </c>
      <c r="AF190" t="s">
        <v>27</v>
      </c>
      <c r="AG190" t="s">
        <v>26</v>
      </c>
      <c r="AH190" t="s">
        <v>6755</v>
      </c>
      <c r="AI190" t="str">
        <f t="shared" si="10"/>
        <v>NO</v>
      </c>
      <c r="AJ190" t="str">
        <f t="shared" si="11"/>
        <v>LABORATORIOS ECAR</v>
      </c>
      <c r="AK190" t="str">
        <f>IF(ISNUMBER(SEARCH("FABRICANTE",AC190)),"FABRICANTE",IF(ISNUMBER(SEARCH("IMPORTADOR",AC190)),"IMPORTADOR","OTRO"))</f>
        <v>FABRICANTE</v>
      </c>
      <c r="AL190" t="str">
        <f>IF(LEFT(Y190,1)="A","Sistema digestivo",IF(LEFT(Y190,1)="B","Sangre",IF(LEFT(Y190,1)="C","Cardiovascular",IF(LEFT(Y190,1)="D","Dermatológico",IF(LEFT(Y190,1)="G","Genitourinario",IF(LEFT(Y190,1)="H","Hormonal",IF(LEFT(Y190,1)="J","Antiinfecciosos",IF(LEFT(Y190,1)="L","Oncológicos",IF(LEFT(Y190,1)="M","Musculoesquelético",IF(LEFT(Y190,1)="N","Sistema nervioso",IF(LEFT(Y190,1)="R","Respiratorio",IF(LEFT(Y190,1)="S","Oftálmico",IF(LEFT(Y190,1)="V","Varios","OTRO")))))))))))))</f>
        <v>Cardiovascular</v>
      </c>
      <c r="AM190" t="str">
        <f>IF(AG190="Vigente","ACTIVO",IF(ISNUMBER(SEARCH("Inactivo",J190)),"INACTIVO","REVISAR"))</f>
        <v>ACTIVO</v>
      </c>
      <c r="AN190" t="str">
        <f ca="1">IF(OR(AF190="",AF190="null"),"",ROUND((AF190-TODAY())/365.25,2))</f>
        <v/>
      </c>
      <c r="AO190" t="str">
        <f ca="1">IF(AND(AG190="Vigente",OR(AF190="",AF190="null",AF190&gt;TODAY())),"SI",IF(AND(NOT(OR(AF190="",AF190="null")),AF190&lt;=TODAY()),"NO",IF(AG190="Vigente","SI","DESCONOCIDO")))</f>
        <v>SI</v>
      </c>
      <c r="AP190" t="str">
        <f>IF(AND(ISNUMBER(SEARCH("IMPORTAR",AA190)),ISNUMBER(SEARCH("FABRICAR",AA190))),"MIXTO",IF(ISNUMBER(SEARCH("IMPORTAR",AA190)),"IMPORTADO",IF(ISNUMBER(SEARCH("FABRICAR",AA190)),"LOCAL","OTRO")))</f>
        <v>LOCAL</v>
      </c>
      <c r="AQ190" t="str">
        <f>IF(AD190="Si","SI",IF(AD190="No","NO",""))</f>
        <v>NO</v>
      </c>
      <c r="AR190" t="str">
        <f>IF(ISNUMBER(SEARCH("®",N190)),"MARCA/INNOVADOR","GENERICO")</f>
        <v>GENERICO</v>
      </c>
      <c r="AS190">
        <f ca="1">IF(AE190&gt;100,RANDBETWEEN(500,5000),IF(AND(AE190&gt;=10,AE190&lt;=100),RANDBETWEEN(100,1000),RANDBETWEEN(10,200)))</f>
        <v>2951</v>
      </c>
      <c r="AT190">
        <f t="shared" ca="1" si="12"/>
        <v>796</v>
      </c>
      <c r="AU190">
        <f ca="1">INT(AS190*RANDBETWEEN(120,200)/100)</f>
        <v>3600</v>
      </c>
      <c r="AV190" s="2">
        <f ca="1">IF(LEFT(Y190,1)="L",RANDBETWEEN(500000,5000000),IF(LEFT(Y190,1)="C",RANDBETWEEN(5000,50000),IF(LEFT(Y190,1)="N",RANDBETWEEN(10000,150000),IF(LEFT(Y190,1)="J",RANDBETWEEN(8000,200000),RANDBETWEEN(5000,100000)))))</f>
        <v>32758</v>
      </c>
      <c r="AW190" s="2">
        <f ca="1">INT(AV190*RANDBETWEEN(30,60)/100)</f>
        <v>15396</v>
      </c>
      <c r="AX190">
        <f ca="1">IF(Z190="ORAL",RANDBETWEEN(1000,10000),IF(OR(Z190="INTRAVENOSA",Z190="INTRAMUSCULAR"),RANDBETWEEN(100,2000),IF(OR(Z190="OFTÁLMICA",Z190="TOPICA (EXTERNA)"),RANDBETWEEN(200,3000),RANDBETWEEN(100,1500))))</f>
        <v>8905</v>
      </c>
      <c r="AY190" s="2">
        <f ca="1">INT(AV190*RANDBETWEEN(90,130)/100)</f>
        <v>32102</v>
      </c>
      <c r="AZ190" t="str">
        <f t="shared" ca="1" si="13"/>
        <v>8.3%</v>
      </c>
      <c r="BA190" t="str">
        <f t="shared" ca="1" si="14"/>
        <v>BAJO</v>
      </c>
    </row>
    <row r="191" spans="4:53" x14ac:dyDescent="0.35">
      <c r="D191" t="s">
        <v>1585</v>
      </c>
      <c r="E191" s="1">
        <v>36575</v>
      </c>
      <c r="F191" t="s">
        <v>692</v>
      </c>
      <c r="G191" t="s">
        <v>108</v>
      </c>
      <c r="H191" t="s">
        <v>354</v>
      </c>
      <c r="I191">
        <v>37309</v>
      </c>
      <c r="J191" t="s">
        <v>28</v>
      </c>
      <c r="K191">
        <v>9</v>
      </c>
      <c r="L191" t="s">
        <v>27</v>
      </c>
      <c r="M191" t="s">
        <v>1586</v>
      </c>
      <c r="N191" t="s">
        <v>1587</v>
      </c>
      <c r="O191" t="s">
        <v>1588</v>
      </c>
      <c r="P191" t="s">
        <v>601</v>
      </c>
      <c r="Q191" s="1">
        <v>43929</v>
      </c>
      <c r="R191" t="s">
        <v>50</v>
      </c>
      <c r="S191" s="1">
        <v>44048</v>
      </c>
      <c r="T191" t="s">
        <v>354</v>
      </c>
      <c r="U191" t="s">
        <v>115</v>
      </c>
      <c r="V191" t="s">
        <v>692</v>
      </c>
      <c r="W191">
        <v>200</v>
      </c>
      <c r="X191">
        <v>37309</v>
      </c>
      <c r="Y191" t="s">
        <v>699</v>
      </c>
      <c r="Z191" t="s">
        <v>260</v>
      </c>
      <c r="AA191" t="s">
        <v>32</v>
      </c>
      <c r="AB191" t="s">
        <v>120</v>
      </c>
      <c r="AC191" t="s">
        <v>38</v>
      </c>
      <c r="AD191" t="s">
        <v>155</v>
      </c>
      <c r="AE191">
        <v>1</v>
      </c>
      <c r="AF191" t="s">
        <v>27</v>
      </c>
      <c r="AG191" t="s">
        <v>26</v>
      </c>
      <c r="AH191" t="s">
        <v>692</v>
      </c>
      <c r="AI191" t="str">
        <f t="shared" si="10"/>
        <v>NO</v>
      </c>
      <c r="AJ191" t="str">
        <f t="shared" si="11"/>
        <v>PFIZER</v>
      </c>
      <c r="AK191" t="str">
        <f>IF(ISNUMBER(SEARCH("FABRICANTE",AC191)),"FABRICANTE",IF(ISNUMBER(SEARCH("IMPORTADOR",AC191)),"IMPORTADOR","OTRO"))</f>
        <v>IMPORTADOR</v>
      </c>
      <c r="AL191" t="str">
        <f>IF(LEFT(Y191,1)="A","Sistema digestivo",IF(LEFT(Y191,1)="B","Sangre",IF(LEFT(Y191,1)="C","Cardiovascular",IF(LEFT(Y191,1)="D","Dermatológico",IF(LEFT(Y191,1)="G","Genitourinario",IF(LEFT(Y191,1)="H","Hormonal",IF(LEFT(Y191,1)="J","Antiinfecciosos",IF(LEFT(Y191,1)="L","Oncológicos",IF(LEFT(Y191,1)="M","Musculoesquelético",IF(LEFT(Y191,1)="N","Sistema nervioso",IF(LEFT(Y191,1)="R","Respiratorio",IF(LEFT(Y191,1)="S","Oftálmico",IF(LEFT(Y191,1)="V","Varios","OTRO")))))))))))))</f>
        <v>Antiinfecciosos</v>
      </c>
      <c r="AM191" t="str">
        <f>IF(AG191="Vigente","ACTIVO",IF(ISNUMBER(SEARCH("Inactivo",J191)),"INACTIVO","REVISAR"))</f>
        <v>ACTIVO</v>
      </c>
      <c r="AN191" t="str">
        <f ca="1">IF(OR(AF191="",AF191="null"),"",ROUND((AF191-TODAY())/365.25,2))</f>
        <v/>
      </c>
      <c r="AO191" t="str">
        <f ca="1">IF(AND(AG191="Vigente",OR(AF191="",AF191="null",AF191&gt;TODAY())),"SI",IF(AND(NOT(OR(AF191="",AF191="null")),AF191&lt;=TODAY()),"NO",IF(AG191="Vigente","SI","DESCONOCIDO")))</f>
        <v>SI</v>
      </c>
      <c r="AP191" t="str">
        <f>IF(AND(ISNUMBER(SEARCH("IMPORTAR",AA191)),ISNUMBER(SEARCH("FABRICAR",AA191))),"MIXTO",IF(ISNUMBER(SEARCH("IMPORTAR",AA191)),"IMPORTADO",IF(ISNUMBER(SEARCH("FABRICAR",AA191)),"LOCAL","OTRO")))</f>
        <v>IMPORTADO</v>
      </c>
      <c r="AQ191" t="str">
        <f>IF(AD191="Si","SI",IF(AD191="No","NO",""))</f>
        <v>SI</v>
      </c>
      <c r="AR191" t="str">
        <f>IF(ISNUMBER(SEARCH("®",N191)),"MARCA/INNOVADOR","GENERICO")</f>
        <v>MARCA/INNOVADOR</v>
      </c>
      <c r="AS191">
        <f ca="1">IF(AE191&gt;100,RANDBETWEEN(500,5000),IF(AND(AE191&gt;=10,AE191&lt;=100),RANDBETWEEN(100,1000),RANDBETWEEN(10,200)))</f>
        <v>172</v>
      </c>
      <c r="AT191">
        <f t="shared" ca="1" si="12"/>
        <v>43</v>
      </c>
      <c r="AU191">
        <f ca="1">INT(AS191*RANDBETWEEN(120,200)/100)</f>
        <v>240</v>
      </c>
      <c r="AV191" s="2">
        <f ca="1">IF(LEFT(Y191,1)="L",RANDBETWEEN(500000,5000000),IF(LEFT(Y191,1)="C",RANDBETWEEN(5000,50000),IF(LEFT(Y191,1)="N",RANDBETWEEN(10000,150000),IF(LEFT(Y191,1)="J",RANDBETWEEN(8000,200000),RANDBETWEEN(5000,100000)))))</f>
        <v>181249</v>
      </c>
      <c r="AW191" s="2">
        <f ca="1">INT(AV191*RANDBETWEEN(30,60)/100)</f>
        <v>88812</v>
      </c>
      <c r="AX191">
        <f ca="1">IF(Z191="ORAL",RANDBETWEEN(1000,10000),IF(OR(Z191="INTRAVENOSA",Z191="INTRAMUSCULAR"),RANDBETWEEN(100,2000),IF(OR(Z191="OFTÁLMICA",Z191="TOPICA (EXTERNA)"),RANDBETWEEN(200,3000),RANDBETWEEN(100,1500))))</f>
        <v>1139</v>
      </c>
      <c r="AY191" s="2">
        <f ca="1">INT(AV191*RANDBETWEEN(90,130)/100)</f>
        <v>188498</v>
      </c>
      <c r="AZ191" t="str">
        <f t="shared" ca="1" si="13"/>
        <v>0.4%</v>
      </c>
      <c r="BA191" t="str">
        <f t="shared" ca="1" si="14"/>
        <v>BAJO</v>
      </c>
    </row>
    <row r="192" spans="4:53" x14ac:dyDescent="0.35">
      <c r="D192" t="s">
        <v>1589</v>
      </c>
      <c r="E192" s="1">
        <v>38740</v>
      </c>
      <c r="F192" t="s">
        <v>1590</v>
      </c>
      <c r="G192" t="s">
        <v>108</v>
      </c>
      <c r="H192" t="s">
        <v>1591</v>
      </c>
      <c r="I192">
        <v>19955212</v>
      </c>
      <c r="J192" t="s">
        <v>28</v>
      </c>
      <c r="K192">
        <v>18</v>
      </c>
      <c r="L192" t="s">
        <v>27</v>
      </c>
      <c r="M192" t="s">
        <v>1592</v>
      </c>
      <c r="N192" t="s">
        <v>1593</v>
      </c>
      <c r="O192" t="s">
        <v>1594</v>
      </c>
      <c r="P192" t="s">
        <v>1595</v>
      </c>
      <c r="Q192" s="1">
        <v>42576</v>
      </c>
      <c r="R192" t="s">
        <v>140</v>
      </c>
      <c r="S192" t="s">
        <v>27</v>
      </c>
      <c r="T192" t="s">
        <v>1591</v>
      </c>
      <c r="U192" t="s">
        <v>115</v>
      </c>
      <c r="V192" t="s">
        <v>1596</v>
      </c>
      <c r="W192">
        <v>10</v>
      </c>
      <c r="X192">
        <v>19955212</v>
      </c>
      <c r="Y192" t="s">
        <v>1597</v>
      </c>
      <c r="Z192" t="s">
        <v>119</v>
      </c>
      <c r="AA192" t="s">
        <v>24</v>
      </c>
      <c r="AB192" t="s">
        <v>120</v>
      </c>
      <c r="AC192" t="s">
        <v>25</v>
      </c>
      <c r="AD192" t="s">
        <v>121</v>
      </c>
      <c r="AE192">
        <v>500</v>
      </c>
      <c r="AF192" t="s">
        <v>27</v>
      </c>
      <c r="AG192" t="s">
        <v>26</v>
      </c>
      <c r="AH192" t="s">
        <v>6756</v>
      </c>
      <c r="AI192" t="str">
        <f t="shared" si="10"/>
        <v>NO</v>
      </c>
      <c r="AJ192" t="str">
        <f t="shared" si="11"/>
        <v>LABORATORIO INTERNACIONAL DE COLOMBIA - LABINCO</v>
      </c>
      <c r="AK192" t="str">
        <f>IF(ISNUMBER(SEARCH("FABRICANTE",AC192)),"FABRICANTE",IF(ISNUMBER(SEARCH("IMPORTADOR",AC192)),"IMPORTADOR","OTRO"))</f>
        <v>FABRICANTE</v>
      </c>
      <c r="AL192" t="str">
        <f>IF(LEFT(Y192,1)="A","Sistema digestivo",IF(LEFT(Y192,1)="B","Sangre",IF(LEFT(Y192,1)="C","Cardiovascular",IF(LEFT(Y192,1)="D","Dermatológico",IF(LEFT(Y192,1)="G","Genitourinario",IF(LEFT(Y192,1)="H","Hormonal",IF(LEFT(Y192,1)="J","Antiinfecciosos",IF(LEFT(Y192,1)="L","Oncológicos",IF(LEFT(Y192,1)="M","Musculoesquelético",IF(LEFT(Y192,1)="N","Sistema nervioso",IF(LEFT(Y192,1)="R","Respiratorio",IF(LEFT(Y192,1)="S","Oftálmico",IF(LEFT(Y192,1)="V","Varios","OTRO")))))))))))))</f>
        <v>Sistema digestivo</v>
      </c>
      <c r="AM192" t="str">
        <f>IF(AG192="Vigente","ACTIVO",IF(ISNUMBER(SEARCH("Inactivo",J192)),"INACTIVO","REVISAR"))</f>
        <v>ACTIVO</v>
      </c>
      <c r="AN192" t="str">
        <f ca="1">IF(OR(AF192="",AF192="null"),"",ROUND((AF192-TODAY())/365.25,2))</f>
        <v/>
      </c>
      <c r="AO192" t="str">
        <f ca="1">IF(AND(AG192="Vigente",OR(AF192="",AF192="null",AF192&gt;TODAY())),"SI",IF(AND(NOT(OR(AF192="",AF192="null")),AF192&lt;=TODAY()),"NO",IF(AG192="Vigente","SI","DESCONOCIDO")))</f>
        <v>SI</v>
      </c>
      <c r="AP192" t="str">
        <f>IF(AND(ISNUMBER(SEARCH("IMPORTAR",AA192)),ISNUMBER(SEARCH("FABRICAR",AA192))),"MIXTO",IF(ISNUMBER(SEARCH("IMPORTAR",AA192)),"IMPORTADO",IF(ISNUMBER(SEARCH("FABRICAR",AA192)),"LOCAL","OTRO")))</f>
        <v>LOCAL</v>
      </c>
      <c r="AQ192" t="str">
        <f>IF(AD192="Si","SI",IF(AD192="No","NO",""))</f>
        <v>NO</v>
      </c>
      <c r="AR192" t="str">
        <f>IF(ISNUMBER(SEARCH("®",N192)),"MARCA/INNOVADOR","GENERICO")</f>
        <v>GENERICO</v>
      </c>
      <c r="AS192">
        <f ca="1">IF(AE192&gt;100,RANDBETWEEN(500,5000),IF(AND(AE192&gt;=10,AE192&lt;=100),RANDBETWEEN(100,1000),RANDBETWEEN(10,200)))</f>
        <v>3835</v>
      </c>
      <c r="AT192">
        <f t="shared" ca="1" si="12"/>
        <v>1150</v>
      </c>
      <c r="AU192">
        <f ca="1">INT(AS192*RANDBETWEEN(120,200)/100)</f>
        <v>6366</v>
      </c>
      <c r="AV192" s="2">
        <f ca="1">IF(LEFT(Y192,1)="L",RANDBETWEEN(500000,5000000),IF(LEFT(Y192,1)="C",RANDBETWEEN(5000,50000),IF(LEFT(Y192,1)="N",RANDBETWEEN(10000,150000),IF(LEFT(Y192,1)="J",RANDBETWEEN(8000,200000),RANDBETWEEN(5000,100000)))))</f>
        <v>69991</v>
      </c>
      <c r="AW192" s="2">
        <f ca="1">INT(AV192*RANDBETWEEN(30,60)/100)</f>
        <v>30096</v>
      </c>
      <c r="AX192">
        <f ca="1">IF(Z192="ORAL",RANDBETWEEN(1000,10000),IF(OR(Z192="INTRAVENOSA",Z192="INTRAMUSCULAR"),RANDBETWEEN(100,2000),IF(OR(Z192="OFTÁLMICA",Z192="TOPICA (EXTERNA)"),RANDBETWEEN(200,3000),RANDBETWEEN(100,1500))))</f>
        <v>3204</v>
      </c>
      <c r="AY192" s="2">
        <f ca="1">INT(AV192*RANDBETWEEN(90,130)/100)</f>
        <v>81889</v>
      </c>
      <c r="AZ192" t="str">
        <f t="shared" ca="1" si="13"/>
        <v>8.8%</v>
      </c>
      <c r="BA192" t="str">
        <f t="shared" ca="1" si="14"/>
        <v>BAJO</v>
      </c>
    </row>
    <row r="193" spans="4:53" x14ac:dyDescent="0.35">
      <c r="D193" t="s">
        <v>1598</v>
      </c>
      <c r="E193" s="1">
        <v>42409</v>
      </c>
      <c r="F193" t="s">
        <v>1599</v>
      </c>
      <c r="G193" t="s">
        <v>108</v>
      </c>
      <c r="H193" t="s">
        <v>1600</v>
      </c>
      <c r="I193">
        <v>20091274</v>
      </c>
      <c r="J193" t="s">
        <v>28</v>
      </c>
      <c r="K193">
        <v>6</v>
      </c>
      <c r="L193" t="s">
        <v>1601</v>
      </c>
      <c r="M193" t="s">
        <v>1602</v>
      </c>
      <c r="N193" t="s">
        <v>1603</v>
      </c>
      <c r="O193" t="s">
        <v>1604</v>
      </c>
      <c r="P193" t="s">
        <v>1605</v>
      </c>
      <c r="Q193" s="1">
        <v>42517</v>
      </c>
      <c r="R193" t="s">
        <v>50</v>
      </c>
      <c r="S193" t="s">
        <v>27</v>
      </c>
      <c r="T193" t="s">
        <v>677</v>
      </c>
      <c r="U193" t="s">
        <v>115</v>
      </c>
      <c r="V193" t="s">
        <v>1599</v>
      </c>
      <c r="W193" t="s">
        <v>1606</v>
      </c>
      <c r="X193">
        <v>20091274</v>
      </c>
      <c r="Y193" t="s">
        <v>1607</v>
      </c>
      <c r="Z193" t="s">
        <v>132</v>
      </c>
      <c r="AA193" t="s">
        <v>32</v>
      </c>
      <c r="AB193" t="s">
        <v>239</v>
      </c>
      <c r="AC193" t="s">
        <v>38</v>
      </c>
      <c r="AD193" t="s">
        <v>155</v>
      </c>
      <c r="AE193">
        <v>4</v>
      </c>
      <c r="AF193" t="s">
        <v>27</v>
      </c>
      <c r="AG193" t="s">
        <v>26</v>
      </c>
      <c r="AH193" t="s">
        <v>1599</v>
      </c>
      <c r="AI193" t="str">
        <f t="shared" si="10"/>
        <v>NO</v>
      </c>
      <c r="AJ193" t="str">
        <f t="shared" si="11"/>
        <v>ELI LILLY AND COMPANY</v>
      </c>
      <c r="AK193" t="str">
        <f>IF(ISNUMBER(SEARCH("FABRICANTE",AC193)),"FABRICANTE",IF(ISNUMBER(SEARCH("IMPORTADOR",AC193)),"IMPORTADOR","OTRO"))</f>
        <v>IMPORTADOR</v>
      </c>
      <c r="AL193" t="str">
        <f>IF(LEFT(Y193,1)="A","Sistema digestivo",IF(LEFT(Y193,1)="B","Sangre",IF(LEFT(Y193,1)="C","Cardiovascular",IF(LEFT(Y193,1)="D","Dermatológico",IF(LEFT(Y193,1)="G","Genitourinario",IF(LEFT(Y193,1)="H","Hormonal",IF(LEFT(Y193,1)="J","Antiinfecciosos",IF(LEFT(Y193,1)="L","Oncológicos",IF(LEFT(Y193,1)="M","Musculoesquelético",IF(LEFT(Y193,1)="N","Sistema nervioso",IF(LEFT(Y193,1)="R","Respiratorio",IF(LEFT(Y193,1)="S","Oftálmico",IF(LEFT(Y193,1)="V","Varios","OTRO")))))))))))))</f>
        <v>Sistema digestivo</v>
      </c>
      <c r="AM193" t="str">
        <f>IF(AG193="Vigente","ACTIVO",IF(ISNUMBER(SEARCH("Inactivo",J193)),"INACTIVO","REVISAR"))</f>
        <v>ACTIVO</v>
      </c>
      <c r="AN193" t="str">
        <f ca="1">IF(OR(AF193="",AF193="null"),"",ROUND((AF193-TODAY())/365.25,2))</f>
        <v/>
      </c>
      <c r="AO193" t="str">
        <f ca="1">IF(AND(AG193="Vigente",OR(AF193="",AF193="null",AF193&gt;TODAY())),"SI",IF(AND(NOT(OR(AF193="",AF193="null")),AF193&lt;=TODAY()),"NO",IF(AG193="Vigente","SI","DESCONOCIDO")))</f>
        <v>SI</v>
      </c>
      <c r="AP193" t="str">
        <f>IF(AND(ISNUMBER(SEARCH("IMPORTAR",AA193)),ISNUMBER(SEARCH("FABRICAR",AA193))),"MIXTO",IF(ISNUMBER(SEARCH("IMPORTAR",AA193)),"IMPORTADO",IF(ISNUMBER(SEARCH("FABRICAR",AA193)),"LOCAL","OTRO")))</f>
        <v>IMPORTADO</v>
      </c>
      <c r="AQ193" t="str">
        <f>IF(AD193="Si","SI",IF(AD193="No","NO",""))</f>
        <v>SI</v>
      </c>
      <c r="AR193" t="str">
        <f>IF(ISNUMBER(SEARCH("®",N193)),"MARCA/INNOVADOR","GENERICO")</f>
        <v>MARCA/INNOVADOR</v>
      </c>
      <c r="AS193">
        <f ca="1">IF(AE193&gt;100,RANDBETWEEN(500,5000),IF(AND(AE193&gt;=10,AE193&lt;=100),RANDBETWEEN(100,1000),RANDBETWEEN(10,200)))</f>
        <v>148</v>
      </c>
      <c r="AT193">
        <f t="shared" ca="1" si="12"/>
        <v>35</v>
      </c>
      <c r="AU193">
        <f ca="1">INT(AS193*RANDBETWEEN(120,200)/100)</f>
        <v>294</v>
      </c>
      <c r="AV193" s="2">
        <f ca="1">IF(LEFT(Y193,1)="L",RANDBETWEEN(500000,5000000),IF(LEFT(Y193,1)="C",RANDBETWEEN(5000,50000),IF(LEFT(Y193,1)="N",RANDBETWEEN(10000,150000),IF(LEFT(Y193,1)="J",RANDBETWEEN(8000,200000),RANDBETWEEN(5000,100000)))))</f>
        <v>59938</v>
      </c>
      <c r="AW193" s="2">
        <f ca="1">INT(AV193*RANDBETWEEN(30,60)/100)</f>
        <v>20378</v>
      </c>
      <c r="AX193">
        <f ca="1">IF(Z193="ORAL",RANDBETWEEN(1000,10000),IF(OR(Z193="INTRAVENOSA",Z193="INTRAMUSCULAR"),RANDBETWEEN(100,2000),IF(OR(Z193="OFTÁLMICA",Z193="TOPICA (EXTERNA)"),RANDBETWEEN(200,3000),RANDBETWEEN(100,1500))))</f>
        <v>1120</v>
      </c>
      <c r="AY193" s="2">
        <f ca="1">INT(AV193*RANDBETWEEN(90,130)/100)</f>
        <v>67130</v>
      </c>
      <c r="AZ193" t="str">
        <f t="shared" ca="1" si="13"/>
        <v>3.9%</v>
      </c>
      <c r="BA193" t="str">
        <f t="shared" ca="1" si="14"/>
        <v>BAJO</v>
      </c>
    </row>
    <row r="194" spans="4:53" x14ac:dyDescent="0.35">
      <c r="D194" t="s">
        <v>1608</v>
      </c>
      <c r="E194" s="1">
        <v>41942</v>
      </c>
      <c r="F194" t="s">
        <v>1609</v>
      </c>
      <c r="G194" t="s">
        <v>108</v>
      </c>
      <c r="H194" t="s">
        <v>114</v>
      </c>
      <c r="I194">
        <v>20068385</v>
      </c>
      <c r="J194" t="s">
        <v>28</v>
      </c>
      <c r="K194">
        <v>6</v>
      </c>
      <c r="L194" t="s">
        <v>27</v>
      </c>
      <c r="M194" t="s">
        <v>1610</v>
      </c>
      <c r="N194" t="s">
        <v>1611</v>
      </c>
      <c r="O194" t="s">
        <v>1612</v>
      </c>
      <c r="P194" t="s">
        <v>1613</v>
      </c>
      <c r="Q194" s="1">
        <v>41789</v>
      </c>
      <c r="R194" t="s">
        <v>37</v>
      </c>
      <c r="S194" t="s">
        <v>27</v>
      </c>
      <c r="T194" t="s">
        <v>114</v>
      </c>
      <c r="U194" t="s">
        <v>115</v>
      </c>
      <c r="V194" t="s">
        <v>1609</v>
      </c>
      <c r="W194">
        <v>80</v>
      </c>
      <c r="X194">
        <v>20068385</v>
      </c>
      <c r="Y194" t="s">
        <v>1614</v>
      </c>
      <c r="Z194" t="s">
        <v>119</v>
      </c>
      <c r="AA194" t="s">
        <v>165</v>
      </c>
      <c r="AB194" t="s">
        <v>120</v>
      </c>
      <c r="AC194" t="s">
        <v>38</v>
      </c>
      <c r="AD194" t="s">
        <v>121</v>
      </c>
      <c r="AE194">
        <v>100</v>
      </c>
      <c r="AF194" t="s">
        <v>27</v>
      </c>
      <c r="AG194" t="s">
        <v>26</v>
      </c>
      <c r="AH194" t="s">
        <v>1609</v>
      </c>
      <c r="AI194" t="str">
        <f t="shared" si="10"/>
        <v>NO</v>
      </c>
      <c r="AJ194" t="str">
        <f t="shared" si="11"/>
        <v>LABORATORIOS LEGRAND</v>
      </c>
      <c r="AK194" t="str">
        <f>IF(ISNUMBER(SEARCH("FABRICANTE",AC194)),"FABRICANTE",IF(ISNUMBER(SEARCH("IMPORTADOR",AC194)),"IMPORTADOR","OTRO"))</f>
        <v>IMPORTADOR</v>
      </c>
      <c r="AL194" t="str">
        <f>IF(LEFT(Y194,1)="A","Sistema digestivo",IF(LEFT(Y194,1)="B","Sangre",IF(LEFT(Y194,1)="C","Cardiovascular",IF(LEFT(Y194,1)="D","Dermatológico",IF(LEFT(Y194,1)="G","Genitourinario",IF(LEFT(Y194,1)="H","Hormonal",IF(LEFT(Y194,1)="J","Antiinfecciosos",IF(LEFT(Y194,1)="L","Oncológicos",IF(LEFT(Y194,1)="M","Musculoesquelético",IF(LEFT(Y194,1)="N","Sistema nervioso",IF(LEFT(Y194,1)="R","Respiratorio",IF(LEFT(Y194,1)="S","Oftálmico",IF(LEFT(Y194,1)="V","Varios","OTRO")))))))))))))</f>
        <v>Cardiovascular</v>
      </c>
      <c r="AM194" t="str">
        <f>IF(AG194="Vigente","ACTIVO",IF(ISNUMBER(SEARCH("Inactivo",J194)),"INACTIVO","REVISAR"))</f>
        <v>ACTIVO</v>
      </c>
      <c r="AN194" t="str">
        <f ca="1">IF(OR(AF194="",AF194="null"),"",ROUND((AF194-TODAY())/365.25,2))</f>
        <v/>
      </c>
      <c r="AO194" t="str">
        <f ca="1">IF(AND(AG194="Vigente",OR(AF194="",AF194="null",AF194&gt;TODAY())),"SI",IF(AND(NOT(OR(AF194="",AF194="null")),AF194&lt;=TODAY()),"NO",IF(AG194="Vigente","SI","DESCONOCIDO")))</f>
        <v>SI</v>
      </c>
      <c r="AP194" t="str">
        <f>IF(AND(ISNUMBER(SEARCH("IMPORTAR",AA194)),ISNUMBER(SEARCH("FABRICAR",AA194))),"MIXTO",IF(ISNUMBER(SEARCH("IMPORTAR",AA194)),"IMPORTADO",IF(ISNUMBER(SEARCH("FABRICAR",AA194)),"LOCAL","OTRO")))</f>
        <v>IMPORTADO</v>
      </c>
      <c r="AQ194" t="str">
        <f>IF(AD194="Si","SI",IF(AD194="No","NO",""))</f>
        <v>NO</v>
      </c>
      <c r="AR194" t="str">
        <f>IF(ISNUMBER(SEARCH("®",N194)),"MARCA/INNOVADOR","GENERICO")</f>
        <v>GENERICO</v>
      </c>
      <c r="AS194">
        <f ca="1">IF(AE194&gt;100,RANDBETWEEN(500,5000),IF(AND(AE194&gt;=10,AE194&lt;=100),RANDBETWEEN(100,1000),RANDBETWEEN(10,200)))</f>
        <v>688</v>
      </c>
      <c r="AT194">
        <f t="shared" ca="1" si="12"/>
        <v>110</v>
      </c>
      <c r="AU194">
        <f ca="1">INT(AS194*RANDBETWEEN(120,200)/100)</f>
        <v>1093</v>
      </c>
      <c r="AV194" s="2">
        <f ca="1">IF(LEFT(Y194,1)="L",RANDBETWEEN(500000,5000000),IF(LEFT(Y194,1)="C",RANDBETWEEN(5000,50000),IF(LEFT(Y194,1)="N",RANDBETWEEN(10000,150000),IF(LEFT(Y194,1)="J",RANDBETWEEN(8000,200000),RANDBETWEEN(5000,100000)))))</f>
        <v>40969</v>
      </c>
      <c r="AW194" s="2">
        <f ca="1">INT(AV194*RANDBETWEEN(30,60)/100)</f>
        <v>20894</v>
      </c>
      <c r="AX194">
        <f ca="1">IF(Z194="ORAL",RANDBETWEEN(1000,10000),IF(OR(Z194="INTRAVENOSA",Z194="INTRAMUSCULAR"),RANDBETWEEN(100,2000),IF(OR(Z194="OFTÁLMICA",Z194="TOPICA (EXTERNA)"),RANDBETWEEN(200,3000),RANDBETWEEN(100,1500))))</f>
        <v>4051</v>
      </c>
      <c r="AY194" s="2">
        <f ca="1">INT(AV194*RANDBETWEEN(90,130)/100)</f>
        <v>47524</v>
      </c>
      <c r="AZ194" t="str">
        <f t="shared" ca="1" si="13"/>
        <v>21.4%</v>
      </c>
      <c r="BA194" t="str">
        <f t="shared" ca="1" si="14"/>
        <v>BAJO</v>
      </c>
    </row>
    <row r="195" spans="4:53" x14ac:dyDescent="0.35">
      <c r="D195" t="s">
        <v>1615</v>
      </c>
      <c r="E195" s="1">
        <v>42291</v>
      </c>
      <c r="F195" t="s">
        <v>1616</v>
      </c>
      <c r="G195" t="s">
        <v>108</v>
      </c>
      <c r="H195" t="s">
        <v>928</v>
      </c>
      <c r="I195">
        <v>20085383</v>
      </c>
      <c r="J195" t="s">
        <v>28</v>
      </c>
      <c r="K195">
        <v>3</v>
      </c>
      <c r="L195" t="s">
        <v>27</v>
      </c>
      <c r="M195" t="s">
        <v>1617</v>
      </c>
      <c r="N195" t="s">
        <v>1618</v>
      </c>
      <c r="O195" t="s">
        <v>1619</v>
      </c>
      <c r="P195" t="s">
        <v>33</v>
      </c>
      <c r="Q195" s="1">
        <v>42290</v>
      </c>
      <c r="R195" t="s">
        <v>33</v>
      </c>
      <c r="S195" t="s">
        <v>27</v>
      </c>
      <c r="T195" t="s">
        <v>928</v>
      </c>
      <c r="U195" t="s">
        <v>115</v>
      </c>
      <c r="V195" t="s">
        <v>1583</v>
      </c>
      <c r="W195">
        <v>40</v>
      </c>
      <c r="X195">
        <v>20085383</v>
      </c>
      <c r="Y195" t="s">
        <v>1584</v>
      </c>
      <c r="Z195" t="s">
        <v>119</v>
      </c>
      <c r="AA195" t="s">
        <v>24</v>
      </c>
      <c r="AB195" t="s">
        <v>120</v>
      </c>
      <c r="AC195" t="s">
        <v>25</v>
      </c>
      <c r="AD195" t="s">
        <v>121</v>
      </c>
      <c r="AE195">
        <v>20</v>
      </c>
      <c r="AF195" t="s">
        <v>27</v>
      </c>
      <c r="AG195" t="s">
        <v>26</v>
      </c>
      <c r="AH195" t="s">
        <v>6634</v>
      </c>
      <c r="AI195" t="str">
        <f t="shared" ref="AI195:AI258" si="15">IF(OR(ISNUMBER(SEARCH("+",F195)),ISNUMBER(SEARCH(".",F195))),"SI","NO")</f>
        <v>SI</v>
      </c>
      <c r="AJ195" t="str">
        <f t="shared" ref="AJ195:AJ258" si="1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195)," S.A.S.",""),"S.A.S.","")," S.A.S",""),"S.A.S","")," S.A.C.I.","")," S.A.C.I","")," SAS","")," S.A.","")," S.A","")," LTDA.","")," LTDA","")," LIMITED","")," LTD.","")," LTD","")," INC.","")," INC","")," GMBH &amp; CO. KG.","")," GMBH","")," LLC","")," A.G.","")," A.G","")," A/S","")," S.R.L.","")," S.R.L","")," S.P.A.","")," DE C.V.","")," AG",""),"  "," "))</f>
        <v>LABORATORIOS ECAR</v>
      </c>
      <c r="AK195" t="str">
        <f>IF(ISNUMBER(SEARCH("FABRICANTE",AC195)),"FABRICANTE",IF(ISNUMBER(SEARCH("IMPORTADOR",AC195)),"IMPORTADOR","OTRO"))</f>
        <v>FABRICANTE</v>
      </c>
      <c r="AL195" t="str">
        <f>IF(LEFT(Y195,1)="A","Sistema digestivo",IF(LEFT(Y195,1)="B","Sangre",IF(LEFT(Y195,1)="C","Cardiovascular",IF(LEFT(Y195,1)="D","Dermatológico",IF(LEFT(Y195,1)="G","Genitourinario",IF(LEFT(Y195,1)="H","Hormonal",IF(LEFT(Y195,1)="J","Antiinfecciosos",IF(LEFT(Y195,1)="L","Oncológicos",IF(LEFT(Y195,1)="M","Musculoesquelético",IF(LEFT(Y195,1)="N","Sistema nervioso",IF(LEFT(Y195,1)="R","Respiratorio",IF(LEFT(Y195,1)="S","Oftálmico",IF(LEFT(Y195,1)="V","Varios","OTRO")))))))))))))</f>
        <v>Cardiovascular</v>
      </c>
      <c r="AM195" t="str">
        <f>IF(AG195="Vigente","ACTIVO",IF(ISNUMBER(SEARCH("Inactivo",J195)),"INACTIVO","REVISAR"))</f>
        <v>ACTIVO</v>
      </c>
      <c r="AN195" t="str">
        <f ca="1">IF(OR(AF195="",AF195="null"),"",ROUND((AF195-TODAY())/365.25,2))</f>
        <v/>
      </c>
      <c r="AO195" t="str">
        <f ca="1">IF(AND(AG195="Vigente",OR(AF195="",AF195="null",AF195&gt;TODAY())),"SI",IF(AND(NOT(OR(AF195="",AF195="null")),AF195&lt;=TODAY()),"NO",IF(AG195="Vigente","SI","DESCONOCIDO")))</f>
        <v>SI</v>
      </c>
      <c r="AP195" t="str">
        <f>IF(AND(ISNUMBER(SEARCH("IMPORTAR",AA195)),ISNUMBER(SEARCH("FABRICAR",AA195))),"MIXTO",IF(ISNUMBER(SEARCH("IMPORTAR",AA195)),"IMPORTADO",IF(ISNUMBER(SEARCH("FABRICAR",AA195)),"LOCAL","OTRO")))</f>
        <v>LOCAL</v>
      </c>
      <c r="AQ195" t="str">
        <f>IF(AD195="Si","SI",IF(AD195="No","NO",""))</f>
        <v>NO</v>
      </c>
      <c r="AR195" t="str">
        <f>IF(ISNUMBER(SEARCH("®",N195)),"MARCA/INNOVADOR","GENERICO")</f>
        <v>GENERICO</v>
      </c>
      <c r="AS195">
        <f ca="1">IF(AE195&gt;100,RANDBETWEEN(500,5000),IF(AND(AE195&gt;=10,AE195&lt;=100),RANDBETWEEN(100,1000),RANDBETWEEN(10,200)))</f>
        <v>935</v>
      </c>
      <c r="AT195">
        <f t="shared" ref="AT195:AT258" ca="1" si="17">INT(AS195*RANDBETWEEN(10,30)/100)</f>
        <v>233</v>
      </c>
      <c r="AU195">
        <f ca="1">INT(AS195*RANDBETWEEN(120,200)/100)</f>
        <v>1683</v>
      </c>
      <c r="AV195" s="2">
        <f ca="1">IF(LEFT(Y195,1)="L",RANDBETWEEN(500000,5000000),IF(LEFT(Y195,1)="C",RANDBETWEEN(5000,50000),IF(LEFT(Y195,1)="N",RANDBETWEEN(10000,150000),IF(LEFT(Y195,1)="J",RANDBETWEEN(8000,200000),RANDBETWEEN(5000,100000)))))</f>
        <v>33407</v>
      </c>
      <c r="AW195" s="2">
        <f ca="1">INT(AV195*RANDBETWEEN(30,60)/100)</f>
        <v>13028</v>
      </c>
      <c r="AX195">
        <f ca="1">IF(Z195="ORAL",RANDBETWEEN(1000,10000),IF(OR(Z195="INTRAVENOSA",Z195="INTRAMUSCULAR"),RANDBETWEEN(100,2000),IF(OR(Z195="OFTÁLMICA",Z195="TOPICA (EXTERNA)"),RANDBETWEEN(200,3000),RANDBETWEEN(100,1500))))</f>
        <v>1093</v>
      </c>
      <c r="AY195" s="2">
        <f ca="1">INT(AV195*RANDBETWEEN(90,130)/100)</f>
        <v>40422</v>
      </c>
      <c r="AZ195" t="str">
        <f t="shared" ref="AZ195:AZ258" ca="1" si="18">IF(Z195="ORAL",RANDBETWEEN(50,250)/10,IF(OR(Z195="TOPICA (EXTERNA)",Z195="OFTÁLMICA"),RANDBETWEEN(20,150)/10,IF(OR(Z195="SUBCUTANEA",Z195="INTRAMUSCULAR"),RANDBETWEEN(10,100)/10,IF(Z195="INTRAVENOSA",RANDBETWEEN(1,50)/10,RANDBETWEEN(5,80)/10))))&amp;"%"</f>
        <v>8.9%</v>
      </c>
      <c r="BA195" t="str">
        <f t="shared" ref="BA195:BA258" ca="1" si="19">IF(OR(AG195&lt;&gt;"Vigente",AND(ISNUMBER(AF195),AF195&lt;TODAY()),AND(J195="Inactivo",NOT(ISNUMBER(AF195)))),"ALTO",IF(OR(AND(J195="Inactivo",ISNUMBER(AF195)),AND(ISNUMBER(AF195),AF195&gt;TODAY(),AF195&lt;=TODAY()+1825)),"MEDIO","BAJO"))</f>
        <v>BAJO</v>
      </c>
    </row>
    <row r="196" spans="4:53" x14ac:dyDescent="0.35">
      <c r="D196" t="s">
        <v>1620</v>
      </c>
      <c r="E196" s="1">
        <v>43558</v>
      </c>
      <c r="F196" t="s">
        <v>1621</v>
      </c>
      <c r="G196" t="s">
        <v>108</v>
      </c>
      <c r="H196" t="s">
        <v>710</v>
      </c>
      <c r="I196">
        <v>20125315</v>
      </c>
      <c r="J196" t="s">
        <v>110</v>
      </c>
      <c r="K196">
        <v>1</v>
      </c>
      <c r="L196" t="s">
        <v>27</v>
      </c>
      <c r="M196" t="s">
        <v>1622</v>
      </c>
      <c r="N196" t="s">
        <v>1623</v>
      </c>
      <c r="O196" t="s">
        <v>1624</v>
      </c>
      <c r="P196" t="s">
        <v>932</v>
      </c>
      <c r="Q196" s="1">
        <v>43213</v>
      </c>
      <c r="R196" t="s">
        <v>932</v>
      </c>
      <c r="S196" s="1">
        <v>43693</v>
      </c>
      <c r="T196" t="s">
        <v>428</v>
      </c>
      <c r="U196" t="s">
        <v>115</v>
      </c>
      <c r="V196" t="s">
        <v>496</v>
      </c>
      <c r="W196">
        <v>1</v>
      </c>
      <c r="X196">
        <v>20125315</v>
      </c>
      <c r="Y196" t="s">
        <v>498</v>
      </c>
      <c r="Z196" t="s">
        <v>499</v>
      </c>
      <c r="AA196" t="s">
        <v>24</v>
      </c>
      <c r="AB196" t="s">
        <v>120</v>
      </c>
      <c r="AC196" t="s">
        <v>25</v>
      </c>
      <c r="AD196" t="s">
        <v>121</v>
      </c>
      <c r="AE196">
        <v>12</v>
      </c>
      <c r="AF196" t="s">
        <v>27</v>
      </c>
      <c r="AG196" t="s">
        <v>26</v>
      </c>
      <c r="AH196" t="s">
        <v>1621</v>
      </c>
      <c r="AI196" t="str">
        <f t="shared" si="15"/>
        <v>NO</v>
      </c>
      <c r="AJ196" t="str">
        <f t="shared" si="16"/>
        <v>LABORATORIOS SIEGFRIED</v>
      </c>
      <c r="AK196" t="str">
        <f>IF(ISNUMBER(SEARCH("FABRICANTE",AC196)),"FABRICANTE",IF(ISNUMBER(SEARCH("IMPORTADOR",AC196)),"IMPORTADOR","OTRO"))</f>
        <v>FABRICANTE</v>
      </c>
      <c r="AL196" t="str">
        <f>IF(LEFT(Y196,1)="A","Sistema digestivo",IF(LEFT(Y196,1)="B","Sangre",IF(LEFT(Y196,1)="C","Cardiovascular",IF(LEFT(Y196,1)="D","Dermatológico",IF(LEFT(Y196,1)="G","Genitourinario",IF(LEFT(Y196,1)="H","Hormonal",IF(LEFT(Y196,1)="J","Antiinfecciosos",IF(LEFT(Y196,1)="L","Oncológicos",IF(LEFT(Y196,1)="M","Musculoesquelético",IF(LEFT(Y196,1)="N","Sistema nervioso",IF(LEFT(Y196,1)="R","Respiratorio",IF(LEFT(Y196,1)="S","Oftálmico",IF(LEFT(Y196,1)="V","Varios","OTRO")))))))))))))</f>
        <v>Respiratorio</v>
      </c>
      <c r="AM196" t="str">
        <f>IF(AG196="Vigente","ACTIVO",IF(ISNUMBER(SEARCH("Inactivo",J196)),"INACTIVO","REVISAR"))</f>
        <v>ACTIVO</v>
      </c>
      <c r="AN196" t="str">
        <f ca="1">IF(OR(AF196="",AF196="null"),"",ROUND((AF196-TODAY())/365.25,2))</f>
        <v/>
      </c>
      <c r="AO196" t="str">
        <f ca="1">IF(AND(AG196="Vigente",OR(AF196="",AF196="null",AF196&gt;TODAY())),"SI",IF(AND(NOT(OR(AF196="",AF196="null")),AF196&lt;=TODAY()),"NO",IF(AG196="Vigente","SI","DESCONOCIDO")))</f>
        <v>SI</v>
      </c>
      <c r="AP196" t="str">
        <f>IF(AND(ISNUMBER(SEARCH("IMPORTAR",AA196)),ISNUMBER(SEARCH("FABRICAR",AA196))),"MIXTO",IF(ISNUMBER(SEARCH("IMPORTAR",AA196)),"IMPORTADO",IF(ISNUMBER(SEARCH("FABRICAR",AA196)),"LOCAL","OTRO")))</f>
        <v>LOCAL</v>
      </c>
      <c r="AQ196" t="str">
        <f>IF(AD196="Si","SI",IF(AD196="No","NO",""))</f>
        <v>NO</v>
      </c>
      <c r="AR196" t="str">
        <f>IF(ISNUMBER(SEARCH("®",N196)),"MARCA/INNOVADOR","GENERICO")</f>
        <v>MARCA/INNOVADOR</v>
      </c>
      <c r="AS196">
        <f ca="1">IF(AE196&gt;100,RANDBETWEEN(500,5000),IF(AND(AE196&gt;=10,AE196&lt;=100),RANDBETWEEN(100,1000),RANDBETWEEN(10,200)))</f>
        <v>357</v>
      </c>
      <c r="AT196">
        <f t="shared" ca="1" si="17"/>
        <v>53</v>
      </c>
      <c r="AU196">
        <f ca="1">INT(AS196*RANDBETWEEN(120,200)/100)</f>
        <v>539</v>
      </c>
      <c r="AV196" s="2">
        <f ca="1">IF(LEFT(Y196,1)="L",RANDBETWEEN(500000,5000000),IF(LEFT(Y196,1)="C",RANDBETWEEN(5000,50000),IF(LEFT(Y196,1)="N",RANDBETWEEN(10000,150000),IF(LEFT(Y196,1)="J",RANDBETWEEN(8000,200000),RANDBETWEEN(5000,100000)))))</f>
        <v>95118</v>
      </c>
      <c r="AW196" s="2">
        <f ca="1">INT(AV196*RANDBETWEEN(30,60)/100)</f>
        <v>37096</v>
      </c>
      <c r="AX196">
        <f ca="1">IF(Z196="ORAL",RANDBETWEEN(1000,10000),IF(OR(Z196="INTRAVENOSA",Z196="INTRAMUSCULAR"),RANDBETWEEN(100,2000),IF(OR(Z196="OFTÁLMICA",Z196="TOPICA (EXTERNA)"),RANDBETWEEN(200,3000),RANDBETWEEN(100,1500))))</f>
        <v>664</v>
      </c>
      <c r="AY196" s="2">
        <f ca="1">INT(AV196*RANDBETWEEN(90,130)/100)</f>
        <v>100825</v>
      </c>
      <c r="AZ196" t="str">
        <f t="shared" ca="1" si="18"/>
        <v>4.8%</v>
      </c>
      <c r="BA196" t="str">
        <f t="shared" ca="1" si="19"/>
        <v>ALTO</v>
      </c>
    </row>
    <row r="197" spans="4:53" x14ac:dyDescent="0.35">
      <c r="D197" t="s">
        <v>1625</v>
      </c>
      <c r="E197" s="1">
        <v>36161</v>
      </c>
      <c r="F197" t="s">
        <v>1626</v>
      </c>
      <c r="G197" t="s">
        <v>108</v>
      </c>
      <c r="H197" t="s">
        <v>83</v>
      </c>
      <c r="I197">
        <v>58111</v>
      </c>
      <c r="J197" t="s">
        <v>28</v>
      </c>
      <c r="K197">
        <v>9</v>
      </c>
      <c r="L197" t="s">
        <v>27</v>
      </c>
      <c r="M197" t="s">
        <v>1627</v>
      </c>
      <c r="N197" t="s">
        <v>1628</v>
      </c>
      <c r="O197" t="s">
        <v>1629</v>
      </c>
      <c r="P197" t="s">
        <v>932</v>
      </c>
      <c r="Q197" s="1">
        <v>41907</v>
      </c>
      <c r="R197" t="s">
        <v>932</v>
      </c>
      <c r="S197" t="s">
        <v>27</v>
      </c>
      <c r="T197" t="s">
        <v>83</v>
      </c>
      <c r="U197" t="s">
        <v>115</v>
      </c>
      <c r="V197" t="s">
        <v>933</v>
      </c>
      <c r="W197">
        <v>500</v>
      </c>
      <c r="X197">
        <v>58111</v>
      </c>
      <c r="Y197" t="s">
        <v>934</v>
      </c>
      <c r="Z197" t="s">
        <v>119</v>
      </c>
      <c r="AA197" t="s">
        <v>24</v>
      </c>
      <c r="AB197" t="s">
        <v>120</v>
      </c>
      <c r="AC197" t="s">
        <v>25</v>
      </c>
      <c r="AD197" t="s">
        <v>155</v>
      </c>
      <c r="AE197">
        <v>2</v>
      </c>
      <c r="AF197" t="s">
        <v>27</v>
      </c>
      <c r="AG197" t="s">
        <v>26</v>
      </c>
      <c r="AH197" t="s">
        <v>6757</v>
      </c>
      <c r="AI197" t="str">
        <f t="shared" si="15"/>
        <v>SI</v>
      </c>
      <c r="AJ197" t="str">
        <f t="shared" si="16"/>
        <v>LABORATORIOS LA SANTÉ</v>
      </c>
      <c r="AK197" t="str">
        <f>IF(ISNUMBER(SEARCH("FABRICANTE",AC197)),"FABRICANTE",IF(ISNUMBER(SEARCH("IMPORTADOR",AC197)),"IMPORTADOR","OTRO"))</f>
        <v>FABRICANTE</v>
      </c>
      <c r="AL197" t="str">
        <f>IF(LEFT(Y197,1)="A","Sistema digestivo",IF(LEFT(Y197,1)="B","Sangre",IF(LEFT(Y197,1)="C","Cardiovascular",IF(LEFT(Y197,1)="D","Dermatológico",IF(LEFT(Y197,1)="G","Genitourinario",IF(LEFT(Y197,1)="H","Hormonal",IF(LEFT(Y197,1)="J","Antiinfecciosos",IF(LEFT(Y197,1)="L","Oncológicos",IF(LEFT(Y197,1)="M","Musculoesquelético",IF(LEFT(Y197,1)="N","Sistema nervioso",IF(LEFT(Y197,1)="R","Respiratorio",IF(LEFT(Y197,1)="S","Oftálmico",IF(LEFT(Y197,1)="V","Varios","OTRO")))))))))))))</f>
        <v>Sistema digestivo</v>
      </c>
      <c r="AM197" t="str">
        <f>IF(AG197="Vigente","ACTIVO",IF(ISNUMBER(SEARCH("Inactivo",J197)),"INACTIVO","REVISAR"))</f>
        <v>ACTIVO</v>
      </c>
      <c r="AN197" t="str">
        <f ca="1">IF(OR(AF197="",AF197="null"),"",ROUND((AF197-TODAY())/365.25,2))</f>
        <v/>
      </c>
      <c r="AO197" t="str">
        <f ca="1">IF(AND(AG197="Vigente",OR(AF197="",AF197="null",AF197&gt;TODAY())),"SI",IF(AND(NOT(OR(AF197="",AF197="null")),AF197&lt;=TODAY()),"NO",IF(AG197="Vigente","SI","DESCONOCIDO")))</f>
        <v>SI</v>
      </c>
      <c r="AP197" t="str">
        <f>IF(AND(ISNUMBER(SEARCH("IMPORTAR",AA197)),ISNUMBER(SEARCH("FABRICAR",AA197))),"MIXTO",IF(ISNUMBER(SEARCH("IMPORTAR",AA197)),"IMPORTADO",IF(ISNUMBER(SEARCH("FABRICAR",AA197)),"LOCAL","OTRO")))</f>
        <v>LOCAL</v>
      </c>
      <c r="AQ197" t="str">
        <f>IF(AD197="Si","SI",IF(AD197="No","NO",""))</f>
        <v>SI</v>
      </c>
      <c r="AR197" t="str">
        <f>IF(ISNUMBER(SEARCH("®",N197)),"MARCA/INNOVADOR","GENERICO")</f>
        <v>GENERICO</v>
      </c>
      <c r="AS197">
        <f ca="1">IF(AE197&gt;100,RANDBETWEEN(500,5000),IF(AND(AE197&gt;=10,AE197&lt;=100),RANDBETWEEN(100,1000),RANDBETWEEN(10,200)))</f>
        <v>133</v>
      </c>
      <c r="AT197">
        <f t="shared" ca="1" si="17"/>
        <v>19</v>
      </c>
      <c r="AU197">
        <f ca="1">INT(AS197*RANDBETWEEN(120,200)/100)</f>
        <v>208</v>
      </c>
      <c r="AV197" s="2">
        <f ca="1">IF(LEFT(Y197,1)="L",RANDBETWEEN(500000,5000000),IF(LEFT(Y197,1)="C",RANDBETWEEN(5000,50000),IF(LEFT(Y197,1)="N",RANDBETWEEN(10000,150000),IF(LEFT(Y197,1)="J",RANDBETWEEN(8000,200000),RANDBETWEEN(5000,100000)))))</f>
        <v>65489</v>
      </c>
      <c r="AW197" s="2">
        <f ca="1">INT(AV197*RANDBETWEEN(30,60)/100)</f>
        <v>30779</v>
      </c>
      <c r="AX197">
        <f ca="1">IF(Z197="ORAL",RANDBETWEEN(1000,10000),IF(OR(Z197="INTRAVENOSA",Z197="INTRAMUSCULAR"),RANDBETWEEN(100,2000),IF(OR(Z197="OFTÁLMICA",Z197="TOPICA (EXTERNA)"),RANDBETWEEN(200,3000),RANDBETWEEN(100,1500))))</f>
        <v>3052</v>
      </c>
      <c r="AY197" s="2">
        <f ca="1">INT(AV197*RANDBETWEEN(90,130)/100)</f>
        <v>84480</v>
      </c>
      <c r="AZ197" t="str">
        <f t="shared" ca="1" si="18"/>
        <v>7.1%</v>
      </c>
      <c r="BA197" t="str">
        <f t="shared" ca="1" si="19"/>
        <v>BAJO</v>
      </c>
    </row>
    <row r="198" spans="4:53" x14ac:dyDescent="0.35">
      <c r="D198" t="s">
        <v>1630</v>
      </c>
      <c r="E198" s="1">
        <v>45777</v>
      </c>
      <c r="F198" t="s">
        <v>1631</v>
      </c>
      <c r="G198" t="s">
        <v>108</v>
      </c>
      <c r="H198" t="s">
        <v>1632</v>
      </c>
      <c r="I198">
        <v>20233713</v>
      </c>
      <c r="J198" t="s">
        <v>28</v>
      </c>
      <c r="K198">
        <v>1</v>
      </c>
      <c r="L198" t="s">
        <v>27</v>
      </c>
      <c r="M198" t="s">
        <v>1633</v>
      </c>
      <c r="N198" t="s">
        <v>1634</v>
      </c>
      <c r="O198" t="s">
        <v>1635</v>
      </c>
      <c r="P198" t="s">
        <v>234</v>
      </c>
      <c r="Q198" s="1">
        <v>45368</v>
      </c>
      <c r="R198" t="s">
        <v>1636</v>
      </c>
      <c r="S198" t="s">
        <v>27</v>
      </c>
      <c r="T198" t="s">
        <v>93</v>
      </c>
      <c r="U198" t="s">
        <v>1637</v>
      </c>
      <c r="V198" t="s">
        <v>1638</v>
      </c>
      <c r="W198">
        <v>4</v>
      </c>
      <c r="X198">
        <v>20233713</v>
      </c>
      <c r="Y198" t="s">
        <v>1639</v>
      </c>
      <c r="Z198" t="s">
        <v>1423</v>
      </c>
      <c r="AA198" t="s">
        <v>32</v>
      </c>
      <c r="AB198" t="s">
        <v>120</v>
      </c>
      <c r="AC198" t="s">
        <v>25</v>
      </c>
      <c r="AD198" t="s">
        <v>121</v>
      </c>
      <c r="AE198">
        <v>10</v>
      </c>
      <c r="AF198" s="1">
        <v>47618</v>
      </c>
      <c r="AG198" t="s">
        <v>26</v>
      </c>
      <c r="AH198" t="s">
        <v>6635</v>
      </c>
      <c r="AI198" t="str">
        <f t="shared" si="15"/>
        <v>SI</v>
      </c>
      <c r="AJ198" t="str">
        <f t="shared" si="16"/>
        <v>LABORATORIOS DELTA</v>
      </c>
      <c r="AK198" t="str">
        <f>IF(ISNUMBER(SEARCH("FABRICANTE",AC198)),"FABRICANTE",IF(ISNUMBER(SEARCH("IMPORTADOR",AC198)),"IMPORTADOR","OTRO"))</f>
        <v>FABRICANTE</v>
      </c>
      <c r="AL198" t="str">
        <f>IF(LEFT(Y198,1)="A","Sistema digestivo",IF(LEFT(Y198,1)="B","Sangre",IF(LEFT(Y198,1)="C","Cardiovascular",IF(LEFT(Y198,1)="D","Dermatológico",IF(LEFT(Y198,1)="G","Genitourinario",IF(LEFT(Y198,1)="H","Hormonal",IF(LEFT(Y198,1)="J","Antiinfecciosos",IF(LEFT(Y198,1)="L","Oncológicos",IF(LEFT(Y198,1)="M","Musculoesquelético",IF(LEFT(Y198,1)="N","Sistema nervioso",IF(LEFT(Y198,1)="R","Respiratorio",IF(LEFT(Y198,1)="S","Oftálmico",IF(LEFT(Y198,1)="V","Varios","OTRO")))))))))))))</f>
        <v>Sistema nervioso</v>
      </c>
      <c r="AM198" t="str">
        <f>IF(AG198="Vigente","ACTIVO",IF(ISNUMBER(SEARCH("Inactivo",J198)),"INACTIVO","REVISAR"))</f>
        <v>ACTIVO</v>
      </c>
      <c r="AN198">
        <f ca="1">IF(OR(AF198="",AF198="null"),"",ROUND((AF198-TODAY())/365.25,2))</f>
        <v>3.97</v>
      </c>
      <c r="AO198" t="str">
        <f ca="1">IF(AND(AG198="Vigente",OR(AF198="",AF198="null",AF198&gt;TODAY())),"SI",IF(AND(NOT(OR(AF198="",AF198="null")),AF198&lt;=TODAY()),"NO",IF(AG198="Vigente","SI","DESCONOCIDO")))</f>
        <v>SI</v>
      </c>
      <c r="AP198" t="str">
        <f>IF(AND(ISNUMBER(SEARCH("IMPORTAR",AA198)),ISNUMBER(SEARCH("FABRICAR",AA198))),"MIXTO",IF(ISNUMBER(SEARCH("IMPORTAR",AA198)),"IMPORTADO",IF(ISNUMBER(SEARCH("FABRICAR",AA198)),"LOCAL","OTRO")))</f>
        <v>IMPORTADO</v>
      </c>
      <c r="AQ198" t="str">
        <f>IF(AD198="Si","SI",IF(AD198="No","NO",""))</f>
        <v>NO</v>
      </c>
      <c r="AR198" t="str">
        <f>IF(ISNUMBER(SEARCH("®",N198)),"MARCA/INNOVADOR","GENERICO")</f>
        <v>MARCA/INNOVADOR</v>
      </c>
      <c r="AS198">
        <f ca="1">IF(AE198&gt;100,RANDBETWEEN(500,5000),IF(AND(AE198&gt;=10,AE198&lt;=100),RANDBETWEEN(100,1000),RANDBETWEEN(10,200)))</f>
        <v>800</v>
      </c>
      <c r="AT198">
        <f t="shared" ca="1" si="17"/>
        <v>216</v>
      </c>
      <c r="AU198">
        <f ca="1">INT(AS198*RANDBETWEEN(120,200)/100)</f>
        <v>1456</v>
      </c>
      <c r="AV198" s="2">
        <f ca="1">IF(LEFT(Y198,1)="L",RANDBETWEEN(500000,5000000),IF(LEFT(Y198,1)="C",RANDBETWEEN(5000,50000),IF(LEFT(Y198,1)="N",RANDBETWEEN(10000,150000),IF(LEFT(Y198,1)="J",RANDBETWEEN(8000,200000),RANDBETWEEN(5000,100000)))))</f>
        <v>140872</v>
      </c>
      <c r="AW198" s="2">
        <f ca="1">INT(AV198*RANDBETWEEN(30,60)/100)</f>
        <v>54940</v>
      </c>
      <c r="AX198">
        <f ca="1">IF(Z198="ORAL",RANDBETWEEN(1000,10000),IF(OR(Z198="INTRAVENOSA",Z198="INTRAMUSCULAR"),RANDBETWEEN(100,2000),IF(OR(Z198="OFTÁLMICA",Z198="TOPICA (EXTERNA)"),RANDBETWEEN(200,3000),RANDBETWEEN(100,1500))))</f>
        <v>830</v>
      </c>
      <c r="AY198" s="2">
        <f ca="1">INT(AV198*RANDBETWEEN(90,130)/100)</f>
        <v>147915</v>
      </c>
      <c r="AZ198" t="str">
        <f t="shared" ca="1" si="18"/>
        <v>7.6%</v>
      </c>
      <c r="BA198" t="str">
        <f t="shared" ca="1" si="19"/>
        <v>MEDIO</v>
      </c>
    </row>
    <row r="199" spans="4:53" x14ac:dyDescent="0.35">
      <c r="D199" t="s">
        <v>1640</v>
      </c>
      <c r="E199" s="1">
        <v>44767</v>
      </c>
      <c r="F199" t="s">
        <v>1482</v>
      </c>
      <c r="G199" t="s">
        <v>108</v>
      </c>
      <c r="H199" t="s">
        <v>1641</v>
      </c>
      <c r="I199">
        <v>20201627</v>
      </c>
      <c r="J199" t="s">
        <v>28</v>
      </c>
      <c r="K199">
        <v>4</v>
      </c>
      <c r="L199" t="s">
        <v>1642</v>
      </c>
      <c r="M199" t="s">
        <v>1643</v>
      </c>
      <c r="N199" t="s">
        <v>1644</v>
      </c>
      <c r="O199" t="s">
        <v>1645</v>
      </c>
      <c r="P199" t="s">
        <v>33</v>
      </c>
      <c r="Q199" s="1">
        <v>44753</v>
      </c>
      <c r="R199" t="s">
        <v>33</v>
      </c>
      <c r="S199" t="s">
        <v>27</v>
      </c>
      <c r="T199" t="s">
        <v>1646</v>
      </c>
      <c r="U199" t="s">
        <v>115</v>
      </c>
      <c r="V199" t="s">
        <v>1487</v>
      </c>
      <c r="W199">
        <v>20</v>
      </c>
      <c r="X199">
        <v>20201627</v>
      </c>
      <c r="Y199" t="s">
        <v>1488</v>
      </c>
      <c r="Z199" t="s">
        <v>119</v>
      </c>
      <c r="AA199" t="s">
        <v>24</v>
      </c>
      <c r="AB199" t="s">
        <v>120</v>
      </c>
      <c r="AC199" t="s">
        <v>25</v>
      </c>
      <c r="AD199" t="s">
        <v>121</v>
      </c>
      <c r="AE199">
        <v>10</v>
      </c>
      <c r="AF199" t="s">
        <v>27</v>
      </c>
      <c r="AG199" t="s">
        <v>26</v>
      </c>
      <c r="AH199" t="s">
        <v>1482</v>
      </c>
      <c r="AI199" t="str">
        <f t="shared" si="15"/>
        <v>NO</v>
      </c>
      <c r="AJ199" t="str">
        <f t="shared" si="16"/>
        <v>BIOQUIFAR PHARMACEUTICA</v>
      </c>
      <c r="AK199" t="str">
        <f>IF(ISNUMBER(SEARCH("FABRICANTE",AC199)),"FABRICANTE",IF(ISNUMBER(SEARCH("IMPORTADOR",AC199)),"IMPORTADOR","OTRO"))</f>
        <v>FABRICANTE</v>
      </c>
      <c r="AL199" t="str">
        <f>IF(LEFT(Y199,1)="A","Sistema digestivo",IF(LEFT(Y199,1)="B","Sangre",IF(LEFT(Y199,1)="C","Cardiovascular",IF(LEFT(Y199,1)="D","Dermatológico",IF(LEFT(Y199,1)="G","Genitourinario",IF(LEFT(Y199,1)="H","Hormonal",IF(LEFT(Y199,1)="J","Antiinfecciosos",IF(LEFT(Y199,1)="L","Oncológicos",IF(LEFT(Y199,1)="M","Musculoesquelético",IF(LEFT(Y199,1)="N","Sistema nervioso",IF(LEFT(Y199,1)="R","Respiratorio",IF(LEFT(Y199,1)="S","Oftálmico",IF(LEFT(Y199,1)="V","Varios","OTRO")))))))))))))</f>
        <v>Genitourinario</v>
      </c>
      <c r="AM199" t="str">
        <f>IF(AG199="Vigente","ACTIVO",IF(ISNUMBER(SEARCH("Inactivo",J199)),"INACTIVO","REVISAR"))</f>
        <v>ACTIVO</v>
      </c>
      <c r="AN199" t="str">
        <f ca="1">IF(OR(AF199="",AF199="null"),"",ROUND((AF199-TODAY())/365.25,2))</f>
        <v/>
      </c>
      <c r="AO199" t="str">
        <f ca="1">IF(AND(AG199="Vigente",OR(AF199="",AF199="null",AF199&gt;TODAY())),"SI",IF(AND(NOT(OR(AF199="",AF199="null")),AF199&lt;=TODAY()),"NO",IF(AG199="Vigente","SI","DESCONOCIDO")))</f>
        <v>SI</v>
      </c>
      <c r="AP199" t="str">
        <f>IF(AND(ISNUMBER(SEARCH("IMPORTAR",AA199)),ISNUMBER(SEARCH("FABRICAR",AA199))),"MIXTO",IF(ISNUMBER(SEARCH("IMPORTAR",AA199)),"IMPORTADO",IF(ISNUMBER(SEARCH("FABRICAR",AA199)),"LOCAL","OTRO")))</f>
        <v>LOCAL</v>
      </c>
      <c r="AQ199" t="str">
        <f>IF(AD199="Si","SI",IF(AD199="No","NO",""))</f>
        <v>NO</v>
      </c>
      <c r="AR199" t="str">
        <f>IF(ISNUMBER(SEARCH("®",N199)),"MARCA/INNOVADOR","GENERICO")</f>
        <v>MARCA/INNOVADOR</v>
      </c>
      <c r="AS199">
        <f ca="1">IF(AE199&gt;100,RANDBETWEEN(500,5000),IF(AND(AE199&gt;=10,AE199&lt;=100),RANDBETWEEN(100,1000),RANDBETWEEN(10,200)))</f>
        <v>573</v>
      </c>
      <c r="AT199">
        <f t="shared" ca="1" si="17"/>
        <v>143</v>
      </c>
      <c r="AU199">
        <f ca="1">INT(AS199*RANDBETWEEN(120,200)/100)</f>
        <v>819</v>
      </c>
      <c r="AV199" s="2">
        <f ca="1">IF(LEFT(Y199,1)="L",RANDBETWEEN(500000,5000000),IF(LEFT(Y199,1)="C",RANDBETWEEN(5000,50000),IF(LEFT(Y199,1)="N",RANDBETWEEN(10000,150000),IF(LEFT(Y199,1)="J",RANDBETWEEN(8000,200000),RANDBETWEEN(5000,100000)))))</f>
        <v>74181</v>
      </c>
      <c r="AW199" s="2">
        <f ca="1">INT(AV199*RANDBETWEEN(30,60)/100)</f>
        <v>25221</v>
      </c>
      <c r="AX199">
        <f ca="1">IF(Z199="ORAL",RANDBETWEEN(1000,10000),IF(OR(Z199="INTRAVENOSA",Z199="INTRAMUSCULAR"),RANDBETWEEN(100,2000),IF(OR(Z199="OFTÁLMICA",Z199="TOPICA (EXTERNA)"),RANDBETWEEN(200,3000),RANDBETWEEN(100,1500))))</f>
        <v>6563</v>
      </c>
      <c r="AY199" s="2">
        <f ca="1">INT(AV199*RANDBETWEEN(90,130)/100)</f>
        <v>73439</v>
      </c>
      <c r="AZ199" t="str">
        <f t="shared" ca="1" si="18"/>
        <v>13.8%</v>
      </c>
      <c r="BA199" t="str">
        <f t="shared" ca="1" si="19"/>
        <v>BAJO</v>
      </c>
    </row>
    <row r="200" spans="4:53" x14ac:dyDescent="0.35">
      <c r="D200" t="s">
        <v>1647</v>
      </c>
      <c r="E200" s="1">
        <v>40788</v>
      </c>
      <c r="F200" t="s">
        <v>1648</v>
      </c>
      <c r="G200" t="s">
        <v>108</v>
      </c>
      <c r="H200" t="s">
        <v>325</v>
      </c>
      <c r="I200">
        <v>20028367</v>
      </c>
      <c r="J200" t="s">
        <v>28</v>
      </c>
      <c r="K200">
        <v>3</v>
      </c>
      <c r="L200" t="s">
        <v>1649</v>
      </c>
      <c r="M200" t="s">
        <v>1650</v>
      </c>
      <c r="N200" t="s">
        <v>1651</v>
      </c>
      <c r="O200" t="s">
        <v>1652</v>
      </c>
      <c r="P200" t="s">
        <v>29</v>
      </c>
      <c r="Q200" s="1">
        <v>40638</v>
      </c>
      <c r="R200" t="s">
        <v>33</v>
      </c>
      <c r="S200" t="s">
        <v>27</v>
      </c>
      <c r="T200" t="s">
        <v>325</v>
      </c>
      <c r="U200" t="s">
        <v>115</v>
      </c>
      <c r="V200" t="s">
        <v>1073</v>
      </c>
      <c r="W200">
        <v>500</v>
      </c>
      <c r="X200">
        <v>20028367</v>
      </c>
      <c r="Y200" t="s">
        <v>1077</v>
      </c>
      <c r="Z200" t="s">
        <v>119</v>
      </c>
      <c r="AA200" t="s">
        <v>165</v>
      </c>
      <c r="AB200" t="s">
        <v>120</v>
      </c>
      <c r="AC200" t="s">
        <v>25</v>
      </c>
      <c r="AD200" t="s">
        <v>121</v>
      </c>
      <c r="AE200">
        <v>300</v>
      </c>
      <c r="AF200" t="s">
        <v>27</v>
      </c>
      <c r="AG200" t="s">
        <v>26</v>
      </c>
      <c r="AH200" t="s">
        <v>6758</v>
      </c>
      <c r="AI200" t="str">
        <f t="shared" si="15"/>
        <v>SI</v>
      </c>
      <c r="AJ200" t="str">
        <f t="shared" si="16"/>
        <v>LABORATORIO PROFESIONAL FARMACEUTICO - LABORATORIOS LAPROFF</v>
      </c>
      <c r="AK200" t="str">
        <f>IF(ISNUMBER(SEARCH("FABRICANTE",AC200)),"FABRICANTE",IF(ISNUMBER(SEARCH("IMPORTADOR",AC200)),"IMPORTADOR","OTRO"))</f>
        <v>FABRICANTE</v>
      </c>
      <c r="AL200" t="str">
        <f>IF(LEFT(Y200,1)="A","Sistema digestivo",IF(LEFT(Y200,1)="B","Sangre",IF(LEFT(Y200,1)="C","Cardiovascular",IF(LEFT(Y200,1)="D","Dermatológico",IF(LEFT(Y200,1)="G","Genitourinario",IF(LEFT(Y200,1)="H","Hormonal",IF(LEFT(Y200,1)="J","Antiinfecciosos",IF(LEFT(Y200,1)="L","Oncológicos",IF(LEFT(Y200,1)="M","Musculoesquelético",IF(LEFT(Y200,1)="N","Sistema nervioso",IF(LEFT(Y200,1)="R","Respiratorio",IF(LEFT(Y200,1)="S","Oftálmico",IF(LEFT(Y200,1)="V","Varios","OTRO")))))))))))))</f>
        <v>Musculoesquelético</v>
      </c>
      <c r="AM200" t="str">
        <f>IF(AG200="Vigente","ACTIVO",IF(ISNUMBER(SEARCH("Inactivo",J200)),"INACTIVO","REVISAR"))</f>
        <v>ACTIVO</v>
      </c>
      <c r="AN200" t="str">
        <f ca="1">IF(OR(AF200="",AF200="null"),"",ROUND((AF200-TODAY())/365.25,2))</f>
        <v/>
      </c>
      <c r="AO200" t="str">
        <f ca="1">IF(AND(AG200="Vigente",OR(AF200="",AF200="null",AF200&gt;TODAY())),"SI",IF(AND(NOT(OR(AF200="",AF200="null")),AF200&lt;=TODAY()),"NO",IF(AG200="Vigente","SI","DESCONOCIDO")))</f>
        <v>SI</v>
      </c>
      <c r="AP200" t="str">
        <f>IF(AND(ISNUMBER(SEARCH("IMPORTAR",AA200)),ISNUMBER(SEARCH("FABRICAR",AA200))),"MIXTO",IF(ISNUMBER(SEARCH("IMPORTAR",AA200)),"IMPORTADO",IF(ISNUMBER(SEARCH("FABRICAR",AA200)),"LOCAL","OTRO")))</f>
        <v>IMPORTADO</v>
      </c>
      <c r="AQ200" t="str">
        <f>IF(AD200="Si","SI",IF(AD200="No","NO",""))</f>
        <v>NO</v>
      </c>
      <c r="AR200" t="str">
        <f>IF(ISNUMBER(SEARCH("®",N200)),"MARCA/INNOVADOR","GENERICO")</f>
        <v>GENERICO</v>
      </c>
      <c r="AS200">
        <f ca="1">IF(AE200&gt;100,RANDBETWEEN(500,5000),IF(AND(AE200&gt;=10,AE200&lt;=100),RANDBETWEEN(100,1000),RANDBETWEEN(10,200)))</f>
        <v>2776</v>
      </c>
      <c r="AT200">
        <f t="shared" ca="1" si="17"/>
        <v>416</v>
      </c>
      <c r="AU200">
        <f ca="1">INT(AS200*RANDBETWEEN(120,200)/100)</f>
        <v>4191</v>
      </c>
      <c r="AV200" s="2">
        <f ca="1">IF(LEFT(Y200,1)="L",RANDBETWEEN(500000,5000000),IF(LEFT(Y200,1)="C",RANDBETWEEN(5000,50000),IF(LEFT(Y200,1)="N",RANDBETWEEN(10000,150000),IF(LEFT(Y200,1)="J",RANDBETWEEN(8000,200000),RANDBETWEEN(5000,100000)))))</f>
        <v>36219</v>
      </c>
      <c r="AW200" s="2">
        <f ca="1">INT(AV200*RANDBETWEEN(30,60)/100)</f>
        <v>20644</v>
      </c>
      <c r="AX200">
        <f ca="1">IF(Z200="ORAL",RANDBETWEEN(1000,10000),IF(OR(Z200="INTRAVENOSA",Z200="INTRAMUSCULAR"),RANDBETWEEN(100,2000),IF(OR(Z200="OFTÁLMICA",Z200="TOPICA (EXTERNA)"),RANDBETWEEN(200,3000),RANDBETWEEN(100,1500))))</f>
        <v>8460</v>
      </c>
      <c r="AY200" s="2">
        <f ca="1">INT(AV200*RANDBETWEEN(90,130)/100)</f>
        <v>42376</v>
      </c>
      <c r="AZ200" t="str">
        <f t="shared" ca="1" si="18"/>
        <v>21.9%</v>
      </c>
      <c r="BA200" t="str">
        <f t="shared" ca="1" si="19"/>
        <v>BAJO</v>
      </c>
    </row>
    <row r="201" spans="4:53" x14ac:dyDescent="0.35">
      <c r="D201" t="s">
        <v>1653</v>
      </c>
      <c r="E201" s="1">
        <v>43721</v>
      </c>
      <c r="F201" t="s">
        <v>1654</v>
      </c>
      <c r="G201" t="s">
        <v>108</v>
      </c>
      <c r="H201" t="s">
        <v>454</v>
      </c>
      <c r="I201">
        <v>20142975</v>
      </c>
      <c r="J201" t="s">
        <v>28</v>
      </c>
      <c r="K201">
        <v>1</v>
      </c>
      <c r="L201" t="s">
        <v>1655</v>
      </c>
      <c r="M201" t="s">
        <v>1656</v>
      </c>
      <c r="N201" t="s">
        <v>1657</v>
      </c>
      <c r="O201" t="s">
        <v>1658</v>
      </c>
      <c r="P201" t="s">
        <v>1659</v>
      </c>
      <c r="Q201" s="1">
        <v>43438</v>
      </c>
      <c r="R201" t="s">
        <v>1660</v>
      </c>
      <c r="S201" t="s">
        <v>27</v>
      </c>
      <c r="T201" t="s">
        <v>454</v>
      </c>
      <c r="U201" t="s">
        <v>807</v>
      </c>
      <c r="V201" t="s">
        <v>1661</v>
      </c>
      <c r="W201">
        <v>137</v>
      </c>
      <c r="X201">
        <v>20142975</v>
      </c>
      <c r="Y201" t="s">
        <v>1662</v>
      </c>
      <c r="Z201" t="s">
        <v>1663</v>
      </c>
      <c r="AA201" t="s">
        <v>32</v>
      </c>
      <c r="AB201" t="s">
        <v>120</v>
      </c>
      <c r="AC201" t="s">
        <v>38</v>
      </c>
      <c r="AD201" t="s">
        <v>121</v>
      </c>
      <c r="AE201">
        <v>1</v>
      </c>
      <c r="AF201" t="s">
        <v>27</v>
      </c>
      <c r="AG201" t="s">
        <v>26</v>
      </c>
      <c r="AH201" t="s">
        <v>1654</v>
      </c>
      <c r="AI201" t="str">
        <f t="shared" si="15"/>
        <v>NO</v>
      </c>
      <c r="AJ201" t="str">
        <f t="shared" si="16"/>
        <v>PROCAPS</v>
      </c>
      <c r="AK201" t="str">
        <f>IF(ISNUMBER(SEARCH("FABRICANTE",AC201)),"FABRICANTE",IF(ISNUMBER(SEARCH("IMPORTADOR",AC201)),"IMPORTADOR","OTRO"))</f>
        <v>IMPORTADOR</v>
      </c>
      <c r="AL201" t="str">
        <f>IF(LEFT(Y201,1)="A","Sistema digestivo",IF(LEFT(Y201,1)="B","Sangre",IF(LEFT(Y201,1)="C","Cardiovascular",IF(LEFT(Y201,1)="D","Dermatológico",IF(LEFT(Y201,1)="G","Genitourinario",IF(LEFT(Y201,1)="H","Hormonal",IF(LEFT(Y201,1)="J","Antiinfecciosos",IF(LEFT(Y201,1)="L","Oncológicos",IF(LEFT(Y201,1)="M","Musculoesquelético",IF(LEFT(Y201,1)="N","Sistema nervioso",IF(LEFT(Y201,1)="R","Respiratorio",IF(LEFT(Y201,1)="S","Oftálmico",IF(LEFT(Y201,1)="V","Varios","OTRO")))))))))))))</f>
        <v>Respiratorio</v>
      </c>
      <c r="AM201" t="str">
        <f>IF(AG201="Vigente","ACTIVO",IF(ISNUMBER(SEARCH("Inactivo",J201)),"INACTIVO","REVISAR"))</f>
        <v>ACTIVO</v>
      </c>
      <c r="AN201" t="str">
        <f ca="1">IF(OR(AF201="",AF201="null"),"",ROUND((AF201-TODAY())/365.25,2))</f>
        <v/>
      </c>
      <c r="AO201" t="str">
        <f ca="1">IF(AND(AG201="Vigente",OR(AF201="",AF201="null",AF201&gt;TODAY())),"SI",IF(AND(NOT(OR(AF201="",AF201="null")),AF201&lt;=TODAY()),"NO",IF(AG201="Vigente","SI","DESCONOCIDO")))</f>
        <v>SI</v>
      </c>
      <c r="AP201" t="str">
        <f>IF(AND(ISNUMBER(SEARCH("IMPORTAR",AA201)),ISNUMBER(SEARCH("FABRICAR",AA201))),"MIXTO",IF(ISNUMBER(SEARCH("IMPORTAR",AA201)),"IMPORTADO",IF(ISNUMBER(SEARCH("FABRICAR",AA201)),"LOCAL","OTRO")))</f>
        <v>IMPORTADO</v>
      </c>
      <c r="AQ201" t="str">
        <f>IF(AD201="Si","SI",IF(AD201="No","NO",""))</f>
        <v>NO</v>
      </c>
      <c r="AR201" t="str">
        <f>IF(ISNUMBER(SEARCH("®",N201)),"MARCA/INNOVADOR","GENERICO")</f>
        <v>MARCA/INNOVADOR</v>
      </c>
      <c r="AS201">
        <f ca="1">IF(AE201&gt;100,RANDBETWEEN(500,5000),IF(AND(AE201&gt;=10,AE201&lt;=100),RANDBETWEEN(100,1000),RANDBETWEEN(10,200)))</f>
        <v>63</v>
      </c>
      <c r="AT201">
        <f t="shared" ca="1" si="17"/>
        <v>14</v>
      </c>
      <c r="AU201">
        <f ca="1">INT(AS201*RANDBETWEEN(120,200)/100)</f>
        <v>110</v>
      </c>
      <c r="AV201" s="2">
        <f ca="1">IF(LEFT(Y201,1)="L",RANDBETWEEN(500000,5000000),IF(LEFT(Y201,1)="C",RANDBETWEEN(5000,50000),IF(LEFT(Y201,1)="N",RANDBETWEEN(10000,150000),IF(LEFT(Y201,1)="J",RANDBETWEEN(8000,200000),RANDBETWEEN(5000,100000)))))</f>
        <v>99385</v>
      </c>
      <c r="AW201" s="2">
        <f ca="1">INT(AV201*RANDBETWEEN(30,60)/100)</f>
        <v>41741</v>
      </c>
      <c r="AX201">
        <f ca="1">IF(Z201="ORAL",RANDBETWEEN(1000,10000),IF(OR(Z201="INTRAVENOSA",Z201="INTRAMUSCULAR"),RANDBETWEEN(100,2000),IF(OR(Z201="OFTÁLMICA",Z201="TOPICA (EXTERNA)"),RANDBETWEEN(200,3000),RANDBETWEEN(100,1500))))</f>
        <v>1060</v>
      </c>
      <c r="AY201" s="2">
        <f ca="1">INT(AV201*RANDBETWEEN(90,130)/100)</f>
        <v>121249</v>
      </c>
      <c r="AZ201" t="str">
        <f t="shared" ca="1" si="18"/>
        <v>4.2%</v>
      </c>
      <c r="BA201" t="str">
        <f t="shared" ca="1" si="19"/>
        <v>BAJO</v>
      </c>
    </row>
    <row r="202" spans="4:53" x14ac:dyDescent="0.35">
      <c r="D202" t="s">
        <v>1664</v>
      </c>
      <c r="E202" s="1">
        <v>40563</v>
      </c>
      <c r="F202" t="s">
        <v>1665</v>
      </c>
      <c r="G202" t="s">
        <v>108</v>
      </c>
      <c r="H202" t="s">
        <v>1666</v>
      </c>
      <c r="I202">
        <v>20016868</v>
      </c>
      <c r="J202" t="s">
        <v>28</v>
      </c>
      <c r="K202">
        <v>8</v>
      </c>
      <c r="L202" t="s">
        <v>27</v>
      </c>
      <c r="M202" t="s">
        <v>1667</v>
      </c>
      <c r="N202" t="s">
        <v>1668</v>
      </c>
      <c r="O202" t="s">
        <v>1669</v>
      </c>
      <c r="P202" t="s">
        <v>33</v>
      </c>
      <c r="Q202" s="1">
        <v>41975</v>
      </c>
      <c r="R202" t="s">
        <v>33</v>
      </c>
      <c r="S202" t="s">
        <v>27</v>
      </c>
      <c r="T202" t="s">
        <v>83</v>
      </c>
      <c r="U202" t="s">
        <v>115</v>
      </c>
      <c r="V202" t="s">
        <v>1670</v>
      </c>
      <c r="W202">
        <v>750</v>
      </c>
      <c r="X202">
        <v>20016868</v>
      </c>
      <c r="Y202" t="s">
        <v>1671</v>
      </c>
      <c r="Z202" t="s">
        <v>119</v>
      </c>
      <c r="AA202" t="s">
        <v>24</v>
      </c>
      <c r="AB202" t="s">
        <v>120</v>
      </c>
      <c r="AC202" t="s">
        <v>25</v>
      </c>
      <c r="AD202" t="s">
        <v>121</v>
      </c>
      <c r="AE202">
        <v>16</v>
      </c>
      <c r="AF202" t="s">
        <v>27</v>
      </c>
      <c r="AG202" t="s">
        <v>26</v>
      </c>
      <c r="AH202" t="s">
        <v>6636</v>
      </c>
      <c r="AI202" t="str">
        <f t="shared" si="15"/>
        <v>NO</v>
      </c>
      <c r="AJ202" t="str">
        <f t="shared" si="16"/>
        <v>LABORATORIOS LA SANTÉ</v>
      </c>
      <c r="AK202" t="str">
        <f>IF(ISNUMBER(SEARCH("FABRICANTE",AC202)),"FABRICANTE",IF(ISNUMBER(SEARCH("IMPORTADOR",AC202)),"IMPORTADOR","OTRO"))</f>
        <v>FABRICANTE</v>
      </c>
      <c r="AL202" t="str">
        <f>IF(LEFT(Y202,1)="A","Sistema digestivo",IF(LEFT(Y202,1)="B","Sangre",IF(LEFT(Y202,1)="C","Cardiovascular",IF(LEFT(Y202,1)="D","Dermatológico",IF(LEFT(Y202,1)="G","Genitourinario",IF(LEFT(Y202,1)="H","Hormonal",IF(LEFT(Y202,1)="J","Antiinfecciosos",IF(LEFT(Y202,1)="L","Oncológicos",IF(LEFT(Y202,1)="M","Musculoesquelético",IF(LEFT(Y202,1)="N","Sistema nervioso",IF(LEFT(Y202,1)="R","Respiratorio",IF(LEFT(Y202,1)="S","Oftálmico",IF(LEFT(Y202,1)="V","Varios","OTRO")))))))))))))</f>
        <v>Antiinfecciosos</v>
      </c>
      <c r="AM202" t="str">
        <f>IF(AG202="Vigente","ACTIVO",IF(ISNUMBER(SEARCH("Inactivo",J202)),"INACTIVO","REVISAR"))</f>
        <v>ACTIVO</v>
      </c>
      <c r="AN202" t="str">
        <f ca="1">IF(OR(AF202="",AF202="null"),"",ROUND((AF202-TODAY())/365.25,2))</f>
        <v/>
      </c>
      <c r="AO202" t="str">
        <f ca="1">IF(AND(AG202="Vigente",OR(AF202="",AF202="null",AF202&gt;TODAY())),"SI",IF(AND(NOT(OR(AF202="",AF202="null")),AF202&lt;=TODAY()),"NO",IF(AG202="Vigente","SI","DESCONOCIDO")))</f>
        <v>SI</v>
      </c>
      <c r="AP202" t="str">
        <f>IF(AND(ISNUMBER(SEARCH("IMPORTAR",AA202)),ISNUMBER(SEARCH("FABRICAR",AA202))),"MIXTO",IF(ISNUMBER(SEARCH("IMPORTAR",AA202)),"IMPORTADO",IF(ISNUMBER(SEARCH("FABRICAR",AA202)),"LOCAL","OTRO")))</f>
        <v>LOCAL</v>
      </c>
      <c r="AQ202" t="str">
        <f>IF(AD202="Si","SI",IF(AD202="No","NO",""))</f>
        <v>NO</v>
      </c>
      <c r="AR202" t="str">
        <f>IF(ISNUMBER(SEARCH("®",N202)),"MARCA/INNOVADOR","GENERICO")</f>
        <v>GENERICO</v>
      </c>
      <c r="AS202">
        <f ca="1">IF(AE202&gt;100,RANDBETWEEN(500,5000),IF(AND(AE202&gt;=10,AE202&lt;=100),RANDBETWEEN(100,1000),RANDBETWEEN(10,200)))</f>
        <v>475</v>
      </c>
      <c r="AT202">
        <f t="shared" ca="1" si="17"/>
        <v>104</v>
      </c>
      <c r="AU202">
        <f ca="1">INT(AS202*RANDBETWEEN(120,200)/100)</f>
        <v>760</v>
      </c>
      <c r="AV202" s="2">
        <f ca="1">IF(LEFT(Y202,1)="L",RANDBETWEEN(500000,5000000),IF(LEFT(Y202,1)="C",RANDBETWEEN(5000,50000),IF(LEFT(Y202,1)="N",RANDBETWEEN(10000,150000),IF(LEFT(Y202,1)="J",RANDBETWEEN(8000,200000),RANDBETWEEN(5000,100000)))))</f>
        <v>56397</v>
      </c>
      <c r="AW202" s="2">
        <f ca="1">INT(AV202*RANDBETWEEN(30,60)/100)</f>
        <v>32710</v>
      </c>
      <c r="AX202">
        <f ca="1">IF(Z202="ORAL",RANDBETWEEN(1000,10000),IF(OR(Z202="INTRAVENOSA",Z202="INTRAMUSCULAR"),RANDBETWEEN(100,2000),IF(OR(Z202="OFTÁLMICA",Z202="TOPICA (EXTERNA)"),RANDBETWEEN(200,3000),RANDBETWEEN(100,1500))))</f>
        <v>6818</v>
      </c>
      <c r="AY202" s="2">
        <f ca="1">INT(AV202*RANDBETWEEN(90,130)/100)</f>
        <v>67676</v>
      </c>
      <c r="AZ202" t="str">
        <f t="shared" ca="1" si="18"/>
        <v>20%</v>
      </c>
      <c r="BA202" t="str">
        <f t="shared" ca="1" si="19"/>
        <v>BAJO</v>
      </c>
    </row>
    <row r="203" spans="4:53" x14ac:dyDescent="0.35">
      <c r="D203" t="s">
        <v>1672</v>
      </c>
      <c r="E203" s="1">
        <v>41870</v>
      </c>
      <c r="F203" t="s">
        <v>1673</v>
      </c>
      <c r="G203" t="s">
        <v>108</v>
      </c>
      <c r="H203" t="s">
        <v>187</v>
      </c>
      <c r="I203">
        <v>20067414</v>
      </c>
      <c r="J203" t="s">
        <v>110</v>
      </c>
      <c r="K203">
        <v>75</v>
      </c>
      <c r="L203" t="s">
        <v>27</v>
      </c>
      <c r="M203" t="s">
        <v>1674</v>
      </c>
      <c r="N203" t="s">
        <v>1675</v>
      </c>
      <c r="O203" t="s">
        <v>1676</v>
      </c>
      <c r="P203" t="s">
        <v>266</v>
      </c>
      <c r="Q203" s="1">
        <v>41730</v>
      </c>
      <c r="R203" t="s">
        <v>200</v>
      </c>
      <c r="S203" s="1">
        <v>45791</v>
      </c>
      <c r="T203" t="s">
        <v>80</v>
      </c>
      <c r="U203" t="s">
        <v>115</v>
      </c>
      <c r="V203" t="s">
        <v>1673</v>
      </c>
      <c r="W203">
        <v>60</v>
      </c>
      <c r="X203">
        <v>20067414</v>
      </c>
      <c r="Y203" t="s">
        <v>1677</v>
      </c>
      <c r="Z203" t="s">
        <v>119</v>
      </c>
      <c r="AA203" t="s">
        <v>24</v>
      </c>
      <c r="AB203" t="s">
        <v>120</v>
      </c>
      <c r="AC203" t="s">
        <v>25</v>
      </c>
      <c r="AD203" t="s">
        <v>121</v>
      </c>
      <c r="AE203">
        <v>14</v>
      </c>
      <c r="AF203" t="s">
        <v>27</v>
      </c>
      <c r="AG203" t="s">
        <v>26</v>
      </c>
      <c r="AH203" t="s">
        <v>1673</v>
      </c>
      <c r="AI203" t="str">
        <f t="shared" si="15"/>
        <v>NO</v>
      </c>
      <c r="AJ203" t="str">
        <f t="shared" si="16"/>
        <v>TECNOQUIMICAS</v>
      </c>
      <c r="AK203" t="str">
        <f>IF(ISNUMBER(SEARCH("FABRICANTE",AC203)),"FABRICANTE",IF(ISNUMBER(SEARCH("IMPORTADOR",AC203)),"IMPORTADOR","OTRO"))</f>
        <v>FABRICANTE</v>
      </c>
      <c r="AL203" t="str">
        <f>IF(LEFT(Y203,1)="A","Sistema digestivo",IF(LEFT(Y203,1)="B","Sangre",IF(LEFT(Y203,1)="C","Cardiovascular",IF(LEFT(Y203,1)="D","Dermatológico",IF(LEFT(Y203,1)="G","Genitourinario",IF(LEFT(Y203,1)="H","Hormonal",IF(LEFT(Y203,1)="J","Antiinfecciosos",IF(LEFT(Y203,1)="L","Oncológicos",IF(LEFT(Y203,1)="M","Musculoesquelético",IF(LEFT(Y203,1)="N","Sistema nervioso",IF(LEFT(Y203,1)="R","Respiratorio",IF(LEFT(Y203,1)="S","Oftálmico",IF(LEFT(Y203,1)="V","Varios","OTRO")))))))))))))</f>
        <v>Musculoesquelético</v>
      </c>
      <c r="AM203" t="str">
        <f>IF(AG203="Vigente","ACTIVO",IF(ISNUMBER(SEARCH("Inactivo",J203)),"INACTIVO","REVISAR"))</f>
        <v>ACTIVO</v>
      </c>
      <c r="AN203" t="str">
        <f ca="1">IF(OR(AF203="",AF203="null"),"",ROUND((AF203-TODAY())/365.25,2))</f>
        <v/>
      </c>
      <c r="AO203" t="str">
        <f ca="1">IF(AND(AG203="Vigente",OR(AF203="",AF203="null",AF203&gt;TODAY())),"SI",IF(AND(NOT(OR(AF203="",AF203="null")),AF203&lt;=TODAY()),"NO",IF(AG203="Vigente","SI","DESCONOCIDO")))</f>
        <v>SI</v>
      </c>
      <c r="AP203" t="str">
        <f>IF(AND(ISNUMBER(SEARCH("IMPORTAR",AA203)),ISNUMBER(SEARCH("FABRICAR",AA203))),"MIXTO",IF(ISNUMBER(SEARCH("IMPORTAR",AA203)),"IMPORTADO",IF(ISNUMBER(SEARCH("FABRICAR",AA203)),"LOCAL","OTRO")))</f>
        <v>LOCAL</v>
      </c>
      <c r="AQ203" t="str">
        <f>IF(AD203="Si","SI",IF(AD203="No","NO",""))</f>
        <v>NO</v>
      </c>
      <c r="AR203" t="str">
        <f>IF(ISNUMBER(SEARCH("®",N203)),"MARCA/INNOVADOR","GENERICO")</f>
        <v>GENERICO</v>
      </c>
      <c r="AS203">
        <f ca="1">IF(AE203&gt;100,RANDBETWEEN(500,5000),IF(AND(AE203&gt;=10,AE203&lt;=100),RANDBETWEEN(100,1000),RANDBETWEEN(10,200)))</f>
        <v>933</v>
      </c>
      <c r="AT203">
        <f t="shared" ca="1" si="17"/>
        <v>279</v>
      </c>
      <c r="AU203">
        <f ca="1">INT(AS203*RANDBETWEEN(120,200)/100)</f>
        <v>1371</v>
      </c>
      <c r="AV203" s="2">
        <f ca="1">IF(LEFT(Y203,1)="L",RANDBETWEEN(500000,5000000),IF(LEFT(Y203,1)="C",RANDBETWEEN(5000,50000),IF(LEFT(Y203,1)="N",RANDBETWEEN(10000,150000),IF(LEFT(Y203,1)="J",RANDBETWEEN(8000,200000),RANDBETWEEN(5000,100000)))))</f>
        <v>63305</v>
      </c>
      <c r="AW203" s="2">
        <f ca="1">INT(AV203*RANDBETWEEN(30,60)/100)</f>
        <v>23422</v>
      </c>
      <c r="AX203">
        <f ca="1">IF(Z203="ORAL",RANDBETWEEN(1000,10000),IF(OR(Z203="INTRAVENOSA",Z203="INTRAMUSCULAR"),RANDBETWEEN(100,2000),IF(OR(Z203="OFTÁLMICA",Z203="TOPICA (EXTERNA)"),RANDBETWEEN(200,3000),RANDBETWEEN(100,1500))))</f>
        <v>6286</v>
      </c>
      <c r="AY203" s="2">
        <f ca="1">INT(AV203*RANDBETWEEN(90,130)/100)</f>
        <v>72800</v>
      </c>
      <c r="AZ203" t="str">
        <f t="shared" ca="1" si="18"/>
        <v>9.3%</v>
      </c>
      <c r="BA203" t="str">
        <f t="shared" ca="1" si="19"/>
        <v>ALTO</v>
      </c>
    </row>
    <row r="204" spans="4:53" x14ac:dyDescent="0.35">
      <c r="D204" t="s">
        <v>1678</v>
      </c>
      <c r="E204" s="1">
        <v>39937</v>
      </c>
      <c r="F204" t="s">
        <v>1679</v>
      </c>
      <c r="G204" t="s">
        <v>108</v>
      </c>
      <c r="H204" t="s">
        <v>454</v>
      </c>
      <c r="I204">
        <v>19999305</v>
      </c>
      <c r="J204" t="s">
        <v>28</v>
      </c>
      <c r="K204">
        <v>10</v>
      </c>
      <c r="L204" t="s">
        <v>27</v>
      </c>
      <c r="M204" t="s">
        <v>1680</v>
      </c>
      <c r="N204" t="s">
        <v>1681</v>
      </c>
      <c r="O204" t="s">
        <v>1682</v>
      </c>
      <c r="P204" t="s">
        <v>659</v>
      </c>
      <c r="Q204" s="1">
        <v>42051</v>
      </c>
      <c r="R204" t="s">
        <v>527</v>
      </c>
      <c r="S204" t="s">
        <v>27</v>
      </c>
      <c r="T204" t="s">
        <v>520</v>
      </c>
      <c r="U204" t="s">
        <v>115</v>
      </c>
      <c r="V204" t="s">
        <v>162</v>
      </c>
      <c r="W204">
        <v>1</v>
      </c>
      <c r="X204">
        <v>19999305</v>
      </c>
      <c r="Y204" t="s">
        <v>164</v>
      </c>
      <c r="Z204" t="s">
        <v>119</v>
      </c>
      <c r="AA204" t="s">
        <v>24</v>
      </c>
      <c r="AB204" t="s">
        <v>120</v>
      </c>
      <c r="AC204" t="s">
        <v>25</v>
      </c>
      <c r="AD204" t="s">
        <v>121</v>
      </c>
      <c r="AE204">
        <v>4</v>
      </c>
      <c r="AF204" t="s">
        <v>27</v>
      </c>
      <c r="AG204" t="s">
        <v>26</v>
      </c>
      <c r="AH204" t="s">
        <v>1679</v>
      </c>
      <c r="AI204" t="str">
        <f t="shared" si="15"/>
        <v>NO</v>
      </c>
      <c r="AJ204" t="str">
        <f t="shared" si="16"/>
        <v>HALEON COLOMBIA</v>
      </c>
      <c r="AK204" t="str">
        <f>IF(ISNUMBER(SEARCH("FABRICANTE",AC204)),"FABRICANTE",IF(ISNUMBER(SEARCH("IMPORTADOR",AC204)),"IMPORTADOR","OTRO"))</f>
        <v>FABRICANTE</v>
      </c>
      <c r="AL204" t="str">
        <f>IF(LEFT(Y204,1)="A","Sistema digestivo",IF(LEFT(Y204,1)="B","Sangre",IF(LEFT(Y204,1)="C","Cardiovascular",IF(LEFT(Y204,1)="D","Dermatológico",IF(LEFT(Y204,1)="G","Genitourinario",IF(LEFT(Y204,1)="H","Hormonal",IF(LEFT(Y204,1)="J","Antiinfecciosos",IF(LEFT(Y204,1)="L","Oncológicos",IF(LEFT(Y204,1)="M","Musculoesquelético",IF(LEFT(Y204,1)="N","Sistema nervioso",IF(LEFT(Y204,1)="R","Respiratorio",IF(LEFT(Y204,1)="S","Oftálmico",IF(LEFT(Y204,1)="V","Varios","OTRO")))))))))))))</f>
        <v>Musculoesquelético</v>
      </c>
      <c r="AM204" t="str">
        <f>IF(AG204="Vigente","ACTIVO",IF(ISNUMBER(SEARCH("Inactivo",J204)),"INACTIVO","REVISAR"))</f>
        <v>ACTIVO</v>
      </c>
      <c r="AN204" t="str">
        <f ca="1">IF(OR(AF204="",AF204="null"),"",ROUND((AF204-TODAY())/365.25,2))</f>
        <v/>
      </c>
      <c r="AO204" t="str">
        <f ca="1">IF(AND(AG204="Vigente",OR(AF204="",AF204="null",AF204&gt;TODAY())),"SI",IF(AND(NOT(OR(AF204="",AF204="null")),AF204&lt;=TODAY()),"NO",IF(AG204="Vigente","SI","DESCONOCIDO")))</f>
        <v>SI</v>
      </c>
      <c r="AP204" t="str">
        <f>IF(AND(ISNUMBER(SEARCH("IMPORTAR",AA204)),ISNUMBER(SEARCH("FABRICAR",AA204))),"MIXTO",IF(ISNUMBER(SEARCH("IMPORTAR",AA204)),"IMPORTADO",IF(ISNUMBER(SEARCH("FABRICAR",AA204)),"LOCAL","OTRO")))</f>
        <v>LOCAL</v>
      </c>
      <c r="AQ204" t="str">
        <f>IF(AD204="Si","SI",IF(AD204="No","NO",""))</f>
        <v>NO</v>
      </c>
      <c r="AR204" t="str">
        <f>IF(ISNUMBER(SEARCH("®",N204)),"MARCA/INNOVADOR","GENERICO")</f>
        <v>MARCA/INNOVADOR</v>
      </c>
      <c r="AS204">
        <f ca="1">IF(AE204&gt;100,RANDBETWEEN(500,5000),IF(AND(AE204&gt;=10,AE204&lt;=100),RANDBETWEEN(100,1000),RANDBETWEEN(10,200)))</f>
        <v>27</v>
      </c>
      <c r="AT204">
        <f t="shared" ca="1" si="17"/>
        <v>4</v>
      </c>
      <c r="AU204">
        <f ca="1">INT(AS204*RANDBETWEEN(120,200)/100)</f>
        <v>53</v>
      </c>
      <c r="AV204" s="2">
        <f ca="1">IF(LEFT(Y204,1)="L",RANDBETWEEN(500000,5000000),IF(LEFT(Y204,1)="C",RANDBETWEEN(5000,50000),IF(LEFT(Y204,1)="N",RANDBETWEEN(10000,150000),IF(LEFT(Y204,1)="J",RANDBETWEEN(8000,200000),RANDBETWEEN(5000,100000)))))</f>
        <v>81548</v>
      </c>
      <c r="AW204" s="2">
        <f ca="1">INT(AV204*RANDBETWEEN(30,60)/100)</f>
        <v>30988</v>
      </c>
      <c r="AX204">
        <f ca="1">IF(Z204="ORAL",RANDBETWEEN(1000,10000),IF(OR(Z204="INTRAVENOSA",Z204="INTRAMUSCULAR"),RANDBETWEEN(100,2000),IF(OR(Z204="OFTÁLMICA",Z204="TOPICA (EXTERNA)"),RANDBETWEEN(200,3000),RANDBETWEEN(100,1500))))</f>
        <v>1100</v>
      </c>
      <c r="AY204" s="2">
        <f ca="1">INT(AV204*RANDBETWEEN(90,130)/100)</f>
        <v>102750</v>
      </c>
      <c r="AZ204" t="str">
        <f t="shared" ca="1" si="18"/>
        <v>11.3%</v>
      </c>
      <c r="BA204" t="str">
        <f t="shared" ca="1" si="19"/>
        <v>BAJO</v>
      </c>
    </row>
    <row r="205" spans="4:53" x14ac:dyDescent="0.35">
      <c r="D205" t="s">
        <v>1683</v>
      </c>
      <c r="E205" s="1">
        <v>35580</v>
      </c>
      <c r="F205" t="s">
        <v>1684</v>
      </c>
      <c r="G205" t="s">
        <v>108</v>
      </c>
      <c r="H205" t="s">
        <v>1685</v>
      </c>
      <c r="I205">
        <v>209244</v>
      </c>
      <c r="J205" t="s">
        <v>110</v>
      </c>
      <c r="K205">
        <v>1</v>
      </c>
      <c r="L205" t="s">
        <v>27</v>
      </c>
      <c r="M205" t="s">
        <v>1686</v>
      </c>
      <c r="N205" t="s">
        <v>1687</v>
      </c>
      <c r="O205" t="s">
        <v>1688</v>
      </c>
      <c r="P205" t="s">
        <v>33</v>
      </c>
      <c r="Q205" s="1">
        <v>39031</v>
      </c>
      <c r="R205" t="s">
        <v>33</v>
      </c>
      <c r="S205" s="1">
        <v>39926</v>
      </c>
      <c r="T205" t="s">
        <v>1689</v>
      </c>
      <c r="U205" t="s">
        <v>115</v>
      </c>
      <c r="V205" t="s">
        <v>75</v>
      </c>
      <c r="W205">
        <v>125</v>
      </c>
      <c r="X205">
        <v>209244</v>
      </c>
      <c r="Y205" t="s">
        <v>72</v>
      </c>
      <c r="Z205" t="s">
        <v>119</v>
      </c>
      <c r="AA205" t="s">
        <v>32</v>
      </c>
      <c r="AB205" t="s">
        <v>120</v>
      </c>
      <c r="AC205" t="s">
        <v>25</v>
      </c>
      <c r="AD205" t="s">
        <v>121</v>
      </c>
      <c r="AE205">
        <v>20</v>
      </c>
      <c r="AF205" t="s">
        <v>27</v>
      </c>
      <c r="AG205" t="s">
        <v>26</v>
      </c>
      <c r="AH205" t="s">
        <v>6759</v>
      </c>
      <c r="AI205" t="str">
        <f t="shared" si="15"/>
        <v>NO</v>
      </c>
      <c r="AJ205" t="str">
        <f t="shared" si="16"/>
        <v>GLAXOSMITHKLINE COLOMBIA</v>
      </c>
      <c r="AK205" t="str">
        <f>IF(ISNUMBER(SEARCH("FABRICANTE",AC205)),"FABRICANTE",IF(ISNUMBER(SEARCH("IMPORTADOR",AC205)),"IMPORTADOR","OTRO"))</f>
        <v>FABRICANTE</v>
      </c>
      <c r="AL205" t="str">
        <f>IF(LEFT(Y205,1)="A","Sistema digestivo",IF(LEFT(Y205,1)="B","Sangre",IF(LEFT(Y205,1)="C","Cardiovascular",IF(LEFT(Y205,1)="D","Dermatológico",IF(LEFT(Y205,1)="G","Genitourinario",IF(LEFT(Y205,1)="H","Hormonal",IF(LEFT(Y205,1)="J","Antiinfecciosos",IF(LEFT(Y205,1)="L","Oncológicos",IF(LEFT(Y205,1)="M","Musculoesquelético",IF(LEFT(Y205,1)="N","Sistema nervioso",IF(LEFT(Y205,1)="R","Respiratorio",IF(LEFT(Y205,1)="S","Oftálmico",IF(LEFT(Y205,1)="V","Varios","OTRO")))))))))))))</f>
        <v>Antiinfecciosos</v>
      </c>
      <c r="AM205" t="str">
        <f>IF(AG205="Vigente","ACTIVO",IF(ISNUMBER(SEARCH("Inactivo",J205)),"INACTIVO","REVISAR"))</f>
        <v>ACTIVO</v>
      </c>
      <c r="AN205" t="str">
        <f ca="1">IF(OR(AF205="",AF205="null"),"",ROUND((AF205-TODAY())/365.25,2))</f>
        <v/>
      </c>
      <c r="AO205" t="str">
        <f ca="1">IF(AND(AG205="Vigente",OR(AF205="",AF205="null",AF205&gt;TODAY())),"SI",IF(AND(NOT(OR(AF205="",AF205="null")),AF205&lt;=TODAY()),"NO",IF(AG205="Vigente","SI","DESCONOCIDO")))</f>
        <v>SI</v>
      </c>
      <c r="AP205" t="str">
        <f>IF(AND(ISNUMBER(SEARCH("IMPORTAR",AA205)),ISNUMBER(SEARCH("FABRICAR",AA205))),"MIXTO",IF(ISNUMBER(SEARCH("IMPORTAR",AA205)),"IMPORTADO",IF(ISNUMBER(SEARCH("FABRICAR",AA205)),"LOCAL","OTRO")))</f>
        <v>IMPORTADO</v>
      </c>
      <c r="AQ205" t="str">
        <f>IF(AD205="Si","SI",IF(AD205="No","NO",""))</f>
        <v>NO</v>
      </c>
      <c r="AR205" t="str">
        <f>IF(ISNUMBER(SEARCH("®",N205)),"MARCA/INNOVADOR","GENERICO")</f>
        <v>MARCA/INNOVADOR</v>
      </c>
      <c r="AS205">
        <f ca="1">IF(AE205&gt;100,RANDBETWEEN(500,5000),IF(AND(AE205&gt;=10,AE205&lt;=100),RANDBETWEEN(100,1000),RANDBETWEEN(10,200)))</f>
        <v>649</v>
      </c>
      <c r="AT205">
        <f t="shared" ca="1" si="17"/>
        <v>194</v>
      </c>
      <c r="AU205">
        <f ca="1">INT(AS205*RANDBETWEEN(120,200)/100)</f>
        <v>1070</v>
      </c>
      <c r="AV205" s="2">
        <f ca="1">IF(LEFT(Y205,1)="L",RANDBETWEEN(500000,5000000),IF(LEFT(Y205,1)="C",RANDBETWEEN(5000,50000),IF(LEFT(Y205,1)="N",RANDBETWEEN(10000,150000),IF(LEFT(Y205,1)="J",RANDBETWEEN(8000,200000),RANDBETWEEN(5000,100000)))))</f>
        <v>14535</v>
      </c>
      <c r="AW205" s="2">
        <f ca="1">INT(AV205*RANDBETWEEN(30,60)/100)</f>
        <v>8430</v>
      </c>
      <c r="AX205">
        <f ca="1">IF(Z205="ORAL",RANDBETWEEN(1000,10000),IF(OR(Z205="INTRAVENOSA",Z205="INTRAMUSCULAR"),RANDBETWEEN(100,2000),IF(OR(Z205="OFTÁLMICA",Z205="TOPICA (EXTERNA)"),RANDBETWEEN(200,3000),RANDBETWEEN(100,1500))))</f>
        <v>5473</v>
      </c>
      <c r="AY205" s="2">
        <f ca="1">INT(AV205*RANDBETWEEN(90,130)/100)</f>
        <v>18314</v>
      </c>
      <c r="AZ205" t="str">
        <f t="shared" ca="1" si="18"/>
        <v>21.1%</v>
      </c>
      <c r="BA205" t="str">
        <f t="shared" ca="1" si="19"/>
        <v>ALTO</v>
      </c>
    </row>
    <row r="206" spans="4:53" x14ac:dyDescent="0.35">
      <c r="D206" t="s">
        <v>1690</v>
      </c>
      <c r="E206" s="1">
        <v>38580</v>
      </c>
      <c r="F206" t="s">
        <v>1691</v>
      </c>
      <c r="G206" t="s">
        <v>108</v>
      </c>
      <c r="H206" t="s">
        <v>158</v>
      </c>
      <c r="I206">
        <v>19952343</v>
      </c>
      <c r="J206" t="s">
        <v>28</v>
      </c>
      <c r="K206">
        <v>9</v>
      </c>
      <c r="L206" t="s">
        <v>27</v>
      </c>
      <c r="M206" t="s">
        <v>1692</v>
      </c>
      <c r="N206" t="s">
        <v>1693</v>
      </c>
      <c r="O206" t="s">
        <v>1694</v>
      </c>
      <c r="P206" t="s">
        <v>1695</v>
      </c>
      <c r="Q206" s="1">
        <v>42352</v>
      </c>
      <c r="R206" t="s">
        <v>200</v>
      </c>
      <c r="S206" t="s">
        <v>27</v>
      </c>
      <c r="T206" t="s">
        <v>81</v>
      </c>
      <c r="U206" t="s">
        <v>115</v>
      </c>
      <c r="V206" t="s">
        <v>1696</v>
      </c>
      <c r="W206">
        <v>20</v>
      </c>
      <c r="X206">
        <v>19952343</v>
      </c>
      <c r="Y206" t="s">
        <v>1697</v>
      </c>
      <c r="Z206" t="s">
        <v>119</v>
      </c>
      <c r="AA206" t="s">
        <v>24</v>
      </c>
      <c r="AB206" t="s">
        <v>120</v>
      </c>
      <c r="AC206" t="s">
        <v>25</v>
      </c>
      <c r="AD206" t="s">
        <v>155</v>
      </c>
      <c r="AE206">
        <v>30</v>
      </c>
      <c r="AF206" t="s">
        <v>27</v>
      </c>
      <c r="AG206" t="s">
        <v>26</v>
      </c>
      <c r="AH206" t="s">
        <v>1696</v>
      </c>
      <c r="AI206" t="str">
        <f t="shared" si="15"/>
        <v>NO</v>
      </c>
      <c r="AJ206" t="str">
        <f t="shared" si="16"/>
        <v>LABORATORIOS MK</v>
      </c>
      <c r="AK206" t="str">
        <f>IF(ISNUMBER(SEARCH("FABRICANTE",AC206)),"FABRICANTE",IF(ISNUMBER(SEARCH("IMPORTADOR",AC206)),"IMPORTADOR","OTRO"))</f>
        <v>FABRICANTE</v>
      </c>
      <c r="AL206" t="str">
        <f>IF(LEFT(Y206,1)="A","Sistema digestivo",IF(LEFT(Y206,1)="B","Sangre",IF(LEFT(Y206,1)="C","Cardiovascular",IF(LEFT(Y206,1)="D","Dermatológico",IF(LEFT(Y206,1)="G","Genitourinario",IF(LEFT(Y206,1)="H","Hormonal",IF(LEFT(Y206,1)="J","Antiinfecciosos",IF(LEFT(Y206,1)="L","Oncológicos",IF(LEFT(Y206,1)="M","Musculoesquelético",IF(LEFT(Y206,1)="N","Sistema nervioso",IF(LEFT(Y206,1)="R","Respiratorio",IF(LEFT(Y206,1)="S","Oftálmico",IF(LEFT(Y206,1)="V","Varios","OTRO")))))))))))))</f>
        <v>Sistema nervioso</v>
      </c>
      <c r="AM206" t="str">
        <f>IF(AG206="Vigente","ACTIVO",IF(ISNUMBER(SEARCH("Inactivo",J206)),"INACTIVO","REVISAR"))</f>
        <v>ACTIVO</v>
      </c>
      <c r="AN206" t="str">
        <f ca="1">IF(OR(AF206="",AF206="null"),"",ROUND((AF206-TODAY())/365.25,2))</f>
        <v/>
      </c>
      <c r="AO206" t="str">
        <f ca="1">IF(AND(AG206="Vigente",OR(AF206="",AF206="null",AF206&gt;TODAY())),"SI",IF(AND(NOT(OR(AF206="",AF206="null")),AF206&lt;=TODAY()),"NO",IF(AG206="Vigente","SI","DESCONOCIDO")))</f>
        <v>SI</v>
      </c>
      <c r="AP206" t="str">
        <f>IF(AND(ISNUMBER(SEARCH("IMPORTAR",AA206)),ISNUMBER(SEARCH("FABRICAR",AA206))),"MIXTO",IF(ISNUMBER(SEARCH("IMPORTAR",AA206)),"IMPORTADO",IF(ISNUMBER(SEARCH("FABRICAR",AA206)),"LOCAL","OTRO")))</f>
        <v>LOCAL</v>
      </c>
      <c r="AQ206" t="str">
        <f>IF(AD206="Si","SI",IF(AD206="No","NO",""))</f>
        <v>SI</v>
      </c>
      <c r="AR206" t="str">
        <f>IF(ISNUMBER(SEARCH("®",N206)),"MARCA/INNOVADOR","GENERICO")</f>
        <v>GENERICO</v>
      </c>
      <c r="AS206">
        <f ca="1">IF(AE206&gt;100,RANDBETWEEN(500,5000),IF(AND(AE206&gt;=10,AE206&lt;=100),RANDBETWEEN(100,1000),RANDBETWEEN(10,200)))</f>
        <v>189</v>
      </c>
      <c r="AT206">
        <f t="shared" ca="1" si="17"/>
        <v>24</v>
      </c>
      <c r="AU206">
        <f ca="1">INT(AS206*RANDBETWEEN(120,200)/100)</f>
        <v>304</v>
      </c>
      <c r="AV206" s="2">
        <f ca="1">IF(LEFT(Y206,1)="L",RANDBETWEEN(500000,5000000),IF(LEFT(Y206,1)="C",RANDBETWEEN(5000,50000),IF(LEFT(Y206,1)="N",RANDBETWEEN(10000,150000),IF(LEFT(Y206,1)="J",RANDBETWEEN(8000,200000),RANDBETWEEN(5000,100000)))))</f>
        <v>100775</v>
      </c>
      <c r="AW206" s="2">
        <f ca="1">INT(AV206*RANDBETWEEN(30,60)/100)</f>
        <v>56434</v>
      </c>
      <c r="AX206">
        <f ca="1">IF(Z206="ORAL",RANDBETWEEN(1000,10000),IF(OR(Z206="INTRAVENOSA",Z206="INTRAMUSCULAR"),RANDBETWEEN(100,2000),IF(OR(Z206="OFTÁLMICA",Z206="TOPICA (EXTERNA)"),RANDBETWEEN(200,3000),RANDBETWEEN(100,1500))))</f>
        <v>9700</v>
      </c>
      <c r="AY206" s="2">
        <f ca="1">INT(AV206*RANDBETWEEN(90,130)/100)</f>
        <v>92713</v>
      </c>
      <c r="AZ206" t="str">
        <f t="shared" ca="1" si="18"/>
        <v>18.9%</v>
      </c>
      <c r="BA206" t="str">
        <f t="shared" ca="1" si="19"/>
        <v>BAJO</v>
      </c>
    </row>
    <row r="207" spans="4:53" x14ac:dyDescent="0.35">
      <c r="D207" t="s">
        <v>1698</v>
      </c>
      <c r="E207" s="1">
        <v>39518</v>
      </c>
      <c r="F207" t="s">
        <v>1699</v>
      </c>
      <c r="G207" t="s">
        <v>108</v>
      </c>
      <c r="H207" t="s">
        <v>1700</v>
      </c>
      <c r="I207">
        <v>19980633</v>
      </c>
      <c r="J207" t="s">
        <v>28</v>
      </c>
      <c r="K207">
        <v>9</v>
      </c>
      <c r="L207" t="s">
        <v>1701</v>
      </c>
      <c r="M207" t="s">
        <v>1702</v>
      </c>
      <c r="N207" t="s">
        <v>1703</v>
      </c>
      <c r="O207" t="s">
        <v>1704</v>
      </c>
      <c r="P207" t="s">
        <v>1705</v>
      </c>
      <c r="Q207" s="1">
        <v>43636</v>
      </c>
      <c r="R207" t="s">
        <v>50</v>
      </c>
      <c r="S207" t="s">
        <v>27</v>
      </c>
      <c r="T207" t="s">
        <v>308</v>
      </c>
      <c r="U207" t="s">
        <v>115</v>
      </c>
      <c r="V207" t="s">
        <v>173</v>
      </c>
      <c r="W207">
        <v>50</v>
      </c>
      <c r="X207">
        <v>19980633</v>
      </c>
      <c r="Y207" t="s">
        <v>174</v>
      </c>
      <c r="Z207" t="s">
        <v>213</v>
      </c>
      <c r="AA207" t="s">
        <v>24</v>
      </c>
      <c r="AB207" t="s">
        <v>120</v>
      </c>
      <c r="AC207" t="s">
        <v>25</v>
      </c>
      <c r="AD207" t="s">
        <v>155</v>
      </c>
      <c r="AE207">
        <v>100</v>
      </c>
      <c r="AF207" t="s">
        <v>27</v>
      </c>
      <c r="AG207" t="s">
        <v>26</v>
      </c>
      <c r="AH207" t="s">
        <v>6637</v>
      </c>
      <c r="AI207" t="str">
        <f t="shared" si="15"/>
        <v>SI</v>
      </c>
      <c r="AJ207" t="str">
        <f t="shared" si="16"/>
        <v>HUMAX PHARMACEUTICAL</v>
      </c>
      <c r="AK207" t="str">
        <f>IF(ISNUMBER(SEARCH("FABRICANTE",AC207)),"FABRICANTE",IF(ISNUMBER(SEARCH("IMPORTADOR",AC207)),"IMPORTADOR","OTRO"))</f>
        <v>FABRICANTE</v>
      </c>
      <c r="AL207" t="str">
        <f>IF(LEFT(Y207,1)="A","Sistema digestivo",IF(LEFT(Y207,1)="B","Sangre",IF(LEFT(Y207,1)="C","Cardiovascular",IF(LEFT(Y207,1)="D","Dermatológico",IF(LEFT(Y207,1)="G","Genitourinario",IF(LEFT(Y207,1)="H","Hormonal",IF(LEFT(Y207,1)="J","Antiinfecciosos",IF(LEFT(Y207,1)="L","Oncológicos",IF(LEFT(Y207,1)="M","Musculoesquelético",IF(LEFT(Y207,1)="N","Sistema nervioso",IF(LEFT(Y207,1)="R","Respiratorio",IF(LEFT(Y207,1)="S","Oftálmico",IF(LEFT(Y207,1)="V","Varios","OTRO")))))))))))))</f>
        <v>Sistema digestivo</v>
      </c>
      <c r="AM207" t="str">
        <f>IF(AG207="Vigente","ACTIVO",IF(ISNUMBER(SEARCH("Inactivo",J207)),"INACTIVO","REVISAR"))</f>
        <v>ACTIVO</v>
      </c>
      <c r="AN207" t="str">
        <f ca="1">IF(OR(AF207="",AF207="null"),"",ROUND((AF207-TODAY())/365.25,2))</f>
        <v/>
      </c>
      <c r="AO207" t="str">
        <f ca="1">IF(AND(AG207="Vigente",OR(AF207="",AF207="null",AF207&gt;TODAY())),"SI",IF(AND(NOT(OR(AF207="",AF207="null")),AF207&lt;=TODAY()),"NO",IF(AG207="Vigente","SI","DESCONOCIDO")))</f>
        <v>SI</v>
      </c>
      <c r="AP207" t="str">
        <f>IF(AND(ISNUMBER(SEARCH("IMPORTAR",AA207)),ISNUMBER(SEARCH("FABRICAR",AA207))),"MIXTO",IF(ISNUMBER(SEARCH("IMPORTAR",AA207)),"IMPORTADO",IF(ISNUMBER(SEARCH("FABRICAR",AA207)),"LOCAL","OTRO")))</f>
        <v>LOCAL</v>
      </c>
      <c r="AQ207" t="str">
        <f>IF(AD207="Si","SI",IF(AD207="No","NO",""))</f>
        <v>SI</v>
      </c>
      <c r="AR207" t="str">
        <f>IF(ISNUMBER(SEARCH("®",N207)),"MARCA/INNOVADOR","GENERICO")</f>
        <v>GENERICO</v>
      </c>
      <c r="AS207">
        <f ca="1">IF(AE207&gt;100,RANDBETWEEN(500,5000),IF(AND(AE207&gt;=10,AE207&lt;=100),RANDBETWEEN(100,1000),RANDBETWEEN(10,200)))</f>
        <v>853</v>
      </c>
      <c r="AT207">
        <f t="shared" ca="1" si="17"/>
        <v>162</v>
      </c>
      <c r="AU207">
        <f ca="1">INT(AS207*RANDBETWEEN(120,200)/100)</f>
        <v>1381</v>
      </c>
      <c r="AV207" s="2">
        <f ca="1">IF(LEFT(Y207,1)="L",RANDBETWEEN(500000,5000000),IF(LEFT(Y207,1)="C",RANDBETWEEN(5000,50000),IF(LEFT(Y207,1)="N",RANDBETWEEN(10000,150000),IF(LEFT(Y207,1)="J",RANDBETWEEN(8000,200000),RANDBETWEEN(5000,100000)))))</f>
        <v>14157</v>
      </c>
      <c r="AW207" s="2">
        <f ca="1">INT(AV207*RANDBETWEEN(30,60)/100)</f>
        <v>5804</v>
      </c>
      <c r="AX207">
        <f ca="1">IF(Z207="ORAL",RANDBETWEEN(1000,10000),IF(OR(Z207="INTRAVENOSA",Z207="INTRAMUSCULAR"),RANDBETWEEN(100,2000),IF(OR(Z207="OFTÁLMICA",Z207="TOPICA (EXTERNA)"),RANDBETWEEN(200,3000),RANDBETWEEN(100,1500))))</f>
        <v>1367</v>
      </c>
      <c r="AY207" s="2">
        <f ca="1">INT(AV207*RANDBETWEEN(90,130)/100)</f>
        <v>16138</v>
      </c>
      <c r="AZ207" t="str">
        <f t="shared" ca="1" si="18"/>
        <v>2.5%</v>
      </c>
      <c r="BA207" t="str">
        <f t="shared" ca="1" si="19"/>
        <v>BAJO</v>
      </c>
    </row>
    <row r="208" spans="4:53" x14ac:dyDescent="0.35">
      <c r="D208" t="s">
        <v>1706</v>
      </c>
      <c r="E208" s="1">
        <v>42296</v>
      </c>
      <c r="F208" t="s">
        <v>1473</v>
      </c>
      <c r="G208" t="s">
        <v>108</v>
      </c>
      <c r="H208" t="s">
        <v>168</v>
      </c>
      <c r="I208">
        <v>20093230</v>
      </c>
      <c r="J208" t="s">
        <v>28</v>
      </c>
      <c r="K208">
        <v>14</v>
      </c>
      <c r="L208" t="s">
        <v>27</v>
      </c>
      <c r="M208" t="s">
        <v>1707</v>
      </c>
      <c r="N208" t="s">
        <v>1708</v>
      </c>
      <c r="O208" t="s">
        <v>1709</v>
      </c>
      <c r="P208" t="s">
        <v>33</v>
      </c>
      <c r="Q208" s="1">
        <v>42226</v>
      </c>
      <c r="R208" t="s">
        <v>33</v>
      </c>
      <c r="S208" t="s">
        <v>27</v>
      </c>
      <c r="T208" t="s">
        <v>172</v>
      </c>
      <c r="U208" t="s">
        <v>115</v>
      </c>
      <c r="V208" t="s">
        <v>1209</v>
      </c>
      <c r="W208">
        <v>200</v>
      </c>
      <c r="X208">
        <v>20093230</v>
      </c>
      <c r="Y208" t="s">
        <v>1210</v>
      </c>
      <c r="Z208" t="s">
        <v>119</v>
      </c>
      <c r="AA208" t="s">
        <v>24</v>
      </c>
      <c r="AB208" t="s">
        <v>120</v>
      </c>
      <c r="AC208" t="s">
        <v>25</v>
      </c>
      <c r="AD208" t="s">
        <v>155</v>
      </c>
      <c r="AE208">
        <v>2</v>
      </c>
      <c r="AF208" t="s">
        <v>27</v>
      </c>
      <c r="AG208" t="s">
        <v>26</v>
      </c>
      <c r="AH208" t="s">
        <v>1473</v>
      </c>
      <c r="AI208" t="str">
        <f t="shared" si="15"/>
        <v>NO</v>
      </c>
      <c r="AJ208" t="str">
        <f t="shared" si="16"/>
        <v>NOVAMED</v>
      </c>
      <c r="AK208" t="str">
        <f>IF(ISNUMBER(SEARCH("FABRICANTE",AC208)),"FABRICANTE",IF(ISNUMBER(SEARCH("IMPORTADOR",AC208)),"IMPORTADOR","OTRO"))</f>
        <v>FABRICANTE</v>
      </c>
      <c r="AL208" t="str">
        <f>IF(LEFT(Y208,1)="A","Sistema digestivo",IF(LEFT(Y208,1)="B","Sangre",IF(LEFT(Y208,1)="C","Cardiovascular",IF(LEFT(Y208,1)="D","Dermatológico",IF(LEFT(Y208,1)="G","Genitourinario",IF(LEFT(Y208,1)="H","Hormonal",IF(LEFT(Y208,1)="J","Antiinfecciosos",IF(LEFT(Y208,1)="L","Oncológicos",IF(LEFT(Y208,1)="M","Musculoesquelético",IF(LEFT(Y208,1)="N","Sistema nervioso",IF(LEFT(Y208,1)="R","Respiratorio",IF(LEFT(Y208,1)="S","Oftálmico",IF(LEFT(Y208,1)="V","Varios","OTRO")))))))))))))</f>
        <v>Sistema digestivo</v>
      </c>
      <c r="AM208" t="str">
        <f>IF(AG208="Vigente","ACTIVO",IF(ISNUMBER(SEARCH("Inactivo",J208)),"INACTIVO","REVISAR"))</f>
        <v>ACTIVO</v>
      </c>
      <c r="AN208" t="str">
        <f ca="1">IF(OR(AF208="",AF208="null"),"",ROUND((AF208-TODAY())/365.25,2))</f>
        <v/>
      </c>
      <c r="AO208" t="str">
        <f ca="1">IF(AND(AG208="Vigente",OR(AF208="",AF208="null",AF208&gt;TODAY())),"SI",IF(AND(NOT(OR(AF208="",AF208="null")),AF208&lt;=TODAY()),"NO",IF(AG208="Vigente","SI","DESCONOCIDO")))</f>
        <v>SI</v>
      </c>
      <c r="AP208" t="str">
        <f>IF(AND(ISNUMBER(SEARCH("IMPORTAR",AA208)),ISNUMBER(SEARCH("FABRICAR",AA208))),"MIXTO",IF(ISNUMBER(SEARCH("IMPORTAR",AA208)),"IMPORTADO",IF(ISNUMBER(SEARCH("FABRICAR",AA208)),"LOCAL","OTRO")))</f>
        <v>LOCAL</v>
      </c>
      <c r="AQ208" t="str">
        <f>IF(AD208="Si","SI",IF(AD208="No","NO",""))</f>
        <v>SI</v>
      </c>
      <c r="AR208" t="str">
        <f>IF(ISNUMBER(SEARCH("®",N208)),"MARCA/INNOVADOR","GENERICO")</f>
        <v>GENERICO</v>
      </c>
      <c r="AS208">
        <f ca="1">IF(AE208&gt;100,RANDBETWEEN(500,5000),IF(AND(AE208&gt;=10,AE208&lt;=100),RANDBETWEEN(100,1000),RANDBETWEEN(10,200)))</f>
        <v>117</v>
      </c>
      <c r="AT208">
        <f t="shared" ca="1" si="17"/>
        <v>26</v>
      </c>
      <c r="AU208">
        <f ca="1">INT(AS208*RANDBETWEEN(120,200)/100)</f>
        <v>183</v>
      </c>
      <c r="AV208" s="2">
        <f ca="1">IF(LEFT(Y208,1)="L",RANDBETWEEN(500000,5000000),IF(LEFT(Y208,1)="C",RANDBETWEEN(5000,50000),IF(LEFT(Y208,1)="N",RANDBETWEEN(10000,150000),IF(LEFT(Y208,1)="J",RANDBETWEEN(8000,200000),RANDBETWEEN(5000,100000)))))</f>
        <v>74121</v>
      </c>
      <c r="AW208" s="2">
        <f ca="1">INT(AV208*RANDBETWEEN(30,60)/100)</f>
        <v>42248</v>
      </c>
      <c r="AX208">
        <f ca="1">IF(Z208="ORAL",RANDBETWEEN(1000,10000),IF(OR(Z208="INTRAVENOSA",Z208="INTRAMUSCULAR"),RANDBETWEEN(100,2000),IF(OR(Z208="OFTÁLMICA",Z208="TOPICA (EXTERNA)"),RANDBETWEEN(200,3000),RANDBETWEEN(100,1500))))</f>
        <v>3942</v>
      </c>
      <c r="AY208" s="2">
        <f ca="1">INT(AV208*RANDBETWEEN(90,130)/100)</f>
        <v>94133</v>
      </c>
      <c r="AZ208" t="str">
        <f t="shared" ca="1" si="18"/>
        <v>6.8%</v>
      </c>
      <c r="BA208" t="str">
        <f t="shared" ca="1" si="19"/>
        <v>BAJO</v>
      </c>
    </row>
    <row r="209" spans="4:53" x14ac:dyDescent="0.35">
      <c r="D209" t="s">
        <v>1710</v>
      </c>
      <c r="E209" s="1">
        <v>42794</v>
      </c>
      <c r="F209" t="s">
        <v>107</v>
      </c>
      <c r="G209" t="s">
        <v>108</v>
      </c>
      <c r="H209" t="s">
        <v>624</v>
      </c>
      <c r="I209">
        <v>20097771</v>
      </c>
      <c r="J209" t="s">
        <v>28</v>
      </c>
      <c r="K209">
        <v>1</v>
      </c>
      <c r="L209" t="s">
        <v>1711</v>
      </c>
      <c r="M209" t="s">
        <v>1712</v>
      </c>
      <c r="N209" t="s">
        <v>1713</v>
      </c>
      <c r="O209" t="s">
        <v>1714</v>
      </c>
      <c r="P209" t="s">
        <v>33</v>
      </c>
      <c r="Q209" s="1">
        <v>42409</v>
      </c>
      <c r="R209" t="s">
        <v>33</v>
      </c>
      <c r="S209" s="1">
        <v>44641</v>
      </c>
      <c r="T209" t="s">
        <v>624</v>
      </c>
      <c r="U209" t="s">
        <v>115</v>
      </c>
      <c r="V209" t="s">
        <v>1715</v>
      </c>
      <c r="W209" t="s">
        <v>117</v>
      </c>
      <c r="X209">
        <v>20097771</v>
      </c>
      <c r="Y209" t="s">
        <v>1716</v>
      </c>
      <c r="Z209" t="s">
        <v>119</v>
      </c>
      <c r="AA209" t="s">
        <v>32</v>
      </c>
      <c r="AB209" t="s">
        <v>120</v>
      </c>
      <c r="AC209" t="s">
        <v>38</v>
      </c>
      <c r="AD209" t="s">
        <v>121</v>
      </c>
      <c r="AE209">
        <v>14</v>
      </c>
      <c r="AF209" t="s">
        <v>27</v>
      </c>
      <c r="AG209" t="s">
        <v>26</v>
      </c>
      <c r="AH209" t="s">
        <v>107</v>
      </c>
      <c r="AI209" t="str">
        <f t="shared" si="15"/>
        <v>NO</v>
      </c>
      <c r="AJ209" t="str">
        <f t="shared" si="16"/>
        <v>GALENICUM HEALTH COLOMBIA</v>
      </c>
      <c r="AK209" t="str">
        <f>IF(ISNUMBER(SEARCH("FABRICANTE",AC209)),"FABRICANTE",IF(ISNUMBER(SEARCH("IMPORTADOR",AC209)),"IMPORTADOR","OTRO"))</f>
        <v>IMPORTADOR</v>
      </c>
      <c r="AL209" t="str">
        <f>IF(LEFT(Y209,1)="A","Sistema digestivo",IF(LEFT(Y209,1)="B","Sangre",IF(LEFT(Y209,1)="C","Cardiovascular",IF(LEFT(Y209,1)="D","Dermatológico",IF(LEFT(Y209,1)="G","Genitourinario",IF(LEFT(Y209,1)="H","Hormonal",IF(LEFT(Y209,1)="J","Antiinfecciosos",IF(LEFT(Y209,1)="L","Oncológicos",IF(LEFT(Y209,1)="M","Musculoesquelético",IF(LEFT(Y209,1)="N","Sistema nervioso",IF(LEFT(Y209,1)="R","Respiratorio",IF(LEFT(Y209,1)="S","Oftálmico",IF(LEFT(Y209,1)="V","Varios","OTRO")))))))))))))</f>
        <v>Cardiovascular</v>
      </c>
      <c r="AM209" t="str">
        <f>IF(AG209="Vigente","ACTIVO",IF(ISNUMBER(SEARCH("Inactivo",J209)),"INACTIVO","REVISAR"))</f>
        <v>ACTIVO</v>
      </c>
      <c r="AN209" t="str">
        <f ca="1">IF(OR(AF209="",AF209="null"),"",ROUND((AF209-TODAY())/365.25,2))</f>
        <v/>
      </c>
      <c r="AO209" t="str">
        <f ca="1">IF(AND(AG209="Vigente",OR(AF209="",AF209="null",AF209&gt;TODAY())),"SI",IF(AND(NOT(OR(AF209="",AF209="null")),AF209&lt;=TODAY()),"NO",IF(AG209="Vigente","SI","DESCONOCIDO")))</f>
        <v>SI</v>
      </c>
      <c r="AP209" t="str">
        <f>IF(AND(ISNUMBER(SEARCH("IMPORTAR",AA209)),ISNUMBER(SEARCH("FABRICAR",AA209))),"MIXTO",IF(ISNUMBER(SEARCH("IMPORTAR",AA209)),"IMPORTADO",IF(ISNUMBER(SEARCH("FABRICAR",AA209)),"LOCAL","OTRO")))</f>
        <v>IMPORTADO</v>
      </c>
      <c r="AQ209" t="str">
        <f>IF(AD209="Si","SI",IF(AD209="No","NO",""))</f>
        <v>NO</v>
      </c>
      <c r="AR209" t="str">
        <f>IF(ISNUMBER(SEARCH("®",N209)),"MARCA/INNOVADOR","GENERICO")</f>
        <v>MARCA/INNOVADOR</v>
      </c>
      <c r="AS209">
        <f ca="1">IF(AE209&gt;100,RANDBETWEEN(500,5000),IF(AND(AE209&gt;=10,AE209&lt;=100),RANDBETWEEN(100,1000),RANDBETWEEN(10,200)))</f>
        <v>501</v>
      </c>
      <c r="AT209">
        <f t="shared" ca="1" si="17"/>
        <v>75</v>
      </c>
      <c r="AU209">
        <f ca="1">INT(AS209*RANDBETWEEN(120,200)/100)</f>
        <v>836</v>
      </c>
      <c r="AV209" s="2">
        <f ca="1">IF(LEFT(Y209,1)="L",RANDBETWEEN(500000,5000000),IF(LEFT(Y209,1)="C",RANDBETWEEN(5000,50000),IF(LEFT(Y209,1)="N",RANDBETWEEN(10000,150000),IF(LEFT(Y209,1)="J",RANDBETWEEN(8000,200000),RANDBETWEEN(5000,100000)))))</f>
        <v>28266</v>
      </c>
      <c r="AW209" s="2">
        <f ca="1">INT(AV209*RANDBETWEEN(30,60)/100)</f>
        <v>12719</v>
      </c>
      <c r="AX209">
        <f ca="1">IF(Z209="ORAL",RANDBETWEEN(1000,10000),IF(OR(Z209="INTRAVENOSA",Z209="INTRAMUSCULAR"),RANDBETWEEN(100,2000),IF(OR(Z209="OFTÁLMICA",Z209="TOPICA (EXTERNA)"),RANDBETWEEN(200,3000),RANDBETWEEN(100,1500))))</f>
        <v>3016</v>
      </c>
      <c r="AY209" s="2">
        <f ca="1">INT(AV209*RANDBETWEEN(90,130)/100)</f>
        <v>33071</v>
      </c>
      <c r="AZ209" t="str">
        <f t="shared" ca="1" si="18"/>
        <v>8.8%</v>
      </c>
      <c r="BA209" t="str">
        <f t="shared" ca="1" si="19"/>
        <v>BAJO</v>
      </c>
    </row>
    <row r="210" spans="4:53" x14ac:dyDescent="0.35">
      <c r="D210" t="s">
        <v>1717</v>
      </c>
      <c r="E210" s="1">
        <v>44834</v>
      </c>
      <c r="F210" t="s">
        <v>1718</v>
      </c>
      <c r="G210" t="s">
        <v>108</v>
      </c>
      <c r="H210" t="s">
        <v>464</v>
      </c>
      <c r="I210">
        <v>20187927</v>
      </c>
      <c r="J210" t="s">
        <v>110</v>
      </c>
      <c r="K210">
        <v>12</v>
      </c>
      <c r="L210" t="s">
        <v>1719</v>
      </c>
      <c r="M210" t="s">
        <v>1720</v>
      </c>
      <c r="N210" t="s">
        <v>1721</v>
      </c>
      <c r="O210" t="s">
        <v>1722</v>
      </c>
      <c r="P210" t="s">
        <v>1180</v>
      </c>
      <c r="Q210" s="1">
        <v>44821</v>
      </c>
      <c r="R210" t="s">
        <v>50</v>
      </c>
      <c r="S210" s="1">
        <v>44822</v>
      </c>
      <c r="T210" t="s">
        <v>464</v>
      </c>
      <c r="U210" t="s">
        <v>115</v>
      </c>
      <c r="V210" t="s">
        <v>1723</v>
      </c>
      <c r="W210">
        <v>100</v>
      </c>
      <c r="X210">
        <v>20187927</v>
      </c>
      <c r="Y210" t="s">
        <v>1724</v>
      </c>
      <c r="Z210" t="s">
        <v>260</v>
      </c>
      <c r="AA210" t="s">
        <v>32</v>
      </c>
      <c r="AB210" t="s">
        <v>133</v>
      </c>
      <c r="AC210" t="s">
        <v>38</v>
      </c>
      <c r="AD210" t="s">
        <v>121</v>
      </c>
      <c r="AE210">
        <v>5</v>
      </c>
      <c r="AF210" t="s">
        <v>27</v>
      </c>
      <c r="AG210" t="s">
        <v>26</v>
      </c>
      <c r="AH210" t="s">
        <v>1787</v>
      </c>
      <c r="AI210" t="str">
        <f t="shared" si="15"/>
        <v>NO</v>
      </c>
      <c r="AJ210" t="str">
        <f t="shared" si="16"/>
        <v>MEGALABS COLOMBIA</v>
      </c>
      <c r="AK210" t="str">
        <f>IF(ISNUMBER(SEARCH("FABRICANTE",AC210)),"FABRICANTE",IF(ISNUMBER(SEARCH("IMPORTADOR",AC210)),"IMPORTADOR","OTRO"))</f>
        <v>IMPORTADOR</v>
      </c>
      <c r="AL210" t="str">
        <f>IF(LEFT(Y210,1)="A","Sistema digestivo",IF(LEFT(Y210,1)="B","Sangre",IF(LEFT(Y210,1)="C","Cardiovascular",IF(LEFT(Y210,1)="D","Dermatológico",IF(LEFT(Y210,1)="G","Genitourinario",IF(LEFT(Y210,1)="H","Hormonal",IF(LEFT(Y210,1)="J","Antiinfecciosos",IF(LEFT(Y210,1)="L","Oncológicos",IF(LEFT(Y210,1)="M","Musculoesquelético",IF(LEFT(Y210,1)="N","Sistema nervioso",IF(LEFT(Y210,1)="R","Respiratorio",IF(LEFT(Y210,1)="S","Oftálmico",IF(LEFT(Y210,1)="V","Varios","OTRO")))))))))))))</f>
        <v>Sangre</v>
      </c>
      <c r="AM210" t="str">
        <f>IF(AG210="Vigente","ACTIVO",IF(ISNUMBER(SEARCH("Inactivo",J210)),"INACTIVO","REVISAR"))</f>
        <v>ACTIVO</v>
      </c>
      <c r="AN210" t="str">
        <f ca="1">IF(OR(AF210="",AF210="null"),"",ROUND((AF210-TODAY())/365.25,2))</f>
        <v/>
      </c>
      <c r="AO210" t="str">
        <f ca="1">IF(AND(AG210="Vigente",OR(AF210="",AF210="null",AF210&gt;TODAY())),"SI",IF(AND(NOT(OR(AF210="",AF210="null")),AF210&lt;=TODAY()),"NO",IF(AG210="Vigente","SI","DESCONOCIDO")))</f>
        <v>SI</v>
      </c>
      <c r="AP210" t="str">
        <f>IF(AND(ISNUMBER(SEARCH("IMPORTAR",AA210)),ISNUMBER(SEARCH("FABRICAR",AA210))),"MIXTO",IF(ISNUMBER(SEARCH("IMPORTAR",AA210)),"IMPORTADO",IF(ISNUMBER(SEARCH("FABRICAR",AA210)),"LOCAL","OTRO")))</f>
        <v>IMPORTADO</v>
      </c>
      <c r="AQ210" t="str">
        <f>IF(AD210="Si","SI",IF(AD210="No","NO",""))</f>
        <v>NO</v>
      </c>
      <c r="AR210" t="str">
        <f>IF(ISNUMBER(SEARCH("®",N210)),"MARCA/INNOVADOR","GENERICO")</f>
        <v>GENERICO</v>
      </c>
      <c r="AS210">
        <f ca="1">IF(AE210&gt;100,RANDBETWEEN(500,5000),IF(AND(AE210&gt;=10,AE210&lt;=100),RANDBETWEEN(100,1000),RANDBETWEEN(10,200)))</f>
        <v>142</v>
      </c>
      <c r="AT210">
        <f t="shared" ca="1" si="17"/>
        <v>29</v>
      </c>
      <c r="AU210">
        <f ca="1">INT(AS210*RANDBETWEEN(120,200)/100)</f>
        <v>248</v>
      </c>
      <c r="AV210" s="2">
        <f ca="1">IF(LEFT(Y210,1)="L",RANDBETWEEN(500000,5000000),IF(LEFT(Y210,1)="C",RANDBETWEEN(5000,50000),IF(LEFT(Y210,1)="N",RANDBETWEEN(10000,150000),IF(LEFT(Y210,1)="J",RANDBETWEEN(8000,200000),RANDBETWEEN(5000,100000)))))</f>
        <v>60944</v>
      </c>
      <c r="AW210" s="2">
        <f ca="1">INT(AV210*RANDBETWEEN(30,60)/100)</f>
        <v>21330</v>
      </c>
      <c r="AX210">
        <f ca="1">IF(Z210="ORAL",RANDBETWEEN(1000,10000),IF(OR(Z210="INTRAVENOSA",Z210="INTRAMUSCULAR"),RANDBETWEEN(100,2000),IF(OR(Z210="OFTÁLMICA",Z210="TOPICA (EXTERNA)"),RANDBETWEEN(200,3000),RANDBETWEEN(100,1500))))</f>
        <v>479</v>
      </c>
      <c r="AY210" s="2">
        <f ca="1">INT(AV210*RANDBETWEEN(90,130)/100)</f>
        <v>70085</v>
      </c>
      <c r="AZ210" t="str">
        <f t="shared" ca="1" si="18"/>
        <v>4.5%</v>
      </c>
      <c r="BA210" t="str">
        <f t="shared" ca="1" si="19"/>
        <v>ALTO</v>
      </c>
    </row>
    <row r="211" spans="4:53" x14ac:dyDescent="0.35">
      <c r="D211" t="s">
        <v>1725</v>
      </c>
      <c r="E211" s="1">
        <v>43787</v>
      </c>
      <c r="F211" t="s">
        <v>1726</v>
      </c>
      <c r="G211" t="s">
        <v>108</v>
      </c>
      <c r="H211" t="s">
        <v>146</v>
      </c>
      <c r="I211">
        <v>20168919</v>
      </c>
      <c r="J211" t="s">
        <v>28</v>
      </c>
      <c r="K211">
        <v>29</v>
      </c>
      <c r="L211" t="s">
        <v>1727</v>
      </c>
      <c r="M211" t="s">
        <v>1728</v>
      </c>
      <c r="N211" t="s">
        <v>1729</v>
      </c>
      <c r="O211" t="s">
        <v>1730</v>
      </c>
      <c r="P211" t="s">
        <v>1731</v>
      </c>
      <c r="Q211" s="1">
        <v>44126</v>
      </c>
      <c r="R211" t="s">
        <v>78</v>
      </c>
      <c r="S211" t="s">
        <v>27</v>
      </c>
      <c r="T211" t="s">
        <v>146</v>
      </c>
      <c r="U211" t="s">
        <v>247</v>
      </c>
      <c r="V211" t="s">
        <v>1015</v>
      </c>
      <c r="W211" t="s">
        <v>1732</v>
      </c>
      <c r="X211">
        <v>20168919</v>
      </c>
      <c r="Y211" t="s">
        <v>1016</v>
      </c>
      <c r="Z211" t="s">
        <v>119</v>
      </c>
      <c r="AA211" t="s">
        <v>24</v>
      </c>
      <c r="AB211" t="s">
        <v>250</v>
      </c>
      <c r="AC211" t="s">
        <v>25</v>
      </c>
      <c r="AD211" t="s">
        <v>155</v>
      </c>
      <c r="AE211">
        <v>1</v>
      </c>
      <c r="AF211" t="s">
        <v>27</v>
      </c>
      <c r="AG211" t="s">
        <v>26</v>
      </c>
      <c r="AH211" t="s">
        <v>1726</v>
      </c>
      <c r="AI211" t="str">
        <f t="shared" si="15"/>
        <v>NO</v>
      </c>
      <c r="AJ211" t="str">
        <f t="shared" si="16"/>
        <v>TECNOFAR TQ</v>
      </c>
      <c r="AK211" t="str">
        <f>IF(ISNUMBER(SEARCH("FABRICANTE",AC211)),"FABRICANTE",IF(ISNUMBER(SEARCH("IMPORTADOR",AC211)),"IMPORTADOR","OTRO"))</f>
        <v>FABRICANTE</v>
      </c>
      <c r="AL211" t="str">
        <f>IF(LEFT(Y211,1)="A","Sistema digestivo",IF(LEFT(Y211,1)="B","Sangre",IF(LEFT(Y211,1)="C","Cardiovascular",IF(LEFT(Y211,1)="D","Dermatológico",IF(LEFT(Y211,1)="G","Genitourinario",IF(LEFT(Y211,1)="H","Hormonal",IF(LEFT(Y211,1)="J","Antiinfecciosos",IF(LEFT(Y211,1)="L","Oncológicos",IF(LEFT(Y211,1)="M","Musculoesquelético",IF(LEFT(Y211,1)="N","Sistema nervioso",IF(LEFT(Y211,1)="R","Respiratorio",IF(LEFT(Y211,1)="S","Oftálmico",IF(LEFT(Y211,1)="V","Varios","OTRO")))))))))))))</f>
        <v>Sistema digestivo</v>
      </c>
      <c r="AM211" t="str">
        <f>IF(AG211="Vigente","ACTIVO",IF(ISNUMBER(SEARCH("Inactivo",J211)),"INACTIVO","REVISAR"))</f>
        <v>ACTIVO</v>
      </c>
      <c r="AN211" t="str">
        <f ca="1">IF(OR(AF211="",AF211="null"),"",ROUND((AF211-TODAY())/365.25,2))</f>
        <v/>
      </c>
      <c r="AO211" t="str">
        <f ca="1">IF(AND(AG211="Vigente",OR(AF211="",AF211="null",AF211&gt;TODAY())),"SI",IF(AND(NOT(OR(AF211="",AF211="null")),AF211&lt;=TODAY()),"NO",IF(AG211="Vigente","SI","DESCONOCIDO")))</f>
        <v>SI</v>
      </c>
      <c r="AP211" t="str">
        <f>IF(AND(ISNUMBER(SEARCH("IMPORTAR",AA211)),ISNUMBER(SEARCH("FABRICAR",AA211))),"MIXTO",IF(ISNUMBER(SEARCH("IMPORTAR",AA211)),"IMPORTADO",IF(ISNUMBER(SEARCH("FABRICAR",AA211)),"LOCAL","OTRO")))</f>
        <v>LOCAL</v>
      </c>
      <c r="AQ211" t="str">
        <f>IF(AD211="Si","SI",IF(AD211="No","NO",""))</f>
        <v>SI</v>
      </c>
      <c r="AR211" t="str">
        <f>IF(ISNUMBER(SEARCH("®",N211)),"MARCA/INNOVADOR","GENERICO")</f>
        <v>GENERICO</v>
      </c>
      <c r="AS211">
        <f ca="1">IF(AE211&gt;100,RANDBETWEEN(500,5000),IF(AND(AE211&gt;=10,AE211&lt;=100),RANDBETWEEN(100,1000),RANDBETWEEN(10,200)))</f>
        <v>50</v>
      </c>
      <c r="AT211">
        <f t="shared" ca="1" si="17"/>
        <v>13</v>
      </c>
      <c r="AU211">
        <f ca="1">INT(AS211*RANDBETWEEN(120,200)/100)</f>
        <v>73</v>
      </c>
      <c r="AV211" s="2">
        <f ca="1">IF(LEFT(Y211,1)="L",RANDBETWEEN(500000,5000000),IF(LEFT(Y211,1)="C",RANDBETWEEN(5000,50000),IF(LEFT(Y211,1)="N",RANDBETWEEN(10000,150000),IF(LEFT(Y211,1)="J",RANDBETWEEN(8000,200000),RANDBETWEEN(5000,100000)))))</f>
        <v>85145</v>
      </c>
      <c r="AW211" s="2">
        <f ca="1">INT(AV211*RANDBETWEEN(30,60)/100)</f>
        <v>50235</v>
      </c>
      <c r="AX211">
        <f ca="1">IF(Z211="ORAL",RANDBETWEEN(1000,10000),IF(OR(Z211="INTRAVENOSA",Z211="INTRAMUSCULAR"),RANDBETWEEN(100,2000),IF(OR(Z211="OFTÁLMICA",Z211="TOPICA (EXTERNA)"),RANDBETWEEN(200,3000),RANDBETWEEN(100,1500))))</f>
        <v>7737</v>
      </c>
      <c r="AY211" s="2">
        <f ca="1">INT(AV211*RANDBETWEEN(90,130)/100)</f>
        <v>83442</v>
      </c>
      <c r="AZ211" t="str">
        <f t="shared" ca="1" si="18"/>
        <v>24.2%</v>
      </c>
      <c r="BA211" t="str">
        <f t="shared" ca="1" si="19"/>
        <v>BAJO</v>
      </c>
    </row>
    <row r="212" spans="4:53" x14ac:dyDescent="0.35">
      <c r="D212" t="s">
        <v>1733</v>
      </c>
      <c r="E212" s="1">
        <v>42746</v>
      </c>
      <c r="F212" t="s">
        <v>1734</v>
      </c>
      <c r="G212" t="s">
        <v>108</v>
      </c>
      <c r="H212" t="s">
        <v>1205</v>
      </c>
      <c r="I212">
        <v>20100820</v>
      </c>
      <c r="J212" t="s">
        <v>28</v>
      </c>
      <c r="K212">
        <v>4</v>
      </c>
      <c r="L212" t="s">
        <v>27</v>
      </c>
      <c r="M212" t="s">
        <v>1735</v>
      </c>
      <c r="N212" t="s">
        <v>1736</v>
      </c>
      <c r="O212" t="s">
        <v>1737</v>
      </c>
      <c r="P212" t="s">
        <v>27</v>
      </c>
      <c r="Q212" s="1">
        <v>42577</v>
      </c>
      <c r="R212" t="s">
        <v>78</v>
      </c>
      <c r="S212" t="s">
        <v>27</v>
      </c>
      <c r="T212" t="s">
        <v>991</v>
      </c>
      <c r="U212" t="s">
        <v>247</v>
      </c>
      <c r="V212" t="s">
        <v>1015</v>
      </c>
      <c r="W212" t="s">
        <v>1738</v>
      </c>
      <c r="X212">
        <v>20100820</v>
      </c>
      <c r="Y212" t="s">
        <v>1016</v>
      </c>
      <c r="Z212" t="s">
        <v>119</v>
      </c>
      <c r="AA212" t="s">
        <v>24</v>
      </c>
      <c r="AB212" t="s">
        <v>250</v>
      </c>
      <c r="AC212" t="s">
        <v>25</v>
      </c>
      <c r="AD212" t="s">
        <v>155</v>
      </c>
      <c r="AE212">
        <v>1</v>
      </c>
      <c r="AF212" t="s">
        <v>27</v>
      </c>
      <c r="AG212" t="s">
        <v>26</v>
      </c>
      <c r="AH212" t="s">
        <v>6760</v>
      </c>
      <c r="AI212" t="str">
        <f t="shared" si="15"/>
        <v>NO</v>
      </c>
      <c r="AJ212" t="str">
        <f t="shared" si="16"/>
        <v>FARMA DE COLOMBIA</v>
      </c>
      <c r="AK212" t="str">
        <f>IF(ISNUMBER(SEARCH("FABRICANTE",AC212)),"FABRICANTE",IF(ISNUMBER(SEARCH("IMPORTADOR",AC212)),"IMPORTADOR","OTRO"))</f>
        <v>FABRICANTE</v>
      </c>
      <c r="AL212" t="str">
        <f>IF(LEFT(Y212,1)="A","Sistema digestivo",IF(LEFT(Y212,1)="B","Sangre",IF(LEFT(Y212,1)="C","Cardiovascular",IF(LEFT(Y212,1)="D","Dermatológico",IF(LEFT(Y212,1)="G","Genitourinario",IF(LEFT(Y212,1)="H","Hormonal",IF(LEFT(Y212,1)="J","Antiinfecciosos",IF(LEFT(Y212,1)="L","Oncológicos",IF(LEFT(Y212,1)="M","Musculoesquelético",IF(LEFT(Y212,1)="N","Sistema nervioso",IF(LEFT(Y212,1)="R","Respiratorio",IF(LEFT(Y212,1)="S","Oftálmico",IF(LEFT(Y212,1)="V","Varios","OTRO")))))))))))))</f>
        <v>Sistema digestivo</v>
      </c>
      <c r="AM212" t="str">
        <f>IF(AG212="Vigente","ACTIVO",IF(ISNUMBER(SEARCH("Inactivo",J212)),"INACTIVO","REVISAR"))</f>
        <v>ACTIVO</v>
      </c>
      <c r="AN212" t="str">
        <f ca="1">IF(OR(AF212="",AF212="null"),"",ROUND((AF212-TODAY())/365.25,2))</f>
        <v/>
      </c>
      <c r="AO212" t="str">
        <f ca="1">IF(AND(AG212="Vigente",OR(AF212="",AF212="null",AF212&gt;TODAY())),"SI",IF(AND(NOT(OR(AF212="",AF212="null")),AF212&lt;=TODAY()),"NO",IF(AG212="Vigente","SI","DESCONOCIDO")))</f>
        <v>SI</v>
      </c>
      <c r="AP212" t="str">
        <f>IF(AND(ISNUMBER(SEARCH("IMPORTAR",AA212)),ISNUMBER(SEARCH("FABRICAR",AA212))),"MIXTO",IF(ISNUMBER(SEARCH("IMPORTAR",AA212)),"IMPORTADO",IF(ISNUMBER(SEARCH("FABRICAR",AA212)),"LOCAL","OTRO")))</f>
        <v>LOCAL</v>
      </c>
      <c r="AQ212" t="str">
        <f>IF(AD212="Si","SI",IF(AD212="No","NO",""))</f>
        <v>SI</v>
      </c>
      <c r="AR212" t="str">
        <f>IF(ISNUMBER(SEARCH("®",N212)),"MARCA/INNOVADOR","GENERICO")</f>
        <v>MARCA/INNOVADOR</v>
      </c>
      <c r="AS212">
        <f ca="1">IF(AE212&gt;100,RANDBETWEEN(500,5000),IF(AND(AE212&gt;=10,AE212&lt;=100),RANDBETWEEN(100,1000),RANDBETWEEN(10,200)))</f>
        <v>10</v>
      </c>
      <c r="AT212">
        <f t="shared" ca="1" si="17"/>
        <v>2</v>
      </c>
      <c r="AU212">
        <f ca="1">INT(AS212*RANDBETWEEN(120,200)/100)</f>
        <v>13</v>
      </c>
      <c r="AV212" s="2">
        <f ca="1">IF(LEFT(Y212,1)="L",RANDBETWEEN(500000,5000000),IF(LEFT(Y212,1)="C",RANDBETWEEN(5000,50000),IF(LEFT(Y212,1)="N",RANDBETWEEN(10000,150000),IF(LEFT(Y212,1)="J",RANDBETWEEN(8000,200000),RANDBETWEEN(5000,100000)))))</f>
        <v>21689</v>
      </c>
      <c r="AW212" s="2">
        <f ca="1">INT(AV212*RANDBETWEEN(30,60)/100)</f>
        <v>12796</v>
      </c>
      <c r="AX212">
        <f ca="1">IF(Z212="ORAL",RANDBETWEEN(1000,10000),IF(OR(Z212="INTRAVENOSA",Z212="INTRAMUSCULAR"),RANDBETWEEN(100,2000),IF(OR(Z212="OFTÁLMICA",Z212="TOPICA (EXTERNA)"),RANDBETWEEN(200,3000),RANDBETWEEN(100,1500))))</f>
        <v>8550</v>
      </c>
      <c r="AY212" s="2">
        <f ca="1">INT(AV212*RANDBETWEEN(90,130)/100)</f>
        <v>26026</v>
      </c>
      <c r="AZ212" t="str">
        <f t="shared" ca="1" si="18"/>
        <v>24.7%</v>
      </c>
      <c r="BA212" t="str">
        <f t="shared" ca="1" si="19"/>
        <v>BAJO</v>
      </c>
    </row>
    <row r="213" spans="4:53" x14ac:dyDescent="0.35">
      <c r="D213" t="s">
        <v>1739</v>
      </c>
      <c r="E213" s="1">
        <v>36161</v>
      </c>
      <c r="F213" t="s">
        <v>1740</v>
      </c>
      <c r="G213" t="s">
        <v>108</v>
      </c>
      <c r="H213" t="s">
        <v>1689</v>
      </c>
      <c r="I213">
        <v>22606</v>
      </c>
      <c r="J213" t="s">
        <v>28</v>
      </c>
      <c r="K213">
        <v>8</v>
      </c>
      <c r="L213" t="s">
        <v>27</v>
      </c>
      <c r="M213" t="s">
        <v>1741</v>
      </c>
      <c r="N213" t="s">
        <v>1742</v>
      </c>
      <c r="O213" t="s">
        <v>1743</v>
      </c>
      <c r="P213" t="s">
        <v>659</v>
      </c>
      <c r="Q213" s="1">
        <v>41659</v>
      </c>
      <c r="R213" t="s">
        <v>37</v>
      </c>
      <c r="S213" t="s">
        <v>27</v>
      </c>
      <c r="T213" t="s">
        <v>1689</v>
      </c>
      <c r="U213" t="s">
        <v>115</v>
      </c>
      <c r="V213" t="s">
        <v>79</v>
      </c>
      <c r="W213">
        <v>500</v>
      </c>
      <c r="X213">
        <v>22606</v>
      </c>
      <c r="Y213" t="s">
        <v>1744</v>
      </c>
      <c r="Z213" t="s">
        <v>119</v>
      </c>
      <c r="AA213" t="s">
        <v>32</v>
      </c>
      <c r="AB213" t="s">
        <v>120</v>
      </c>
      <c r="AC213" t="s">
        <v>38</v>
      </c>
      <c r="AD213" t="s">
        <v>155</v>
      </c>
      <c r="AE213">
        <v>30</v>
      </c>
      <c r="AF213" t="s">
        <v>27</v>
      </c>
      <c r="AG213" t="s">
        <v>26</v>
      </c>
      <c r="AH213" t="s">
        <v>79</v>
      </c>
      <c r="AI213" t="str">
        <f t="shared" si="15"/>
        <v>NO</v>
      </c>
      <c r="AJ213" t="str">
        <f t="shared" si="16"/>
        <v>GLAXOSMITHKLINE COLOMBIA</v>
      </c>
      <c r="AK213" t="str">
        <f>IF(ISNUMBER(SEARCH("FABRICANTE",AC213)),"FABRICANTE",IF(ISNUMBER(SEARCH("IMPORTADOR",AC213)),"IMPORTADOR","OTRO"))</f>
        <v>IMPORTADOR</v>
      </c>
      <c r="AL213" t="str">
        <f>IF(LEFT(Y213,1)="A","Sistema digestivo",IF(LEFT(Y213,1)="B","Sangre",IF(LEFT(Y213,1)="C","Cardiovascular",IF(LEFT(Y213,1)="D","Dermatológico",IF(LEFT(Y213,1)="G","Genitourinario",IF(LEFT(Y213,1)="H","Hormonal",IF(LEFT(Y213,1)="J","Antiinfecciosos",IF(LEFT(Y213,1)="L","Oncológicos",IF(LEFT(Y213,1)="M","Musculoesquelético",IF(LEFT(Y213,1)="N","Sistema nervioso",IF(LEFT(Y213,1)="R","Respiratorio",IF(LEFT(Y213,1)="S","Oftálmico",IF(LEFT(Y213,1)="V","Varios","OTRO")))))))))))))</f>
        <v>Antiinfecciosos</v>
      </c>
      <c r="AM213" t="str">
        <f>IF(AG213="Vigente","ACTIVO",IF(ISNUMBER(SEARCH("Inactivo",J213)),"INACTIVO","REVISAR"))</f>
        <v>ACTIVO</v>
      </c>
      <c r="AN213" t="str">
        <f ca="1">IF(OR(AF213="",AF213="null"),"",ROUND((AF213-TODAY())/365.25,2))</f>
        <v/>
      </c>
      <c r="AO213" t="str">
        <f ca="1">IF(AND(AG213="Vigente",OR(AF213="",AF213="null",AF213&gt;TODAY())),"SI",IF(AND(NOT(OR(AF213="",AF213="null")),AF213&lt;=TODAY()),"NO",IF(AG213="Vigente","SI","DESCONOCIDO")))</f>
        <v>SI</v>
      </c>
      <c r="AP213" t="str">
        <f>IF(AND(ISNUMBER(SEARCH("IMPORTAR",AA213)),ISNUMBER(SEARCH("FABRICAR",AA213))),"MIXTO",IF(ISNUMBER(SEARCH("IMPORTAR",AA213)),"IMPORTADO",IF(ISNUMBER(SEARCH("FABRICAR",AA213)),"LOCAL","OTRO")))</f>
        <v>IMPORTADO</v>
      </c>
      <c r="AQ213" t="str">
        <f>IF(AD213="Si","SI",IF(AD213="No","NO",""))</f>
        <v>SI</v>
      </c>
      <c r="AR213" t="str">
        <f>IF(ISNUMBER(SEARCH("®",N213)),"MARCA/INNOVADOR","GENERICO")</f>
        <v>MARCA/INNOVADOR</v>
      </c>
      <c r="AS213">
        <f ca="1">IF(AE213&gt;100,RANDBETWEEN(500,5000),IF(AND(AE213&gt;=10,AE213&lt;=100),RANDBETWEEN(100,1000),RANDBETWEEN(10,200)))</f>
        <v>892</v>
      </c>
      <c r="AT213">
        <f t="shared" ca="1" si="17"/>
        <v>178</v>
      </c>
      <c r="AU213">
        <f ca="1">INT(AS213*RANDBETWEEN(120,200)/100)</f>
        <v>1230</v>
      </c>
      <c r="AV213" s="2">
        <f ca="1">IF(LEFT(Y213,1)="L",RANDBETWEEN(500000,5000000),IF(LEFT(Y213,1)="C",RANDBETWEEN(5000,50000),IF(LEFT(Y213,1)="N",RANDBETWEEN(10000,150000),IF(LEFT(Y213,1)="J",RANDBETWEEN(8000,200000),RANDBETWEEN(5000,100000)))))</f>
        <v>101445</v>
      </c>
      <c r="AW213" s="2">
        <f ca="1">INT(AV213*RANDBETWEEN(30,60)/100)</f>
        <v>49708</v>
      </c>
      <c r="AX213">
        <f ca="1">IF(Z213="ORAL",RANDBETWEEN(1000,10000),IF(OR(Z213="INTRAVENOSA",Z213="INTRAMUSCULAR"),RANDBETWEEN(100,2000),IF(OR(Z213="OFTÁLMICA",Z213="TOPICA (EXTERNA)"),RANDBETWEEN(200,3000),RANDBETWEEN(100,1500))))</f>
        <v>8062</v>
      </c>
      <c r="AY213" s="2">
        <f ca="1">INT(AV213*RANDBETWEEN(90,130)/100)</f>
        <v>108546</v>
      </c>
      <c r="AZ213" t="str">
        <f t="shared" ca="1" si="18"/>
        <v>22.6%</v>
      </c>
      <c r="BA213" t="str">
        <f t="shared" ca="1" si="19"/>
        <v>BAJO</v>
      </c>
    </row>
    <row r="214" spans="4:53" x14ac:dyDescent="0.35">
      <c r="D214" t="s">
        <v>1745</v>
      </c>
      <c r="E214" s="1">
        <v>41479</v>
      </c>
      <c r="F214" t="s">
        <v>1746</v>
      </c>
      <c r="G214" t="s">
        <v>108</v>
      </c>
      <c r="H214" t="s">
        <v>449</v>
      </c>
      <c r="I214">
        <v>20053968</v>
      </c>
      <c r="J214" t="s">
        <v>28</v>
      </c>
      <c r="K214">
        <v>2</v>
      </c>
      <c r="L214" t="s">
        <v>27</v>
      </c>
      <c r="M214" t="s">
        <v>1747</v>
      </c>
      <c r="N214" t="s">
        <v>1748</v>
      </c>
      <c r="O214" t="s">
        <v>1749</v>
      </c>
      <c r="P214" t="s">
        <v>1750</v>
      </c>
      <c r="Q214" s="1">
        <v>41247</v>
      </c>
      <c r="R214" t="s">
        <v>33</v>
      </c>
      <c r="S214" t="s">
        <v>27</v>
      </c>
      <c r="T214" t="s">
        <v>449</v>
      </c>
      <c r="U214" t="s">
        <v>115</v>
      </c>
      <c r="V214" t="s">
        <v>1751</v>
      </c>
      <c r="W214">
        <v>400</v>
      </c>
      <c r="X214">
        <v>20053968</v>
      </c>
      <c r="Y214" t="s">
        <v>1752</v>
      </c>
      <c r="Z214" t="s">
        <v>119</v>
      </c>
      <c r="AA214" t="s">
        <v>32</v>
      </c>
      <c r="AB214" t="s">
        <v>120</v>
      </c>
      <c r="AC214" t="s">
        <v>25</v>
      </c>
      <c r="AD214" t="s">
        <v>121</v>
      </c>
      <c r="AE214">
        <v>7</v>
      </c>
      <c r="AF214" t="s">
        <v>27</v>
      </c>
      <c r="AG214" t="s">
        <v>26</v>
      </c>
      <c r="AH214" t="s">
        <v>1751</v>
      </c>
      <c r="AI214" t="str">
        <f t="shared" si="15"/>
        <v>NO</v>
      </c>
      <c r="AJ214" t="str">
        <f t="shared" si="16"/>
        <v>MSN LABORATORIES PRIVATE</v>
      </c>
      <c r="AK214" t="str">
        <f>IF(ISNUMBER(SEARCH("FABRICANTE",AC214)),"FABRICANTE",IF(ISNUMBER(SEARCH("IMPORTADOR",AC214)),"IMPORTADOR","OTRO"))</f>
        <v>FABRICANTE</v>
      </c>
      <c r="AL214" t="str">
        <f>IF(LEFT(Y214,1)="A","Sistema digestivo",IF(LEFT(Y214,1)="B","Sangre",IF(LEFT(Y214,1)="C","Cardiovascular",IF(LEFT(Y214,1)="D","Dermatológico",IF(LEFT(Y214,1)="G","Genitourinario",IF(LEFT(Y214,1)="H","Hormonal",IF(LEFT(Y214,1)="J","Antiinfecciosos",IF(LEFT(Y214,1)="L","Oncológicos",IF(LEFT(Y214,1)="M","Musculoesquelético",IF(LEFT(Y214,1)="N","Sistema nervioso",IF(LEFT(Y214,1)="R","Respiratorio",IF(LEFT(Y214,1)="S","Oftálmico",IF(LEFT(Y214,1)="V","Varios","OTRO")))))))))))))</f>
        <v>Antiinfecciosos</v>
      </c>
      <c r="AM214" t="str">
        <f>IF(AG214="Vigente","ACTIVO",IF(ISNUMBER(SEARCH("Inactivo",J214)),"INACTIVO","REVISAR"))</f>
        <v>ACTIVO</v>
      </c>
      <c r="AN214" t="str">
        <f ca="1">IF(OR(AF214="",AF214="null"),"",ROUND((AF214-TODAY())/365.25,2))</f>
        <v/>
      </c>
      <c r="AO214" t="str">
        <f ca="1">IF(AND(AG214="Vigente",OR(AF214="",AF214="null",AF214&gt;TODAY())),"SI",IF(AND(NOT(OR(AF214="",AF214="null")),AF214&lt;=TODAY()),"NO",IF(AG214="Vigente","SI","DESCONOCIDO")))</f>
        <v>SI</v>
      </c>
      <c r="AP214" t="str">
        <f>IF(AND(ISNUMBER(SEARCH("IMPORTAR",AA214)),ISNUMBER(SEARCH("FABRICAR",AA214))),"MIXTO",IF(ISNUMBER(SEARCH("IMPORTAR",AA214)),"IMPORTADO",IF(ISNUMBER(SEARCH("FABRICAR",AA214)),"LOCAL","OTRO")))</f>
        <v>IMPORTADO</v>
      </c>
      <c r="AQ214" t="str">
        <f>IF(AD214="Si","SI",IF(AD214="No","NO",""))</f>
        <v>NO</v>
      </c>
      <c r="AR214" t="str">
        <f>IF(ISNUMBER(SEARCH("®",N214)),"MARCA/INNOVADOR","GENERICO")</f>
        <v>MARCA/INNOVADOR</v>
      </c>
      <c r="AS214">
        <f ca="1">IF(AE214&gt;100,RANDBETWEEN(500,5000),IF(AND(AE214&gt;=10,AE214&lt;=100),RANDBETWEEN(100,1000),RANDBETWEEN(10,200)))</f>
        <v>30</v>
      </c>
      <c r="AT214">
        <f t="shared" ca="1" si="17"/>
        <v>4</v>
      </c>
      <c r="AU214">
        <f ca="1">INT(AS214*RANDBETWEEN(120,200)/100)</f>
        <v>51</v>
      </c>
      <c r="AV214" s="2">
        <f ca="1">IF(LEFT(Y214,1)="L",RANDBETWEEN(500000,5000000),IF(LEFT(Y214,1)="C",RANDBETWEEN(5000,50000),IF(LEFT(Y214,1)="N",RANDBETWEEN(10000,150000),IF(LEFT(Y214,1)="J",RANDBETWEEN(8000,200000),RANDBETWEEN(5000,100000)))))</f>
        <v>181845</v>
      </c>
      <c r="AW214" s="2">
        <f ca="1">INT(AV214*RANDBETWEEN(30,60)/100)</f>
        <v>103651</v>
      </c>
      <c r="AX214">
        <f ca="1">IF(Z214="ORAL",RANDBETWEEN(1000,10000),IF(OR(Z214="INTRAVENOSA",Z214="INTRAMUSCULAR"),RANDBETWEEN(100,2000),IF(OR(Z214="OFTÁLMICA",Z214="TOPICA (EXTERNA)"),RANDBETWEEN(200,3000),RANDBETWEEN(100,1500))))</f>
        <v>5384</v>
      </c>
      <c r="AY214" s="2">
        <f ca="1">INT(AV214*RANDBETWEEN(90,130)/100)</f>
        <v>232761</v>
      </c>
      <c r="AZ214" t="str">
        <f t="shared" ca="1" si="18"/>
        <v>12.7%</v>
      </c>
      <c r="BA214" t="str">
        <f t="shared" ca="1" si="19"/>
        <v>BAJO</v>
      </c>
    </row>
    <row r="215" spans="4:53" x14ac:dyDescent="0.35">
      <c r="D215" t="s">
        <v>1753</v>
      </c>
      <c r="E215" s="1">
        <v>39618</v>
      </c>
      <c r="F215" t="s">
        <v>1754</v>
      </c>
      <c r="G215" t="s">
        <v>502</v>
      </c>
      <c r="H215" t="s">
        <v>464</v>
      </c>
      <c r="I215">
        <v>19987652</v>
      </c>
      <c r="J215" t="s">
        <v>28</v>
      </c>
      <c r="K215">
        <v>2</v>
      </c>
      <c r="L215" t="s">
        <v>27</v>
      </c>
      <c r="M215" t="s">
        <v>1755</v>
      </c>
      <c r="N215" t="s">
        <v>1756</v>
      </c>
      <c r="O215" t="s">
        <v>1757</v>
      </c>
      <c r="P215" t="s">
        <v>1758</v>
      </c>
      <c r="Q215" s="1">
        <v>39541</v>
      </c>
      <c r="R215" t="s">
        <v>1759</v>
      </c>
      <c r="S215" t="s">
        <v>27</v>
      </c>
      <c r="T215" t="s">
        <v>464</v>
      </c>
      <c r="U215" t="s">
        <v>781</v>
      </c>
      <c r="V215" t="s">
        <v>1760</v>
      </c>
      <c r="W215">
        <v>5</v>
      </c>
      <c r="X215">
        <v>19987652</v>
      </c>
      <c r="Y215" t="s">
        <v>1761</v>
      </c>
      <c r="Z215" t="s">
        <v>1762</v>
      </c>
      <c r="AA215" t="s">
        <v>32</v>
      </c>
      <c r="AB215" t="s">
        <v>133</v>
      </c>
      <c r="AC215" t="s">
        <v>38</v>
      </c>
      <c r="AD215" t="s">
        <v>155</v>
      </c>
      <c r="AE215">
        <v>2</v>
      </c>
      <c r="AF215" t="s">
        <v>27</v>
      </c>
      <c r="AG215" t="s">
        <v>26</v>
      </c>
      <c r="AH215" t="s">
        <v>1754</v>
      </c>
      <c r="AI215" t="str">
        <f t="shared" si="15"/>
        <v>NO</v>
      </c>
      <c r="AJ215" t="str">
        <f t="shared" si="16"/>
        <v>MEGALABS COLOMBIA</v>
      </c>
      <c r="AK215" t="str">
        <f>IF(ISNUMBER(SEARCH("FABRICANTE",AC215)),"FABRICANTE",IF(ISNUMBER(SEARCH("IMPORTADOR",AC215)),"IMPORTADOR","OTRO"))</f>
        <v>IMPORTADOR</v>
      </c>
      <c r="AL215" t="str">
        <f>IF(LEFT(Y215,1)="A","Sistema digestivo",IF(LEFT(Y215,1)="B","Sangre",IF(LEFT(Y215,1)="C","Cardiovascular",IF(LEFT(Y215,1)="D","Dermatológico",IF(LEFT(Y215,1)="G","Genitourinario",IF(LEFT(Y215,1)="H","Hormonal",IF(LEFT(Y215,1)="J","Antiinfecciosos",IF(LEFT(Y215,1)="L","Oncológicos",IF(LEFT(Y215,1)="M","Musculoesquelético",IF(LEFT(Y215,1)="N","Sistema nervioso",IF(LEFT(Y215,1)="R","Respiratorio",IF(LEFT(Y215,1)="S","Oftálmico",IF(LEFT(Y215,1)="V","Varios","OTRO")))))))))))))</f>
        <v>Oftálmico</v>
      </c>
      <c r="AM215" t="str">
        <f>IF(AG215="Vigente","ACTIVO",IF(ISNUMBER(SEARCH("Inactivo",J215)),"INACTIVO","REVISAR"))</f>
        <v>ACTIVO</v>
      </c>
      <c r="AN215" t="str">
        <f ca="1">IF(OR(AF215="",AF215="null"),"",ROUND((AF215-TODAY())/365.25,2))</f>
        <v/>
      </c>
      <c r="AO215" t="str">
        <f ca="1">IF(AND(AG215="Vigente",OR(AF215="",AF215="null",AF215&gt;TODAY())),"SI",IF(AND(NOT(OR(AF215="",AF215="null")),AF215&lt;=TODAY()),"NO",IF(AG215="Vigente","SI","DESCONOCIDO")))</f>
        <v>SI</v>
      </c>
      <c r="AP215" t="str">
        <f>IF(AND(ISNUMBER(SEARCH("IMPORTAR",AA215)),ISNUMBER(SEARCH("FABRICAR",AA215))),"MIXTO",IF(ISNUMBER(SEARCH("IMPORTAR",AA215)),"IMPORTADO",IF(ISNUMBER(SEARCH("FABRICAR",AA215)),"LOCAL","OTRO")))</f>
        <v>IMPORTADO</v>
      </c>
      <c r="AQ215" t="str">
        <f>IF(AD215="Si","SI",IF(AD215="No","NO",""))</f>
        <v>SI</v>
      </c>
      <c r="AR215" t="str">
        <f>IF(ISNUMBER(SEARCH("®",N215)),"MARCA/INNOVADOR","GENERICO")</f>
        <v>MARCA/INNOVADOR</v>
      </c>
      <c r="AS215">
        <f ca="1">IF(AE215&gt;100,RANDBETWEEN(500,5000),IF(AND(AE215&gt;=10,AE215&lt;=100),RANDBETWEEN(100,1000),RANDBETWEEN(10,200)))</f>
        <v>45</v>
      </c>
      <c r="AT215">
        <f t="shared" ca="1" si="17"/>
        <v>9</v>
      </c>
      <c r="AU215">
        <f ca="1">INT(AS215*RANDBETWEEN(120,200)/100)</f>
        <v>79</v>
      </c>
      <c r="AV215" s="2">
        <f ca="1">IF(LEFT(Y215,1)="L",RANDBETWEEN(500000,5000000),IF(LEFT(Y215,1)="C",RANDBETWEEN(5000,50000),IF(LEFT(Y215,1)="N",RANDBETWEEN(10000,150000),IF(LEFT(Y215,1)="J",RANDBETWEEN(8000,200000),RANDBETWEEN(5000,100000)))))</f>
        <v>56803</v>
      </c>
      <c r="AW215" s="2">
        <f ca="1">INT(AV215*RANDBETWEEN(30,60)/100)</f>
        <v>33513</v>
      </c>
      <c r="AX215">
        <f ca="1">IF(Z215="ORAL",RANDBETWEEN(1000,10000),IF(OR(Z215="INTRAVENOSA",Z215="INTRAMUSCULAR"),RANDBETWEEN(100,2000),IF(OR(Z215="OFTÁLMICA",Z215="TOPICA (EXTERNA)"),RANDBETWEEN(200,3000),RANDBETWEEN(100,1500))))</f>
        <v>1177</v>
      </c>
      <c r="AY215" s="2">
        <f ca="1">INT(AV215*RANDBETWEEN(90,130)/100)</f>
        <v>60211</v>
      </c>
      <c r="AZ215" t="str">
        <f t="shared" ca="1" si="18"/>
        <v>4.6%</v>
      </c>
      <c r="BA215" t="str">
        <f t="shared" ca="1" si="19"/>
        <v>BAJO</v>
      </c>
    </row>
    <row r="216" spans="4:53" x14ac:dyDescent="0.35">
      <c r="D216" t="s">
        <v>1763</v>
      </c>
      <c r="E216" s="1">
        <v>41942</v>
      </c>
      <c r="F216" t="s">
        <v>1609</v>
      </c>
      <c r="G216" t="s">
        <v>108</v>
      </c>
      <c r="H216" t="s">
        <v>1764</v>
      </c>
      <c r="I216">
        <v>20068387</v>
      </c>
      <c r="J216" t="s">
        <v>28</v>
      </c>
      <c r="K216">
        <v>3</v>
      </c>
      <c r="L216" t="s">
        <v>27</v>
      </c>
      <c r="M216" t="s">
        <v>1765</v>
      </c>
      <c r="N216" t="s">
        <v>1766</v>
      </c>
      <c r="O216" t="s">
        <v>1767</v>
      </c>
      <c r="P216" t="s">
        <v>659</v>
      </c>
      <c r="Q216" s="1">
        <v>41780</v>
      </c>
      <c r="R216" t="s">
        <v>37</v>
      </c>
      <c r="S216" t="s">
        <v>27</v>
      </c>
      <c r="T216" t="s">
        <v>114</v>
      </c>
      <c r="U216" t="s">
        <v>115</v>
      </c>
      <c r="V216" t="s">
        <v>1609</v>
      </c>
      <c r="W216">
        <v>80</v>
      </c>
      <c r="X216">
        <v>20068387</v>
      </c>
      <c r="Y216" t="s">
        <v>1614</v>
      </c>
      <c r="Z216" t="s">
        <v>119</v>
      </c>
      <c r="AA216" t="s">
        <v>165</v>
      </c>
      <c r="AB216" t="s">
        <v>120</v>
      </c>
      <c r="AC216" t="s">
        <v>25</v>
      </c>
      <c r="AD216" t="s">
        <v>121</v>
      </c>
      <c r="AE216">
        <v>14</v>
      </c>
      <c r="AF216" t="s">
        <v>27</v>
      </c>
      <c r="AG216" t="s">
        <v>26</v>
      </c>
      <c r="AH216" t="s">
        <v>1609</v>
      </c>
      <c r="AI216" t="str">
        <f t="shared" si="15"/>
        <v>NO</v>
      </c>
      <c r="AJ216" t="str">
        <f t="shared" si="16"/>
        <v>LABORATORIOS LEGRAND</v>
      </c>
      <c r="AK216" t="str">
        <f>IF(ISNUMBER(SEARCH("FABRICANTE",AC216)),"FABRICANTE",IF(ISNUMBER(SEARCH("IMPORTADOR",AC216)),"IMPORTADOR","OTRO"))</f>
        <v>FABRICANTE</v>
      </c>
      <c r="AL216" t="str">
        <f>IF(LEFT(Y216,1)="A","Sistema digestivo",IF(LEFT(Y216,1)="B","Sangre",IF(LEFT(Y216,1)="C","Cardiovascular",IF(LEFT(Y216,1)="D","Dermatológico",IF(LEFT(Y216,1)="G","Genitourinario",IF(LEFT(Y216,1)="H","Hormonal",IF(LEFT(Y216,1)="J","Antiinfecciosos",IF(LEFT(Y216,1)="L","Oncológicos",IF(LEFT(Y216,1)="M","Musculoesquelético",IF(LEFT(Y216,1)="N","Sistema nervioso",IF(LEFT(Y216,1)="R","Respiratorio",IF(LEFT(Y216,1)="S","Oftálmico",IF(LEFT(Y216,1)="V","Varios","OTRO")))))))))))))</f>
        <v>Cardiovascular</v>
      </c>
      <c r="AM216" t="str">
        <f>IF(AG216="Vigente","ACTIVO",IF(ISNUMBER(SEARCH("Inactivo",J216)),"INACTIVO","REVISAR"))</f>
        <v>ACTIVO</v>
      </c>
      <c r="AN216" t="str">
        <f ca="1">IF(OR(AF216="",AF216="null"),"",ROUND((AF216-TODAY())/365.25,2))</f>
        <v/>
      </c>
      <c r="AO216" t="str">
        <f ca="1">IF(AND(AG216="Vigente",OR(AF216="",AF216="null",AF216&gt;TODAY())),"SI",IF(AND(NOT(OR(AF216="",AF216="null")),AF216&lt;=TODAY()),"NO",IF(AG216="Vigente","SI","DESCONOCIDO")))</f>
        <v>SI</v>
      </c>
      <c r="AP216" t="str">
        <f>IF(AND(ISNUMBER(SEARCH("IMPORTAR",AA216)),ISNUMBER(SEARCH("FABRICAR",AA216))),"MIXTO",IF(ISNUMBER(SEARCH("IMPORTAR",AA216)),"IMPORTADO",IF(ISNUMBER(SEARCH("FABRICAR",AA216)),"LOCAL","OTRO")))</f>
        <v>IMPORTADO</v>
      </c>
      <c r="AQ216" t="str">
        <f>IF(AD216="Si","SI",IF(AD216="No","NO",""))</f>
        <v>NO</v>
      </c>
      <c r="AR216" t="str">
        <f>IF(ISNUMBER(SEARCH("®",N216)),"MARCA/INNOVADOR","GENERICO")</f>
        <v>MARCA/INNOVADOR</v>
      </c>
      <c r="AS216">
        <f ca="1">IF(AE216&gt;100,RANDBETWEEN(500,5000),IF(AND(AE216&gt;=10,AE216&lt;=100),RANDBETWEEN(100,1000),RANDBETWEEN(10,200)))</f>
        <v>826</v>
      </c>
      <c r="AT216">
        <f t="shared" ca="1" si="17"/>
        <v>247</v>
      </c>
      <c r="AU216">
        <f ca="1">INT(AS216*RANDBETWEEN(120,200)/100)</f>
        <v>1338</v>
      </c>
      <c r="AV216" s="2">
        <f ca="1">IF(LEFT(Y216,1)="L",RANDBETWEEN(500000,5000000),IF(LEFT(Y216,1)="C",RANDBETWEEN(5000,50000),IF(LEFT(Y216,1)="N",RANDBETWEEN(10000,150000),IF(LEFT(Y216,1)="J",RANDBETWEEN(8000,200000),RANDBETWEEN(5000,100000)))))</f>
        <v>39516</v>
      </c>
      <c r="AW216" s="2">
        <f ca="1">INT(AV216*RANDBETWEEN(30,60)/100)</f>
        <v>17782</v>
      </c>
      <c r="AX216">
        <f ca="1">IF(Z216="ORAL",RANDBETWEEN(1000,10000),IF(OR(Z216="INTRAVENOSA",Z216="INTRAMUSCULAR"),RANDBETWEEN(100,2000),IF(OR(Z216="OFTÁLMICA",Z216="TOPICA (EXTERNA)"),RANDBETWEEN(200,3000),RANDBETWEEN(100,1500))))</f>
        <v>8428</v>
      </c>
      <c r="AY216" s="2">
        <f ca="1">INT(AV216*RANDBETWEEN(90,130)/100)</f>
        <v>51370</v>
      </c>
      <c r="AZ216" t="str">
        <f t="shared" ca="1" si="18"/>
        <v>19.5%</v>
      </c>
      <c r="BA216" t="str">
        <f t="shared" ca="1" si="19"/>
        <v>BAJO</v>
      </c>
    </row>
    <row r="217" spans="4:53" x14ac:dyDescent="0.35">
      <c r="D217" t="s">
        <v>1768</v>
      </c>
      <c r="E217" s="1">
        <v>36161</v>
      </c>
      <c r="F217" t="s">
        <v>1769</v>
      </c>
      <c r="G217" t="s">
        <v>108</v>
      </c>
      <c r="H217" t="s">
        <v>1770</v>
      </c>
      <c r="I217">
        <v>35256</v>
      </c>
      <c r="J217" t="s">
        <v>28</v>
      </c>
      <c r="K217">
        <v>1</v>
      </c>
      <c r="L217" t="s">
        <v>27</v>
      </c>
      <c r="M217" t="s">
        <v>1771</v>
      </c>
      <c r="N217" t="s">
        <v>1772</v>
      </c>
      <c r="O217" t="s">
        <v>1773</v>
      </c>
      <c r="P217" t="s">
        <v>1774</v>
      </c>
      <c r="Q217" s="1">
        <v>39031</v>
      </c>
      <c r="R217" t="s">
        <v>1775</v>
      </c>
      <c r="S217" t="s">
        <v>27</v>
      </c>
      <c r="T217" t="s">
        <v>1776</v>
      </c>
      <c r="U217" t="s">
        <v>247</v>
      </c>
      <c r="V217" t="s">
        <v>1777</v>
      </c>
      <c r="W217" t="s">
        <v>1778</v>
      </c>
      <c r="X217">
        <v>35256</v>
      </c>
      <c r="Y217" t="s">
        <v>1779</v>
      </c>
      <c r="Z217" t="s">
        <v>566</v>
      </c>
      <c r="AA217" t="s">
        <v>24</v>
      </c>
      <c r="AB217" t="s">
        <v>653</v>
      </c>
      <c r="AC217" t="s">
        <v>25</v>
      </c>
      <c r="AD217" t="s">
        <v>121</v>
      </c>
      <c r="AE217">
        <v>1</v>
      </c>
      <c r="AF217" t="s">
        <v>27</v>
      </c>
      <c r="AG217" t="s">
        <v>26</v>
      </c>
      <c r="AH217" t="s">
        <v>1769</v>
      </c>
      <c r="AI217" t="str">
        <f t="shared" si="15"/>
        <v>NO</v>
      </c>
      <c r="AJ217" t="str">
        <f t="shared" si="16"/>
        <v>LABORATORIOS REMO</v>
      </c>
      <c r="AK217" t="str">
        <f>IF(ISNUMBER(SEARCH("FABRICANTE",AC217)),"FABRICANTE",IF(ISNUMBER(SEARCH("IMPORTADOR",AC217)),"IMPORTADOR","OTRO"))</f>
        <v>FABRICANTE</v>
      </c>
      <c r="AL217" t="str">
        <f>IF(LEFT(Y217,1)="A","Sistema digestivo",IF(LEFT(Y217,1)="B","Sangre",IF(LEFT(Y217,1)="C","Cardiovascular",IF(LEFT(Y217,1)="D","Dermatológico",IF(LEFT(Y217,1)="G","Genitourinario",IF(LEFT(Y217,1)="H","Hormonal",IF(LEFT(Y217,1)="J","Antiinfecciosos",IF(LEFT(Y217,1)="L","Oncológicos",IF(LEFT(Y217,1)="M","Musculoesquelético",IF(LEFT(Y217,1)="N","Sistema nervioso",IF(LEFT(Y217,1)="R","Respiratorio",IF(LEFT(Y217,1)="S","Oftálmico",IF(LEFT(Y217,1)="V","Varios","OTRO")))))))))))))</f>
        <v>Dermatológico</v>
      </c>
      <c r="AM217" t="str">
        <f>IF(AG217="Vigente","ACTIVO",IF(ISNUMBER(SEARCH("Inactivo",J217)),"INACTIVO","REVISAR"))</f>
        <v>ACTIVO</v>
      </c>
      <c r="AN217" t="str">
        <f ca="1">IF(OR(AF217="",AF217="null"),"",ROUND((AF217-TODAY())/365.25,2))</f>
        <v/>
      </c>
      <c r="AO217" t="str">
        <f ca="1">IF(AND(AG217="Vigente",OR(AF217="",AF217="null",AF217&gt;TODAY())),"SI",IF(AND(NOT(OR(AF217="",AF217="null")),AF217&lt;=TODAY()),"NO",IF(AG217="Vigente","SI","DESCONOCIDO")))</f>
        <v>SI</v>
      </c>
      <c r="AP217" t="str">
        <f>IF(AND(ISNUMBER(SEARCH("IMPORTAR",AA217)),ISNUMBER(SEARCH("FABRICAR",AA217))),"MIXTO",IF(ISNUMBER(SEARCH("IMPORTAR",AA217)),"IMPORTADO",IF(ISNUMBER(SEARCH("FABRICAR",AA217)),"LOCAL","OTRO")))</f>
        <v>LOCAL</v>
      </c>
      <c r="AQ217" t="str">
        <f>IF(AD217="Si","SI",IF(AD217="No","NO",""))</f>
        <v>NO</v>
      </c>
      <c r="AR217" t="str">
        <f>IF(ISNUMBER(SEARCH("®",N217)),"MARCA/INNOVADOR","GENERICO")</f>
        <v>MARCA/INNOVADOR</v>
      </c>
      <c r="AS217">
        <f ca="1">IF(AE217&gt;100,RANDBETWEEN(500,5000),IF(AND(AE217&gt;=10,AE217&lt;=100),RANDBETWEEN(100,1000),RANDBETWEEN(10,200)))</f>
        <v>161</v>
      </c>
      <c r="AT217">
        <f t="shared" ca="1" si="17"/>
        <v>46</v>
      </c>
      <c r="AU217">
        <f ca="1">INT(AS217*RANDBETWEEN(120,200)/100)</f>
        <v>220</v>
      </c>
      <c r="AV217" s="2">
        <f ca="1">IF(LEFT(Y217,1)="L",RANDBETWEEN(500000,5000000),IF(LEFT(Y217,1)="C",RANDBETWEEN(5000,50000),IF(LEFT(Y217,1)="N",RANDBETWEEN(10000,150000),IF(LEFT(Y217,1)="J",RANDBETWEEN(8000,200000),RANDBETWEEN(5000,100000)))))</f>
        <v>50340</v>
      </c>
      <c r="AW217" s="2">
        <f ca="1">INT(AV217*RANDBETWEEN(30,60)/100)</f>
        <v>17115</v>
      </c>
      <c r="AX217">
        <f ca="1">IF(Z217="ORAL",RANDBETWEEN(1000,10000),IF(OR(Z217="INTRAVENOSA",Z217="INTRAMUSCULAR"),RANDBETWEEN(100,2000),IF(OR(Z217="OFTÁLMICA",Z217="TOPICA (EXTERNA)"),RANDBETWEEN(200,3000),RANDBETWEEN(100,1500))))</f>
        <v>1956</v>
      </c>
      <c r="AY217" s="2">
        <f ca="1">INT(AV217*RANDBETWEEN(90,130)/100)</f>
        <v>54870</v>
      </c>
      <c r="AZ217" t="str">
        <f t="shared" ca="1" si="18"/>
        <v>8.4%</v>
      </c>
      <c r="BA217" t="str">
        <f t="shared" ca="1" si="19"/>
        <v>BAJO</v>
      </c>
    </row>
    <row r="218" spans="4:53" x14ac:dyDescent="0.35">
      <c r="D218" t="s">
        <v>1780</v>
      </c>
      <c r="E218" s="1">
        <v>38323</v>
      </c>
      <c r="F218" t="s">
        <v>1303</v>
      </c>
      <c r="G218" t="s">
        <v>108</v>
      </c>
      <c r="H218" t="s">
        <v>454</v>
      </c>
      <c r="I218">
        <v>19942488</v>
      </c>
      <c r="J218" t="s">
        <v>28</v>
      </c>
      <c r="K218">
        <v>6</v>
      </c>
      <c r="L218" t="s">
        <v>27</v>
      </c>
      <c r="M218" t="s">
        <v>1781</v>
      </c>
      <c r="N218" t="s">
        <v>1782</v>
      </c>
      <c r="O218" t="s">
        <v>1783</v>
      </c>
      <c r="P218" t="s">
        <v>1302</v>
      </c>
      <c r="Q218" s="1">
        <v>44546</v>
      </c>
      <c r="R218" t="s">
        <v>1302</v>
      </c>
      <c r="S218" t="s">
        <v>27</v>
      </c>
      <c r="T218" t="s">
        <v>1784</v>
      </c>
      <c r="U218" t="s">
        <v>115</v>
      </c>
      <c r="V218" t="s">
        <v>1303</v>
      </c>
      <c r="W218">
        <v>100</v>
      </c>
      <c r="X218">
        <v>19942488</v>
      </c>
      <c r="Y218" t="s">
        <v>1785</v>
      </c>
      <c r="Z218" t="s">
        <v>1305</v>
      </c>
      <c r="AA218" t="s">
        <v>24</v>
      </c>
      <c r="AB218" t="s">
        <v>120</v>
      </c>
      <c r="AC218" t="s">
        <v>25</v>
      </c>
      <c r="AD218" t="s">
        <v>155</v>
      </c>
      <c r="AE218">
        <v>10</v>
      </c>
      <c r="AF218" t="s">
        <v>27</v>
      </c>
      <c r="AG218" t="s">
        <v>26</v>
      </c>
      <c r="AH218" t="s">
        <v>1303</v>
      </c>
      <c r="AI218" t="str">
        <f t="shared" si="15"/>
        <v>NO</v>
      </c>
      <c r="AJ218" t="str">
        <f t="shared" si="16"/>
        <v>COLMED</v>
      </c>
      <c r="AK218" t="str">
        <f>IF(ISNUMBER(SEARCH("FABRICANTE",AC218)),"FABRICANTE",IF(ISNUMBER(SEARCH("IMPORTADOR",AC218)),"IMPORTADOR","OTRO"))</f>
        <v>FABRICANTE</v>
      </c>
      <c r="AL218" t="str">
        <f>IF(LEFT(Y218,1)="A","Sistema digestivo",IF(LEFT(Y218,1)="B","Sangre",IF(LEFT(Y218,1)="C","Cardiovascular",IF(LEFT(Y218,1)="D","Dermatológico",IF(LEFT(Y218,1)="G","Genitourinario",IF(LEFT(Y218,1)="H","Hormonal",IF(LEFT(Y218,1)="J","Antiinfecciosos",IF(LEFT(Y218,1)="L","Oncológicos",IF(LEFT(Y218,1)="M","Musculoesquelético",IF(LEFT(Y218,1)="N","Sistema nervioso",IF(LEFT(Y218,1)="R","Respiratorio",IF(LEFT(Y218,1)="S","Oftálmico",IF(LEFT(Y218,1)="V","Varios","OTRO")))))))))))))</f>
        <v>Sistema digestivo</v>
      </c>
      <c r="AM218" t="str">
        <f>IF(AG218="Vigente","ACTIVO",IF(ISNUMBER(SEARCH("Inactivo",J218)),"INACTIVO","REVISAR"))</f>
        <v>ACTIVO</v>
      </c>
      <c r="AN218" t="str">
        <f ca="1">IF(OR(AF218="",AF218="null"),"",ROUND((AF218-TODAY())/365.25,2))</f>
        <v/>
      </c>
      <c r="AO218" t="str">
        <f ca="1">IF(AND(AG218="Vigente",OR(AF218="",AF218="null",AF218&gt;TODAY())),"SI",IF(AND(NOT(OR(AF218="",AF218="null")),AF218&lt;=TODAY()),"NO",IF(AG218="Vigente","SI","DESCONOCIDO")))</f>
        <v>SI</v>
      </c>
      <c r="AP218" t="str">
        <f>IF(AND(ISNUMBER(SEARCH("IMPORTAR",AA218)),ISNUMBER(SEARCH("FABRICAR",AA218))),"MIXTO",IF(ISNUMBER(SEARCH("IMPORTAR",AA218)),"IMPORTADO",IF(ISNUMBER(SEARCH("FABRICAR",AA218)),"LOCAL","OTRO")))</f>
        <v>LOCAL</v>
      </c>
      <c r="AQ218" t="str">
        <f>IF(AD218="Si","SI",IF(AD218="No","NO",""))</f>
        <v>SI</v>
      </c>
      <c r="AR218" t="str">
        <f>IF(ISNUMBER(SEARCH("®",N218)),"MARCA/INNOVADOR","GENERICO")</f>
        <v>GENERICO</v>
      </c>
      <c r="AS218">
        <f ca="1">IF(AE218&gt;100,RANDBETWEEN(500,5000),IF(AND(AE218&gt;=10,AE218&lt;=100),RANDBETWEEN(100,1000),RANDBETWEEN(10,200)))</f>
        <v>975</v>
      </c>
      <c r="AT218">
        <f t="shared" ca="1" si="17"/>
        <v>136</v>
      </c>
      <c r="AU218">
        <f ca="1">INT(AS218*RANDBETWEEN(120,200)/100)</f>
        <v>1745</v>
      </c>
      <c r="AV218" s="2">
        <f ca="1">IF(LEFT(Y218,1)="L",RANDBETWEEN(500000,5000000),IF(LEFT(Y218,1)="C",RANDBETWEEN(5000,50000),IF(LEFT(Y218,1)="N",RANDBETWEEN(10000,150000),IF(LEFT(Y218,1)="J",RANDBETWEEN(8000,200000),RANDBETWEEN(5000,100000)))))</f>
        <v>62305</v>
      </c>
      <c r="AW218" s="2">
        <f ca="1">INT(AV218*RANDBETWEEN(30,60)/100)</f>
        <v>31152</v>
      </c>
      <c r="AX218">
        <f ca="1">IF(Z218="ORAL",RANDBETWEEN(1000,10000),IF(OR(Z218="INTRAVENOSA",Z218="INTRAMUSCULAR"),RANDBETWEEN(100,2000),IF(OR(Z218="OFTÁLMICA",Z218="TOPICA (EXTERNA)"),RANDBETWEEN(200,3000),RANDBETWEEN(100,1500))))</f>
        <v>117</v>
      </c>
      <c r="AY218" s="2">
        <f ca="1">INT(AV218*RANDBETWEEN(90,130)/100)</f>
        <v>80996</v>
      </c>
      <c r="AZ218" t="str">
        <f t="shared" ca="1" si="18"/>
        <v>3.1%</v>
      </c>
      <c r="BA218" t="str">
        <f t="shared" ca="1" si="19"/>
        <v>BAJO</v>
      </c>
    </row>
    <row r="219" spans="4:53" x14ac:dyDescent="0.35">
      <c r="D219" t="s">
        <v>1786</v>
      </c>
      <c r="E219" s="1">
        <v>42716</v>
      </c>
      <c r="F219" t="s">
        <v>1787</v>
      </c>
      <c r="G219" t="s">
        <v>108</v>
      </c>
      <c r="H219" t="s">
        <v>1788</v>
      </c>
      <c r="I219">
        <v>20108229</v>
      </c>
      <c r="J219" t="s">
        <v>28</v>
      </c>
      <c r="K219">
        <v>2</v>
      </c>
      <c r="L219" t="s">
        <v>1789</v>
      </c>
      <c r="M219" t="s">
        <v>1790</v>
      </c>
      <c r="N219" t="s">
        <v>1791</v>
      </c>
      <c r="O219" t="s">
        <v>1792</v>
      </c>
      <c r="P219" t="s">
        <v>1793</v>
      </c>
      <c r="Q219" s="1">
        <v>42710</v>
      </c>
      <c r="R219" t="s">
        <v>50</v>
      </c>
      <c r="S219" t="s">
        <v>27</v>
      </c>
      <c r="T219" t="s">
        <v>1035</v>
      </c>
      <c r="U219" t="s">
        <v>115</v>
      </c>
      <c r="V219" t="s">
        <v>1723</v>
      </c>
      <c r="W219">
        <v>500</v>
      </c>
      <c r="X219">
        <v>20108229</v>
      </c>
      <c r="Y219" t="s">
        <v>1724</v>
      </c>
      <c r="Z219" t="s">
        <v>260</v>
      </c>
      <c r="AA219" t="s">
        <v>32</v>
      </c>
      <c r="AB219" t="s">
        <v>250</v>
      </c>
      <c r="AC219" t="s">
        <v>25</v>
      </c>
      <c r="AD219" t="s">
        <v>121</v>
      </c>
      <c r="AE219">
        <v>50</v>
      </c>
      <c r="AF219" t="s">
        <v>27</v>
      </c>
      <c r="AG219" t="s">
        <v>26</v>
      </c>
      <c r="AH219" t="s">
        <v>1787</v>
      </c>
      <c r="AI219" t="str">
        <f t="shared" si="15"/>
        <v>NO</v>
      </c>
      <c r="AJ219" t="str">
        <f t="shared" si="16"/>
        <v>SETAA PHARMA</v>
      </c>
      <c r="AK219" t="str">
        <f>IF(ISNUMBER(SEARCH("FABRICANTE",AC219)),"FABRICANTE",IF(ISNUMBER(SEARCH("IMPORTADOR",AC219)),"IMPORTADOR","OTRO"))</f>
        <v>FABRICANTE</v>
      </c>
      <c r="AL219" t="str">
        <f>IF(LEFT(Y219,1)="A","Sistema digestivo",IF(LEFT(Y219,1)="B","Sangre",IF(LEFT(Y219,1)="C","Cardiovascular",IF(LEFT(Y219,1)="D","Dermatológico",IF(LEFT(Y219,1)="G","Genitourinario",IF(LEFT(Y219,1)="H","Hormonal",IF(LEFT(Y219,1)="J","Antiinfecciosos",IF(LEFT(Y219,1)="L","Oncológicos",IF(LEFT(Y219,1)="M","Musculoesquelético",IF(LEFT(Y219,1)="N","Sistema nervioso",IF(LEFT(Y219,1)="R","Respiratorio",IF(LEFT(Y219,1)="S","Oftálmico",IF(LEFT(Y219,1)="V","Varios","OTRO")))))))))))))</f>
        <v>Sangre</v>
      </c>
      <c r="AM219" t="str">
        <f>IF(AG219="Vigente","ACTIVO",IF(ISNUMBER(SEARCH("Inactivo",J219)),"INACTIVO","REVISAR"))</f>
        <v>ACTIVO</v>
      </c>
      <c r="AN219" t="str">
        <f ca="1">IF(OR(AF219="",AF219="null"),"",ROUND((AF219-TODAY())/365.25,2))</f>
        <v/>
      </c>
      <c r="AO219" t="str">
        <f ca="1">IF(AND(AG219="Vigente",OR(AF219="",AF219="null",AF219&gt;TODAY())),"SI",IF(AND(NOT(OR(AF219="",AF219="null")),AF219&lt;=TODAY()),"NO",IF(AG219="Vigente","SI","DESCONOCIDO")))</f>
        <v>SI</v>
      </c>
      <c r="AP219" t="str">
        <f>IF(AND(ISNUMBER(SEARCH("IMPORTAR",AA219)),ISNUMBER(SEARCH("FABRICAR",AA219))),"MIXTO",IF(ISNUMBER(SEARCH("IMPORTAR",AA219)),"IMPORTADO",IF(ISNUMBER(SEARCH("FABRICAR",AA219)),"LOCAL","OTRO")))</f>
        <v>IMPORTADO</v>
      </c>
      <c r="AQ219" t="str">
        <f>IF(AD219="Si","SI",IF(AD219="No","NO",""))</f>
        <v>NO</v>
      </c>
      <c r="AR219" t="str">
        <f>IF(ISNUMBER(SEARCH("®",N219)),"MARCA/INNOVADOR","GENERICO")</f>
        <v>GENERICO</v>
      </c>
      <c r="AS219">
        <f ca="1">IF(AE219&gt;100,RANDBETWEEN(500,5000),IF(AND(AE219&gt;=10,AE219&lt;=100),RANDBETWEEN(100,1000),RANDBETWEEN(10,200)))</f>
        <v>175</v>
      </c>
      <c r="AT219">
        <f t="shared" ca="1" si="17"/>
        <v>52</v>
      </c>
      <c r="AU219">
        <f ca="1">INT(AS219*RANDBETWEEN(120,200)/100)</f>
        <v>267</v>
      </c>
      <c r="AV219" s="2">
        <f ca="1">IF(LEFT(Y219,1)="L",RANDBETWEEN(500000,5000000),IF(LEFT(Y219,1)="C",RANDBETWEEN(5000,50000),IF(LEFT(Y219,1)="N",RANDBETWEEN(10000,150000),IF(LEFT(Y219,1)="J",RANDBETWEEN(8000,200000),RANDBETWEEN(5000,100000)))))</f>
        <v>41021</v>
      </c>
      <c r="AW219" s="2">
        <f ca="1">INT(AV219*RANDBETWEEN(30,60)/100)</f>
        <v>17228</v>
      </c>
      <c r="AX219">
        <f ca="1">IF(Z219="ORAL",RANDBETWEEN(1000,10000),IF(OR(Z219="INTRAVENOSA",Z219="INTRAMUSCULAR"),RANDBETWEEN(100,2000),IF(OR(Z219="OFTÁLMICA",Z219="TOPICA (EXTERNA)"),RANDBETWEEN(200,3000),RANDBETWEEN(100,1500))))</f>
        <v>1063</v>
      </c>
      <c r="AY219" s="2">
        <f ca="1">INT(AV219*RANDBETWEEN(90,130)/100)</f>
        <v>38149</v>
      </c>
      <c r="AZ219" t="str">
        <f t="shared" ca="1" si="18"/>
        <v>1.3%</v>
      </c>
      <c r="BA219" t="str">
        <f t="shared" ca="1" si="19"/>
        <v>BAJO</v>
      </c>
    </row>
    <row r="220" spans="4:53" x14ac:dyDescent="0.35">
      <c r="D220" t="s">
        <v>1794</v>
      </c>
      <c r="E220" s="1">
        <v>36161</v>
      </c>
      <c r="F220" t="s">
        <v>1795</v>
      </c>
      <c r="G220" t="s">
        <v>108</v>
      </c>
      <c r="H220" t="s">
        <v>1796</v>
      </c>
      <c r="I220">
        <v>19908192</v>
      </c>
      <c r="J220" t="s">
        <v>28</v>
      </c>
      <c r="K220">
        <v>8</v>
      </c>
      <c r="L220" t="s">
        <v>27</v>
      </c>
      <c r="M220" t="s">
        <v>1797</v>
      </c>
      <c r="N220" t="s">
        <v>1798</v>
      </c>
      <c r="O220" t="s">
        <v>1799</v>
      </c>
      <c r="P220" t="s">
        <v>1800</v>
      </c>
      <c r="Q220" s="1">
        <v>39031</v>
      </c>
      <c r="R220" t="s">
        <v>33</v>
      </c>
      <c r="S220" t="s">
        <v>27</v>
      </c>
      <c r="T220" t="s">
        <v>854</v>
      </c>
      <c r="U220" t="s">
        <v>115</v>
      </c>
      <c r="V220" t="s">
        <v>267</v>
      </c>
      <c r="W220" t="s">
        <v>1117</v>
      </c>
      <c r="X220">
        <v>19908192</v>
      </c>
      <c r="Y220" t="s">
        <v>268</v>
      </c>
      <c r="Z220" t="s">
        <v>119</v>
      </c>
      <c r="AA220" t="s">
        <v>848</v>
      </c>
      <c r="AB220" t="s">
        <v>120</v>
      </c>
      <c r="AC220" t="s">
        <v>25</v>
      </c>
      <c r="AD220" t="s">
        <v>121</v>
      </c>
      <c r="AE220">
        <v>50</v>
      </c>
      <c r="AF220" s="1">
        <v>401769</v>
      </c>
      <c r="AG220" t="s">
        <v>26</v>
      </c>
      <c r="AH220" t="s">
        <v>1795</v>
      </c>
      <c r="AI220" t="str">
        <f t="shared" si="15"/>
        <v>NO</v>
      </c>
      <c r="AJ220" t="str">
        <f t="shared" si="16"/>
        <v>MERCK</v>
      </c>
      <c r="AK220" t="str">
        <f>IF(ISNUMBER(SEARCH("FABRICANTE",AC220)),"FABRICANTE",IF(ISNUMBER(SEARCH("IMPORTADOR",AC220)),"IMPORTADOR","OTRO"))</f>
        <v>FABRICANTE</v>
      </c>
      <c r="AL220" t="str">
        <f>IF(LEFT(Y220,1)="A","Sistema digestivo",IF(LEFT(Y220,1)="B","Sangre",IF(LEFT(Y220,1)="C","Cardiovascular",IF(LEFT(Y220,1)="D","Dermatológico",IF(LEFT(Y220,1)="G","Genitourinario",IF(LEFT(Y220,1)="H","Hormonal",IF(LEFT(Y220,1)="J","Antiinfecciosos",IF(LEFT(Y220,1)="L","Oncológicos",IF(LEFT(Y220,1)="M","Musculoesquelético",IF(LEFT(Y220,1)="N","Sistema nervioso",IF(LEFT(Y220,1)="R","Respiratorio",IF(LEFT(Y220,1)="S","Oftálmico",IF(LEFT(Y220,1)="V","Varios","OTRO")))))))))))))</f>
        <v>Cardiovascular</v>
      </c>
      <c r="AM220" t="str">
        <f>IF(AG220="Vigente","ACTIVO",IF(ISNUMBER(SEARCH("Inactivo",J220)),"INACTIVO","REVISAR"))</f>
        <v>ACTIVO</v>
      </c>
      <c r="AN220">
        <f ca="1">IF(OR(AF220="",AF220="null"),"",ROUND((AF220-TODAY())/365.25,2))</f>
        <v>973.58</v>
      </c>
      <c r="AO220" t="str">
        <f ca="1">IF(AND(AG220="Vigente",OR(AF220="",AF220="null",AF220&gt;TODAY())),"SI",IF(AND(NOT(OR(AF220="",AF220="null")),AF220&lt;=TODAY()),"NO",IF(AG220="Vigente","SI","DESCONOCIDO")))</f>
        <v>SI</v>
      </c>
      <c r="AP220" t="str">
        <f>IF(AND(ISNUMBER(SEARCH("IMPORTAR",AA220)),ISNUMBER(SEARCH("FABRICAR",AA220))),"MIXTO",IF(ISNUMBER(SEARCH("IMPORTAR",AA220)),"IMPORTADO",IF(ISNUMBER(SEARCH("FABRICAR",AA220)),"LOCAL","OTRO")))</f>
        <v>IMPORTADO</v>
      </c>
      <c r="AQ220" t="str">
        <f>IF(AD220="Si","SI",IF(AD220="No","NO",""))</f>
        <v>NO</v>
      </c>
      <c r="AR220" t="str">
        <f>IF(ISNUMBER(SEARCH("®",N220)),"MARCA/INNOVADOR","GENERICO")</f>
        <v>MARCA/INNOVADOR</v>
      </c>
      <c r="AS220">
        <f ca="1">IF(AE220&gt;100,RANDBETWEEN(500,5000),IF(AND(AE220&gt;=10,AE220&lt;=100),RANDBETWEEN(100,1000),RANDBETWEEN(10,200)))</f>
        <v>119</v>
      </c>
      <c r="AT220">
        <f t="shared" ca="1" si="17"/>
        <v>32</v>
      </c>
      <c r="AU220">
        <f ca="1">INT(AS220*RANDBETWEEN(120,200)/100)</f>
        <v>201</v>
      </c>
      <c r="AV220" s="2">
        <f ca="1">IF(LEFT(Y220,1)="L",RANDBETWEEN(500000,5000000),IF(LEFT(Y220,1)="C",RANDBETWEEN(5000,50000),IF(LEFT(Y220,1)="N",RANDBETWEEN(10000,150000),IF(LEFT(Y220,1)="J",RANDBETWEEN(8000,200000),RANDBETWEEN(5000,100000)))))</f>
        <v>5913</v>
      </c>
      <c r="AW220" s="2">
        <f ca="1">INT(AV220*RANDBETWEEN(30,60)/100)</f>
        <v>1951</v>
      </c>
      <c r="AX220">
        <f ca="1">IF(Z220="ORAL",RANDBETWEEN(1000,10000),IF(OR(Z220="INTRAVENOSA",Z220="INTRAMUSCULAR"),RANDBETWEEN(100,2000),IF(OR(Z220="OFTÁLMICA",Z220="TOPICA (EXTERNA)"),RANDBETWEEN(200,3000),RANDBETWEEN(100,1500))))</f>
        <v>5565</v>
      </c>
      <c r="AY220" s="2">
        <f ca="1">INT(AV220*RANDBETWEEN(90,130)/100)</f>
        <v>5913</v>
      </c>
      <c r="AZ220" t="str">
        <f t="shared" ca="1" si="18"/>
        <v>18.3%</v>
      </c>
      <c r="BA220" t="str">
        <f t="shared" ca="1" si="19"/>
        <v>BAJO</v>
      </c>
    </row>
    <row r="221" spans="4:53" x14ac:dyDescent="0.35">
      <c r="D221" t="s">
        <v>1801</v>
      </c>
      <c r="E221" s="1">
        <v>38638</v>
      </c>
      <c r="F221" t="s">
        <v>1802</v>
      </c>
      <c r="G221" t="s">
        <v>108</v>
      </c>
      <c r="H221" t="s">
        <v>1803</v>
      </c>
      <c r="I221">
        <v>1982869</v>
      </c>
      <c r="J221" t="s">
        <v>110</v>
      </c>
      <c r="K221">
        <v>3</v>
      </c>
      <c r="L221" t="s">
        <v>27</v>
      </c>
      <c r="M221" t="s">
        <v>1804</v>
      </c>
      <c r="N221" t="s">
        <v>1805</v>
      </c>
      <c r="O221" t="s">
        <v>1806</v>
      </c>
      <c r="P221" t="s">
        <v>564</v>
      </c>
      <c r="Q221" s="1">
        <v>39031</v>
      </c>
      <c r="R221" t="s">
        <v>564</v>
      </c>
      <c r="S221" s="1">
        <v>42219</v>
      </c>
      <c r="T221" t="s">
        <v>1807</v>
      </c>
      <c r="U221" t="s">
        <v>1808</v>
      </c>
      <c r="V221" t="s">
        <v>558</v>
      </c>
      <c r="W221" t="s">
        <v>1809</v>
      </c>
      <c r="X221">
        <v>1982869</v>
      </c>
      <c r="Y221" t="s">
        <v>565</v>
      </c>
      <c r="Z221" t="s">
        <v>566</v>
      </c>
      <c r="AA221" t="s">
        <v>32</v>
      </c>
      <c r="AB221" t="s">
        <v>120</v>
      </c>
      <c r="AC221" t="s">
        <v>25</v>
      </c>
      <c r="AD221" t="s">
        <v>121</v>
      </c>
      <c r="AE221">
        <v>1</v>
      </c>
      <c r="AF221" t="s">
        <v>27</v>
      </c>
      <c r="AG221" t="s">
        <v>26</v>
      </c>
      <c r="AH221" t="s">
        <v>1802</v>
      </c>
      <c r="AI221" t="str">
        <f t="shared" si="15"/>
        <v>NO</v>
      </c>
      <c r="AJ221" t="str">
        <f t="shared" si="16"/>
        <v>KCI COLOMBIA</v>
      </c>
      <c r="AK221" t="str">
        <f>IF(ISNUMBER(SEARCH("FABRICANTE",AC221)),"FABRICANTE",IF(ISNUMBER(SEARCH("IMPORTADOR",AC221)),"IMPORTADOR","OTRO"))</f>
        <v>FABRICANTE</v>
      </c>
      <c r="AL221" t="str">
        <f>IF(LEFT(Y221,1)="A","Sistema digestivo",IF(LEFT(Y221,1)="B","Sangre",IF(LEFT(Y221,1)="C","Cardiovascular",IF(LEFT(Y221,1)="D","Dermatológico",IF(LEFT(Y221,1)="G","Genitourinario",IF(LEFT(Y221,1)="H","Hormonal",IF(LEFT(Y221,1)="J","Antiinfecciosos",IF(LEFT(Y221,1)="L","Oncológicos",IF(LEFT(Y221,1)="M","Musculoesquelético",IF(LEFT(Y221,1)="N","Sistema nervioso",IF(LEFT(Y221,1)="R","Respiratorio",IF(LEFT(Y221,1)="S","Oftálmico",IF(LEFT(Y221,1)="V","Varios","OTRO")))))))))))))</f>
        <v>Dermatológico</v>
      </c>
      <c r="AM221" t="str">
        <f>IF(AG221="Vigente","ACTIVO",IF(ISNUMBER(SEARCH("Inactivo",J221)),"INACTIVO","REVISAR"))</f>
        <v>ACTIVO</v>
      </c>
      <c r="AN221" t="str">
        <f ca="1">IF(OR(AF221="",AF221="null"),"",ROUND((AF221-TODAY())/365.25,2))</f>
        <v/>
      </c>
      <c r="AO221" t="str">
        <f ca="1">IF(AND(AG221="Vigente",OR(AF221="",AF221="null",AF221&gt;TODAY())),"SI",IF(AND(NOT(OR(AF221="",AF221="null")),AF221&lt;=TODAY()),"NO",IF(AG221="Vigente","SI","DESCONOCIDO")))</f>
        <v>SI</v>
      </c>
      <c r="AP221" t="str">
        <f>IF(AND(ISNUMBER(SEARCH("IMPORTAR",AA221)),ISNUMBER(SEARCH("FABRICAR",AA221))),"MIXTO",IF(ISNUMBER(SEARCH("IMPORTAR",AA221)),"IMPORTADO",IF(ISNUMBER(SEARCH("FABRICAR",AA221)),"LOCAL","OTRO")))</f>
        <v>IMPORTADO</v>
      </c>
      <c r="AQ221" t="str">
        <f>IF(AD221="Si","SI",IF(AD221="No","NO",""))</f>
        <v>NO</v>
      </c>
      <c r="AR221" t="str">
        <f>IF(ISNUMBER(SEARCH("®",N221)),"MARCA/INNOVADOR","GENERICO")</f>
        <v>MARCA/INNOVADOR</v>
      </c>
      <c r="AS221">
        <f ca="1">IF(AE221&gt;100,RANDBETWEEN(500,5000),IF(AND(AE221&gt;=10,AE221&lt;=100),RANDBETWEEN(100,1000),RANDBETWEEN(10,200)))</f>
        <v>160</v>
      </c>
      <c r="AT221">
        <f t="shared" ca="1" si="17"/>
        <v>41</v>
      </c>
      <c r="AU221">
        <f ca="1">INT(AS221*RANDBETWEEN(120,200)/100)</f>
        <v>292</v>
      </c>
      <c r="AV221" s="2">
        <f ca="1">IF(LEFT(Y221,1)="L",RANDBETWEEN(500000,5000000),IF(LEFT(Y221,1)="C",RANDBETWEEN(5000,50000),IF(LEFT(Y221,1)="N",RANDBETWEEN(10000,150000),IF(LEFT(Y221,1)="J",RANDBETWEEN(8000,200000),RANDBETWEEN(5000,100000)))))</f>
        <v>18941</v>
      </c>
      <c r="AW221" s="2">
        <f ca="1">INT(AV221*RANDBETWEEN(30,60)/100)</f>
        <v>6439</v>
      </c>
      <c r="AX221">
        <f ca="1">IF(Z221="ORAL",RANDBETWEEN(1000,10000),IF(OR(Z221="INTRAVENOSA",Z221="INTRAMUSCULAR"),RANDBETWEEN(100,2000),IF(OR(Z221="OFTÁLMICA",Z221="TOPICA (EXTERNA)"),RANDBETWEEN(200,3000),RANDBETWEEN(100,1500))))</f>
        <v>2826</v>
      </c>
      <c r="AY221" s="2">
        <f ca="1">INT(AV221*RANDBETWEEN(90,130)/100)</f>
        <v>22350</v>
      </c>
      <c r="AZ221" t="str">
        <f t="shared" ca="1" si="18"/>
        <v>3.3%</v>
      </c>
      <c r="BA221" t="str">
        <f t="shared" ca="1" si="19"/>
        <v>ALTO</v>
      </c>
    </row>
    <row r="222" spans="4:53" x14ac:dyDescent="0.35">
      <c r="D222" t="s">
        <v>1810</v>
      </c>
      <c r="E222" s="1">
        <v>44445</v>
      </c>
      <c r="F222" t="s">
        <v>1811</v>
      </c>
      <c r="G222" t="s">
        <v>108</v>
      </c>
      <c r="H222" t="s">
        <v>1812</v>
      </c>
      <c r="I222">
        <v>20190880</v>
      </c>
      <c r="J222" t="s">
        <v>28</v>
      </c>
      <c r="K222">
        <v>14</v>
      </c>
      <c r="L222" t="s">
        <v>1813</v>
      </c>
      <c r="M222" t="s">
        <v>1814</v>
      </c>
      <c r="N222" t="s">
        <v>1815</v>
      </c>
      <c r="O222" t="s">
        <v>1816</v>
      </c>
      <c r="P222" t="s">
        <v>1817</v>
      </c>
      <c r="Q222" s="1">
        <v>44314</v>
      </c>
      <c r="R222" t="s">
        <v>1818</v>
      </c>
      <c r="S222" t="s">
        <v>27</v>
      </c>
      <c r="T222" t="s">
        <v>1812</v>
      </c>
      <c r="U222" t="s">
        <v>502</v>
      </c>
      <c r="V222" t="s">
        <v>1819</v>
      </c>
      <c r="W222">
        <v>1</v>
      </c>
      <c r="X222">
        <v>20190880</v>
      </c>
      <c r="Y222" t="s">
        <v>1820</v>
      </c>
      <c r="Z222" t="s">
        <v>1168</v>
      </c>
      <c r="AA222" t="s">
        <v>24</v>
      </c>
      <c r="AB222" t="s">
        <v>1095</v>
      </c>
      <c r="AC222" t="s">
        <v>25</v>
      </c>
      <c r="AD222" t="s">
        <v>121</v>
      </c>
      <c r="AE222">
        <v>1</v>
      </c>
      <c r="AF222" t="s">
        <v>27</v>
      </c>
      <c r="AG222" t="s">
        <v>26</v>
      </c>
      <c r="AH222" t="s">
        <v>1811</v>
      </c>
      <c r="AI222" t="str">
        <f t="shared" si="15"/>
        <v>NO</v>
      </c>
      <c r="AJ222" t="str">
        <f t="shared" si="16"/>
        <v>OXIGENOS DEL ORIENTE</v>
      </c>
      <c r="AK222" t="str">
        <f>IF(ISNUMBER(SEARCH("FABRICANTE",AC222)),"FABRICANTE",IF(ISNUMBER(SEARCH("IMPORTADOR",AC222)),"IMPORTADOR","OTRO"))</f>
        <v>FABRICANTE</v>
      </c>
      <c r="AL222" t="str">
        <f>IF(LEFT(Y222,1)="A","Sistema digestivo",IF(LEFT(Y222,1)="B","Sangre",IF(LEFT(Y222,1)="C","Cardiovascular",IF(LEFT(Y222,1)="D","Dermatológico",IF(LEFT(Y222,1)="G","Genitourinario",IF(LEFT(Y222,1)="H","Hormonal",IF(LEFT(Y222,1)="J","Antiinfecciosos",IF(LEFT(Y222,1)="L","Oncológicos",IF(LEFT(Y222,1)="M","Musculoesquelético",IF(LEFT(Y222,1)="N","Sistema nervioso",IF(LEFT(Y222,1)="R","Respiratorio",IF(LEFT(Y222,1)="S","Oftálmico",IF(LEFT(Y222,1)="V","Varios","OTRO")))))))))))))</f>
        <v>Varios</v>
      </c>
      <c r="AM222" t="str">
        <f>IF(AG222="Vigente","ACTIVO",IF(ISNUMBER(SEARCH("Inactivo",J222)),"INACTIVO","REVISAR"))</f>
        <v>ACTIVO</v>
      </c>
      <c r="AN222" t="str">
        <f ca="1">IF(OR(AF222="",AF222="null"),"",ROUND((AF222-TODAY())/365.25,2))</f>
        <v/>
      </c>
      <c r="AO222" t="str">
        <f ca="1">IF(AND(AG222="Vigente",OR(AF222="",AF222="null",AF222&gt;TODAY())),"SI",IF(AND(NOT(OR(AF222="",AF222="null")),AF222&lt;=TODAY()),"NO",IF(AG222="Vigente","SI","DESCONOCIDO")))</f>
        <v>SI</v>
      </c>
      <c r="AP222" t="str">
        <f>IF(AND(ISNUMBER(SEARCH("IMPORTAR",AA222)),ISNUMBER(SEARCH("FABRICAR",AA222))),"MIXTO",IF(ISNUMBER(SEARCH("IMPORTAR",AA222)),"IMPORTADO",IF(ISNUMBER(SEARCH("FABRICAR",AA222)),"LOCAL","OTRO")))</f>
        <v>LOCAL</v>
      </c>
      <c r="AQ222" t="str">
        <f>IF(AD222="Si","SI",IF(AD222="No","NO",""))</f>
        <v>NO</v>
      </c>
      <c r="AR222" t="str">
        <f>IF(ISNUMBER(SEARCH("®",N222)),"MARCA/INNOVADOR","GENERICO")</f>
        <v>GENERICO</v>
      </c>
      <c r="AS222">
        <f ca="1">IF(AE222&gt;100,RANDBETWEEN(500,5000),IF(AND(AE222&gt;=10,AE222&lt;=100),RANDBETWEEN(100,1000),RANDBETWEEN(10,200)))</f>
        <v>114</v>
      </c>
      <c r="AT222">
        <f t="shared" ca="1" si="17"/>
        <v>20</v>
      </c>
      <c r="AU222">
        <f ca="1">INT(AS222*RANDBETWEEN(120,200)/100)</f>
        <v>177</v>
      </c>
      <c r="AV222" s="2">
        <f ca="1">IF(LEFT(Y222,1)="L",RANDBETWEEN(500000,5000000),IF(LEFT(Y222,1)="C",RANDBETWEEN(5000,50000),IF(LEFT(Y222,1)="N",RANDBETWEEN(10000,150000),IF(LEFT(Y222,1)="J",RANDBETWEEN(8000,200000),RANDBETWEEN(5000,100000)))))</f>
        <v>35915</v>
      </c>
      <c r="AW222" s="2">
        <f ca="1">INT(AV222*RANDBETWEEN(30,60)/100)</f>
        <v>15084</v>
      </c>
      <c r="AX222">
        <f ca="1">IF(Z222="ORAL",RANDBETWEEN(1000,10000),IF(OR(Z222="INTRAVENOSA",Z222="INTRAMUSCULAR"),RANDBETWEEN(100,2000),IF(OR(Z222="OFTÁLMICA",Z222="TOPICA (EXTERNA)"),RANDBETWEEN(200,3000),RANDBETWEEN(100,1500))))</f>
        <v>578</v>
      </c>
      <c r="AY222" s="2">
        <f ca="1">INT(AV222*RANDBETWEEN(90,130)/100)</f>
        <v>42020</v>
      </c>
      <c r="AZ222" t="str">
        <f t="shared" ca="1" si="18"/>
        <v>5.6%</v>
      </c>
      <c r="BA222" t="str">
        <f t="shared" ca="1" si="19"/>
        <v>BAJO</v>
      </c>
    </row>
    <row r="223" spans="4:53" x14ac:dyDescent="0.35">
      <c r="D223" t="s">
        <v>1821</v>
      </c>
      <c r="E223" s="1">
        <v>42206</v>
      </c>
      <c r="F223" t="s">
        <v>1822</v>
      </c>
      <c r="G223" t="s">
        <v>108</v>
      </c>
      <c r="H223" t="s">
        <v>1823</v>
      </c>
      <c r="I223">
        <v>20084687</v>
      </c>
      <c r="J223" t="s">
        <v>28</v>
      </c>
      <c r="K223">
        <v>32</v>
      </c>
      <c r="L223" t="s">
        <v>27</v>
      </c>
      <c r="M223" t="s">
        <v>1824</v>
      </c>
      <c r="N223" t="s">
        <v>1825</v>
      </c>
      <c r="O223" t="s">
        <v>1826</v>
      </c>
      <c r="P223" t="s">
        <v>274</v>
      </c>
      <c r="Q223" s="1">
        <v>42202</v>
      </c>
      <c r="R223" t="s">
        <v>50</v>
      </c>
      <c r="S223" t="s">
        <v>27</v>
      </c>
      <c r="T223" t="s">
        <v>93</v>
      </c>
      <c r="U223" t="s">
        <v>115</v>
      </c>
      <c r="V223" t="s">
        <v>275</v>
      </c>
      <c r="W223">
        <v>60</v>
      </c>
      <c r="X223">
        <v>20084687</v>
      </c>
      <c r="Y223" t="s">
        <v>276</v>
      </c>
      <c r="Z223" t="s">
        <v>132</v>
      </c>
      <c r="AA223" t="s">
        <v>32</v>
      </c>
      <c r="AB223" t="s">
        <v>239</v>
      </c>
      <c r="AC223" t="s">
        <v>25</v>
      </c>
      <c r="AD223" t="s">
        <v>121</v>
      </c>
      <c r="AE223">
        <v>500</v>
      </c>
      <c r="AF223" t="s">
        <v>27</v>
      </c>
      <c r="AG223" t="s">
        <v>26</v>
      </c>
      <c r="AH223" t="s">
        <v>1822</v>
      </c>
      <c r="AI223" t="str">
        <f t="shared" si="15"/>
        <v>NO</v>
      </c>
      <c r="AJ223" t="str">
        <f t="shared" si="16"/>
        <v>LABORATORIOS DELTA</v>
      </c>
      <c r="AK223" t="str">
        <f>IF(ISNUMBER(SEARCH("FABRICANTE",AC223)),"FABRICANTE",IF(ISNUMBER(SEARCH("IMPORTADOR",AC223)),"IMPORTADOR","OTRO"))</f>
        <v>FABRICANTE</v>
      </c>
      <c r="AL223" t="str">
        <f>IF(LEFT(Y223,1)="A","Sistema digestivo",IF(LEFT(Y223,1)="B","Sangre",IF(LEFT(Y223,1)="C","Cardiovascular",IF(LEFT(Y223,1)="D","Dermatológico",IF(LEFT(Y223,1)="G","Genitourinario",IF(LEFT(Y223,1)="H","Hormonal",IF(LEFT(Y223,1)="J","Antiinfecciosos",IF(LEFT(Y223,1)="L","Oncológicos",IF(LEFT(Y223,1)="M","Musculoesquelético",IF(LEFT(Y223,1)="N","Sistema nervioso",IF(LEFT(Y223,1)="R","Respiratorio",IF(LEFT(Y223,1)="S","Oftálmico",IF(LEFT(Y223,1)="V","Varios","OTRO")))))))))))))</f>
        <v>Sangre</v>
      </c>
      <c r="AM223" t="str">
        <f>IF(AG223="Vigente","ACTIVO",IF(ISNUMBER(SEARCH("Inactivo",J223)),"INACTIVO","REVISAR"))</f>
        <v>ACTIVO</v>
      </c>
      <c r="AN223" t="str">
        <f ca="1">IF(OR(AF223="",AF223="null"),"",ROUND((AF223-TODAY())/365.25,2))</f>
        <v/>
      </c>
      <c r="AO223" t="str">
        <f ca="1">IF(AND(AG223="Vigente",OR(AF223="",AF223="null",AF223&gt;TODAY())),"SI",IF(AND(NOT(OR(AF223="",AF223="null")),AF223&lt;=TODAY()),"NO",IF(AG223="Vigente","SI","DESCONOCIDO")))</f>
        <v>SI</v>
      </c>
      <c r="AP223" t="str">
        <f>IF(AND(ISNUMBER(SEARCH("IMPORTAR",AA223)),ISNUMBER(SEARCH("FABRICAR",AA223))),"MIXTO",IF(ISNUMBER(SEARCH("IMPORTAR",AA223)),"IMPORTADO",IF(ISNUMBER(SEARCH("FABRICAR",AA223)),"LOCAL","OTRO")))</f>
        <v>IMPORTADO</v>
      </c>
      <c r="AQ223" t="str">
        <f>IF(AD223="Si","SI",IF(AD223="No","NO",""))</f>
        <v>NO</v>
      </c>
      <c r="AR223" t="str">
        <f>IF(ISNUMBER(SEARCH("®",N223)),"MARCA/INNOVADOR","GENERICO")</f>
        <v>GENERICO</v>
      </c>
      <c r="AS223">
        <f ca="1">IF(AE223&gt;100,RANDBETWEEN(500,5000),IF(AND(AE223&gt;=10,AE223&lt;=100),RANDBETWEEN(100,1000),RANDBETWEEN(10,200)))</f>
        <v>2139</v>
      </c>
      <c r="AT223">
        <f t="shared" ca="1" si="17"/>
        <v>641</v>
      </c>
      <c r="AU223">
        <f ca="1">INT(AS223*RANDBETWEEN(120,200)/100)</f>
        <v>3336</v>
      </c>
      <c r="AV223" s="2">
        <f ca="1">IF(LEFT(Y223,1)="L",RANDBETWEEN(500000,5000000),IF(LEFT(Y223,1)="C",RANDBETWEEN(5000,50000),IF(LEFT(Y223,1)="N",RANDBETWEEN(10000,150000),IF(LEFT(Y223,1)="J",RANDBETWEEN(8000,200000),RANDBETWEEN(5000,100000)))))</f>
        <v>93750</v>
      </c>
      <c r="AW223" s="2">
        <f ca="1">INT(AV223*RANDBETWEEN(30,60)/100)</f>
        <v>43125</v>
      </c>
      <c r="AX223">
        <f ca="1">IF(Z223="ORAL",RANDBETWEEN(1000,10000),IF(OR(Z223="INTRAVENOSA",Z223="INTRAMUSCULAR"),RANDBETWEEN(100,2000),IF(OR(Z223="OFTÁLMICA",Z223="TOPICA (EXTERNA)"),RANDBETWEEN(200,3000),RANDBETWEEN(100,1500))))</f>
        <v>1255</v>
      </c>
      <c r="AY223" s="2">
        <f ca="1">INT(AV223*RANDBETWEEN(90,130)/100)</f>
        <v>108750</v>
      </c>
      <c r="AZ223" t="str">
        <f t="shared" ca="1" si="18"/>
        <v>8.4%</v>
      </c>
      <c r="BA223" t="str">
        <f t="shared" ca="1" si="19"/>
        <v>BAJO</v>
      </c>
    </row>
    <row r="224" spans="4:53" x14ac:dyDescent="0.35">
      <c r="D224" t="s">
        <v>1827</v>
      </c>
      <c r="E224" s="1">
        <v>38237</v>
      </c>
      <c r="F224" t="s">
        <v>1828</v>
      </c>
      <c r="G224" t="s">
        <v>108</v>
      </c>
      <c r="H224" t="s">
        <v>158</v>
      </c>
      <c r="I224">
        <v>19943271</v>
      </c>
      <c r="J224" t="s">
        <v>28</v>
      </c>
      <c r="K224">
        <v>1</v>
      </c>
      <c r="L224" t="s">
        <v>27</v>
      </c>
      <c r="M224" t="s">
        <v>726</v>
      </c>
      <c r="N224" t="s">
        <v>727</v>
      </c>
      <c r="O224" t="s">
        <v>1829</v>
      </c>
      <c r="P224" t="s">
        <v>266</v>
      </c>
      <c r="Q224" s="1">
        <v>39031</v>
      </c>
      <c r="R224" t="s">
        <v>200</v>
      </c>
      <c r="S224" t="s">
        <v>27</v>
      </c>
      <c r="T224" t="s">
        <v>80</v>
      </c>
      <c r="U224" t="s">
        <v>115</v>
      </c>
      <c r="V224" t="s">
        <v>729</v>
      </c>
      <c r="W224">
        <v>5</v>
      </c>
      <c r="X224">
        <v>19943271</v>
      </c>
      <c r="Y224" t="s">
        <v>730</v>
      </c>
      <c r="Z224" t="s">
        <v>119</v>
      </c>
      <c r="AA224" t="s">
        <v>24</v>
      </c>
      <c r="AB224" t="s">
        <v>120</v>
      </c>
      <c r="AC224" t="s">
        <v>25</v>
      </c>
      <c r="AD224" t="s">
        <v>121</v>
      </c>
      <c r="AE224">
        <v>4</v>
      </c>
      <c r="AF224" t="s">
        <v>27</v>
      </c>
      <c r="AG224" t="s">
        <v>26</v>
      </c>
      <c r="AH224" t="s">
        <v>6761</v>
      </c>
      <c r="AI224" t="str">
        <f t="shared" si="15"/>
        <v>NO</v>
      </c>
      <c r="AJ224" t="str">
        <f t="shared" si="16"/>
        <v>TECNOQUIMICAS</v>
      </c>
      <c r="AK224" t="str">
        <f>IF(ISNUMBER(SEARCH("FABRICANTE",AC224)),"FABRICANTE",IF(ISNUMBER(SEARCH("IMPORTADOR",AC224)),"IMPORTADOR","OTRO"))</f>
        <v>FABRICANTE</v>
      </c>
      <c r="AL224" t="str">
        <f>IF(LEFT(Y224,1)="A","Sistema digestivo",IF(LEFT(Y224,1)="B","Sangre",IF(LEFT(Y224,1)="C","Cardiovascular",IF(LEFT(Y224,1)="D","Dermatológico",IF(LEFT(Y224,1)="G","Genitourinario",IF(LEFT(Y224,1)="H","Hormonal",IF(LEFT(Y224,1)="J","Antiinfecciosos",IF(LEFT(Y224,1)="L","Oncológicos",IF(LEFT(Y224,1)="M","Musculoesquelético",IF(LEFT(Y224,1)="N","Sistema nervioso",IF(LEFT(Y224,1)="R","Respiratorio",IF(LEFT(Y224,1)="S","Oftálmico",IF(LEFT(Y224,1)="V","Varios","OTRO")))))))))))))</f>
        <v>Sistema digestivo</v>
      </c>
      <c r="AM224" t="str">
        <f>IF(AG224="Vigente","ACTIVO",IF(ISNUMBER(SEARCH("Inactivo",J224)),"INACTIVO","REVISAR"))</f>
        <v>ACTIVO</v>
      </c>
      <c r="AN224" t="str">
        <f ca="1">IF(OR(AF224="",AF224="null"),"",ROUND((AF224-TODAY())/365.25,2))</f>
        <v/>
      </c>
      <c r="AO224" t="str">
        <f ca="1">IF(AND(AG224="Vigente",OR(AF224="",AF224="null",AF224&gt;TODAY())),"SI",IF(AND(NOT(OR(AF224="",AF224="null")),AF224&lt;=TODAY()),"NO",IF(AG224="Vigente","SI","DESCONOCIDO")))</f>
        <v>SI</v>
      </c>
      <c r="AP224" t="str">
        <f>IF(AND(ISNUMBER(SEARCH("IMPORTAR",AA224)),ISNUMBER(SEARCH("FABRICAR",AA224))),"MIXTO",IF(ISNUMBER(SEARCH("IMPORTAR",AA224)),"IMPORTADO",IF(ISNUMBER(SEARCH("FABRICAR",AA224)),"LOCAL","OTRO")))</f>
        <v>LOCAL</v>
      </c>
      <c r="AQ224" t="str">
        <f>IF(AD224="Si","SI",IF(AD224="No","NO",""))</f>
        <v>NO</v>
      </c>
      <c r="AR224" t="str">
        <f>IF(ISNUMBER(SEARCH("®",N224)),"MARCA/INNOVADOR","GENERICO")</f>
        <v>GENERICO</v>
      </c>
      <c r="AS224">
        <f ca="1">IF(AE224&gt;100,RANDBETWEEN(500,5000),IF(AND(AE224&gt;=10,AE224&lt;=100),RANDBETWEEN(100,1000),RANDBETWEEN(10,200)))</f>
        <v>165</v>
      </c>
      <c r="AT224">
        <f t="shared" ca="1" si="17"/>
        <v>39</v>
      </c>
      <c r="AU224">
        <f ca="1">INT(AS224*RANDBETWEEN(120,200)/100)</f>
        <v>229</v>
      </c>
      <c r="AV224" s="2">
        <f ca="1">IF(LEFT(Y224,1)="L",RANDBETWEEN(500000,5000000),IF(LEFT(Y224,1)="C",RANDBETWEEN(5000,50000),IF(LEFT(Y224,1)="N",RANDBETWEEN(10000,150000),IF(LEFT(Y224,1)="J",RANDBETWEEN(8000,200000),RANDBETWEEN(5000,100000)))))</f>
        <v>18385</v>
      </c>
      <c r="AW224" s="2">
        <f ca="1">INT(AV224*RANDBETWEEN(30,60)/100)</f>
        <v>9560</v>
      </c>
      <c r="AX224">
        <f ca="1">IF(Z224="ORAL",RANDBETWEEN(1000,10000),IF(OR(Z224="INTRAVENOSA",Z224="INTRAMUSCULAR"),RANDBETWEEN(100,2000),IF(OR(Z224="OFTÁLMICA",Z224="TOPICA (EXTERNA)"),RANDBETWEEN(200,3000),RANDBETWEEN(100,1500))))</f>
        <v>6182</v>
      </c>
      <c r="AY224" s="2">
        <f ca="1">INT(AV224*RANDBETWEEN(90,130)/100)</f>
        <v>22797</v>
      </c>
      <c r="AZ224" t="str">
        <f t="shared" ca="1" si="18"/>
        <v>23.3%</v>
      </c>
      <c r="BA224" t="str">
        <f t="shared" ca="1" si="19"/>
        <v>BAJO</v>
      </c>
    </row>
    <row r="225" spans="4:53" x14ac:dyDescent="0.35">
      <c r="D225" t="s">
        <v>1830</v>
      </c>
      <c r="E225" s="1">
        <v>42067</v>
      </c>
      <c r="F225" t="s">
        <v>1831</v>
      </c>
      <c r="G225" t="s">
        <v>108</v>
      </c>
      <c r="H225" t="s">
        <v>80</v>
      </c>
      <c r="I225">
        <v>20072696</v>
      </c>
      <c r="J225" t="s">
        <v>28</v>
      </c>
      <c r="K225">
        <v>19</v>
      </c>
      <c r="L225" t="s">
        <v>27</v>
      </c>
      <c r="M225" t="s">
        <v>1832</v>
      </c>
      <c r="N225" t="s">
        <v>1833</v>
      </c>
      <c r="O225" t="s">
        <v>1834</v>
      </c>
      <c r="P225" t="s">
        <v>33</v>
      </c>
      <c r="Q225" s="1">
        <v>42031</v>
      </c>
      <c r="R225" t="s">
        <v>33</v>
      </c>
      <c r="S225" t="s">
        <v>27</v>
      </c>
      <c r="T225" t="s">
        <v>80</v>
      </c>
      <c r="U225" t="s">
        <v>115</v>
      </c>
      <c r="V225" t="s">
        <v>1835</v>
      </c>
      <c r="W225" t="s">
        <v>1836</v>
      </c>
      <c r="X225">
        <v>20072696</v>
      </c>
      <c r="Y225" t="s">
        <v>1837</v>
      </c>
      <c r="Z225" t="s">
        <v>119</v>
      </c>
      <c r="AA225" t="s">
        <v>24</v>
      </c>
      <c r="AB225" t="s">
        <v>120</v>
      </c>
      <c r="AC225" t="s">
        <v>25</v>
      </c>
      <c r="AD225" t="s">
        <v>155</v>
      </c>
      <c r="AE225">
        <v>60</v>
      </c>
      <c r="AF225" t="s">
        <v>27</v>
      </c>
      <c r="AG225" t="s">
        <v>26</v>
      </c>
      <c r="AH225" t="s">
        <v>1835</v>
      </c>
      <c r="AI225" t="str">
        <f t="shared" si="15"/>
        <v>NO</v>
      </c>
      <c r="AJ225" t="str">
        <f t="shared" si="16"/>
        <v>TECNOQUIMICAS</v>
      </c>
      <c r="AK225" t="str">
        <f>IF(ISNUMBER(SEARCH("FABRICANTE",AC225)),"FABRICANTE",IF(ISNUMBER(SEARCH("IMPORTADOR",AC225)),"IMPORTADOR","OTRO"))</f>
        <v>FABRICANTE</v>
      </c>
      <c r="AL225" t="str">
        <f>IF(LEFT(Y225,1)="A","Sistema digestivo",IF(LEFT(Y225,1)="B","Sangre",IF(LEFT(Y225,1)="C","Cardiovascular",IF(LEFT(Y225,1)="D","Dermatológico",IF(LEFT(Y225,1)="G","Genitourinario",IF(LEFT(Y225,1)="H","Hormonal",IF(LEFT(Y225,1)="J","Antiinfecciosos",IF(LEFT(Y225,1)="L","Oncológicos",IF(LEFT(Y225,1)="M","Musculoesquelético",IF(LEFT(Y225,1)="N","Sistema nervioso",IF(LEFT(Y225,1)="R","Respiratorio",IF(LEFT(Y225,1)="S","Oftálmico",IF(LEFT(Y225,1)="V","Varios","OTRO")))))))))))))</f>
        <v>Cardiovascular</v>
      </c>
      <c r="AM225" t="str">
        <f>IF(AG225="Vigente","ACTIVO",IF(ISNUMBER(SEARCH("Inactivo",J225)),"INACTIVO","REVISAR"))</f>
        <v>ACTIVO</v>
      </c>
      <c r="AN225" t="str">
        <f ca="1">IF(OR(AF225="",AF225="null"),"",ROUND((AF225-TODAY())/365.25,2))</f>
        <v/>
      </c>
      <c r="AO225" t="str">
        <f ca="1">IF(AND(AG225="Vigente",OR(AF225="",AF225="null",AF225&gt;TODAY())),"SI",IF(AND(NOT(OR(AF225="",AF225="null")),AF225&lt;=TODAY()),"NO",IF(AG225="Vigente","SI","DESCONOCIDO")))</f>
        <v>SI</v>
      </c>
      <c r="AP225" t="str">
        <f>IF(AND(ISNUMBER(SEARCH("IMPORTAR",AA225)),ISNUMBER(SEARCH("FABRICAR",AA225))),"MIXTO",IF(ISNUMBER(SEARCH("IMPORTAR",AA225)),"IMPORTADO",IF(ISNUMBER(SEARCH("FABRICAR",AA225)),"LOCAL","OTRO")))</f>
        <v>LOCAL</v>
      </c>
      <c r="AQ225" t="str">
        <f>IF(AD225="Si","SI",IF(AD225="No","NO",""))</f>
        <v>SI</v>
      </c>
      <c r="AR225" t="str">
        <f>IF(ISNUMBER(SEARCH("®",N225)),"MARCA/INNOVADOR","GENERICO")</f>
        <v>GENERICO</v>
      </c>
      <c r="AS225">
        <f ca="1">IF(AE225&gt;100,RANDBETWEEN(500,5000),IF(AND(AE225&gt;=10,AE225&lt;=100),RANDBETWEEN(100,1000),RANDBETWEEN(10,200)))</f>
        <v>995</v>
      </c>
      <c r="AT225">
        <f t="shared" ca="1" si="17"/>
        <v>218</v>
      </c>
      <c r="AU225">
        <f ca="1">INT(AS225*RANDBETWEEN(120,200)/100)</f>
        <v>1691</v>
      </c>
      <c r="AV225" s="2">
        <f ca="1">IF(LEFT(Y225,1)="L",RANDBETWEEN(500000,5000000),IF(LEFT(Y225,1)="C",RANDBETWEEN(5000,50000),IF(LEFT(Y225,1)="N",RANDBETWEEN(10000,150000),IF(LEFT(Y225,1)="J",RANDBETWEEN(8000,200000),RANDBETWEEN(5000,100000)))))</f>
        <v>6040</v>
      </c>
      <c r="AW225" s="2">
        <f ca="1">INT(AV225*RANDBETWEEN(30,60)/100)</f>
        <v>1993</v>
      </c>
      <c r="AX225">
        <f ca="1">IF(Z225="ORAL",RANDBETWEEN(1000,10000),IF(OR(Z225="INTRAVENOSA",Z225="INTRAMUSCULAR"),RANDBETWEEN(100,2000),IF(OR(Z225="OFTÁLMICA",Z225="TOPICA (EXTERNA)"),RANDBETWEEN(200,3000),RANDBETWEEN(100,1500))))</f>
        <v>2846</v>
      </c>
      <c r="AY225" s="2">
        <f ca="1">INT(AV225*RANDBETWEEN(90,130)/100)</f>
        <v>6946</v>
      </c>
      <c r="AZ225" t="str">
        <f t="shared" ca="1" si="18"/>
        <v>19.3%</v>
      </c>
      <c r="BA225" t="str">
        <f t="shared" ca="1" si="19"/>
        <v>BAJO</v>
      </c>
    </row>
    <row r="226" spans="4:53" x14ac:dyDescent="0.35">
      <c r="D226" t="s">
        <v>1838</v>
      </c>
      <c r="E226" s="1">
        <v>39568</v>
      </c>
      <c r="F226" t="s">
        <v>1839</v>
      </c>
      <c r="G226" t="s">
        <v>108</v>
      </c>
      <c r="H226" t="s">
        <v>801</v>
      </c>
      <c r="I226">
        <v>19983100</v>
      </c>
      <c r="J226" t="s">
        <v>28</v>
      </c>
      <c r="K226">
        <v>1</v>
      </c>
      <c r="L226" t="s">
        <v>27</v>
      </c>
      <c r="M226" t="s">
        <v>802</v>
      </c>
      <c r="N226" t="s">
        <v>803</v>
      </c>
      <c r="O226" t="s">
        <v>1840</v>
      </c>
      <c r="P226" t="s">
        <v>805</v>
      </c>
      <c r="Q226" s="1">
        <v>39470</v>
      </c>
      <c r="R226" t="s">
        <v>50</v>
      </c>
      <c r="S226" t="s">
        <v>27</v>
      </c>
      <c r="T226" t="s">
        <v>806</v>
      </c>
      <c r="U226" t="s">
        <v>807</v>
      </c>
      <c r="V226" t="s">
        <v>808</v>
      </c>
      <c r="W226">
        <v>25</v>
      </c>
      <c r="X226">
        <v>19983100</v>
      </c>
      <c r="Y226" t="s">
        <v>809</v>
      </c>
      <c r="Z226" t="s">
        <v>132</v>
      </c>
      <c r="AA226" t="s">
        <v>32</v>
      </c>
      <c r="AB226" t="s">
        <v>239</v>
      </c>
      <c r="AC226" t="s">
        <v>38</v>
      </c>
      <c r="AD226" t="s">
        <v>121</v>
      </c>
      <c r="AE226">
        <v>1</v>
      </c>
      <c r="AF226" s="1">
        <v>401769</v>
      </c>
      <c r="AG226" t="s">
        <v>26</v>
      </c>
      <c r="AH226" t="s">
        <v>6737</v>
      </c>
      <c r="AI226" t="str">
        <f t="shared" si="15"/>
        <v>NO</v>
      </c>
      <c r="AJ226" t="str">
        <f t="shared" si="16"/>
        <v>MERCK SHARP &amp; DOHME</v>
      </c>
      <c r="AK226" t="str">
        <f>IF(ISNUMBER(SEARCH("FABRICANTE",AC226)),"FABRICANTE",IF(ISNUMBER(SEARCH("IMPORTADOR",AC226)),"IMPORTADOR","OTRO"))</f>
        <v>IMPORTADOR</v>
      </c>
      <c r="AL226" t="str">
        <f>IF(LEFT(Y226,1)="A","Sistema digestivo",IF(LEFT(Y226,1)="B","Sangre",IF(LEFT(Y226,1)="C","Cardiovascular",IF(LEFT(Y226,1)="D","Dermatológico",IF(LEFT(Y226,1)="G","Genitourinario",IF(LEFT(Y226,1)="H","Hormonal",IF(LEFT(Y226,1)="J","Antiinfecciosos",IF(LEFT(Y226,1)="L","Oncológicos",IF(LEFT(Y226,1)="M","Musculoesquelético",IF(LEFT(Y226,1)="N","Sistema nervioso",IF(LEFT(Y226,1)="R","Respiratorio",IF(LEFT(Y226,1)="S","Oftálmico",IF(LEFT(Y226,1)="V","Varios","OTRO")))))))))))))</f>
        <v>Antiinfecciosos</v>
      </c>
      <c r="AM226" t="str">
        <f>IF(AG226="Vigente","ACTIVO",IF(ISNUMBER(SEARCH("Inactivo",J226)),"INACTIVO","REVISAR"))</f>
        <v>ACTIVO</v>
      </c>
      <c r="AN226">
        <f ca="1">IF(OR(AF226="",AF226="null"),"",ROUND((AF226-TODAY())/365.25,2))</f>
        <v>973.58</v>
      </c>
      <c r="AO226" t="str">
        <f ca="1">IF(AND(AG226="Vigente",OR(AF226="",AF226="null",AF226&gt;TODAY())),"SI",IF(AND(NOT(OR(AF226="",AF226="null")),AF226&lt;=TODAY()),"NO",IF(AG226="Vigente","SI","DESCONOCIDO")))</f>
        <v>SI</v>
      </c>
      <c r="AP226" t="str">
        <f>IF(AND(ISNUMBER(SEARCH("IMPORTAR",AA226)),ISNUMBER(SEARCH("FABRICAR",AA226))),"MIXTO",IF(ISNUMBER(SEARCH("IMPORTAR",AA226)),"IMPORTADO",IF(ISNUMBER(SEARCH("FABRICAR",AA226)),"LOCAL","OTRO")))</f>
        <v>IMPORTADO</v>
      </c>
      <c r="AQ226" t="str">
        <f>IF(AD226="Si","SI",IF(AD226="No","NO",""))</f>
        <v>NO</v>
      </c>
      <c r="AR226" t="str">
        <f>IF(ISNUMBER(SEARCH("®",N226)),"MARCA/INNOVADOR","GENERICO")</f>
        <v>MARCA/INNOVADOR</v>
      </c>
      <c r="AS226">
        <f ca="1">IF(AE226&gt;100,RANDBETWEEN(500,5000),IF(AND(AE226&gt;=10,AE226&lt;=100),RANDBETWEEN(100,1000),RANDBETWEEN(10,200)))</f>
        <v>104</v>
      </c>
      <c r="AT226">
        <f t="shared" ca="1" si="17"/>
        <v>20</v>
      </c>
      <c r="AU226">
        <f ca="1">INT(AS226*RANDBETWEEN(120,200)/100)</f>
        <v>131</v>
      </c>
      <c r="AV226" s="2">
        <f ca="1">IF(LEFT(Y226,1)="L",RANDBETWEEN(500000,5000000),IF(LEFT(Y226,1)="C",RANDBETWEEN(5000,50000),IF(LEFT(Y226,1)="N",RANDBETWEEN(10000,150000),IF(LEFT(Y226,1)="J",RANDBETWEEN(8000,200000),RANDBETWEEN(5000,100000)))))</f>
        <v>24284</v>
      </c>
      <c r="AW226" s="2">
        <f ca="1">INT(AV226*RANDBETWEEN(30,60)/100)</f>
        <v>7285</v>
      </c>
      <c r="AX226">
        <f ca="1">IF(Z226="ORAL",RANDBETWEEN(1000,10000),IF(OR(Z226="INTRAVENOSA",Z226="INTRAMUSCULAR"),RANDBETWEEN(100,2000),IF(OR(Z226="OFTÁLMICA",Z226="TOPICA (EXTERNA)"),RANDBETWEEN(200,3000),RANDBETWEEN(100,1500))))</f>
        <v>523</v>
      </c>
      <c r="AY226" s="2">
        <f ca="1">INT(AV226*RANDBETWEEN(90,130)/100)</f>
        <v>27683</v>
      </c>
      <c r="AZ226" t="str">
        <f t="shared" ca="1" si="18"/>
        <v>7.6%</v>
      </c>
      <c r="BA226" t="str">
        <f t="shared" ca="1" si="19"/>
        <v>BAJO</v>
      </c>
    </row>
    <row r="227" spans="4:53" x14ac:dyDescent="0.35">
      <c r="D227" t="s">
        <v>1841</v>
      </c>
      <c r="E227" s="1">
        <v>36161</v>
      </c>
      <c r="F227" t="s">
        <v>1842</v>
      </c>
      <c r="G227" t="s">
        <v>108</v>
      </c>
      <c r="H227" t="s">
        <v>1843</v>
      </c>
      <c r="I227">
        <v>19906442</v>
      </c>
      <c r="J227" t="s">
        <v>28</v>
      </c>
      <c r="K227">
        <v>10</v>
      </c>
      <c r="L227" t="s">
        <v>27</v>
      </c>
      <c r="M227" t="s">
        <v>1844</v>
      </c>
      <c r="N227" t="s">
        <v>1845</v>
      </c>
      <c r="O227" t="s">
        <v>1846</v>
      </c>
      <c r="P227" t="s">
        <v>234</v>
      </c>
      <c r="Q227" s="1">
        <v>45442</v>
      </c>
      <c r="R227" t="s">
        <v>50</v>
      </c>
      <c r="S227" t="s">
        <v>27</v>
      </c>
      <c r="T227" t="s">
        <v>1847</v>
      </c>
      <c r="U227" t="s">
        <v>115</v>
      </c>
      <c r="V227" t="s">
        <v>1848</v>
      </c>
      <c r="W227">
        <v>320</v>
      </c>
      <c r="X227">
        <v>19906442</v>
      </c>
      <c r="Y227" t="s">
        <v>1849</v>
      </c>
      <c r="Z227" t="s">
        <v>1137</v>
      </c>
      <c r="AA227" t="s">
        <v>32</v>
      </c>
      <c r="AB227" t="s">
        <v>120</v>
      </c>
      <c r="AC227" t="s">
        <v>38</v>
      </c>
      <c r="AD227" t="s">
        <v>121</v>
      </c>
      <c r="AE227">
        <v>10</v>
      </c>
      <c r="AF227" t="s">
        <v>27</v>
      </c>
      <c r="AG227" t="s">
        <v>26</v>
      </c>
      <c r="AH227" t="s">
        <v>6762</v>
      </c>
      <c r="AI227" t="str">
        <f t="shared" si="15"/>
        <v>NO</v>
      </c>
      <c r="AJ227" t="str">
        <f t="shared" si="16"/>
        <v>GE HEALTHCARE AS</v>
      </c>
      <c r="AK227" t="str">
        <f>IF(ISNUMBER(SEARCH("FABRICANTE",AC227)),"FABRICANTE",IF(ISNUMBER(SEARCH("IMPORTADOR",AC227)),"IMPORTADOR","OTRO"))</f>
        <v>IMPORTADOR</v>
      </c>
      <c r="AL227" t="str">
        <f>IF(LEFT(Y227,1)="A","Sistema digestivo",IF(LEFT(Y227,1)="B","Sangre",IF(LEFT(Y227,1)="C","Cardiovascular",IF(LEFT(Y227,1)="D","Dermatológico",IF(LEFT(Y227,1)="G","Genitourinario",IF(LEFT(Y227,1)="H","Hormonal",IF(LEFT(Y227,1)="J","Antiinfecciosos",IF(LEFT(Y227,1)="L","Oncológicos",IF(LEFT(Y227,1)="M","Musculoesquelético",IF(LEFT(Y227,1)="N","Sistema nervioso",IF(LEFT(Y227,1)="R","Respiratorio",IF(LEFT(Y227,1)="S","Oftálmico",IF(LEFT(Y227,1)="V","Varios","OTRO")))))))))))))</f>
        <v>Varios</v>
      </c>
      <c r="AM227" t="str">
        <f>IF(AG227="Vigente","ACTIVO",IF(ISNUMBER(SEARCH("Inactivo",J227)),"INACTIVO","REVISAR"))</f>
        <v>ACTIVO</v>
      </c>
      <c r="AN227" t="str">
        <f ca="1">IF(OR(AF227="",AF227="null"),"",ROUND((AF227-TODAY())/365.25,2))</f>
        <v/>
      </c>
      <c r="AO227" t="str">
        <f ca="1">IF(AND(AG227="Vigente",OR(AF227="",AF227="null",AF227&gt;TODAY())),"SI",IF(AND(NOT(OR(AF227="",AF227="null")),AF227&lt;=TODAY()),"NO",IF(AG227="Vigente","SI","DESCONOCIDO")))</f>
        <v>SI</v>
      </c>
      <c r="AP227" t="str">
        <f>IF(AND(ISNUMBER(SEARCH("IMPORTAR",AA227)),ISNUMBER(SEARCH("FABRICAR",AA227))),"MIXTO",IF(ISNUMBER(SEARCH("IMPORTAR",AA227)),"IMPORTADO",IF(ISNUMBER(SEARCH("FABRICAR",AA227)),"LOCAL","OTRO")))</f>
        <v>IMPORTADO</v>
      </c>
      <c r="AQ227" t="str">
        <f>IF(AD227="Si","SI",IF(AD227="No","NO",""))</f>
        <v>NO</v>
      </c>
      <c r="AR227" t="str">
        <f>IF(ISNUMBER(SEARCH("®",N227)),"MARCA/INNOVADOR","GENERICO")</f>
        <v>GENERICO</v>
      </c>
      <c r="AS227">
        <f ca="1">IF(AE227&gt;100,RANDBETWEEN(500,5000),IF(AND(AE227&gt;=10,AE227&lt;=100),RANDBETWEEN(100,1000),RANDBETWEEN(10,200)))</f>
        <v>257</v>
      </c>
      <c r="AT227">
        <f t="shared" ca="1" si="17"/>
        <v>53</v>
      </c>
      <c r="AU227">
        <f ca="1">INT(AS227*RANDBETWEEN(120,200)/100)</f>
        <v>514</v>
      </c>
      <c r="AV227" s="2">
        <f ca="1">IF(LEFT(Y227,1)="L",RANDBETWEEN(500000,5000000),IF(LEFT(Y227,1)="C",RANDBETWEEN(5000,50000),IF(LEFT(Y227,1)="N",RANDBETWEEN(10000,150000),IF(LEFT(Y227,1)="J",RANDBETWEEN(8000,200000),RANDBETWEEN(5000,100000)))))</f>
        <v>85796</v>
      </c>
      <c r="AW227" s="2">
        <f ca="1">INT(AV227*RANDBETWEEN(30,60)/100)</f>
        <v>31744</v>
      </c>
      <c r="AX227">
        <f ca="1">IF(Z227="ORAL",RANDBETWEEN(1000,10000),IF(OR(Z227="INTRAVENOSA",Z227="INTRAMUSCULAR"),RANDBETWEEN(100,2000),IF(OR(Z227="OFTÁLMICA",Z227="TOPICA (EXTERNA)"),RANDBETWEEN(200,3000),RANDBETWEEN(100,1500))))</f>
        <v>1071</v>
      </c>
      <c r="AY227" s="2">
        <f ca="1">INT(AV227*RANDBETWEEN(90,130)/100)</f>
        <v>108102</v>
      </c>
      <c r="AZ227" t="str">
        <f t="shared" ca="1" si="18"/>
        <v>0.8%</v>
      </c>
      <c r="BA227" t="str">
        <f t="shared" ca="1" si="19"/>
        <v>BAJO</v>
      </c>
    </row>
    <row r="228" spans="4:53" x14ac:dyDescent="0.35">
      <c r="D228" t="s">
        <v>1850</v>
      </c>
      <c r="E228" s="1">
        <v>38517</v>
      </c>
      <c r="F228" t="s">
        <v>1851</v>
      </c>
      <c r="G228" t="s">
        <v>108</v>
      </c>
      <c r="H228" t="s">
        <v>1852</v>
      </c>
      <c r="I228">
        <v>19953296</v>
      </c>
      <c r="J228" t="s">
        <v>28</v>
      </c>
      <c r="K228">
        <v>8</v>
      </c>
      <c r="L228" t="s">
        <v>1853</v>
      </c>
      <c r="M228" t="s">
        <v>1854</v>
      </c>
      <c r="N228" t="s">
        <v>1855</v>
      </c>
      <c r="O228" t="s">
        <v>1856</v>
      </c>
      <c r="P228" t="s">
        <v>1857</v>
      </c>
      <c r="Q228" s="1">
        <v>39031</v>
      </c>
      <c r="R228" t="s">
        <v>50</v>
      </c>
      <c r="S228" s="1">
        <v>44470</v>
      </c>
      <c r="T228" t="s">
        <v>1858</v>
      </c>
      <c r="U228" t="s">
        <v>115</v>
      </c>
      <c r="V228" t="s">
        <v>1859</v>
      </c>
      <c r="W228">
        <v>75</v>
      </c>
      <c r="X228">
        <v>19953296</v>
      </c>
      <c r="Y228" t="s">
        <v>1860</v>
      </c>
      <c r="Z228" t="s">
        <v>260</v>
      </c>
      <c r="AA228" t="s">
        <v>32</v>
      </c>
      <c r="AB228" t="s">
        <v>120</v>
      </c>
      <c r="AC228" t="s">
        <v>38</v>
      </c>
      <c r="AD228" t="s">
        <v>121</v>
      </c>
      <c r="AE228">
        <v>100</v>
      </c>
      <c r="AF228" t="s">
        <v>27</v>
      </c>
      <c r="AG228" t="s">
        <v>26</v>
      </c>
      <c r="AH228" t="s">
        <v>1851</v>
      </c>
      <c r="AI228" t="str">
        <f t="shared" si="15"/>
        <v>NO</v>
      </c>
      <c r="AJ228" t="str">
        <f t="shared" si="16"/>
        <v>LABORATORIO BIOSANO</v>
      </c>
      <c r="AK228" t="str">
        <f>IF(ISNUMBER(SEARCH("FABRICANTE",AC228)),"FABRICANTE",IF(ISNUMBER(SEARCH("IMPORTADOR",AC228)),"IMPORTADOR","OTRO"))</f>
        <v>IMPORTADOR</v>
      </c>
      <c r="AL228" t="str">
        <f>IF(LEFT(Y228,1)="A","Sistema digestivo",IF(LEFT(Y228,1)="B","Sangre",IF(LEFT(Y228,1)="C","Cardiovascular",IF(LEFT(Y228,1)="D","Dermatológico",IF(LEFT(Y228,1)="G","Genitourinario",IF(LEFT(Y228,1)="H","Hormonal",IF(LEFT(Y228,1)="J","Antiinfecciosos",IF(LEFT(Y228,1)="L","Oncológicos",IF(LEFT(Y228,1)="M","Musculoesquelético",IF(LEFT(Y228,1)="N","Sistema nervioso",IF(LEFT(Y228,1)="R","Respiratorio",IF(LEFT(Y228,1)="S","Oftálmico",IF(LEFT(Y228,1)="V","Varios","OTRO")))))))))))))</f>
        <v>Musculoesquelético</v>
      </c>
      <c r="AM228" t="str">
        <f>IF(AG228="Vigente","ACTIVO",IF(ISNUMBER(SEARCH("Inactivo",J228)),"INACTIVO","REVISAR"))</f>
        <v>ACTIVO</v>
      </c>
      <c r="AN228" t="str">
        <f ca="1">IF(OR(AF228="",AF228="null"),"",ROUND((AF228-TODAY())/365.25,2))</f>
        <v/>
      </c>
      <c r="AO228" t="str">
        <f ca="1">IF(AND(AG228="Vigente",OR(AF228="",AF228="null",AF228&gt;TODAY())),"SI",IF(AND(NOT(OR(AF228="",AF228="null")),AF228&lt;=TODAY()),"NO",IF(AG228="Vigente","SI","DESCONOCIDO")))</f>
        <v>SI</v>
      </c>
      <c r="AP228" t="str">
        <f>IF(AND(ISNUMBER(SEARCH("IMPORTAR",AA228)),ISNUMBER(SEARCH("FABRICAR",AA228))),"MIXTO",IF(ISNUMBER(SEARCH("IMPORTAR",AA228)),"IMPORTADO",IF(ISNUMBER(SEARCH("FABRICAR",AA228)),"LOCAL","OTRO")))</f>
        <v>IMPORTADO</v>
      </c>
      <c r="AQ228" t="str">
        <f>IF(AD228="Si","SI",IF(AD228="No","NO",""))</f>
        <v>NO</v>
      </c>
      <c r="AR228" t="str">
        <f>IF(ISNUMBER(SEARCH("®",N228)),"MARCA/INNOVADOR","GENERICO")</f>
        <v>GENERICO</v>
      </c>
      <c r="AS228">
        <f ca="1">IF(AE228&gt;100,RANDBETWEEN(500,5000),IF(AND(AE228&gt;=10,AE228&lt;=100),RANDBETWEEN(100,1000),RANDBETWEEN(10,200)))</f>
        <v>719</v>
      </c>
      <c r="AT228">
        <f t="shared" ca="1" si="17"/>
        <v>136</v>
      </c>
      <c r="AU228">
        <f ca="1">INT(AS228*RANDBETWEEN(120,200)/100)</f>
        <v>913</v>
      </c>
      <c r="AV228" s="2">
        <f ca="1">IF(LEFT(Y228,1)="L",RANDBETWEEN(500000,5000000),IF(LEFT(Y228,1)="C",RANDBETWEEN(5000,50000),IF(LEFT(Y228,1)="N",RANDBETWEEN(10000,150000),IF(LEFT(Y228,1)="J",RANDBETWEEN(8000,200000),RANDBETWEEN(5000,100000)))))</f>
        <v>13897</v>
      </c>
      <c r="AW228" s="2">
        <f ca="1">INT(AV228*RANDBETWEEN(30,60)/100)</f>
        <v>5975</v>
      </c>
      <c r="AX228">
        <f ca="1">IF(Z228="ORAL",RANDBETWEEN(1000,10000),IF(OR(Z228="INTRAVENOSA",Z228="INTRAMUSCULAR"),RANDBETWEEN(100,2000),IF(OR(Z228="OFTÁLMICA",Z228="TOPICA (EXTERNA)"),RANDBETWEEN(200,3000),RANDBETWEEN(100,1500))))</f>
        <v>1307</v>
      </c>
      <c r="AY228" s="2">
        <f ca="1">INT(AV228*RANDBETWEEN(90,130)/100)</f>
        <v>12924</v>
      </c>
      <c r="AZ228" t="str">
        <f t="shared" ca="1" si="18"/>
        <v>3.8%</v>
      </c>
      <c r="BA228" t="str">
        <f t="shared" ca="1" si="19"/>
        <v>BAJO</v>
      </c>
    </row>
    <row r="229" spans="4:53" x14ac:dyDescent="0.35">
      <c r="D229" t="s">
        <v>1861</v>
      </c>
      <c r="E229" s="1">
        <v>40955</v>
      </c>
      <c r="F229" t="s">
        <v>1862</v>
      </c>
      <c r="G229" t="s">
        <v>108</v>
      </c>
      <c r="H229" t="s">
        <v>1863</v>
      </c>
      <c r="I229">
        <v>20039245</v>
      </c>
      <c r="J229" t="s">
        <v>110</v>
      </c>
      <c r="K229">
        <v>4</v>
      </c>
      <c r="L229" t="s">
        <v>27</v>
      </c>
      <c r="M229" t="s">
        <v>1864</v>
      </c>
      <c r="N229" t="s">
        <v>1865</v>
      </c>
      <c r="O229" t="s">
        <v>1866</v>
      </c>
      <c r="P229" t="s">
        <v>1867</v>
      </c>
      <c r="Q229" s="1">
        <v>40892</v>
      </c>
      <c r="R229" t="s">
        <v>50</v>
      </c>
      <c r="S229" s="1">
        <v>43308</v>
      </c>
      <c r="T229" t="s">
        <v>1863</v>
      </c>
      <c r="U229" t="s">
        <v>115</v>
      </c>
      <c r="V229" t="s">
        <v>1868</v>
      </c>
      <c r="W229">
        <v>10</v>
      </c>
      <c r="X229">
        <v>20039245</v>
      </c>
      <c r="Y229" t="s">
        <v>1869</v>
      </c>
      <c r="Z229" t="s">
        <v>213</v>
      </c>
      <c r="AA229" t="s">
        <v>32</v>
      </c>
      <c r="AB229" t="s">
        <v>120</v>
      </c>
      <c r="AC229" t="s">
        <v>38</v>
      </c>
      <c r="AD229" t="s">
        <v>121</v>
      </c>
      <c r="AE229">
        <v>15</v>
      </c>
      <c r="AF229" t="s">
        <v>27</v>
      </c>
      <c r="AG229" t="s">
        <v>26</v>
      </c>
      <c r="AH229" t="s">
        <v>6638</v>
      </c>
      <c r="AI229" t="str">
        <f t="shared" si="15"/>
        <v>NO</v>
      </c>
      <c r="AJ229" t="str">
        <f t="shared" si="16"/>
        <v>PROCTER &amp; GAMBLE COLOMBIA</v>
      </c>
      <c r="AK229" t="str">
        <f>IF(ISNUMBER(SEARCH("FABRICANTE",AC229)),"FABRICANTE",IF(ISNUMBER(SEARCH("IMPORTADOR",AC229)),"IMPORTADOR","OTRO"))</f>
        <v>IMPORTADOR</v>
      </c>
      <c r="AL229" t="str">
        <f>IF(LEFT(Y229,1)="A","Sistema digestivo",IF(LEFT(Y229,1)="B","Sangre",IF(LEFT(Y229,1)="C","Cardiovascular",IF(LEFT(Y229,1)="D","Dermatológico",IF(LEFT(Y229,1)="G","Genitourinario",IF(LEFT(Y229,1)="H","Hormonal",IF(LEFT(Y229,1)="J","Antiinfecciosos",IF(LEFT(Y229,1)="L","Oncológicos",IF(LEFT(Y229,1)="M","Musculoesquelético",IF(LEFT(Y229,1)="N","Sistema nervioso",IF(LEFT(Y229,1)="R","Respiratorio",IF(LEFT(Y229,1)="S","Oftálmico",IF(LEFT(Y229,1)="V","Varios","OTRO")))))))))))))</f>
        <v>Sistema digestivo</v>
      </c>
      <c r="AM229" t="str">
        <f>IF(AG229="Vigente","ACTIVO",IF(ISNUMBER(SEARCH("Inactivo",J229)),"INACTIVO","REVISAR"))</f>
        <v>ACTIVO</v>
      </c>
      <c r="AN229" t="str">
        <f ca="1">IF(OR(AF229="",AF229="null"),"",ROUND((AF229-TODAY())/365.25,2))</f>
        <v/>
      </c>
      <c r="AO229" t="str">
        <f ca="1">IF(AND(AG229="Vigente",OR(AF229="",AF229="null",AF229&gt;TODAY())),"SI",IF(AND(NOT(OR(AF229="",AF229="null")),AF229&lt;=TODAY()),"NO",IF(AG229="Vigente","SI","DESCONOCIDO")))</f>
        <v>SI</v>
      </c>
      <c r="AP229" t="str">
        <f>IF(AND(ISNUMBER(SEARCH("IMPORTAR",AA229)),ISNUMBER(SEARCH("FABRICAR",AA229))),"MIXTO",IF(ISNUMBER(SEARCH("IMPORTAR",AA229)),"IMPORTADO",IF(ISNUMBER(SEARCH("FABRICAR",AA229)),"LOCAL","OTRO")))</f>
        <v>IMPORTADO</v>
      </c>
      <c r="AQ229" t="str">
        <f>IF(AD229="Si","SI",IF(AD229="No","NO",""))</f>
        <v>NO</v>
      </c>
      <c r="AR229" t="str">
        <f>IF(ISNUMBER(SEARCH("®",N229)),"MARCA/INNOVADOR","GENERICO")</f>
        <v>MARCA/INNOVADOR</v>
      </c>
      <c r="AS229">
        <f ca="1">IF(AE229&gt;100,RANDBETWEEN(500,5000),IF(AND(AE229&gt;=10,AE229&lt;=100),RANDBETWEEN(100,1000),RANDBETWEEN(10,200)))</f>
        <v>979</v>
      </c>
      <c r="AT229">
        <f t="shared" ca="1" si="17"/>
        <v>254</v>
      </c>
      <c r="AU229">
        <f ca="1">INT(AS229*RANDBETWEEN(120,200)/100)</f>
        <v>1399</v>
      </c>
      <c r="AV229" s="2">
        <f ca="1">IF(LEFT(Y229,1)="L",RANDBETWEEN(500000,5000000),IF(LEFT(Y229,1)="C",RANDBETWEEN(5000,50000),IF(LEFT(Y229,1)="N",RANDBETWEEN(10000,150000),IF(LEFT(Y229,1)="J",RANDBETWEEN(8000,200000),RANDBETWEEN(5000,100000)))))</f>
        <v>93811</v>
      </c>
      <c r="AW229" s="2">
        <f ca="1">INT(AV229*RANDBETWEEN(30,60)/100)</f>
        <v>43153</v>
      </c>
      <c r="AX229">
        <f ca="1">IF(Z229="ORAL",RANDBETWEEN(1000,10000),IF(OR(Z229="INTRAVENOSA",Z229="INTRAMUSCULAR"),RANDBETWEEN(100,2000),IF(OR(Z229="OFTÁLMICA",Z229="TOPICA (EXTERNA)"),RANDBETWEEN(200,3000),RANDBETWEEN(100,1500))))</f>
        <v>1480</v>
      </c>
      <c r="AY229" s="2">
        <f ca="1">INT(AV229*RANDBETWEEN(90,130)/100)</f>
        <v>98501</v>
      </c>
      <c r="AZ229" t="str">
        <f t="shared" ca="1" si="18"/>
        <v>6.7%</v>
      </c>
      <c r="BA229" t="str">
        <f t="shared" ca="1" si="19"/>
        <v>ALTO</v>
      </c>
    </row>
    <row r="230" spans="4:53" x14ac:dyDescent="0.35">
      <c r="D230" t="s">
        <v>1870</v>
      </c>
      <c r="E230" s="1">
        <v>40427</v>
      </c>
      <c r="F230" t="s">
        <v>1871</v>
      </c>
      <c r="G230" t="s">
        <v>108</v>
      </c>
      <c r="H230" t="s">
        <v>1872</v>
      </c>
      <c r="I230">
        <v>20012256</v>
      </c>
      <c r="J230" t="s">
        <v>28</v>
      </c>
      <c r="K230">
        <v>3</v>
      </c>
      <c r="L230" t="s">
        <v>1873</v>
      </c>
      <c r="M230" t="s">
        <v>1874</v>
      </c>
      <c r="N230" t="s">
        <v>1875</v>
      </c>
      <c r="O230" t="s">
        <v>1876</v>
      </c>
      <c r="P230" t="s">
        <v>1877</v>
      </c>
      <c r="Q230" s="1">
        <v>43341</v>
      </c>
      <c r="R230" t="s">
        <v>50</v>
      </c>
      <c r="S230" t="s">
        <v>27</v>
      </c>
      <c r="T230" t="s">
        <v>1872</v>
      </c>
      <c r="U230" t="s">
        <v>807</v>
      </c>
      <c r="V230" t="s">
        <v>1878</v>
      </c>
      <c r="W230">
        <v>4</v>
      </c>
      <c r="X230">
        <v>20012256</v>
      </c>
      <c r="Y230" t="s">
        <v>1879</v>
      </c>
      <c r="Z230" t="s">
        <v>213</v>
      </c>
      <c r="AA230" t="s">
        <v>32</v>
      </c>
      <c r="AB230" t="s">
        <v>239</v>
      </c>
      <c r="AC230" t="s">
        <v>25</v>
      </c>
      <c r="AD230" t="s">
        <v>121</v>
      </c>
      <c r="AE230">
        <v>1</v>
      </c>
      <c r="AF230" s="1">
        <v>401769</v>
      </c>
      <c r="AG230" t="s">
        <v>26</v>
      </c>
      <c r="AH230" t="s">
        <v>133</v>
      </c>
      <c r="AI230" t="str">
        <f t="shared" si="15"/>
        <v>NO</v>
      </c>
      <c r="AJ230" t="str">
        <f t="shared" si="16"/>
        <v>SANOFI PASTEUR</v>
      </c>
      <c r="AK230" t="str">
        <f>IF(ISNUMBER(SEARCH("FABRICANTE",AC230)),"FABRICANTE",IF(ISNUMBER(SEARCH("IMPORTADOR",AC230)),"IMPORTADOR","OTRO"))</f>
        <v>FABRICANTE</v>
      </c>
      <c r="AL230" t="str">
        <f>IF(LEFT(Y230,1)="A","Sistema digestivo",IF(LEFT(Y230,1)="B","Sangre",IF(LEFT(Y230,1)="C","Cardiovascular",IF(LEFT(Y230,1)="D","Dermatológico",IF(LEFT(Y230,1)="G","Genitourinario",IF(LEFT(Y230,1)="H","Hormonal",IF(LEFT(Y230,1)="J","Antiinfecciosos",IF(LEFT(Y230,1)="L","Oncológicos",IF(LEFT(Y230,1)="M","Musculoesquelético",IF(LEFT(Y230,1)="N","Sistema nervioso",IF(LEFT(Y230,1)="R","Respiratorio",IF(LEFT(Y230,1)="S","Oftálmico",IF(LEFT(Y230,1)="V","Varios","OTRO")))))))))))))</f>
        <v>Antiinfecciosos</v>
      </c>
      <c r="AM230" t="str">
        <f>IF(AG230="Vigente","ACTIVO",IF(ISNUMBER(SEARCH("Inactivo",J230)),"INACTIVO","REVISAR"))</f>
        <v>ACTIVO</v>
      </c>
      <c r="AN230">
        <f ca="1">IF(OR(AF230="",AF230="null"),"",ROUND((AF230-TODAY())/365.25,2))</f>
        <v>973.58</v>
      </c>
      <c r="AO230" t="str">
        <f ca="1">IF(AND(AG230="Vigente",OR(AF230="",AF230="null",AF230&gt;TODAY())),"SI",IF(AND(NOT(OR(AF230="",AF230="null")),AF230&lt;=TODAY()),"NO",IF(AG230="Vigente","SI","DESCONOCIDO")))</f>
        <v>SI</v>
      </c>
      <c r="AP230" t="str">
        <f>IF(AND(ISNUMBER(SEARCH("IMPORTAR",AA230)),ISNUMBER(SEARCH("FABRICAR",AA230))),"MIXTO",IF(ISNUMBER(SEARCH("IMPORTAR",AA230)),"IMPORTADO",IF(ISNUMBER(SEARCH("FABRICAR",AA230)),"LOCAL","OTRO")))</f>
        <v>IMPORTADO</v>
      </c>
      <c r="AQ230" t="str">
        <f>IF(AD230="Si","SI",IF(AD230="No","NO",""))</f>
        <v>NO</v>
      </c>
      <c r="AR230" t="str">
        <f>IF(ISNUMBER(SEARCH("®",N230)),"MARCA/INNOVADOR","GENERICO")</f>
        <v>MARCA/INNOVADOR</v>
      </c>
      <c r="AS230">
        <f ca="1">IF(AE230&gt;100,RANDBETWEEN(500,5000),IF(AND(AE230&gt;=10,AE230&lt;=100),RANDBETWEEN(100,1000),RANDBETWEEN(10,200)))</f>
        <v>107</v>
      </c>
      <c r="AT230">
        <f t="shared" ca="1" si="17"/>
        <v>21</v>
      </c>
      <c r="AU230">
        <f ca="1">INT(AS230*RANDBETWEEN(120,200)/100)</f>
        <v>197</v>
      </c>
      <c r="AV230" s="2">
        <f ca="1">IF(LEFT(Y230,1)="L",RANDBETWEEN(500000,5000000),IF(LEFT(Y230,1)="C",RANDBETWEEN(5000,50000),IF(LEFT(Y230,1)="N",RANDBETWEEN(10000,150000),IF(LEFT(Y230,1)="J",RANDBETWEEN(8000,200000),RANDBETWEEN(5000,100000)))))</f>
        <v>128551</v>
      </c>
      <c r="AW230" s="2">
        <f ca="1">INT(AV230*RANDBETWEEN(30,60)/100)</f>
        <v>47563</v>
      </c>
      <c r="AX230">
        <f ca="1">IF(Z230="ORAL",RANDBETWEEN(1000,10000),IF(OR(Z230="INTRAVENOSA",Z230="INTRAMUSCULAR"),RANDBETWEEN(100,2000),IF(OR(Z230="OFTÁLMICA",Z230="TOPICA (EXTERNA)"),RANDBETWEEN(200,3000),RANDBETWEEN(100,1500))))</f>
        <v>341</v>
      </c>
      <c r="AY230" s="2">
        <f ca="1">INT(AV230*RANDBETWEEN(90,130)/100)</f>
        <v>124694</v>
      </c>
      <c r="AZ230" t="str">
        <f t="shared" ca="1" si="18"/>
        <v>5.4%</v>
      </c>
      <c r="BA230" t="str">
        <f t="shared" ca="1" si="19"/>
        <v>BAJO</v>
      </c>
    </row>
    <row r="231" spans="4:53" x14ac:dyDescent="0.35">
      <c r="D231" t="s">
        <v>1880</v>
      </c>
      <c r="E231" s="1">
        <v>39767</v>
      </c>
      <c r="F231" t="s">
        <v>1221</v>
      </c>
      <c r="G231" t="s">
        <v>108</v>
      </c>
      <c r="H231" t="s">
        <v>187</v>
      </c>
      <c r="I231">
        <v>19992272</v>
      </c>
      <c r="J231" t="s">
        <v>28</v>
      </c>
      <c r="K231">
        <v>31</v>
      </c>
      <c r="L231" t="s">
        <v>27</v>
      </c>
      <c r="M231" t="s">
        <v>1881</v>
      </c>
      <c r="N231" t="s">
        <v>1882</v>
      </c>
      <c r="O231" t="s">
        <v>1883</v>
      </c>
      <c r="P231" t="s">
        <v>33</v>
      </c>
      <c r="Q231" s="1">
        <v>43231</v>
      </c>
      <c r="R231" t="s">
        <v>33</v>
      </c>
      <c r="S231" t="s">
        <v>27</v>
      </c>
      <c r="T231" t="s">
        <v>80</v>
      </c>
      <c r="U231" t="s">
        <v>115</v>
      </c>
      <c r="V231" t="s">
        <v>321</v>
      </c>
      <c r="W231">
        <v>500</v>
      </c>
      <c r="X231">
        <v>19992272</v>
      </c>
      <c r="Y231" t="s">
        <v>322</v>
      </c>
      <c r="Z231" t="s">
        <v>119</v>
      </c>
      <c r="AA231" t="s">
        <v>165</v>
      </c>
      <c r="AB231" t="s">
        <v>120</v>
      </c>
      <c r="AC231" t="s">
        <v>25</v>
      </c>
      <c r="AD231" t="s">
        <v>121</v>
      </c>
      <c r="AE231">
        <v>6</v>
      </c>
      <c r="AF231" t="s">
        <v>27</v>
      </c>
      <c r="AG231" t="s">
        <v>26</v>
      </c>
      <c r="AH231" t="s">
        <v>522</v>
      </c>
      <c r="AI231" t="str">
        <f t="shared" si="15"/>
        <v>NO</v>
      </c>
      <c r="AJ231" t="str">
        <f t="shared" si="16"/>
        <v>TECNOQUIMICAS</v>
      </c>
      <c r="AK231" t="str">
        <f>IF(ISNUMBER(SEARCH("FABRICANTE",AC231)),"FABRICANTE",IF(ISNUMBER(SEARCH("IMPORTADOR",AC231)),"IMPORTADOR","OTRO"))</f>
        <v>FABRICANTE</v>
      </c>
      <c r="AL231" t="str">
        <f>IF(LEFT(Y231,1)="A","Sistema digestivo",IF(LEFT(Y231,1)="B","Sangre",IF(LEFT(Y231,1)="C","Cardiovascular",IF(LEFT(Y231,1)="D","Dermatológico",IF(LEFT(Y231,1)="G","Genitourinario",IF(LEFT(Y231,1)="H","Hormonal",IF(LEFT(Y231,1)="J","Antiinfecciosos",IF(LEFT(Y231,1)="L","Oncológicos",IF(LEFT(Y231,1)="M","Musculoesquelético",IF(LEFT(Y231,1)="N","Sistema nervioso",IF(LEFT(Y231,1)="R","Respiratorio",IF(LEFT(Y231,1)="S","Oftálmico",IF(LEFT(Y231,1)="V","Varios","OTRO")))))))))))))</f>
        <v>Sistema nervioso</v>
      </c>
      <c r="AM231" t="str">
        <f>IF(AG231="Vigente","ACTIVO",IF(ISNUMBER(SEARCH("Inactivo",J231)),"INACTIVO","REVISAR"))</f>
        <v>ACTIVO</v>
      </c>
      <c r="AN231" t="str">
        <f ca="1">IF(OR(AF231="",AF231="null"),"",ROUND((AF231-TODAY())/365.25,2))</f>
        <v/>
      </c>
      <c r="AO231" t="str">
        <f ca="1">IF(AND(AG231="Vigente",OR(AF231="",AF231="null",AF231&gt;TODAY())),"SI",IF(AND(NOT(OR(AF231="",AF231="null")),AF231&lt;=TODAY()),"NO",IF(AG231="Vigente","SI","DESCONOCIDO")))</f>
        <v>SI</v>
      </c>
      <c r="AP231" t="str">
        <f>IF(AND(ISNUMBER(SEARCH("IMPORTAR",AA231)),ISNUMBER(SEARCH("FABRICAR",AA231))),"MIXTO",IF(ISNUMBER(SEARCH("IMPORTAR",AA231)),"IMPORTADO",IF(ISNUMBER(SEARCH("FABRICAR",AA231)),"LOCAL","OTRO")))</f>
        <v>IMPORTADO</v>
      </c>
      <c r="AQ231" t="str">
        <f>IF(AD231="Si","SI",IF(AD231="No","NO",""))</f>
        <v>NO</v>
      </c>
      <c r="AR231" t="str">
        <f>IF(ISNUMBER(SEARCH("®",N231)),"MARCA/INNOVADOR","GENERICO")</f>
        <v>GENERICO</v>
      </c>
      <c r="AS231">
        <f ca="1">IF(AE231&gt;100,RANDBETWEEN(500,5000),IF(AND(AE231&gt;=10,AE231&lt;=100),RANDBETWEEN(100,1000),RANDBETWEEN(10,200)))</f>
        <v>97</v>
      </c>
      <c r="AT231">
        <f t="shared" ca="1" si="17"/>
        <v>24</v>
      </c>
      <c r="AU231">
        <f ca="1">INT(AS231*RANDBETWEEN(120,200)/100)</f>
        <v>126</v>
      </c>
      <c r="AV231" s="2">
        <f ca="1">IF(LEFT(Y231,1)="L",RANDBETWEEN(500000,5000000),IF(LEFT(Y231,1)="C",RANDBETWEEN(5000,50000),IF(LEFT(Y231,1)="N",RANDBETWEEN(10000,150000),IF(LEFT(Y231,1)="J",RANDBETWEEN(8000,200000),RANDBETWEEN(5000,100000)))))</f>
        <v>114122</v>
      </c>
      <c r="AW231" s="2">
        <f ca="1">INT(AV231*RANDBETWEEN(30,60)/100)</f>
        <v>59343</v>
      </c>
      <c r="AX231">
        <f ca="1">IF(Z231="ORAL",RANDBETWEEN(1000,10000),IF(OR(Z231="INTRAVENOSA",Z231="INTRAMUSCULAR"),RANDBETWEEN(100,2000),IF(OR(Z231="OFTÁLMICA",Z231="TOPICA (EXTERNA)"),RANDBETWEEN(200,3000),RANDBETWEEN(100,1500))))</f>
        <v>9753</v>
      </c>
      <c r="AY231" s="2">
        <f ca="1">INT(AV231*RANDBETWEEN(90,130)/100)</f>
        <v>148358</v>
      </c>
      <c r="AZ231" t="str">
        <f t="shared" ca="1" si="18"/>
        <v>16.5%</v>
      </c>
      <c r="BA231" t="str">
        <f t="shared" ca="1" si="19"/>
        <v>BAJO</v>
      </c>
    </row>
    <row r="232" spans="4:53" x14ac:dyDescent="0.35">
      <c r="D232" t="s">
        <v>1884</v>
      </c>
      <c r="E232" s="1">
        <v>39801</v>
      </c>
      <c r="F232" t="s">
        <v>1885</v>
      </c>
      <c r="G232" t="s">
        <v>108</v>
      </c>
      <c r="H232" t="s">
        <v>1886</v>
      </c>
      <c r="I232">
        <v>19996391</v>
      </c>
      <c r="J232" t="s">
        <v>28</v>
      </c>
      <c r="K232">
        <v>13</v>
      </c>
      <c r="L232" t="s">
        <v>27</v>
      </c>
      <c r="M232" t="s">
        <v>1887</v>
      </c>
      <c r="N232" t="s">
        <v>1888</v>
      </c>
      <c r="O232" t="s">
        <v>1889</v>
      </c>
      <c r="P232" t="s">
        <v>1392</v>
      </c>
      <c r="Q232" s="1">
        <v>44315</v>
      </c>
      <c r="R232" t="s">
        <v>43</v>
      </c>
      <c r="S232" t="s">
        <v>27</v>
      </c>
      <c r="T232" t="s">
        <v>464</v>
      </c>
      <c r="U232" t="s">
        <v>247</v>
      </c>
      <c r="V232" t="s">
        <v>1890</v>
      </c>
      <c r="W232">
        <v>1</v>
      </c>
      <c r="X232">
        <v>19996391</v>
      </c>
      <c r="Y232" t="s">
        <v>1891</v>
      </c>
      <c r="Z232" t="s">
        <v>566</v>
      </c>
      <c r="AA232" t="s">
        <v>24</v>
      </c>
      <c r="AB232" t="s">
        <v>653</v>
      </c>
      <c r="AC232" t="s">
        <v>25</v>
      </c>
      <c r="AD232" t="s">
        <v>155</v>
      </c>
      <c r="AE232">
        <v>1</v>
      </c>
      <c r="AF232" t="s">
        <v>27</v>
      </c>
      <c r="AG232" t="s">
        <v>26</v>
      </c>
      <c r="AH232" t="s">
        <v>2143</v>
      </c>
      <c r="AI232" t="str">
        <f t="shared" si="15"/>
        <v>NO</v>
      </c>
      <c r="AJ232" t="str">
        <f t="shared" si="16"/>
        <v>MEGALABS COLOMBIA</v>
      </c>
      <c r="AK232" t="str">
        <f>IF(ISNUMBER(SEARCH("FABRICANTE",AC232)),"FABRICANTE",IF(ISNUMBER(SEARCH("IMPORTADOR",AC232)),"IMPORTADOR","OTRO"))</f>
        <v>FABRICANTE</v>
      </c>
      <c r="AL232" t="str">
        <f>IF(LEFT(Y232,1)="A","Sistema digestivo",IF(LEFT(Y232,1)="B","Sangre",IF(LEFT(Y232,1)="C","Cardiovascular",IF(LEFT(Y232,1)="D","Dermatológico",IF(LEFT(Y232,1)="G","Genitourinario",IF(LEFT(Y232,1)="H","Hormonal",IF(LEFT(Y232,1)="J","Antiinfecciosos",IF(LEFT(Y232,1)="L","Oncológicos",IF(LEFT(Y232,1)="M","Musculoesquelético",IF(LEFT(Y232,1)="N","Sistema nervioso",IF(LEFT(Y232,1)="R","Respiratorio",IF(LEFT(Y232,1)="S","Oftálmico",IF(LEFT(Y232,1)="V","Varios","OTRO")))))))))))))</f>
        <v>Dermatológico</v>
      </c>
      <c r="AM232" t="str">
        <f>IF(AG232="Vigente","ACTIVO",IF(ISNUMBER(SEARCH("Inactivo",J232)),"INACTIVO","REVISAR"))</f>
        <v>ACTIVO</v>
      </c>
      <c r="AN232" t="str">
        <f ca="1">IF(OR(AF232="",AF232="null"),"",ROUND((AF232-TODAY())/365.25,2))</f>
        <v/>
      </c>
      <c r="AO232" t="str">
        <f ca="1">IF(AND(AG232="Vigente",OR(AF232="",AF232="null",AF232&gt;TODAY())),"SI",IF(AND(NOT(OR(AF232="",AF232="null")),AF232&lt;=TODAY()),"NO",IF(AG232="Vigente","SI","DESCONOCIDO")))</f>
        <v>SI</v>
      </c>
      <c r="AP232" t="str">
        <f>IF(AND(ISNUMBER(SEARCH("IMPORTAR",AA232)),ISNUMBER(SEARCH("FABRICAR",AA232))),"MIXTO",IF(ISNUMBER(SEARCH("IMPORTAR",AA232)),"IMPORTADO",IF(ISNUMBER(SEARCH("FABRICAR",AA232)),"LOCAL","OTRO")))</f>
        <v>LOCAL</v>
      </c>
      <c r="AQ232" t="str">
        <f>IF(AD232="Si","SI",IF(AD232="No","NO",""))</f>
        <v>SI</v>
      </c>
      <c r="AR232" t="str">
        <f>IF(ISNUMBER(SEARCH("®",N232)),"MARCA/INNOVADOR","GENERICO")</f>
        <v>MARCA/INNOVADOR</v>
      </c>
      <c r="AS232">
        <f ca="1">IF(AE232&gt;100,RANDBETWEEN(500,5000),IF(AND(AE232&gt;=10,AE232&lt;=100),RANDBETWEEN(100,1000),RANDBETWEEN(10,200)))</f>
        <v>32</v>
      </c>
      <c r="AT232">
        <f t="shared" ca="1" si="17"/>
        <v>4</v>
      </c>
      <c r="AU232">
        <f ca="1">INT(AS232*RANDBETWEEN(120,200)/100)</f>
        <v>46</v>
      </c>
      <c r="AV232" s="2">
        <f ca="1">IF(LEFT(Y232,1)="L",RANDBETWEEN(500000,5000000),IF(LEFT(Y232,1)="C",RANDBETWEEN(5000,50000),IF(LEFT(Y232,1)="N",RANDBETWEEN(10000,150000),IF(LEFT(Y232,1)="J",RANDBETWEEN(8000,200000),RANDBETWEEN(5000,100000)))))</f>
        <v>26689</v>
      </c>
      <c r="AW232" s="2">
        <f ca="1">INT(AV232*RANDBETWEEN(30,60)/100)</f>
        <v>8006</v>
      </c>
      <c r="AX232">
        <f ca="1">IF(Z232="ORAL",RANDBETWEEN(1000,10000),IF(OR(Z232="INTRAVENOSA",Z232="INTRAMUSCULAR"),RANDBETWEEN(100,2000),IF(OR(Z232="OFTÁLMICA",Z232="TOPICA (EXTERNA)"),RANDBETWEEN(200,3000),RANDBETWEEN(100,1500))))</f>
        <v>1239</v>
      </c>
      <c r="AY232" s="2">
        <f ca="1">INT(AV232*RANDBETWEEN(90,130)/100)</f>
        <v>30692</v>
      </c>
      <c r="AZ232" t="str">
        <f t="shared" ca="1" si="18"/>
        <v>2.3%</v>
      </c>
      <c r="BA232" t="str">
        <f t="shared" ca="1" si="19"/>
        <v>BAJO</v>
      </c>
    </row>
    <row r="233" spans="4:53" x14ac:dyDescent="0.35">
      <c r="D233" t="s">
        <v>1892</v>
      </c>
      <c r="E233" s="1">
        <v>42459</v>
      </c>
      <c r="F233" t="s">
        <v>1893</v>
      </c>
      <c r="G233" t="s">
        <v>108</v>
      </c>
      <c r="H233" t="s">
        <v>1894</v>
      </c>
      <c r="I233">
        <v>20070928</v>
      </c>
      <c r="J233" t="s">
        <v>28</v>
      </c>
      <c r="K233">
        <v>5</v>
      </c>
      <c r="L233" t="s">
        <v>27</v>
      </c>
      <c r="M233" t="s">
        <v>1895</v>
      </c>
      <c r="N233" t="s">
        <v>1896</v>
      </c>
      <c r="O233" t="s">
        <v>1897</v>
      </c>
      <c r="P233" t="s">
        <v>1061</v>
      </c>
      <c r="Q233" s="1">
        <v>42244</v>
      </c>
      <c r="R233" t="s">
        <v>527</v>
      </c>
      <c r="S233" t="s">
        <v>27</v>
      </c>
      <c r="T233" t="s">
        <v>1898</v>
      </c>
      <c r="U233" t="s">
        <v>115</v>
      </c>
      <c r="V233" t="s">
        <v>1899</v>
      </c>
      <c r="W233">
        <v>60</v>
      </c>
      <c r="X233">
        <v>20070928</v>
      </c>
      <c r="Y233" t="s">
        <v>1900</v>
      </c>
      <c r="Z233" t="s">
        <v>119</v>
      </c>
      <c r="AA233" t="s">
        <v>32</v>
      </c>
      <c r="AB233" t="s">
        <v>120</v>
      </c>
      <c r="AC233" t="s">
        <v>38</v>
      </c>
      <c r="AD233" t="s">
        <v>155</v>
      </c>
      <c r="AE233">
        <v>4</v>
      </c>
      <c r="AF233" t="s">
        <v>27</v>
      </c>
      <c r="AG233" t="s">
        <v>26</v>
      </c>
      <c r="AH233" t="s">
        <v>6763</v>
      </c>
      <c r="AI233" t="str">
        <f t="shared" si="15"/>
        <v>NO</v>
      </c>
      <c r="AJ233" t="str">
        <f t="shared" si="16"/>
        <v>LABORATOIRES MAYOLY SPINDLER</v>
      </c>
      <c r="AK233" t="str">
        <f>IF(ISNUMBER(SEARCH("FABRICANTE",AC233)),"FABRICANTE",IF(ISNUMBER(SEARCH("IMPORTADOR",AC233)),"IMPORTADOR","OTRO"))</f>
        <v>IMPORTADOR</v>
      </c>
      <c r="AL233" t="str">
        <f>IF(LEFT(Y233,1)="A","Sistema digestivo",IF(LEFT(Y233,1)="B","Sangre",IF(LEFT(Y233,1)="C","Cardiovascular",IF(LEFT(Y233,1)="D","Dermatológico",IF(LEFT(Y233,1)="G","Genitourinario",IF(LEFT(Y233,1)="H","Hormonal",IF(LEFT(Y233,1)="J","Antiinfecciosos",IF(LEFT(Y233,1)="L","Oncológicos",IF(LEFT(Y233,1)="M","Musculoesquelético",IF(LEFT(Y233,1)="N","Sistema nervioso",IF(LEFT(Y233,1)="R","Respiratorio",IF(LEFT(Y233,1)="S","Oftálmico",IF(LEFT(Y233,1)="V","Varios","OTRO")))))))))))))</f>
        <v>Sistema digestivo</v>
      </c>
      <c r="AM233" t="str">
        <f>IF(AG233="Vigente","ACTIVO",IF(ISNUMBER(SEARCH("Inactivo",J233)),"INACTIVO","REVISAR"))</f>
        <v>ACTIVO</v>
      </c>
      <c r="AN233" t="str">
        <f ca="1">IF(OR(AF233="",AF233="null"),"",ROUND((AF233-TODAY())/365.25,2))</f>
        <v/>
      </c>
      <c r="AO233" t="str">
        <f ca="1">IF(AND(AG233="Vigente",OR(AF233="",AF233="null",AF233&gt;TODAY())),"SI",IF(AND(NOT(OR(AF233="",AF233="null")),AF233&lt;=TODAY()),"NO",IF(AG233="Vigente","SI","DESCONOCIDO")))</f>
        <v>SI</v>
      </c>
      <c r="AP233" t="str">
        <f>IF(AND(ISNUMBER(SEARCH("IMPORTAR",AA233)),ISNUMBER(SEARCH("FABRICAR",AA233))),"MIXTO",IF(ISNUMBER(SEARCH("IMPORTAR",AA233)),"IMPORTADO",IF(ISNUMBER(SEARCH("FABRICAR",AA233)),"LOCAL","OTRO")))</f>
        <v>IMPORTADO</v>
      </c>
      <c r="AQ233" t="str">
        <f>IF(AD233="Si","SI",IF(AD233="No","NO",""))</f>
        <v>SI</v>
      </c>
      <c r="AR233" t="str">
        <f>IF(ISNUMBER(SEARCH("®",N233)),"MARCA/INNOVADOR","GENERICO")</f>
        <v>MARCA/INNOVADOR</v>
      </c>
      <c r="AS233">
        <f ca="1">IF(AE233&gt;100,RANDBETWEEN(500,5000),IF(AND(AE233&gt;=10,AE233&lt;=100),RANDBETWEEN(100,1000),RANDBETWEEN(10,200)))</f>
        <v>16</v>
      </c>
      <c r="AT233">
        <f t="shared" ca="1" si="17"/>
        <v>1</v>
      </c>
      <c r="AU233">
        <f ca="1">INT(AS233*RANDBETWEEN(120,200)/100)</f>
        <v>20</v>
      </c>
      <c r="AV233" s="2">
        <f ca="1">IF(LEFT(Y233,1)="L",RANDBETWEEN(500000,5000000),IF(LEFT(Y233,1)="C",RANDBETWEEN(5000,50000),IF(LEFT(Y233,1)="N",RANDBETWEEN(10000,150000),IF(LEFT(Y233,1)="J",RANDBETWEEN(8000,200000),RANDBETWEEN(5000,100000)))))</f>
        <v>85717</v>
      </c>
      <c r="AW233" s="2">
        <f ca="1">INT(AV233*RANDBETWEEN(30,60)/100)</f>
        <v>28286</v>
      </c>
      <c r="AX233">
        <f ca="1">IF(Z233="ORAL",RANDBETWEEN(1000,10000),IF(OR(Z233="INTRAVENOSA",Z233="INTRAMUSCULAR"),RANDBETWEEN(100,2000),IF(OR(Z233="OFTÁLMICA",Z233="TOPICA (EXTERNA)"),RANDBETWEEN(200,3000),RANDBETWEEN(100,1500))))</f>
        <v>7445</v>
      </c>
      <c r="AY233" s="2">
        <f ca="1">INT(AV233*RANDBETWEEN(90,130)/100)</f>
        <v>78859</v>
      </c>
      <c r="AZ233" t="str">
        <f t="shared" ca="1" si="18"/>
        <v>6.9%</v>
      </c>
      <c r="BA233" t="str">
        <f t="shared" ca="1" si="19"/>
        <v>BAJO</v>
      </c>
    </row>
    <row r="234" spans="4:53" x14ac:dyDescent="0.35">
      <c r="D234" t="s">
        <v>1901</v>
      </c>
      <c r="E234" s="1">
        <v>36018</v>
      </c>
      <c r="F234" t="s">
        <v>1902</v>
      </c>
      <c r="G234" t="s">
        <v>108</v>
      </c>
      <c r="H234" t="s">
        <v>1903</v>
      </c>
      <c r="I234">
        <v>218006</v>
      </c>
      <c r="J234" t="s">
        <v>28</v>
      </c>
      <c r="K234">
        <v>3</v>
      </c>
      <c r="L234" t="s">
        <v>27</v>
      </c>
      <c r="M234" t="s">
        <v>1904</v>
      </c>
      <c r="N234" t="s">
        <v>1905</v>
      </c>
      <c r="O234" t="s">
        <v>1906</v>
      </c>
      <c r="P234" t="s">
        <v>601</v>
      </c>
      <c r="Q234" s="1">
        <v>39031</v>
      </c>
      <c r="R234" t="s">
        <v>1907</v>
      </c>
      <c r="S234" t="s">
        <v>27</v>
      </c>
      <c r="T234" t="s">
        <v>129</v>
      </c>
      <c r="U234" t="s">
        <v>1394</v>
      </c>
      <c r="V234" t="s">
        <v>1908</v>
      </c>
      <c r="W234">
        <v>2400000</v>
      </c>
      <c r="X234">
        <v>218006</v>
      </c>
      <c r="Y234" t="s">
        <v>1909</v>
      </c>
      <c r="Z234" t="s">
        <v>213</v>
      </c>
      <c r="AA234" t="s">
        <v>24</v>
      </c>
      <c r="AB234" t="s">
        <v>120</v>
      </c>
      <c r="AC234" t="s">
        <v>25</v>
      </c>
      <c r="AD234" t="s">
        <v>121</v>
      </c>
      <c r="AE234">
        <v>10</v>
      </c>
      <c r="AF234" s="1">
        <v>401769</v>
      </c>
      <c r="AG234" t="s">
        <v>26</v>
      </c>
      <c r="AH234" t="s">
        <v>6764</v>
      </c>
      <c r="AI234" t="str">
        <f t="shared" si="15"/>
        <v>NO</v>
      </c>
      <c r="AJ234" t="str">
        <f t="shared" si="16"/>
        <v>VITALIS</v>
      </c>
      <c r="AK234" t="str">
        <f>IF(ISNUMBER(SEARCH("FABRICANTE",AC234)),"FABRICANTE",IF(ISNUMBER(SEARCH("IMPORTADOR",AC234)),"IMPORTADOR","OTRO"))</f>
        <v>FABRICANTE</v>
      </c>
      <c r="AL234" t="str">
        <f>IF(LEFT(Y234,1)="A","Sistema digestivo",IF(LEFT(Y234,1)="B","Sangre",IF(LEFT(Y234,1)="C","Cardiovascular",IF(LEFT(Y234,1)="D","Dermatológico",IF(LEFT(Y234,1)="G","Genitourinario",IF(LEFT(Y234,1)="H","Hormonal",IF(LEFT(Y234,1)="J","Antiinfecciosos",IF(LEFT(Y234,1)="L","Oncológicos",IF(LEFT(Y234,1)="M","Musculoesquelético",IF(LEFT(Y234,1)="N","Sistema nervioso",IF(LEFT(Y234,1)="R","Respiratorio",IF(LEFT(Y234,1)="S","Oftálmico",IF(LEFT(Y234,1)="V","Varios","OTRO")))))))))))))</f>
        <v>Antiinfecciosos</v>
      </c>
      <c r="AM234" t="str">
        <f>IF(AG234="Vigente","ACTIVO",IF(ISNUMBER(SEARCH("Inactivo",J234)),"INACTIVO","REVISAR"))</f>
        <v>ACTIVO</v>
      </c>
      <c r="AN234">
        <f ca="1">IF(OR(AF234="",AF234="null"),"",ROUND((AF234-TODAY())/365.25,2))</f>
        <v>973.58</v>
      </c>
      <c r="AO234" t="str">
        <f ca="1">IF(AND(AG234="Vigente",OR(AF234="",AF234="null",AF234&gt;TODAY())),"SI",IF(AND(NOT(OR(AF234="",AF234="null")),AF234&lt;=TODAY()),"NO",IF(AG234="Vigente","SI","DESCONOCIDO")))</f>
        <v>SI</v>
      </c>
      <c r="AP234" t="str">
        <f>IF(AND(ISNUMBER(SEARCH("IMPORTAR",AA234)),ISNUMBER(SEARCH("FABRICAR",AA234))),"MIXTO",IF(ISNUMBER(SEARCH("IMPORTAR",AA234)),"IMPORTADO",IF(ISNUMBER(SEARCH("FABRICAR",AA234)),"LOCAL","OTRO")))</f>
        <v>LOCAL</v>
      </c>
      <c r="AQ234" t="str">
        <f>IF(AD234="Si","SI",IF(AD234="No","NO",""))</f>
        <v>NO</v>
      </c>
      <c r="AR234" t="str">
        <f>IF(ISNUMBER(SEARCH("®",N234)),"MARCA/INNOVADOR","GENERICO")</f>
        <v>GENERICO</v>
      </c>
      <c r="AS234">
        <f ca="1">IF(AE234&gt;100,RANDBETWEEN(500,5000),IF(AND(AE234&gt;=10,AE234&lt;=100),RANDBETWEEN(100,1000),RANDBETWEEN(10,200)))</f>
        <v>724</v>
      </c>
      <c r="AT234">
        <f t="shared" ca="1" si="17"/>
        <v>86</v>
      </c>
      <c r="AU234">
        <f ca="1">INT(AS234*RANDBETWEEN(120,200)/100)</f>
        <v>912</v>
      </c>
      <c r="AV234" s="2">
        <f ca="1">IF(LEFT(Y234,1)="L",RANDBETWEEN(500000,5000000),IF(LEFT(Y234,1)="C",RANDBETWEEN(5000,50000),IF(LEFT(Y234,1)="N",RANDBETWEEN(10000,150000),IF(LEFT(Y234,1)="J",RANDBETWEEN(8000,200000),RANDBETWEEN(5000,100000)))))</f>
        <v>115277</v>
      </c>
      <c r="AW234" s="2">
        <f ca="1">INT(AV234*RANDBETWEEN(30,60)/100)</f>
        <v>54180</v>
      </c>
      <c r="AX234">
        <f ca="1">IF(Z234="ORAL",RANDBETWEEN(1000,10000),IF(OR(Z234="INTRAVENOSA",Z234="INTRAMUSCULAR"),RANDBETWEEN(100,2000),IF(OR(Z234="OFTÁLMICA",Z234="TOPICA (EXTERNA)"),RANDBETWEEN(200,3000),RANDBETWEEN(100,1500))))</f>
        <v>718</v>
      </c>
      <c r="AY234" s="2">
        <f ca="1">INT(AV234*RANDBETWEEN(90,130)/100)</f>
        <v>115277</v>
      </c>
      <c r="AZ234" t="str">
        <f t="shared" ca="1" si="18"/>
        <v>8.8%</v>
      </c>
      <c r="BA234" t="str">
        <f t="shared" ca="1" si="19"/>
        <v>BAJO</v>
      </c>
    </row>
    <row r="235" spans="4:53" x14ac:dyDescent="0.35">
      <c r="D235" t="s">
        <v>1910</v>
      </c>
      <c r="E235" s="1">
        <v>41054</v>
      </c>
      <c r="F235" t="s">
        <v>473</v>
      </c>
      <c r="G235" t="s">
        <v>108</v>
      </c>
      <c r="H235" t="s">
        <v>242</v>
      </c>
      <c r="I235">
        <v>20042480</v>
      </c>
      <c r="J235" t="s">
        <v>28</v>
      </c>
      <c r="K235">
        <v>239</v>
      </c>
      <c r="L235" t="s">
        <v>27</v>
      </c>
      <c r="M235" t="s">
        <v>243</v>
      </c>
      <c r="N235" t="s">
        <v>244</v>
      </c>
      <c r="O235" t="s">
        <v>1911</v>
      </c>
      <c r="P235" t="s">
        <v>246</v>
      </c>
      <c r="Q235" s="1">
        <v>42591</v>
      </c>
      <c r="R235" t="s">
        <v>67</v>
      </c>
      <c r="S235" t="s">
        <v>27</v>
      </c>
      <c r="T235" t="s">
        <v>80</v>
      </c>
      <c r="U235" t="s">
        <v>247</v>
      </c>
      <c r="V235" t="s">
        <v>248</v>
      </c>
      <c r="W235" t="s">
        <v>1912</v>
      </c>
      <c r="X235">
        <v>20042480</v>
      </c>
      <c r="Y235" t="s">
        <v>249</v>
      </c>
      <c r="Z235" t="s">
        <v>119</v>
      </c>
      <c r="AA235" t="s">
        <v>24</v>
      </c>
      <c r="AB235" t="s">
        <v>250</v>
      </c>
      <c r="AC235" t="s">
        <v>25</v>
      </c>
      <c r="AD235" t="s">
        <v>121</v>
      </c>
      <c r="AE235">
        <v>3</v>
      </c>
      <c r="AF235" t="s">
        <v>27</v>
      </c>
      <c r="AG235" t="s">
        <v>26</v>
      </c>
      <c r="AH235" t="s">
        <v>6731</v>
      </c>
      <c r="AI235" t="str">
        <f t="shared" si="15"/>
        <v>NO</v>
      </c>
      <c r="AJ235" t="str">
        <f t="shared" si="16"/>
        <v>TECNOQUIMICAS</v>
      </c>
      <c r="AK235" t="str">
        <f>IF(ISNUMBER(SEARCH("FABRICANTE",AC235)),"FABRICANTE",IF(ISNUMBER(SEARCH("IMPORTADOR",AC235)),"IMPORTADOR","OTRO"))</f>
        <v>FABRICANTE</v>
      </c>
      <c r="AL235" t="str">
        <f>IF(LEFT(Y235,1)="A","Sistema digestivo",IF(LEFT(Y235,1)="B","Sangre",IF(LEFT(Y235,1)="C","Cardiovascular",IF(LEFT(Y235,1)="D","Dermatológico",IF(LEFT(Y235,1)="G","Genitourinario",IF(LEFT(Y235,1)="H","Hormonal",IF(LEFT(Y235,1)="J","Antiinfecciosos",IF(LEFT(Y235,1)="L","Oncológicos",IF(LEFT(Y235,1)="M","Musculoesquelético",IF(LEFT(Y235,1)="N","Sistema nervioso",IF(LEFT(Y235,1)="R","Respiratorio",IF(LEFT(Y235,1)="S","Oftálmico",IF(LEFT(Y235,1)="V","Varios","OTRO")))))))))))))</f>
        <v>Sistema digestivo</v>
      </c>
      <c r="AM235" t="str">
        <f>IF(AG235="Vigente","ACTIVO",IF(ISNUMBER(SEARCH("Inactivo",J235)),"INACTIVO","REVISAR"))</f>
        <v>ACTIVO</v>
      </c>
      <c r="AN235" t="str">
        <f ca="1">IF(OR(AF235="",AF235="null"),"",ROUND((AF235-TODAY())/365.25,2))</f>
        <v/>
      </c>
      <c r="AO235" t="str">
        <f ca="1">IF(AND(AG235="Vigente",OR(AF235="",AF235="null",AF235&gt;TODAY())),"SI",IF(AND(NOT(OR(AF235="",AF235="null")),AF235&lt;=TODAY()),"NO",IF(AG235="Vigente","SI","DESCONOCIDO")))</f>
        <v>SI</v>
      </c>
      <c r="AP235" t="str">
        <f>IF(AND(ISNUMBER(SEARCH("IMPORTAR",AA235)),ISNUMBER(SEARCH("FABRICAR",AA235))),"MIXTO",IF(ISNUMBER(SEARCH("IMPORTAR",AA235)),"IMPORTADO",IF(ISNUMBER(SEARCH("FABRICAR",AA235)),"LOCAL","OTRO")))</f>
        <v>LOCAL</v>
      </c>
      <c r="AQ235" t="str">
        <f>IF(AD235="Si","SI",IF(AD235="No","NO",""))</f>
        <v>NO</v>
      </c>
      <c r="AR235" t="str">
        <f>IF(ISNUMBER(SEARCH("®",N235)),"MARCA/INNOVADOR","GENERICO")</f>
        <v>MARCA/INNOVADOR</v>
      </c>
      <c r="AS235">
        <f ca="1">IF(AE235&gt;100,RANDBETWEEN(500,5000),IF(AND(AE235&gt;=10,AE235&lt;=100),RANDBETWEEN(100,1000),RANDBETWEEN(10,200)))</f>
        <v>74</v>
      </c>
      <c r="AT235">
        <f t="shared" ca="1" si="17"/>
        <v>16</v>
      </c>
      <c r="AU235">
        <f ca="1">INT(AS235*RANDBETWEEN(120,200)/100)</f>
        <v>127</v>
      </c>
      <c r="AV235" s="2">
        <f ca="1">IF(LEFT(Y235,1)="L",RANDBETWEEN(500000,5000000),IF(LEFT(Y235,1)="C",RANDBETWEEN(5000,50000),IF(LEFT(Y235,1)="N",RANDBETWEEN(10000,150000),IF(LEFT(Y235,1)="J",RANDBETWEEN(8000,200000),RANDBETWEEN(5000,100000)))))</f>
        <v>32163</v>
      </c>
      <c r="AW235" s="2">
        <f ca="1">INT(AV235*RANDBETWEEN(30,60)/100)</f>
        <v>14151</v>
      </c>
      <c r="AX235">
        <f ca="1">IF(Z235="ORAL",RANDBETWEEN(1000,10000),IF(OR(Z235="INTRAVENOSA",Z235="INTRAMUSCULAR"),RANDBETWEEN(100,2000),IF(OR(Z235="OFTÁLMICA",Z235="TOPICA (EXTERNA)"),RANDBETWEEN(200,3000),RANDBETWEEN(100,1500))))</f>
        <v>2223</v>
      </c>
      <c r="AY235" s="2">
        <f ca="1">INT(AV235*RANDBETWEEN(90,130)/100)</f>
        <v>37630</v>
      </c>
      <c r="AZ235" t="str">
        <f t="shared" ca="1" si="18"/>
        <v>22.5%</v>
      </c>
      <c r="BA235" t="str">
        <f t="shared" ca="1" si="19"/>
        <v>BAJO</v>
      </c>
    </row>
    <row r="236" spans="4:53" x14ac:dyDescent="0.35">
      <c r="D236" t="s">
        <v>1913</v>
      </c>
      <c r="E236" s="1">
        <v>39513</v>
      </c>
      <c r="F236" t="s">
        <v>22</v>
      </c>
      <c r="G236" t="s">
        <v>108</v>
      </c>
      <c r="H236" t="s">
        <v>850</v>
      </c>
      <c r="I236">
        <v>19987947</v>
      </c>
      <c r="J236" t="s">
        <v>28</v>
      </c>
      <c r="K236">
        <v>6</v>
      </c>
      <c r="L236" t="s">
        <v>27</v>
      </c>
      <c r="M236" t="s">
        <v>1914</v>
      </c>
      <c r="N236" t="s">
        <v>1915</v>
      </c>
      <c r="O236" t="s">
        <v>1916</v>
      </c>
      <c r="P236" t="s">
        <v>29</v>
      </c>
      <c r="Q236" s="1">
        <v>39510</v>
      </c>
      <c r="R236" t="s">
        <v>29</v>
      </c>
      <c r="S236" t="s">
        <v>27</v>
      </c>
      <c r="T236" t="s">
        <v>854</v>
      </c>
      <c r="U236" t="s">
        <v>807</v>
      </c>
      <c r="V236" t="s">
        <v>30</v>
      </c>
      <c r="W236">
        <v>88</v>
      </c>
      <c r="X236">
        <v>19987947</v>
      </c>
      <c r="Y236" t="s">
        <v>23</v>
      </c>
      <c r="Z236" t="s">
        <v>119</v>
      </c>
      <c r="AA236" t="s">
        <v>32</v>
      </c>
      <c r="AB236" t="s">
        <v>120</v>
      </c>
      <c r="AC236" t="s">
        <v>25</v>
      </c>
      <c r="AD236" t="s">
        <v>155</v>
      </c>
      <c r="AE236">
        <v>3</v>
      </c>
      <c r="AF236" t="s">
        <v>27</v>
      </c>
      <c r="AG236" t="s">
        <v>26</v>
      </c>
      <c r="AH236" t="s">
        <v>22</v>
      </c>
      <c r="AI236" t="str">
        <f t="shared" si="15"/>
        <v>NO</v>
      </c>
      <c r="AJ236" t="str">
        <f t="shared" si="16"/>
        <v>MERCK</v>
      </c>
      <c r="AK236" t="str">
        <f>IF(ISNUMBER(SEARCH("FABRICANTE",AC236)),"FABRICANTE",IF(ISNUMBER(SEARCH("IMPORTADOR",AC236)),"IMPORTADOR","OTRO"))</f>
        <v>FABRICANTE</v>
      </c>
      <c r="AL236" t="str">
        <f>IF(LEFT(Y236,1)="A","Sistema digestivo",IF(LEFT(Y236,1)="B","Sangre",IF(LEFT(Y236,1)="C","Cardiovascular",IF(LEFT(Y236,1)="D","Dermatológico",IF(LEFT(Y236,1)="G","Genitourinario",IF(LEFT(Y236,1)="H","Hormonal",IF(LEFT(Y236,1)="J","Antiinfecciosos",IF(LEFT(Y236,1)="L","Oncológicos",IF(LEFT(Y236,1)="M","Musculoesquelético",IF(LEFT(Y236,1)="N","Sistema nervioso",IF(LEFT(Y236,1)="R","Respiratorio",IF(LEFT(Y236,1)="S","Oftálmico",IF(LEFT(Y236,1)="V","Varios","OTRO")))))))))))))</f>
        <v>Hormonal</v>
      </c>
      <c r="AM236" t="str">
        <f>IF(AG236="Vigente","ACTIVO",IF(ISNUMBER(SEARCH("Inactivo",J236)),"INACTIVO","REVISAR"))</f>
        <v>ACTIVO</v>
      </c>
      <c r="AN236" t="str">
        <f ca="1">IF(OR(AF236="",AF236="null"),"",ROUND((AF236-TODAY())/365.25,2))</f>
        <v/>
      </c>
      <c r="AO236" t="str">
        <f ca="1">IF(AND(AG236="Vigente",OR(AF236="",AF236="null",AF236&gt;TODAY())),"SI",IF(AND(NOT(OR(AF236="",AF236="null")),AF236&lt;=TODAY()),"NO",IF(AG236="Vigente","SI","DESCONOCIDO")))</f>
        <v>SI</v>
      </c>
      <c r="AP236" t="str">
        <f>IF(AND(ISNUMBER(SEARCH("IMPORTAR",AA236)),ISNUMBER(SEARCH("FABRICAR",AA236))),"MIXTO",IF(ISNUMBER(SEARCH("IMPORTAR",AA236)),"IMPORTADO",IF(ISNUMBER(SEARCH("FABRICAR",AA236)),"LOCAL","OTRO")))</f>
        <v>IMPORTADO</v>
      </c>
      <c r="AQ236" t="str">
        <f>IF(AD236="Si","SI",IF(AD236="No","NO",""))</f>
        <v>SI</v>
      </c>
      <c r="AR236" t="str">
        <f>IF(ISNUMBER(SEARCH("®",N236)),"MARCA/INNOVADOR","GENERICO")</f>
        <v>MARCA/INNOVADOR</v>
      </c>
      <c r="AS236">
        <f ca="1">IF(AE236&gt;100,RANDBETWEEN(500,5000),IF(AND(AE236&gt;=10,AE236&lt;=100),RANDBETWEEN(100,1000),RANDBETWEEN(10,200)))</f>
        <v>73</v>
      </c>
      <c r="AT236">
        <f t="shared" ca="1" si="17"/>
        <v>14</v>
      </c>
      <c r="AU236">
        <f ca="1">INT(AS236*RANDBETWEEN(120,200)/100)</f>
        <v>137</v>
      </c>
      <c r="AV236" s="2">
        <f ca="1">IF(LEFT(Y236,1)="L",RANDBETWEEN(500000,5000000),IF(LEFT(Y236,1)="C",RANDBETWEEN(5000,50000),IF(LEFT(Y236,1)="N",RANDBETWEEN(10000,150000),IF(LEFT(Y236,1)="J",RANDBETWEEN(8000,200000),RANDBETWEEN(5000,100000)))))</f>
        <v>40086</v>
      </c>
      <c r="AW236" s="2">
        <f ca="1">INT(AV236*RANDBETWEEN(30,60)/100)</f>
        <v>20043</v>
      </c>
      <c r="AX236">
        <f ca="1">IF(Z236="ORAL",RANDBETWEEN(1000,10000),IF(OR(Z236="INTRAVENOSA",Z236="INTRAMUSCULAR"),RANDBETWEEN(100,2000),IF(OR(Z236="OFTÁLMICA",Z236="TOPICA (EXTERNA)"),RANDBETWEEN(200,3000),RANDBETWEEN(100,1500))))</f>
        <v>7303</v>
      </c>
      <c r="AY236" s="2">
        <f ca="1">INT(AV236*RANDBETWEEN(90,130)/100)</f>
        <v>50107</v>
      </c>
      <c r="AZ236" t="str">
        <f t="shared" ca="1" si="18"/>
        <v>14.2%</v>
      </c>
      <c r="BA236" t="str">
        <f t="shared" ca="1" si="19"/>
        <v>BAJO</v>
      </c>
    </row>
    <row r="237" spans="4:53" x14ac:dyDescent="0.35">
      <c r="D237" t="s">
        <v>1917</v>
      </c>
      <c r="E237" s="1">
        <v>42307</v>
      </c>
      <c r="F237" t="s">
        <v>1918</v>
      </c>
      <c r="G237" t="s">
        <v>108</v>
      </c>
      <c r="H237" t="s">
        <v>93</v>
      </c>
      <c r="I237">
        <v>20084686</v>
      </c>
      <c r="J237" t="s">
        <v>28</v>
      </c>
      <c r="K237">
        <v>16</v>
      </c>
      <c r="L237" t="s">
        <v>1919</v>
      </c>
      <c r="M237" t="s">
        <v>1920</v>
      </c>
      <c r="N237" t="s">
        <v>1921</v>
      </c>
      <c r="O237" t="s">
        <v>1922</v>
      </c>
      <c r="P237" t="s">
        <v>274</v>
      </c>
      <c r="Q237" s="1">
        <v>42261</v>
      </c>
      <c r="R237" t="s">
        <v>50</v>
      </c>
      <c r="S237" t="s">
        <v>27</v>
      </c>
      <c r="T237" t="s">
        <v>93</v>
      </c>
      <c r="U237" t="s">
        <v>115</v>
      </c>
      <c r="V237" t="s">
        <v>275</v>
      </c>
      <c r="W237">
        <v>20</v>
      </c>
      <c r="X237">
        <v>20084686</v>
      </c>
      <c r="Y237" t="s">
        <v>276</v>
      </c>
      <c r="Z237" t="s">
        <v>1137</v>
      </c>
      <c r="AA237" t="s">
        <v>32</v>
      </c>
      <c r="AB237" t="s">
        <v>239</v>
      </c>
      <c r="AC237" t="s">
        <v>38</v>
      </c>
      <c r="AD237" t="s">
        <v>121</v>
      </c>
      <c r="AE237">
        <v>500</v>
      </c>
      <c r="AF237" t="s">
        <v>27</v>
      </c>
      <c r="AG237" t="s">
        <v>26</v>
      </c>
      <c r="AH237" t="s">
        <v>869</v>
      </c>
      <c r="AI237" t="str">
        <f t="shared" si="15"/>
        <v>SI</v>
      </c>
      <c r="AJ237" t="str">
        <f t="shared" si="16"/>
        <v>LABORATORIOS DELTA</v>
      </c>
      <c r="AK237" t="str">
        <f>IF(ISNUMBER(SEARCH("FABRICANTE",AC237)),"FABRICANTE",IF(ISNUMBER(SEARCH("IMPORTADOR",AC237)),"IMPORTADOR","OTRO"))</f>
        <v>IMPORTADOR</v>
      </c>
      <c r="AL237" t="str">
        <f>IF(LEFT(Y237,1)="A","Sistema digestivo",IF(LEFT(Y237,1)="B","Sangre",IF(LEFT(Y237,1)="C","Cardiovascular",IF(LEFT(Y237,1)="D","Dermatológico",IF(LEFT(Y237,1)="G","Genitourinario",IF(LEFT(Y237,1)="H","Hormonal",IF(LEFT(Y237,1)="J","Antiinfecciosos",IF(LEFT(Y237,1)="L","Oncológicos",IF(LEFT(Y237,1)="M","Musculoesquelético",IF(LEFT(Y237,1)="N","Sistema nervioso",IF(LEFT(Y237,1)="R","Respiratorio",IF(LEFT(Y237,1)="S","Oftálmico",IF(LEFT(Y237,1)="V","Varios","OTRO")))))))))))))</f>
        <v>Sangre</v>
      </c>
      <c r="AM237" t="str">
        <f>IF(AG237="Vigente","ACTIVO",IF(ISNUMBER(SEARCH("Inactivo",J237)),"INACTIVO","REVISAR"))</f>
        <v>ACTIVO</v>
      </c>
      <c r="AN237" t="str">
        <f ca="1">IF(OR(AF237="",AF237="null"),"",ROUND((AF237-TODAY())/365.25,2))</f>
        <v/>
      </c>
      <c r="AO237" t="str">
        <f ca="1">IF(AND(AG237="Vigente",OR(AF237="",AF237="null",AF237&gt;TODAY())),"SI",IF(AND(NOT(OR(AF237="",AF237="null")),AF237&lt;=TODAY()),"NO",IF(AG237="Vigente","SI","DESCONOCIDO")))</f>
        <v>SI</v>
      </c>
      <c r="AP237" t="str">
        <f>IF(AND(ISNUMBER(SEARCH("IMPORTAR",AA237)),ISNUMBER(SEARCH("FABRICAR",AA237))),"MIXTO",IF(ISNUMBER(SEARCH("IMPORTAR",AA237)),"IMPORTADO",IF(ISNUMBER(SEARCH("FABRICAR",AA237)),"LOCAL","OTRO")))</f>
        <v>IMPORTADO</v>
      </c>
      <c r="AQ237" t="str">
        <f>IF(AD237="Si","SI",IF(AD237="No","NO",""))</f>
        <v>NO</v>
      </c>
      <c r="AR237" t="str">
        <f>IF(ISNUMBER(SEARCH("®",N237)),"MARCA/INNOVADOR","GENERICO")</f>
        <v>GENERICO</v>
      </c>
      <c r="AS237">
        <f ca="1">IF(AE237&gt;100,RANDBETWEEN(500,5000),IF(AND(AE237&gt;=10,AE237&lt;=100),RANDBETWEEN(100,1000),RANDBETWEEN(10,200)))</f>
        <v>1165</v>
      </c>
      <c r="AT237">
        <f t="shared" ca="1" si="17"/>
        <v>256</v>
      </c>
      <c r="AU237">
        <f ca="1">INT(AS237*RANDBETWEEN(120,200)/100)</f>
        <v>1933</v>
      </c>
      <c r="AV237" s="2">
        <f ca="1">IF(LEFT(Y237,1)="L",RANDBETWEEN(500000,5000000),IF(LEFT(Y237,1)="C",RANDBETWEEN(5000,50000),IF(LEFT(Y237,1)="N",RANDBETWEEN(10000,150000),IF(LEFT(Y237,1)="J",RANDBETWEEN(8000,200000),RANDBETWEEN(5000,100000)))))</f>
        <v>15206</v>
      </c>
      <c r="AW237" s="2">
        <f ca="1">INT(AV237*RANDBETWEEN(30,60)/100)</f>
        <v>9123</v>
      </c>
      <c r="AX237">
        <f ca="1">IF(Z237="ORAL",RANDBETWEEN(1000,10000),IF(OR(Z237="INTRAVENOSA",Z237="INTRAMUSCULAR"),RANDBETWEEN(100,2000),IF(OR(Z237="OFTÁLMICA",Z237="TOPICA (EXTERNA)"),RANDBETWEEN(200,3000),RANDBETWEEN(100,1500))))</f>
        <v>1278</v>
      </c>
      <c r="AY237" s="2">
        <f ca="1">INT(AV237*RANDBETWEEN(90,130)/100)</f>
        <v>17334</v>
      </c>
      <c r="AZ237" t="str">
        <f t="shared" ca="1" si="18"/>
        <v>1.1%</v>
      </c>
      <c r="BA237" t="str">
        <f t="shared" ca="1" si="19"/>
        <v>BAJO</v>
      </c>
    </row>
    <row r="238" spans="4:53" x14ac:dyDescent="0.35">
      <c r="D238" t="s">
        <v>1923</v>
      </c>
      <c r="E238" s="1">
        <v>37519</v>
      </c>
      <c r="F238" t="s">
        <v>895</v>
      </c>
      <c r="G238" t="s">
        <v>108</v>
      </c>
      <c r="H238" t="s">
        <v>172</v>
      </c>
      <c r="I238">
        <v>19931776</v>
      </c>
      <c r="J238" t="s">
        <v>110</v>
      </c>
      <c r="K238">
        <v>23</v>
      </c>
      <c r="L238" t="s">
        <v>27</v>
      </c>
      <c r="M238" t="s">
        <v>703</v>
      </c>
      <c r="N238" t="s">
        <v>704</v>
      </c>
      <c r="O238" t="s">
        <v>1924</v>
      </c>
      <c r="P238" t="s">
        <v>29</v>
      </c>
      <c r="Q238" s="1">
        <v>41213</v>
      </c>
      <c r="R238" t="s">
        <v>29</v>
      </c>
      <c r="S238" t="s">
        <v>27</v>
      </c>
      <c r="T238" t="s">
        <v>172</v>
      </c>
      <c r="U238" t="s">
        <v>115</v>
      </c>
      <c r="V238" t="s">
        <v>706</v>
      </c>
      <c r="W238">
        <v>325</v>
      </c>
      <c r="X238">
        <v>19931776</v>
      </c>
      <c r="Y238" t="s">
        <v>707</v>
      </c>
      <c r="Z238" t="s">
        <v>119</v>
      </c>
      <c r="AA238" t="s">
        <v>165</v>
      </c>
      <c r="AB238" t="s">
        <v>120</v>
      </c>
      <c r="AC238" t="s">
        <v>38</v>
      </c>
      <c r="AD238" t="s">
        <v>121</v>
      </c>
      <c r="AE238">
        <v>200</v>
      </c>
      <c r="AF238" t="s">
        <v>27</v>
      </c>
      <c r="AG238" t="s">
        <v>26</v>
      </c>
      <c r="AH238" t="s">
        <v>522</v>
      </c>
      <c r="AI238" t="str">
        <f t="shared" si="15"/>
        <v>SI</v>
      </c>
      <c r="AJ238" t="str">
        <f t="shared" si="16"/>
        <v>NOVAMED</v>
      </c>
      <c r="AK238" t="str">
        <f>IF(ISNUMBER(SEARCH("FABRICANTE",AC238)),"FABRICANTE",IF(ISNUMBER(SEARCH("IMPORTADOR",AC238)),"IMPORTADOR","OTRO"))</f>
        <v>IMPORTADOR</v>
      </c>
      <c r="AL238" t="str">
        <f>IF(LEFT(Y238,1)="A","Sistema digestivo",IF(LEFT(Y238,1)="B","Sangre",IF(LEFT(Y238,1)="C","Cardiovascular",IF(LEFT(Y238,1)="D","Dermatológico",IF(LEFT(Y238,1)="G","Genitourinario",IF(LEFT(Y238,1)="H","Hormonal",IF(LEFT(Y238,1)="J","Antiinfecciosos",IF(LEFT(Y238,1)="L","Oncológicos",IF(LEFT(Y238,1)="M","Musculoesquelético",IF(LEFT(Y238,1)="N","Sistema nervioso",IF(LEFT(Y238,1)="R","Respiratorio",IF(LEFT(Y238,1)="S","Oftálmico",IF(LEFT(Y238,1)="V","Varios","OTRO")))))))))))))</f>
        <v>Sistema nervioso</v>
      </c>
      <c r="AM238" t="str">
        <f>IF(AG238="Vigente","ACTIVO",IF(ISNUMBER(SEARCH("Inactivo",J238)),"INACTIVO","REVISAR"))</f>
        <v>ACTIVO</v>
      </c>
      <c r="AN238" t="str">
        <f ca="1">IF(OR(AF238="",AF238="null"),"",ROUND((AF238-TODAY())/365.25,2))</f>
        <v/>
      </c>
      <c r="AO238" t="str">
        <f ca="1">IF(AND(AG238="Vigente",OR(AF238="",AF238="null",AF238&gt;TODAY())),"SI",IF(AND(NOT(OR(AF238="",AF238="null")),AF238&lt;=TODAY()),"NO",IF(AG238="Vigente","SI","DESCONOCIDO")))</f>
        <v>SI</v>
      </c>
      <c r="AP238" t="str">
        <f>IF(AND(ISNUMBER(SEARCH("IMPORTAR",AA238)),ISNUMBER(SEARCH("FABRICAR",AA238))),"MIXTO",IF(ISNUMBER(SEARCH("IMPORTAR",AA238)),"IMPORTADO",IF(ISNUMBER(SEARCH("FABRICAR",AA238)),"LOCAL","OTRO")))</f>
        <v>IMPORTADO</v>
      </c>
      <c r="AQ238" t="str">
        <f>IF(AD238="Si","SI",IF(AD238="No","NO",""))</f>
        <v>NO</v>
      </c>
      <c r="AR238" t="str">
        <f>IF(ISNUMBER(SEARCH("®",N238)),"MARCA/INNOVADOR","GENERICO")</f>
        <v>MARCA/INNOVADOR</v>
      </c>
      <c r="AS238">
        <f ca="1">IF(AE238&gt;100,RANDBETWEEN(500,5000),IF(AND(AE238&gt;=10,AE238&lt;=100),RANDBETWEEN(100,1000),RANDBETWEEN(10,200)))</f>
        <v>3251</v>
      </c>
      <c r="AT238">
        <f t="shared" ca="1" si="17"/>
        <v>325</v>
      </c>
      <c r="AU238">
        <f ca="1">INT(AS238*RANDBETWEEN(120,200)/100)</f>
        <v>4388</v>
      </c>
      <c r="AV238" s="2">
        <f ca="1">IF(LEFT(Y238,1)="L",RANDBETWEEN(500000,5000000),IF(LEFT(Y238,1)="C",RANDBETWEEN(5000,50000),IF(LEFT(Y238,1)="N",RANDBETWEEN(10000,150000),IF(LEFT(Y238,1)="J",RANDBETWEEN(8000,200000),RANDBETWEEN(5000,100000)))))</f>
        <v>48388</v>
      </c>
      <c r="AW238" s="2">
        <f ca="1">INT(AV238*RANDBETWEEN(30,60)/100)</f>
        <v>27097</v>
      </c>
      <c r="AX238">
        <f ca="1">IF(Z238="ORAL",RANDBETWEEN(1000,10000),IF(OR(Z238="INTRAVENOSA",Z238="INTRAMUSCULAR"),RANDBETWEEN(100,2000),IF(OR(Z238="OFTÁLMICA",Z238="TOPICA (EXTERNA)"),RANDBETWEEN(200,3000),RANDBETWEEN(100,1500))))</f>
        <v>4012</v>
      </c>
      <c r="AY238" s="2">
        <f ca="1">INT(AV238*RANDBETWEEN(90,130)/100)</f>
        <v>44033</v>
      </c>
      <c r="AZ238" t="str">
        <f t="shared" ca="1" si="18"/>
        <v>23.7%</v>
      </c>
      <c r="BA238" t="str">
        <f t="shared" ca="1" si="19"/>
        <v>ALTO</v>
      </c>
    </row>
    <row r="239" spans="4:53" x14ac:dyDescent="0.35">
      <c r="D239" t="s">
        <v>1925</v>
      </c>
      <c r="E239" s="1">
        <v>42247</v>
      </c>
      <c r="F239" t="s">
        <v>1926</v>
      </c>
      <c r="G239" t="s">
        <v>108</v>
      </c>
      <c r="H239" t="s">
        <v>1927</v>
      </c>
      <c r="I239">
        <v>20082413</v>
      </c>
      <c r="J239" t="s">
        <v>28</v>
      </c>
      <c r="K239">
        <v>7</v>
      </c>
      <c r="L239" t="s">
        <v>27</v>
      </c>
      <c r="M239" t="s">
        <v>1928</v>
      </c>
      <c r="N239" t="s">
        <v>1929</v>
      </c>
      <c r="O239" t="s">
        <v>1930</v>
      </c>
      <c r="P239" t="s">
        <v>1931</v>
      </c>
      <c r="Q239" s="1">
        <v>42124</v>
      </c>
      <c r="R239" t="s">
        <v>200</v>
      </c>
      <c r="S239" t="s">
        <v>27</v>
      </c>
      <c r="T239" t="s">
        <v>1932</v>
      </c>
      <c r="U239" t="s">
        <v>115</v>
      </c>
      <c r="V239" t="s">
        <v>1933</v>
      </c>
      <c r="W239">
        <v>5</v>
      </c>
      <c r="X239">
        <v>20082413</v>
      </c>
      <c r="Y239" t="s">
        <v>1934</v>
      </c>
      <c r="Z239" t="s">
        <v>119</v>
      </c>
      <c r="AA239" t="s">
        <v>32</v>
      </c>
      <c r="AB239" t="s">
        <v>120</v>
      </c>
      <c r="AC239" t="s">
        <v>25</v>
      </c>
      <c r="AD239" t="s">
        <v>155</v>
      </c>
      <c r="AE239">
        <v>10</v>
      </c>
      <c r="AF239" t="s">
        <v>27</v>
      </c>
      <c r="AG239" t="s">
        <v>26</v>
      </c>
      <c r="AH239" t="s">
        <v>6639</v>
      </c>
      <c r="AI239" t="str">
        <f t="shared" si="15"/>
        <v>SI</v>
      </c>
      <c r="AJ239" t="str">
        <f t="shared" si="16"/>
        <v>LES LABORATORIES SERVIER</v>
      </c>
      <c r="AK239" t="str">
        <f>IF(ISNUMBER(SEARCH("FABRICANTE",AC239)),"FABRICANTE",IF(ISNUMBER(SEARCH("IMPORTADOR",AC239)),"IMPORTADOR","OTRO"))</f>
        <v>FABRICANTE</v>
      </c>
      <c r="AL239" t="str">
        <f>IF(LEFT(Y239,1)="A","Sistema digestivo",IF(LEFT(Y239,1)="B","Sangre",IF(LEFT(Y239,1)="C","Cardiovascular",IF(LEFT(Y239,1)="D","Dermatológico",IF(LEFT(Y239,1)="G","Genitourinario",IF(LEFT(Y239,1)="H","Hormonal",IF(LEFT(Y239,1)="J","Antiinfecciosos",IF(LEFT(Y239,1)="L","Oncológicos",IF(LEFT(Y239,1)="M","Musculoesquelético",IF(LEFT(Y239,1)="N","Sistema nervioso",IF(LEFT(Y239,1)="R","Respiratorio",IF(LEFT(Y239,1)="S","Oftálmico",IF(LEFT(Y239,1)="V","Varios","OTRO")))))))))))))</f>
        <v>Cardiovascular</v>
      </c>
      <c r="AM239" t="str">
        <f>IF(AG239="Vigente","ACTIVO",IF(ISNUMBER(SEARCH("Inactivo",J239)),"INACTIVO","REVISAR"))</f>
        <v>ACTIVO</v>
      </c>
      <c r="AN239" t="str">
        <f ca="1">IF(OR(AF239="",AF239="null"),"",ROUND((AF239-TODAY())/365.25,2))</f>
        <v/>
      </c>
      <c r="AO239" t="str">
        <f ca="1">IF(AND(AG239="Vigente",OR(AF239="",AF239="null",AF239&gt;TODAY())),"SI",IF(AND(NOT(OR(AF239="",AF239="null")),AF239&lt;=TODAY()),"NO",IF(AG239="Vigente","SI","DESCONOCIDO")))</f>
        <v>SI</v>
      </c>
      <c r="AP239" t="str">
        <f>IF(AND(ISNUMBER(SEARCH("IMPORTAR",AA239)),ISNUMBER(SEARCH("FABRICAR",AA239))),"MIXTO",IF(ISNUMBER(SEARCH("IMPORTAR",AA239)),"IMPORTADO",IF(ISNUMBER(SEARCH("FABRICAR",AA239)),"LOCAL","OTRO")))</f>
        <v>IMPORTADO</v>
      </c>
      <c r="AQ239" t="str">
        <f>IF(AD239="Si","SI",IF(AD239="No","NO",""))</f>
        <v>SI</v>
      </c>
      <c r="AR239" t="str">
        <f>IF(ISNUMBER(SEARCH("®",N239)),"MARCA/INNOVADOR","GENERICO")</f>
        <v>GENERICO</v>
      </c>
      <c r="AS239">
        <f ca="1">IF(AE239&gt;100,RANDBETWEEN(500,5000),IF(AND(AE239&gt;=10,AE239&lt;=100),RANDBETWEEN(100,1000),RANDBETWEEN(10,200)))</f>
        <v>447</v>
      </c>
      <c r="AT239">
        <f t="shared" ca="1" si="17"/>
        <v>107</v>
      </c>
      <c r="AU239">
        <f ca="1">INT(AS239*RANDBETWEEN(120,200)/100)</f>
        <v>572</v>
      </c>
      <c r="AV239" s="2">
        <f ca="1">IF(LEFT(Y239,1)="L",RANDBETWEEN(500000,5000000),IF(LEFT(Y239,1)="C",RANDBETWEEN(5000,50000),IF(LEFT(Y239,1)="N",RANDBETWEEN(10000,150000),IF(LEFT(Y239,1)="J",RANDBETWEEN(8000,200000),RANDBETWEEN(5000,100000)))))</f>
        <v>31072</v>
      </c>
      <c r="AW239" s="2">
        <f ca="1">INT(AV239*RANDBETWEEN(30,60)/100)</f>
        <v>10253</v>
      </c>
      <c r="AX239">
        <f ca="1">IF(Z239="ORAL",RANDBETWEEN(1000,10000),IF(OR(Z239="INTRAVENOSA",Z239="INTRAMUSCULAR"),RANDBETWEEN(100,2000),IF(OR(Z239="OFTÁLMICA",Z239="TOPICA (EXTERNA)"),RANDBETWEEN(200,3000),RANDBETWEEN(100,1500))))</f>
        <v>7839</v>
      </c>
      <c r="AY239" s="2">
        <f ca="1">INT(AV239*RANDBETWEEN(90,130)/100)</f>
        <v>37907</v>
      </c>
      <c r="AZ239" t="str">
        <f t="shared" ca="1" si="18"/>
        <v>24.2%</v>
      </c>
      <c r="BA239" t="str">
        <f t="shared" ca="1" si="19"/>
        <v>BAJO</v>
      </c>
    </row>
    <row r="240" spans="4:53" x14ac:dyDescent="0.35">
      <c r="D240" t="s">
        <v>1935</v>
      </c>
      <c r="E240" s="1">
        <v>45799</v>
      </c>
      <c r="F240" t="s">
        <v>1936</v>
      </c>
      <c r="G240" t="s">
        <v>108</v>
      </c>
      <c r="H240" t="s">
        <v>958</v>
      </c>
      <c r="I240">
        <v>20230471</v>
      </c>
      <c r="J240" t="s">
        <v>28</v>
      </c>
      <c r="K240">
        <v>16</v>
      </c>
      <c r="L240" t="s">
        <v>27</v>
      </c>
      <c r="M240" t="s">
        <v>1937</v>
      </c>
      <c r="N240" t="s">
        <v>1938</v>
      </c>
      <c r="O240" t="s">
        <v>1939</v>
      </c>
      <c r="P240" t="s">
        <v>676</v>
      </c>
      <c r="Q240" s="1">
        <v>45785</v>
      </c>
      <c r="R240" t="s">
        <v>29</v>
      </c>
      <c r="S240" t="s">
        <v>27</v>
      </c>
      <c r="T240" t="s">
        <v>958</v>
      </c>
      <c r="U240" t="s">
        <v>115</v>
      </c>
      <c r="V240" t="s">
        <v>1936</v>
      </c>
      <c r="W240">
        <v>20</v>
      </c>
      <c r="X240">
        <v>20230471</v>
      </c>
      <c r="Y240" t="s">
        <v>1940</v>
      </c>
      <c r="Z240" t="s">
        <v>119</v>
      </c>
      <c r="AA240" t="s">
        <v>32</v>
      </c>
      <c r="AB240" t="s">
        <v>120</v>
      </c>
      <c r="AC240" t="s">
        <v>38</v>
      </c>
      <c r="AD240" t="s">
        <v>155</v>
      </c>
      <c r="AE240">
        <v>10</v>
      </c>
      <c r="AF240" s="1">
        <v>47640</v>
      </c>
      <c r="AG240" t="s">
        <v>26</v>
      </c>
      <c r="AH240" t="s">
        <v>1936</v>
      </c>
      <c r="AI240" t="str">
        <f t="shared" si="15"/>
        <v>NO</v>
      </c>
      <c r="AJ240" t="str">
        <f t="shared" si="16"/>
        <v>EUROFARMA COLOMBIA</v>
      </c>
      <c r="AK240" t="str">
        <f>IF(ISNUMBER(SEARCH("FABRICANTE",AC240)),"FABRICANTE",IF(ISNUMBER(SEARCH("IMPORTADOR",AC240)),"IMPORTADOR","OTRO"))</f>
        <v>IMPORTADOR</v>
      </c>
      <c r="AL240" t="str">
        <f>IF(LEFT(Y240,1)="A","Sistema digestivo",IF(LEFT(Y240,1)="B","Sangre",IF(LEFT(Y240,1)="C","Cardiovascular",IF(LEFT(Y240,1)="D","Dermatológico",IF(LEFT(Y240,1)="G","Genitourinario",IF(LEFT(Y240,1)="H","Hormonal",IF(LEFT(Y240,1)="J","Antiinfecciosos",IF(LEFT(Y240,1)="L","Oncológicos",IF(LEFT(Y240,1)="M","Musculoesquelético",IF(LEFT(Y240,1)="N","Sistema nervioso",IF(LEFT(Y240,1)="R","Respiratorio",IF(LEFT(Y240,1)="S","Oftálmico",IF(LEFT(Y240,1)="V","Varios","OTRO")))))))))))))</f>
        <v>Respiratorio</v>
      </c>
      <c r="AM240" t="str">
        <f>IF(AG240="Vigente","ACTIVO",IF(ISNUMBER(SEARCH("Inactivo",J240)),"INACTIVO","REVISAR"))</f>
        <v>ACTIVO</v>
      </c>
      <c r="AN240">
        <f ca="1">IF(OR(AF240="",AF240="null"),"",ROUND((AF240-TODAY())/365.25,2))</f>
        <v>4.03</v>
      </c>
      <c r="AO240" t="str">
        <f ca="1">IF(AND(AG240="Vigente",OR(AF240="",AF240="null",AF240&gt;TODAY())),"SI",IF(AND(NOT(OR(AF240="",AF240="null")),AF240&lt;=TODAY()),"NO",IF(AG240="Vigente","SI","DESCONOCIDO")))</f>
        <v>SI</v>
      </c>
      <c r="AP240" t="str">
        <f>IF(AND(ISNUMBER(SEARCH("IMPORTAR",AA240)),ISNUMBER(SEARCH("FABRICAR",AA240))),"MIXTO",IF(ISNUMBER(SEARCH("IMPORTAR",AA240)),"IMPORTADO",IF(ISNUMBER(SEARCH("FABRICAR",AA240)),"LOCAL","OTRO")))</f>
        <v>IMPORTADO</v>
      </c>
      <c r="AQ240" t="str">
        <f>IF(AD240="Si","SI",IF(AD240="No","NO",""))</f>
        <v>SI</v>
      </c>
      <c r="AR240" t="str">
        <f>IF(ISNUMBER(SEARCH("®",N240)),"MARCA/INNOVADOR","GENERICO")</f>
        <v>MARCA/INNOVADOR</v>
      </c>
      <c r="AS240">
        <f ca="1">IF(AE240&gt;100,RANDBETWEEN(500,5000),IF(AND(AE240&gt;=10,AE240&lt;=100),RANDBETWEEN(100,1000),RANDBETWEEN(10,200)))</f>
        <v>222</v>
      </c>
      <c r="AT240">
        <f t="shared" ca="1" si="17"/>
        <v>24</v>
      </c>
      <c r="AU240">
        <f ca="1">INT(AS240*RANDBETWEEN(120,200)/100)</f>
        <v>397</v>
      </c>
      <c r="AV240" s="2">
        <f ca="1">IF(LEFT(Y240,1)="L",RANDBETWEEN(500000,5000000),IF(LEFT(Y240,1)="C",RANDBETWEEN(5000,50000),IF(LEFT(Y240,1)="N",RANDBETWEEN(10000,150000),IF(LEFT(Y240,1)="J",RANDBETWEEN(8000,200000),RANDBETWEEN(5000,100000)))))</f>
        <v>63139</v>
      </c>
      <c r="AW240" s="2">
        <f ca="1">INT(AV240*RANDBETWEEN(30,60)/100)</f>
        <v>30938</v>
      </c>
      <c r="AX240">
        <f ca="1">IF(Z240="ORAL",RANDBETWEEN(1000,10000),IF(OR(Z240="INTRAVENOSA",Z240="INTRAMUSCULAR"),RANDBETWEEN(100,2000),IF(OR(Z240="OFTÁLMICA",Z240="TOPICA (EXTERNA)"),RANDBETWEEN(200,3000),RANDBETWEEN(100,1500))))</f>
        <v>5724</v>
      </c>
      <c r="AY240" s="2">
        <f ca="1">INT(AV240*RANDBETWEEN(90,130)/100)</f>
        <v>58719</v>
      </c>
      <c r="AZ240" t="str">
        <f t="shared" ca="1" si="18"/>
        <v>19.4%</v>
      </c>
      <c r="BA240" t="str">
        <f t="shared" ca="1" si="19"/>
        <v>MEDIO</v>
      </c>
    </row>
    <row r="241" spans="4:53" x14ac:dyDescent="0.35">
      <c r="D241" t="s">
        <v>1941</v>
      </c>
      <c r="E241" s="1">
        <v>40437</v>
      </c>
      <c r="F241" t="s">
        <v>1942</v>
      </c>
      <c r="G241" t="s">
        <v>247</v>
      </c>
      <c r="H241" t="s">
        <v>1943</v>
      </c>
      <c r="I241">
        <v>20012507</v>
      </c>
      <c r="J241" t="s">
        <v>28</v>
      </c>
      <c r="K241">
        <v>1</v>
      </c>
      <c r="L241" t="s">
        <v>27</v>
      </c>
      <c r="M241" t="s">
        <v>1944</v>
      </c>
      <c r="N241" t="s">
        <v>1945</v>
      </c>
      <c r="O241" t="s">
        <v>1946</v>
      </c>
      <c r="P241" t="s">
        <v>835</v>
      </c>
      <c r="Q241" s="1">
        <v>40147</v>
      </c>
      <c r="R241" t="s">
        <v>62</v>
      </c>
      <c r="S241" t="s">
        <v>27</v>
      </c>
      <c r="T241" t="s">
        <v>83</v>
      </c>
      <c r="U241" t="s">
        <v>247</v>
      </c>
      <c r="V241" t="s">
        <v>1942</v>
      </c>
      <c r="W241">
        <v>5</v>
      </c>
      <c r="X241">
        <v>20012507</v>
      </c>
      <c r="Y241" t="s">
        <v>1947</v>
      </c>
      <c r="Z241" t="s">
        <v>566</v>
      </c>
      <c r="AA241" t="s">
        <v>24</v>
      </c>
      <c r="AB241" t="s">
        <v>653</v>
      </c>
      <c r="AC241" t="s">
        <v>25</v>
      </c>
      <c r="AD241" t="s">
        <v>121</v>
      </c>
      <c r="AE241">
        <v>20</v>
      </c>
      <c r="AF241" t="s">
        <v>27</v>
      </c>
      <c r="AG241" t="s">
        <v>26</v>
      </c>
      <c r="AH241" t="s">
        <v>1942</v>
      </c>
      <c r="AI241" t="str">
        <f t="shared" si="15"/>
        <v>NO</v>
      </c>
      <c r="AJ241" t="str">
        <f t="shared" si="16"/>
        <v>LABORATORIOS LA SANTÉ</v>
      </c>
      <c r="AK241" t="str">
        <f>IF(ISNUMBER(SEARCH("FABRICANTE",AC241)),"FABRICANTE",IF(ISNUMBER(SEARCH("IMPORTADOR",AC241)),"IMPORTADOR","OTRO"))</f>
        <v>FABRICANTE</v>
      </c>
      <c r="AL241" t="str">
        <f>IF(LEFT(Y241,1)="A","Sistema digestivo",IF(LEFT(Y241,1)="B","Sangre",IF(LEFT(Y241,1)="C","Cardiovascular",IF(LEFT(Y241,1)="D","Dermatológico",IF(LEFT(Y241,1)="G","Genitourinario",IF(LEFT(Y241,1)="H","Hormonal",IF(LEFT(Y241,1)="J","Antiinfecciosos",IF(LEFT(Y241,1)="L","Oncológicos",IF(LEFT(Y241,1)="M","Musculoesquelético",IF(LEFT(Y241,1)="N","Sistema nervioso",IF(LEFT(Y241,1)="R","Respiratorio",IF(LEFT(Y241,1)="S","Oftálmico",IF(LEFT(Y241,1)="V","Varios","OTRO")))))))))))))</f>
        <v>Dermatológico</v>
      </c>
      <c r="AM241" t="str">
        <f>IF(AG241="Vigente","ACTIVO",IF(ISNUMBER(SEARCH("Inactivo",J241)),"INACTIVO","REVISAR"))</f>
        <v>ACTIVO</v>
      </c>
      <c r="AN241" t="str">
        <f ca="1">IF(OR(AF241="",AF241="null"),"",ROUND((AF241-TODAY())/365.25,2))</f>
        <v/>
      </c>
      <c r="AO241" t="str">
        <f ca="1">IF(AND(AG241="Vigente",OR(AF241="",AF241="null",AF241&gt;TODAY())),"SI",IF(AND(NOT(OR(AF241="",AF241="null")),AF241&lt;=TODAY()),"NO",IF(AG241="Vigente","SI","DESCONOCIDO")))</f>
        <v>SI</v>
      </c>
      <c r="AP241" t="str">
        <f>IF(AND(ISNUMBER(SEARCH("IMPORTAR",AA241)),ISNUMBER(SEARCH("FABRICAR",AA241))),"MIXTO",IF(ISNUMBER(SEARCH("IMPORTAR",AA241)),"IMPORTADO",IF(ISNUMBER(SEARCH("FABRICAR",AA241)),"LOCAL","OTRO")))</f>
        <v>LOCAL</v>
      </c>
      <c r="AQ241" t="str">
        <f>IF(AD241="Si","SI",IF(AD241="No","NO",""))</f>
        <v>NO</v>
      </c>
      <c r="AR241" t="str">
        <f>IF(ISNUMBER(SEARCH("®",N241)),"MARCA/INNOVADOR","GENERICO")</f>
        <v>GENERICO</v>
      </c>
      <c r="AS241">
        <f ca="1">IF(AE241&gt;100,RANDBETWEEN(500,5000),IF(AND(AE241&gt;=10,AE241&lt;=100),RANDBETWEEN(100,1000),RANDBETWEEN(10,200)))</f>
        <v>425</v>
      </c>
      <c r="AT241">
        <f t="shared" ca="1" si="17"/>
        <v>85</v>
      </c>
      <c r="AU241">
        <f ca="1">INT(AS241*RANDBETWEEN(120,200)/100)</f>
        <v>599</v>
      </c>
      <c r="AV241" s="2">
        <f ca="1">IF(LEFT(Y241,1)="L",RANDBETWEEN(500000,5000000),IF(LEFT(Y241,1)="C",RANDBETWEEN(5000,50000),IF(LEFT(Y241,1)="N",RANDBETWEEN(10000,150000),IF(LEFT(Y241,1)="J",RANDBETWEEN(8000,200000),RANDBETWEEN(5000,100000)))))</f>
        <v>88647</v>
      </c>
      <c r="AW241" s="2">
        <f ca="1">INT(AV241*RANDBETWEEN(30,60)/100)</f>
        <v>35458</v>
      </c>
      <c r="AX241">
        <f ca="1">IF(Z241="ORAL",RANDBETWEEN(1000,10000),IF(OR(Z241="INTRAVENOSA",Z241="INTRAMUSCULAR"),RANDBETWEEN(100,2000),IF(OR(Z241="OFTÁLMICA",Z241="TOPICA (EXTERNA)"),RANDBETWEEN(200,3000),RANDBETWEEN(100,1500))))</f>
        <v>2067</v>
      </c>
      <c r="AY241" s="2">
        <f ca="1">INT(AV241*RANDBETWEEN(90,130)/100)</f>
        <v>99284</v>
      </c>
      <c r="AZ241" t="str">
        <f t="shared" ca="1" si="18"/>
        <v>9.5%</v>
      </c>
      <c r="BA241" t="str">
        <f t="shared" ca="1" si="19"/>
        <v>BAJO</v>
      </c>
    </row>
    <row r="242" spans="4:53" x14ac:dyDescent="0.35">
      <c r="D242" t="s">
        <v>1948</v>
      </c>
      <c r="E242" s="1">
        <v>39518</v>
      </c>
      <c r="F242" t="s">
        <v>1699</v>
      </c>
      <c r="G242" t="s">
        <v>108</v>
      </c>
      <c r="H242" t="s">
        <v>1949</v>
      </c>
      <c r="I242">
        <v>19980633</v>
      </c>
      <c r="J242" t="s">
        <v>28</v>
      </c>
      <c r="K242">
        <v>9</v>
      </c>
      <c r="L242" t="s">
        <v>1701</v>
      </c>
      <c r="M242" t="s">
        <v>1702</v>
      </c>
      <c r="N242" t="s">
        <v>1703</v>
      </c>
      <c r="O242" t="s">
        <v>1704</v>
      </c>
      <c r="P242" t="s">
        <v>1705</v>
      </c>
      <c r="Q242" s="1">
        <v>43636</v>
      </c>
      <c r="R242" t="s">
        <v>50</v>
      </c>
      <c r="S242" t="s">
        <v>27</v>
      </c>
      <c r="T242" t="s">
        <v>308</v>
      </c>
      <c r="U242" t="s">
        <v>115</v>
      </c>
      <c r="V242" t="s">
        <v>173</v>
      </c>
      <c r="W242">
        <v>50</v>
      </c>
      <c r="X242">
        <v>19980633</v>
      </c>
      <c r="Y242" t="s">
        <v>174</v>
      </c>
      <c r="Z242" t="s">
        <v>213</v>
      </c>
      <c r="AA242" t="s">
        <v>24</v>
      </c>
      <c r="AB242" t="s">
        <v>120</v>
      </c>
      <c r="AC242" t="s">
        <v>25</v>
      </c>
      <c r="AD242" t="s">
        <v>155</v>
      </c>
      <c r="AE242">
        <v>100</v>
      </c>
      <c r="AF242" t="s">
        <v>27</v>
      </c>
      <c r="AG242" t="s">
        <v>26</v>
      </c>
      <c r="AH242" t="s">
        <v>6637</v>
      </c>
      <c r="AI242" t="str">
        <f t="shared" si="15"/>
        <v>SI</v>
      </c>
      <c r="AJ242" t="str">
        <f t="shared" si="16"/>
        <v>HUMAX PHARMACEUTICAL</v>
      </c>
      <c r="AK242" t="str">
        <f>IF(ISNUMBER(SEARCH("FABRICANTE",AC242)),"FABRICANTE",IF(ISNUMBER(SEARCH("IMPORTADOR",AC242)),"IMPORTADOR","OTRO"))</f>
        <v>FABRICANTE</v>
      </c>
      <c r="AL242" t="str">
        <f>IF(LEFT(Y242,1)="A","Sistema digestivo",IF(LEFT(Y242,1)="B","Sangre",IF(LEFT(Y242,1)="C","Cardiovascular",IF(LEFT(Y242,1)="D","Dermatológico",IF(LEFT(Y242,1)="G","Genitourinario",IF(LEFT(Y242,1)="H","Hormonal",IF(LEFT(Y242,1)="J","Antiinfecciosos",IF(LEFT(Y242,1)="L","Oncológicos",IF(LEFT(Y242,1)="M","Musculoesquelético",IF(LEFT(Y242,1)="N","Sistema nervioso",IF(LEFT(Y242,1)="R","Respiratorio",IF(LEFT(Y242,1)="S","Oftálmico",IF(LEFT(Y242,1)="V","Varios","OTRO")))))))))))))</f>
        <v>Sistema digestivo</v>
      </c>
      <c r="AM242" t="str">
        <f>IF(AG242="Vigente","ACTIVO",IF(ISNUMBER(SEARCH("Inactivo",J242)),"INACTIVO","REVISAR"))</f>
        <v>ACTIVO</v>
      </c>
      <c r="AN242" t="str">
        <f ca="1">IF(OR(AF242="",AF242="null"),"",ROUND((AF242-TODAY())/365.25,2))</f>
        <v/>
      </c>
      <c r="AO242" t="str">
        <f ca="1">IF(AND(AG242="Vigente",OR(AF242="",AF242="null",AF242&gt;TODAY())),"SI",IF(AND(NOT(OR(AF242="",AF242="null")),AF242&lt;=TODAY()),"NO",IF(AG242="Vigente","SI","DESCONOCIDO")))</f>
        <v>SI</v>
      </c>
      <c r="AP242" t="str">
        <f>IF(AND(ISNUMBER(SEARCH("IMPORTAR",AA242)),ISNUMBER(SEARCH("FABRICAR",AA242))),"MIXTO",IF(ISNUMBER(SEARCH("IMPORTAR",AA242)),"IMPORTADO",IF(ISNUMBER(SEARCH("FABRICAR",AA242)),"LOCAL","OTRO")))</f>
        <v>LOCAL</v>
      </c>
      <c r="AQ242" t="str">
        <f>IF(AD242="Si","SI",IF(AD242="No","NO",""))</f>
        <v>SI</v>
      </c>
      <c r="AR242" t="str">
        <f>IF(ISNUMBER(SEARCH("®",N242)),"MARCA/INNOVADOR","GENERICO")</f>
        <v>GENERICO</v>
      </c>
      <c r="AS242">
        <f ca="1">IF(AE242&gt;100,RANDBETWEEN(500,5000),IF(AND(AE242&gt;=10,AE242&lt;=100),RANDBETWEEN(100,1000),RANDBETWEEN(10,200)))</f>
        <v>559</v>
      </c>
      <c r="AT242">
        <f t="shared" ca="1" si="17"/>
        <v>61</v>
      </c>
      <c r="AU242">
        <f ca="1">INT(AS242*RANDBETWEEN(120,200)/100)</f>
        <v>844</v>
      </c>
      <c r="AV242" s="2">
        <f ca="1">IF(LEFT(Y242,1)="L",RANDBETWEEN(500000,5000000),IF(LEFT(Y242,1)="C",RANDBETWEEN(5000,50000),IF(LEFT(Y242,1)="N",RANDBETWEEN(10000,150000),IF(LEFT(Y242,1)="J",RANDBETWEEN(8000,200000),RANDBETWEEN(5000,100000)))))</f>
        <v>24417</v>
      </c>
      <c r="AW242" s="2">
        <f ca="1">INT(AV242*RANDBETWEEN(30,60)/100)</f>
        <v>8545</v>
      </c>
      <c r="AX242">
        <f ca="1">IF(Z242="ORAL",RANDBETWEEN(1000,10000),IF(OR(Z242="INTRAVENOSA",Z242="INTRAMUSCULAR"),RANDBETWEEN(100,2000),IF(OR(Z242="OFTÁLMICA",Z242="TOPICA (EXTERNA)"),RANDBETWEEN(200,3000),RANDBETWEEN(100,1500))))</f>
        <v>1072</v>
      </c>
      <c r="AY242" s="2">
        <f ca="1">INT(AV242*RANDBETWEEN(90,130)/100)</f>
        <v>30277</v>
      </c>
      <c r="AZ242" t="str">
        <f t="shared" ca="1" si="18"/>
        <v>9.6%</v>
      </c>
      <c r="BA242" t="str">
        <f t="shared" ca="1" si="19"/>
        <v>BAJO</v>
      </c>
    </row>
    <row r="243" spans="4:53" x14ac:dyDescent="0.35">
      <c r="D243" t="s">
        <v>1950</v>
      </c>
      <c r="E243" s="1">
        <v>43473</v>
      </c>
      <c r="F243" t="s">
        <v>123</v>
      </c>
      <c r="G243" t="s">
        <v>108</v>
      </c>
      <c r="H243" t="s">
        <v>1951</v>
      </c>
      <c r="I243">
        <v>20130630</v>
      </c>
      <c r="J243" t="s">
        <v>110</v>
      </c>
      <c r="K243">
        <v>3</v>
      </c>
      <c r="L243" t="s">
        <v>27</v>
      </c>
      <c r="M243" t="s">
        <v>1952</v>
      </c>
      <c r="N243" t="s">
        <v>1953</v>
      </c>
      <c r="O243" t="s">
        <v>1954</v>
      </c>
      <c r="P243" t="s">
        <v>33</v>
      </c>
      <c r="Q243" s="1">
        <v>43461</v>
      </c>
      <c r="R243" t="s">
        <v>33</v>
      </c>
      <c r="S243" s="1">
        <v>45313</v>
      </c>
      <c r="T243" t="s">
        <v>545</v>
      </c>
      <c r="U243" t="s">
        <v>115</v>
      </c>
      <c r="V243" t="s">
        <v>1955</v>
      </c>
      <c r="W243" t="s">
        <v>1956</v>
      </c>
      <c r="X243">
        <v>20130630</v>
      </c>
      <c r="Y243" t="s">
        <v>1957</v>
      </c>
      <c r="Z243" t="s">
        <v>119</v>
      </c>
      <c r="AA243" t="s">
        <v>32</v>
      </c>
      <c r="AB243" t="s">
        <v>120</v>
      </c>
      <c r="AC243" t="s">
        <v>38</v>
      </c>
      <c r="AD243" t="s">
        <v>121</v>
      </c>
      <c r="AE243">
        <v>15</v>
      </c>
      <c r="AF243" t="s">
        <v>27</v>
      </c>
      <c r="AG243" t="s">
        <v>26</v>
      </c>
      <c r="AH243" t="s">
        <v>123</v>
      </c>
      <c r="AI243" t="str">
        <f t="shared" si="15"/>
        <v>NO</v>
      </c>
      <c r="AJ243" t="str">
        <f t="shared" si="16"/>
        <v>IPCA LABORATORIES</v>
      </c>
      <c r="AK243" t="str">
        <f>IF(ISNUMBER(SEARCH("FABRICANTE",AC243)),"FABRICANTE",IF(ISNUMBER(SEARCH("IMPORTADOR",AC243)),"IMPORTADOR","OTRO"))</f>
        <v>IMPORTADOR</v>
      </c>
      <c r="AL243" t="str">
        <f>IF(LEFT(Y243,1)="A","Sistema digestivo",IF(LEFT(Y243,1)="B","Sangre",IF(LEFT(Y243,1)="C","Cardiovascular",IF(LEFT(Y243,1)="D","Dermatológico",IF(LEFT(Y243,1)="G","Genitourinario",IF(LEFT(Y243,1)="H","Hormonal",IF(LEFT(Y243,1)="J","Antiinfecciosos",IF(LEFT(Y243,1)="L","Oncológicos",IF(LEFT(Y243,1)="M","Musculoesquelético",IF(LEFT(Y243,1)="N","Sistema nervioso",IF(LEFT(Y243,1)="R","Respiratorio",IF(LEFT(Y243,1)="S","Oftálmico",IF(LEFT(Y243,1)="V","Varios","OTRO")))))))))))))</f>
        <v>Sistema nervioso</v>
      </c>
      <c r="AM243" t="str">
        <f>IF(AG243="Vigente","ACTIVO",IF(ISNUMBER(SEARCH("Inactivo",J243)),"INACTIVO","REVISAR"))</f>
        <v>ACTIVO</v>
      </c>
      <c r="AN243" t="str">
        <f ca="1">IF(OR(AF243="",AF243="null"),"",ROUND((AF243-TODAY())/365.25,2))</f>
        <v/>
      </c>
      <c r="AO243" t="str">
        <f ca="1">IF(AND(AG243="Vigente",OR(AF243="",AF243="null",AF243&gt;TODAY())),"SI",IF(AND(NOT(OR(AF243="",AF243="null")),AF243&lt;=TODAY()),"NO",IF(AG243="Vigente","SI","DESCONOCIDO")))</f>
        <v>SI</v>
      </c>
      <c r="AP243" t="str">
        <f>IF(AND(ISNUMBER(SEARCH("IMPORTAR",AA243)),ISNUMBER(SEARCH("FABRICAR",AA243))),"MIXTO",IF(ISNUMBER(SEARCH("IMPORTAR",AA243)),"IMPORTADO",IF(ISNUMBER(SEARCH("FABRICAR",AA243)),"LOCAL","OTRO")))</f>
        <v>IMPORTADO</v>
      </c>
      <c r="AQ243" t="str">
        <f>IF(AD243="Si","SI",IF(AD243="No","NO",""))</f>
        <v>NO</v>
      </c>
      <c r="AR243" t="str">
        <f>IF(ISNUMBER(SEARCH("®",N243)),"MARCA/INNOVADOR","GENERICO")</f>
        <v>GENERICO</v>
      </c>
      <c r="AS243">
        <f ca="1">IF(AE243&gt;100,RANDBETWEEN(500,5000),IF(AND(AE243&gt;=10,AE243&lt;=100),RANDBETWEEN(100,1000),RANDBETWEEN(10,200)))</f>
        <v>930</v>
      </c>
      <c r="AT243">
        <f t="shared" ca="1" si="17"/>
        <v>93</v>
      </c>
      <c r="AU243">
        <f ca="1">INT(AS243*RANDBETWEEN(120,200)/100)</f>
        <v>1525</v>
      </c>
      <c r="AV243" s="2">
        <f ca="1">IF(LEFT(Y243,1)="L",RANDBETWEEN(500000,5000000),IF(LEFT(Y243,1)="C",RANDBETWEEN(5000,50000),IF(LEFT(Y243,1)="N",RANDBETWEEN(10000,150000),IF(LEFT(Y243,1)="J",RANDBETWEEN(8000,200000),RANDBETWEEN(5000,100000)))))</f>
        <v>20206</v>
      </c>
      <c r="AW243" s="2">
        <f ca="1">INT(AV243*RANDBETWEEN(30,60)/100)</f>
        <v>11921</v>
      </c>
      <c r="AX243">
        <f ca="1">IF(Z243="ORAL",RANDBETWEEN(1000,10000),IF(OR(Z243="INTRAVENOSA",Z243="INTRAMUSCULAR"),RANDBETWEEN(100,2000),IF(OR(Z243="OFTÁLMICA",Z243="TOPICA (EXTERNA)"),RANDBETWEEN(200,3000),RANDBETWEEN(100,1500))))</f>
        <v>6270</v>
      </c>
      <c r="AY243" s="2">
        <f ca="1">INT(AV243*RANDBETWEEN(90,130)/100)</f>
        <v>21822</v>
      </c>
      <c r="AZ243" t="str">
        <f t="shared" ca="1" si="18"/>
        <v>23.2%</v>
      </c>
      <c r="BA243" t="str">
        <f t="shared" ca="1" si="19"/>
        <v>ALTO</v>
      </c>
    </row>
    <row r="244" spans="4:53" x14ac:dyDescent="0.35">
      <c r="D244" t="s">
        <v>1958</v>
      </c>
      <c r="E244" s="1">
        <v>35597</v>
      </c>
      <c r="F244" t="s">
        <v>1959</v>
      </c>
      <c r="G244" t="s">
        <v>108</v>
      </c>
      <c r="H244" t="s">
        <v>549</v>
      </c>
      <c r="I244">
        <v>24283</v>
      </c>
      <c r="J244" t="s">
        <v>28</v>
      </c>
      <c r="K244">
        <v>14</v>
      </c>
      <c r="L244" t="s">
        <v>27</v>
      </c>
      <c r="M244" t="s">
        <v>1960</v>
      </c>
      <c r="N244" t="s">
        <v>1961</v>
      </c>
      <c r="O244" t="s">
        <v>1962</v>
      </c>
      <c r="P244" t="s">
        <v>1963</v>
      </c>
      <c r="Q244" s="1">
        <v>39031</v>
      </c>
      <c r="R244" t="s">
        <v>1964</v>
      </c>
      <c r="S244" t="s">
        <v>27</v>
      </c>
      <c r="T244" t="s">
        <v>549</v>
      </c>
      <c r="U244" t="s">
        <v>115</v>
      </c>
      <c r="V244" t="s">
        <v>1965</v>
      </c>
      <c r="W244">
        <v>448</v>
      </c>
      <c r="X244">
        <v>24283</v>
      </c>
      <c r="Y244" t="s">
        <v>1966</v>
      </c>
      <c r="Z244" t="s">
        <v>1967</v>
      </c>
      <c r="AA244" t="s">
        <v>24</v>
      </c>
      <c r="AB244" t="s">
        <v>133</v>
      </c>
      <c r="AC244" t="s">
        <v>25</v>
      </c>
      <c r="AD244" t="s">
        <v>121</v>
      </c>
      <c r="AE244">
        <v>1</v>
      </c>
      <c r="AF244" t="s">
        <v>27</v>
      </c>
      <c r="AG244" t="s">
        <v>26</v>
      </c>
      <c r="AH244" t="s">
        <v>6726</v>
      </c>
      <c r="AI244" t="str">
        <f t="shared" si="15"/>
        <v>NO</v>
      </c>
      <c r="AJ244" t="str">
        <f t="shared" si="16"/>
        <v>LABORATORIOS BAXTER</v>
      </c>
      <c r="AK244" t="str">
        <f>IF(ISNUMBER(SEARCH("FABRICANTE",AC244)),"FABRICANTE",IF(ISNUMBER(SEARCH("IMPORTADOR",AC244)),"IMPORTADOR","OTRO"))</f>
        <v>FABRICANTE</v>
      </c>
      <c r="AL244" t="str">
        <f>IF(LEFT(Y244,1)="A","Sistema digestivo",IF(LEFT(Y244,1)="B","Sangre",IF(LEFT(Y244,1)="C","Cardiovascular",IF(LEFT(Y244,1)="D","Dermatológico",IF(LEFT(Y244,1)="G","Genitourinario",IF(LEFT(Y244,1)="H","Hormonal",IF(LEFT(Y244,1)="J","Antiinfecciosos",IF(LEFT(Y244,1)="L","Oncológicos",IF(LEFT(Y244,1)="M","Musculoesquelético",IF(LEFT(Y244,1)="N","Sistema nervioso",IF(LEFT(Y244,1)="R","Respiratorio",IF(LEFT(Y244,1)="S","Oftálmico",IF(LEFT(Y244,1)="V","Varios","OTRO")))))))))))))</f>
        <v>Sangre</v>
      </c>
      <c r="AM244" t="str">
        <f>IF(AG244="Vigente","ACTIVO",IF(ISNUMBER(SEARCH("Inactivo",J244)),"INACTIVO","REVISAR"))</f>
        <v>ACTIVO</v>
      </c>
      <c r="AN244" t="str">
        <f ca="1">IF(OR(AF244="",AF244="null"),"",ROUND((AF244-TODAY())/365.25,2))</f>
        <v/>
      </c>
      <c r="AO244" t="str">
        <f ca="1">IF(AND(AG244="Vigente",OR(AF244="",AF244="null",AF244&gt;TODAY())),"SI",IF(AND(NOT(OR(AF244="",AF244="null")),AF244&lt;=TODAY()),"NO",IF(AG244="Vigente","SI","DESCONOCIDO")))</f>
        <v>SI</v>
      </c>
      <c r="AP244" t="str">
        <f>IF(AND(ISNUMBER(SEARCH("IMPORTAR",AA244)),ISNUMBER(SEARCH("FABRICAR",AA244))),"MIXTO",IF(ISNUMBER(SEARCH("IMPORTAR",AA244)),"IMPORTADO",IF(ISNUMBER(SEARCH("FABRICAR",AA244)),"LOCAL","OTRO")))</f>
        <v>LOCAL</v>
      </c>
      <c r="AQ244" t="str">
        <f>IF(AD244="Si","SI",IF(AD244="No","NO",""))</f>
        <v>NO</v>
      </c>
      <c r="AR244" t="str">
        <f>IF(ISNUMBER(SEARCH("®",N244)),"MARCA/INNOVADOR","GENERICO")</f>
        <v>GENERICO</v>
      </c>
      <c r="AS244">
        <f ca="1">IF(AE244&gt;100,RANDBETWEEN(500,5000),IF(AND(AE244&gt;=10,AE244&lt;=100),RANDBETWEEN(100,1000),RANDBETWEEN(10,200)))</f>
        <v>109</v>
      </c>
      <c r="AT244">
        <f t="shared" ca="1" si="17"/>
        <v>11</v>
      </c>
      <c r="AU244">
        <f ca="1">INT(AS244*RANDBETWEEN(120,200)/100)</f>
        <v>171</v>
      </c>
      <c r="AV244" s="2">
        <f ca="1">IF(LEFT(Y244,1)="L",RANDBETWEEN(500000,5000000),IF(LEFT(Y244,1)="C",RANDBETWEEN(5000,50000),IF(LEFT(Y244,1)="N",RANDBETWEEN(10000,150000),IF(LEFT(Y244,1)="J",RANDBETWEEN(8000,200000),RANDBETWEEN(5000,100000)))))</f>
        <v>44713</v>
      </c>
      <c r="AW244" s="2">
        <f ca="1">INT(AV244*RANDBETWEEN(30,60)/100)</f>
        <v>23697</v>
      </c>
      <c r="AX244">
        <f ca="1">IF(Z244="ORAL",RANDBETWEEN(1000,10000),IF(OR(Z244="INTRAVENOSA",Z244="INTRAMUSCULAR"),RANDBETWEEN(100,2000),IF(OR(Z244="OFTÁLMICA",Z244="TOPICA (EXTERNA)"),RANDBETWEEN(200,3000),RANDBETWEEN(100,1500))))</f>
        <v>1422</v>
      </c>
      <c r="AY244" s="2">
        <f ca="1">INT(AV244*RANDBETWEEN(90,130)/100)</f>
        <v>57232</v>
      </c>
      <c r="AZ244" t="str">
        <f t="shared" ca="1" si="18"/>
        <v>2.6%</v>
      </c>
      <c r="BA244" t="str">
        <f t="shared" ca="1" si="19"/>
        <v>BAJO</v>
      </c>
    </row>
    <row r="245" spans="4:53" x14ac:dyDescent="0.35">
      <c r="D245" t="s">
        <v>1968</v>
      </c>
      <c r="E245" s="1">
        <v>42355</v>
      </c>
      <c r="F245" t="s">
        <v>966</v>
      </c>
      <c r="G245" t="s">
        <v>108</v>
      </c>
      <c r="H245" t="s">
        <v>1969</v>
      </c>
      <c r="I245">
        <v>20097244</v>
      </c>
      <c r="J245" t="s">
        <v>28</v>
      </c>
      <c r="K245">
        <v>12</v>
      </c>
      <c r="L245" t="s">
        <v>27</v>
      </c>
      <c r="M245" t="s">
        <v>1970</v>
      </c>
      <c r="N245" t="s">
        <v>1971</v>
      </c>
      <c r="O245" t="s">
        <v>1972</v>
      </c>
      <c r="P245" t="s">
        <v>1973</v>
      </c>
      <c r="Q245" s="1">
        <v>42340</v>
      </c>
      <c r="R245" t="s">
        <v>37</v>
      </c>
      <c r="S245" t="s">
        <v>27</v>
      </c>
      <c r="T245" t="s">
        <v>172</v>
      </c>
      <c r="U245" t="s">
        <v>115</v>
      </c>
      <c r="V245" t="s">
        <v>162</v>
      </c>
      <c r="W245">
        <v>20</v>
      </c>
      <c r="X245">
        <v>20097244</v>
      </c>
      <c r="Y245" t="s">
        <v>164</v>
      </c>
      <c r="Z245" t="s">
        <v>119</v>
      </c>
      <c r="AA245" t="s">
        <v>24</v>
      </c>
      <c r="AB245" t="s">
        <v>120</v>
      </c>
      <c r="AC245" t="s">
        <v>25</v>
      </c>
      <c r="AD245" t="s">
        <v>155</v>
      </c>
      <c r="AE245">
        <v>2</v>
      </c>
      <c r="AF245" t="s">
        <v>27</v>
      </c>
      <c r="AG245" t="s">
        <v>26</v>
      </c>
      <c r="AH245" t="s">
        <v>966</v>
      </c>
      <c r="AI245" t="str">
        <f t="shared" si="15"/>
        <v>NO</v>
      </c>
      <c r="AJ245" t="str">
        <f t="shared" si="16"/>
        <v>NOVAMED</v>
      </c>
      <c r="AK245" t="str">
        <f>IF(ISNUMBER(SEARCH("FABRICANTE",AC245)),"FABRICANTE",IF(ISNUMBER(SEARCH("IMPORTADOR",AC245)),"IMPORTADOR","OTRO"))</f>
        <v>FABRICANTE</v>
      </c>
      <c r="AL245" t="str">
        <f>IF(LEFT(Y245,1)="A","Sistema digestivo",IF(LEFT(Y245,1)="B","Sangre",IF(LEFT(Y245,1)="C","Cardiovascular",IF(LEFT(Y245,1)="D","Dermatológico",IF(LEFT(Y245,1)="G","Genitourinario",IF(LEFT(Y245,1)="H","Hormonal",IF(LEFT(Y245,1)="J","Antiinfecciosos",IF(LEFT(Y245,1)="L","Oncológicos",IF(LEFT(Y245,1)="M","Musculoesquelético",IF(LEFT(Y245,1)="N","Sistema nervioso",IF(LEFT(Y245,1)="R","Respiratorio",IF(LEFT(Y245,1)="S","Oftálmico",IF(LEFT(Y245,1)="V","Varios","OTRO")))))))))))))</f>
        <v>Musculoesquelético</v>
      </c>
      <c r="AM245" t="str">
        <f>IF(AG245="Vigente","ACTIVO",IF(ISNUMBER(SEARCH("Inactivo",J245)),"INACTIVO","REVISAR"))</f>
        <v>ACTIVO</v>
      </c>
      <c r="AN245" t="str">
        <f ca="1">IF(OR(AF245="",AF245="null"),"",ROUND((AF245-TODAY())/365.25,2))</f>
        <v/>
      </c>
      <c r="AO245" t="str">
        <f ca="1">IF(AND(AG245="Vigente",OR(AF245="",AF245="null",AF245&gt;TODAY())),"SI",IF(AND(NOT(OR(AF245="",AF245="null")),AF245&lt;=TODAY()),"NO",IF(AG245="Vigente","SI","DESCONOCIDO")))</f>
        <v>SI</v>
      </c>
      <c r="AP245" t="str">
        <f>IF(AND(ISNUMBER(SEARCH("IMPORTAR",AA245)),ISNUMBER(SEARCH("FABRICAR",AA245))),"MIXTO",IF(ISNUMBER(SEARCH("IMPORTAR",AA245)),"IMPORTADO",IF(ISNUMBER(SEARCH("FABRICAR",AA245)),"LOCAL","OTRO")))</f>
        <v>LOCAL</v>
      </c>
      <c r="AQ245" t="str">
        <f>IF(AD245="Si","SI",IF(AD245="No","NO",""))</f>
        <v>SI</v>
      </c>
      <c r="AR245" t="str">
        <f>IF(ISNUMBER(SEARCH("®",N245)),"MARCA/INNOVADOR","GENERICO")</f>
        <v>MARCA/INNOVADOR</v>
      </c>
      <c r="AS245">
        <f ca="1">IF(AE245&gt;100,RANDBETWEEN(500,5000),IF(AND(AE245&gt;=10,AE245&lt;=100),RANDBETWEEN(100,1000),RANDBETWEEN(10,200)))</f>
        <v>37</v>
      </c>
      <c r="AT245">
        <f t="shared" ca="1" si="17"/>
        <v>9</v>
      </c>
      <c r="AU245">
        <f ca="1">INT(AS245*RANDBETWEEN(120,200)/100)</f>
        <v>48</v>
      </c>
      <c r="AV245" s="2">
        <f ca="1">IF(LEFT(Y245,1)="L",RANDBETWEEN(500000,5000000),IF(LEFT(Y245,1)="C",RANDBETWEEN(5000,50000),IF(LEFT(Y245,1)="N",RANDBETWEEN(10000,150000),IF(LEFT(Y245,1)="J",RANDBETWEEN(8000,200000),RANDBETWEEN(5000,100000)))))</f>
        <v>44551</v>
      </c>
      <c r="AW245" s="2">
        <f ca="1">INT(AV245*RANDBETWEEN(30,60)/100)</f>
        <v>20047</v>
      </c>
      <c r="AX245">
        <f ca="1">IF(Z245="ORAL",RANDBETWEEN(1000,10000),IF(OR(Z245="INTRAVENOSA",Z245="INTRAMUSCULAR"),RANDBETWEEN(100,2000),IF(OR(Z245="OFTÁLMICA",Z245="TOPICA (EXTERNA)"),RANDBETWEEN(200,3000),RANDBETWEEN(100,1500))))</f>
        <v>4036</v>
      </c>
      <c r="AY245" s="2">
        <f ca="1">INT(AV245*RANDBETWEEN(90,130)/100)</f>
        <v>51233</v>
      </c>
      <c r="AZ245" t="str">
        <f t="shared" ca="1" si="18"/>
        <v>7.5%</v>
      </c>
      <c r="BA245" t="str">
        <f t="shared" ca="1" si="19"/>
        <v>BAJO</v>
      </c>
    </row>
    <row r="246" spans="4:53" x14ac:dyDescent="0.35">
      <c r="D246" t="s">
        <v>1974</v>
      </c>
      <c r="E246" s="1">
        <v>45555</v>
      </c>
      <c r="F246" t="s">
        <v>1975</v>
      </c>
      <c r="G246" t="s">
        <v>108</v>
      </c>
      <c r="H246" t="s">
        <v>1976</v>
      </c>
      <c r="I246">
        <v>20261259</v>
      </c>
      <c r="J246" t="s">
        <v>28</v>
      </c>
      <c r="K246">
        <v>3</v>
      </c>
      <c r="L246" t="s">
        <v>27</v>
      </c>
      <c r="M246" t="s">
        <v>1977</v>
      </c>
      <c r="N246" t="s">
        <v>1978</v>
      </c>
      <c r="O246" t="s">
        <v>1979</v>
      </c>
      <c r="P246" t="s">
        <v>1980</v>
      </c>
      <c r="Q246" s="1">
        <v>45510</v>
      </c>
      <c r="R246" t="s">
        <v>1818</v>
      </c>
      <c r="S246" t="s">
        <v>27</v>
      </c>
      <c r="T246" t="s">
        <v>1981</v>
      </c>
      <c r="U246" t="s">
        <v>1982</v>
      </c>
      <c r="V246" t="s">
        <v>1819</v>
      </c>
      <c r="W246">
        <v>93</v>
      </c>
      <c r="X246">
        <v>20261259</v>
      </c>
      <c r="Y246" t="s">
        <v>1820</v>
      </c>
      <c r="Z246" t="s">
        <v>1168</v>
      </c>
      <c r="AA246" t="s">
        <v>24</v>
      </c>
      <c r="AB246" t="s">
        <v>1983</v>
      </c>
      <c r="AC246" t="s">
        <v>25</v>
      </c>
      <c r="AD246" t="s">
        <v>121</v>
      </c>
      <c r="AE246">
        <v>1</v>
      </c>
      <c r="AF246" s="1">
        <v>47395</v>
      </c>
      <c r="AG246" t="s">
        <v>26</v>
      </c>
      <c r="AH246" t="s">
        <v>1975</v>
      </c>
      <c r="AI246" t="str">
        <f t="shared" si="15"/>
        <v>NO</v>
      </c>
      <c r="AJ246" t="str">
        <f t="shared" si="16"/>
        <v>BIOTECNICA</v>
      </c>
      <c r="AK246" t="str">
        <f>IF(ISNUMBER(SEARCH("FABRICANTE",AC246)),"FABRICANTE",IF(ISNUMBER(SEARCH("IMPORTADOR",AC246)),"IMPORTADOR","OTRO"))</f>
        <v>FABRICANTE</v>
      </c>
      <c r="AL246" t="str">
        <f>IF(LEFT(Y246,1)="A","Sistema digestivo",IF(LEFT(Y246,1)="B","Sangre",IF(LEFT(Y246,1)="C","Cardiovascular",IF(LEFT(Y246,1)="D","Dermatológico",IF(LEFT(Y246,1)="G","Genitourinario",IF(LEFT(Y246,1)="H","Hormonal",IF(LEFT(Y246,1)="J","Antiinfecciosos",IF(LEFT(Y246,1)="L","Oncológicos",IF(LEFT(Y246,1)="M","Musculoesquelético",IF(LEFT(Y246,1)="N","Sistema nervioso",IF(LEFT(Y246,1)="R","Respiratorio",IF(LEFT(Y246,1)="S","Oftálmico",IF(LEFT(Y246,1)="V","Varios","OTRO")))))))))))))</f>
        <v>Varios</v>
      </c>
      <c r="AM246" t="str">
        <f>IF(AG246="Vigente","ACTIVO",IF(ISNUMBER(SEARCH("Inactivo",J246)),"INACTIVO","REVISAR"))</f>
        <v>ACTIVO</v>
      </c>
      <c r="AN246">
        <f ca="1">IF(OR(AF246="",AF246="null"),"",ROUND((AF246-TODAY())/365.25,2))</f>
        <v>3.36</v>
      </c>
      <c r="AO246" t="str">
        <f ca="1">IF(AND(AG246="Vigente",OR(AF246="",AF246="null",AF246&gt;TODAY())),"SI",IF(AND(NOT(OR(AF246="",AF246="null")),AF246&lt;=TODAY()),"NO",IF(AG246="Vigente","SI","DESCONOCIDO")))</f>
        <v>SI</v>
      </c>
      <c r="AP246" t="str">
        <f>IF(AND(ISNUMBER(SEARCH("IMPORTAR",AA246)),ISNUMBER(SEARCH("FABRICAR",AA246))),"MIXTO",IF(ISNUMBER(SEARCH("IMPORTAR",AA246)),"IMPORTADO",IF(ISNUMBER(SEARCH("FABRICAR",AA246)),"LOCAL","OTRO")))</f>
        <v>LOCAL</v>
      </c>
      <c r="AQ246" t="str">
        <f>IF(AD246="Si","SI",IF(AD246="No","NO",""))</f>
        <v>NO</v>
      </c>
      <c r="AR246" t="str">
        <f>IF(ISNUMBER(SEARCH("®",N246)),"MARCA/INNOVADOR","GENERICO")</f>
        <v>GENERICO</v>
      </c>
      <c r="AS246">
        <f ca="1">IF(AE246&gt;100,RANDBETWEEN(500,5000),IF(AND(AE246&gt;=10,AE246&lt;=100),RANDBETWEEN(100,1000),RANDBETWEEN(10,200)))</f>
        <v>155</v>
      </c>
      <c r="AT246">
        <f t="shared" ca="1" si="17"/>
        <v>17</v>
      </c>
      <c r="AU246">
        <f ca="1">INT(AS246*RANDBETWEEN(120,200)/100)</f>
        <v>310</v>
      </c>
      <c r="AV246" s="2">
        <f ca="1">IF(LEFT(Y246,1)="L",RANDBETWEEN(500000,5000000),IF(LEFT(Y246,1)="C",RANDBETWEEN(5000,50000),IF(LEFT(Y246,1)="N",RANDBETWEEN(10000,150000),IF(LEFT(Y246,1)="J",RANDBETWEEN(8000,200000),RANDBETWEEN(5000,100000)))))</f>
        <v>33589</v>
      </c>
      <c r="AW246" s="2">
        <f ca="1">INT(AV246*RANDBETWEEN(30,60)/100)</f>
        <v>20153</v>
      </c>
      <c r="AX246">
        <f ca="1">IF(Z246="ORAL",RANDBETWEEN(1000,10000),IF(OR(Z246="INTRAVENOSA",Z246="INTRAMUSCULAR"),RANDBETWEEN(100,2000),IF(OR(Z246="OFTÁLMICA",Z246="TOPICA (EXTERNA)"),RANDBETWEEN(200,3000),RANDBETWEEN(100,1500))))</f>
        <v>1356</v>
      </c>
      <c r="AY246" s="2">
        <f ca="1">INT(AV246*RANDBETWEEN(90,130)/100)</f>
        <v>38963</v>
      </c>
      <c r="AZ246" t="str">
        <f t="shared" ca="1" si="18"/>
        <v>6.9%</v>
      </c>
      <c r="BA246" t="str">
        <f t="shared" ca="1" si="19"/>
        <v>MEDIO</v>
      </c>
    </row>
    <row r="247" spans="4:53" x14ac:dyDescent="0.35">
      <c r="D247" t="s">
        <v>1984</v>
      </c>
      <c r="E247" s="1">
        <v>37063</v>
      </c>
      <c r="F247" t="s">
        <v>1985</v>
      </c>
      <c r="G247" t="s">
        <v>108</v>
      </c>
      <c r="H247" t="s">
        <v>334</v>
      </c>
      <c r="I247">
        <v>19917631</v>
      </c>
      <c r="J247" t="s">
        <v>28</v>
      </c>
      <c r="K247">
        <v>2</v>
      </c>
      <c r="L247" t="s">
        <v>27</v>
      </c>
      <c r="M247" t="s">
        <v>1986</v>
      </c>
      <c r="N247" t="s">
        <v>1987</v>
      </c>
      <c r="O247" t="s">
        <v>1988</v>
      </c>
      <c r="P247" t="s">
        <v>33</v>
      </c>
      <c r="Q247" s="1">
        <v>39031</v>
      </c>
      <c r="R247" t="s">
        <v>33</v>
      </c>
      <c r="S247" s="1">
        <v>44696</v>
      </c>
      <c r="T247" t="s">
        <v>320</v>
      </c>
      <c r="U247" t="s">
        <v>115</v>
      </c>
      <c r="V247" t="s">
        <v>1989</v>
      </c>
      <c r="W247">
        <v>100</v>
      </c>
      <c r="X247">
        <v>19917631</v>
      </c>
      <c r="Y247" t="s">
        <v>1990</v>
      </c>
      <c r="Z247" t="s">
        <v>119</v>
      </c>
      <c r="AA247" t="s">
        <v>24</v>
      </c>
      <c r="AB247" t="s">
        <v>120</v>
      </c>
      <c r="AC247" t="s">
        <v>25</v>
      </c>
      <c r="AD247" t="s">
        <v>121</v>
      </c>
      <c r="AE247">
        <v>2</v>
      </c>
      <c r="AF247" t="s">
        <v>27</v>
      </c>
      <c r="AG247" t="s">
        <v>26</v>
      </c>
      <c r="AH247" t="s">
        <v>6640</v>
      </c>
      <c r="AI247" t="str">
        <f t="shared" si="15"/>
        <v>SI</v>
      </c>
      <c r="AJ247" t="str">
        <f t="shared" si="16"/>
        <v>GENFAR</v>
      </c>
      <c r="AK247" t="str">
        <f>IF(ISNUMBER(SEARCH("FABRICANTE",AC247)),"FABRICANTE",IF(ISNUMBER(SEARCH("IMPORTADOR",AC247)),"IMPORTADOR","OTRO"))</f>
        <v>FABRICANTE</v>
      </c>
      <c r="AL247" t="str">
        <f>IF(LEFT(Y247,1)="A","Sistema digestivo",IF(LEFT(Y247,1)="B","Sangre",IF(LEFT(Y247,1)="C","Cardiovascular",IF(LEFT(Y247,1)="D","Dermatológico",IF(LEFT(Y247,1)="G","Genitourinario",IF(LEFT(Y247,1)="H","Hormonal",IF(LEFT(Y247,1)="J","Antiinfecciosos",IF(LEFT(Y247,1)="L","Oncológicos",IF(LEFT(Y247,1)="M","Musculoesquelético",IF(LEFT(Y247,1)="N","Sistema nervioso",IF(LEFT(Y247,1)="R","Respiratorio",IF(LEFT(Y247,1)="S","Oftálmico",IF(LEFT(Y247,1)="V","Varios","OTRO")))))))))))))</f>
        <v>Genitourinario</v>
      </c>
      <c r="AM247" t="str">
        <f>IF(AG247="Vigente","ACTIVO",IF(ISNUMBER(SEARCH("Inactivo",J247)),"INACTIVO","REVISAR"))</f>
        <v>ACTIVO</v>
      </c>
      <c r="AN247" t="str">
        <f ca="1">IF(OR(AF247="",AF247="null"),"",ROUND((AF247-TODAY())/365.25,2))</f>
        <v/>
      </c>
      <c r="AO247" t="str">
        <f ca="1">IF(AND(AG247="Vigente",OR(AF247="",AF247="null",AF247&gt;TODAY())),"SI",IF(AND(NOT(OR(AF247="",AF247="null")),AF247&lt;=TODAY()),"NO",IF(AG247="Vigente","SI","DESCONOCIDO")))</f>
        <v>SI</v>
      </c>
      <c r="AP247" t="str">
        <f>IF(AND(ISNUMBER(SEARCH("IMPORTAR",AA247)),ISNUMBER(SEARCH("FABRICAR",AA247))),"MIXTO",IF(ISNUMBER(SEARCH("IMPORTAR",AA247)),"IMPORTADO",IF(ISNUMBER(SEARCH("FABRICAR",AA247)),"LOCAL","OTRO")))</f>
        <v>LOCAL</v>
      </c>
      <c r="AQ247" t="str">
        <f>IF(AD247="Si","SI",IF(AD247="No","NO",""))</f>
        <v>NO</v>
      </c>
      <c r="AR247" t="str">
        <f>IF(ISNUMBER(SEARCH("®",N247)),"MARCA/INNOVADOR","GENERICO")</f>
        <v>GENERICO</v>
      </c>
      <c r="AS247">
        <f ca="1">IF(AE247&gt;100,RANDBETWEEN(500,5000),IF(AND(AE247&gt;=10,AE247&lt;=100),RANDBETWEEN(100,1000),RANDBETWEEN(10,200)))</f>
        <v>107</v>
      </c>
      <c r="AT247">
        <f t="shared" ca="1" si="17"/>
        <v>21</v>
      </c>
      <c r="AU247">
        <f ca="1">INT(AS247*RANDBETWEEN(120,200)/100)</f>
        <v>160</v>
      </c>
      <c r="AV247" s="2">
        <f ca="1">IF(LEFT(Y247,1)="L",RANDBETWEEN(500000,5000000),IF(LEFT(Y247,1)="C",RANDBETWEEN(5000,50000),IF(LEFT(Y247,1)="N",RANDBETWEEN(10000,150000),IF(LEFT(Y247,1)="J",RANDBETWEEN(8000,200000),RANDBETWEEN(5000,100000)))))</f>
        <v>63480</v>
      </c>
      <c r="AW247" s="2">
        <f ca="1">INT(AV247*RANDBETWEEN(30,60)/100)</f>
        <v>31105</v>
      </c>
      <c r="AX247">
        <f ca="1">IF(Z247="ORAL",RANDBETWEEN(1000,10000),IF(OR(Z247="INTRAVENOSA",Z247="INTRAMUSCULAR"),RANDBETWEEN(100,2000),IF(OR(Z247="OFTÁLMICA",Z247="TOPICA (EXTERNA)"),RANDBETWEEN(200,3000),RANDBETWEEN(100,1500))))</f>
        <v>6616</v>
      </c>
      <c r="AY247" s="2">
        <f ca="1">INT(AV247*RANDBETWEEN(90,130)/100)</f>
        <v>71097</v>
      </c>
      <c r="AZ247" t="str">
        <f t="shared" ca="1" si="18"/>
        <v>9.7%</v>
      </c>
      <c r="BA247" t="str">
        <f t="shared" ca="1" si="19"/>
        <v>BAJO</v>
      </c>
    </row>
    <row r="248" spans="4:53" x14ac:dyDescent="0.35">
      <c r="D248" t="s">
        <v>1991</v>
      </c>
      <c r="E248" s="1">
        <v>40851</v>
      </c>
      <c r="F248" t="s">
        <v>1992</v>
      </c>
      <c r="G248" t="s">
        <v>108</v>
      </c>
      <c r="H248" t="s">
        <v>168</v>
      </c>
      <c r="I248">
        <v>20030113</v>
      </c>
      <c r="J248" t="s">
        <v>28</v>
      </c>
      <c r="K248">
        <v>1</v>
      </c>
      <c r="L248" t="s">
        <v>27</v>
      </c>
      <c r="M248" t="s">
        <v>1993</v>
      </c>
      <c r="N248" t="s">
        <v>1994</v>
      </c>
      <c r="O248" t="s">
        <v>1995</v>
      </c>
      <c r="P248" t="s">
        <v>659</v>
      </c>
      <c r="Q248" s="1">
        <v>40693</v>
      </c>
      <c r="R248" t="s">
        <v>37</v>
      </c>
      <c r="S248" t="s">
        <v>27</v>
      </c>
      <c r="T248" t="s">
        <v>172</v>
      </c>
      <c r="U248" t="s">
        <v>115</v>
      </c>
      <c r="V248" t="s">
        <v>585</v>
      </c>
      <c r="W248">
        <v>20</v>
      </c>
      <c r="X248">
        <v>20030113</v>
      </c>
      <c r="Y248" t="s">
        <v>586</v>
      </c>
      <c r="Z248" t="s">
        <v>119</v>
      </c>
      <c r="AA248" t="s">
        <v>24</v>
      </c>
      <c r="AB248" t="s">
        <v>120</v>
      </c>
      <c r="AC248" t="s">
        <v>25</v>
      </c>
      <c r="AD248" t="s">
        <v>121</v>
      </c>
      <c r="AE248">
        <v>10</v>
      </c>
      <c r="AF248" t="s">
        <v>27</v>
      </c>
      <c r="AG248" t="s">
        <v>26</v>
      </c>
      <c r="AH248" t="s">
        <v>585</v>
      </c>
      <c r="AI248" t="str">
        <f t="shared" si="15"/>
        <v>NO</v>
      </c>
      <c r="AJ248" t="str">
        <f t="shared" si="16"/>
        <v>NOVAMED</v>
      </c>
      <c r="AK248" t="str">
        <f>IF(ISNUMBER(SEARCH("FABRICANTE",AC248)),"FABRICANTE",IF(ISNUMBER(SEARCH("IMPORTADOR",AC248)),"IMPORTADOR","OTRO"))</f>
        <v>FABRICANTE</v>
      </c>
      <c r="AL248" t="str">
        <f>IF(LEFT(Y248,1)="A","Sistema digestivo",IF(LEFT(Y248,1)="B","Sangre",IF(LEFT(Y248,1)="C","Cardiovascular",IF(LEFT(Y248,1)="D","Dermatológico",IF(LEFT(Y248,1)="G","Genitourinario",IF(LEFT(Y248,1)="H","Hormonal",IF(LEFT(Y248,1)="J","Antiinfecciosos",IF(LEFT(Y248,1)="L","Oncológicos",IF(LEFT(Y248,1)="M","Musculoesquelético",IF(LEFT(Y248,1)="N","Sistema nervioso",IF(LEFT(Y248,1)="R","Respiratorio",IF(LEFT(Y248,1)="S","Oftálmico",IF(LEFT(Y248,1)="V","Varios","OTRO")))))))))))))</f>
        <v>Sistema digestivo</v>
      </c>
      <c r="AM248" t="str">
        <f>IF(AG248="Vigente","ACTIVO",IF(ISNUMBER(SEARCH("Inactivo",J248)),"INACTIVO","REVISAR"))</f>
        <v>ACTIVO</v>
      </c>
      <c r="AN248" t="str">
        <f ca="1">IF(OR(AF248="",AF248="null"),"",ROUND((AF248-TODAY())/365.25,2))</f>
        <v/>
      </c>
      <c r="AO248" t="str">
        <f ca="1">IF(AND(AG248="Vigente",OR(AF248="",AF248="null",AF248&gt;TODAY())),"SI",IF(AND(NOT(OR(AF248="",AF248="null")),AF248&lt;=TODAY()),"NO",IF(AG248="Vigente","SI","DESCONOCIDO")))</f>
        <v>SI</v>
      </c>
      <c r="AP248" t="str">
        <f>IF(AND(ISNUMBER(SEARCH("IMPORTAR",AA248)),ISNUMBER(SEARCH("FABRICAR",AA248))),"MIXTO",IF(ISNUMBER(SEARCH("IMPORTAR",AA248)),"IMPORTADO",IF(ISNUMBER(SEARCH("FABRICAR",AA248)),"LOCAL","OTRO")))</f>
        <v>LOCAL</v>
      </c>
      <c r="AQ248" t="str">
        <f>IF(AD248="Si","SI",IF(AD248="No","NO",""))</f>
        <v>NO</v>
      </c>
      <c r="AR248" t="str">
        <f>IF(ISNUMBER(SEARCH("®",N248)),"MARCA/INNOVADOR","GENERICO")</f>
        <v>MARCA/INNOVADOR</v>
      </c>
      <c r="AS248">
        <f ca="1">IF(AE248&gt;100,RANDBETWEEN(500,5000),IF(AND(AE248&gt;=10,AE248&lt;=100),RANDBETWEEN(100,1000),RANDBETWEEN(10,200)))</f>
        <v>198</v>
      </c>
      <c r="AT248">
        <f t="shared" ca="1" si="17"/>
        <v>47</v>
      </c>
      <c r="AU248">
        <f ca="1">INT(AS248*RANDBETWEEN(120,200)/100)</f>
        <v>342</v>
      </c>
      <c r="AV248" s="2">
        <f ca="1">IF(LEFT(Y248,1)="L",RANDBETWEEN(500000,5000000),IF(LEFT(Y248,1)="C",RANDBETWEEN(5000,50000),IF(LEFT(Y248,1)="N",RANDBETWEEN(10000,150000),IF(LEFT(Y248,1)="J",RANDBETWEEN(8000,200000),RANDBETWEEN(5000,100000)))))</f>
        <v>50168</v>
      </c>
      <c r="AW248" s="2">
        <f ca="1">INT(AV248*RANDBETWEEN(30,60)/100)</f>
        <v>26589</v>
      </c>
      <c r="AX248">
        <f ca="1">IF(Z248="ORAL",RANDBETWEEN(1000,10000),IF(OR(Z248="INTRAVENOSA",Z248="INTRAMUSCULAR"),RANDBETWEEN(100,2000),IF(OR(Z248="OFTÁLMICA",Z248="TOPICA (EXTERNA)"),RANDBETWEEN(200,3000),RANDBETWEEN(100,1500))))</f>
        <v>7806</v>
      </c>
      <c r="AY248" s="2">
        <f ca="1">INT(AV248*RANDBETWEEN(90,130)/100)</f>
        <v>60703</v>
      </c>
      <c r="AZ248" t="str">
        <f t="shared" ca="1" si="18"/>
        <v>23.3%</v>
      </c>
      <c r="BA248" t="str">
        <f t="shared" ca="1" si="19"/>
        <v>BAJO</v>
      </c>
    </row>
    <row r="249" spans="4:53" x14ac:dyDescent="0.35">
      <c r="D249" t="s">
        <v>1996</v>
      </c>
      <c r="E249" s="1">
        <v>45264</v>
      </c>
      <c r="F249" t="s">
        <v>588</v>
      </c>
      <c r="G249" t="s">
        <v>108</v>
      </c>
      <c r="H249" t="s">
        <v>589</v>
      </c>
      <c r="I249">
        <v>20209565</v>
      </c>
      <c r="J249" t="s">
        <v>28</v>
      </c>
      <c r="K249">
        <v>1</v>
      </c>
      <c r="L249" t="s">
        <v>27</v>
      </c>
      <c r="M249" t="s">
        <v>590</v>
      </c>
      <c r="N249" t="s">
        <v>591</v>
      </c>
      <c r="O249" t="s">
        <v>1997</v>
      </c>
      <c r="P249" t="s">
        <v>234</v>
      </c>
      <c r="Q249" s="1">
        <v>44452</v>
      </c>
      <c r="R249" t="s">
        <v>50</v>
      </c>
      <c r="S249" t="s">
        <v>27</v>
      </c>
      <c r="T249" t="s">
        <v>589</v>
      </c>
      <c r="U249" t="s">
        <v>115</v>
      </c>
      <c r="V249" t="s">
        <v>588</v>
      </c>
      <c r="W249">
        <v>5</v>
      </c>
      <c r="X249">
        <v>20209565</v>
      </c>
      <c r="Y249" t="s">
        <v>593</v>
      </c>
      <c r="Z249" t="s">
        <v>260</v>
      </c>
      <c r="AA249" t="s">
        <v>32</v>
      </c>
      <c r="AB249" t="s">
        <v>120</v>
      </c>
      <c r="AC249" t="s">
        <v>25</v>
      </c>
      <c r="AD249" t="s">
        <v>121</v>
      </c>
      <c r="AE249">
        <v>50</v>
      </c>
      <c r="AF249" s="1">
        <v>401769</v>
      </c>
      <c r="AG249" t="s">
        <v>26</v>
      </c>
      <c r="AH249" t="s">
        <v>588</v>
      </c>
      <c r="AI249" t="str">
        <f t="shared" si="15"/>
        <v>NO</v>
      </c>
      <c r="AJ249" t="str">
        <f t="shared" si="16"/>
        <v>LABORATORIOS SERRA PAMIES</v>
      </c>
      <c r="AK249" t="str">
        <f>IF(ISNUMBER(SEARCH("FABRICANTE",AC249)),"FABRICANTE",IF(ISNUMBER(SEARCH("IMPORTADOR",AC249)),"IMPORTADOR","OTRO"))</f>
        <v>FABRICANTE</v>
      </c>
      <c r="AL249" t="str">
        <f>IF(LEFT(Y249,1)="A","Sistema digestivo",IF(LEFT(Y249,1)="B","Sangre",IF(LEFT(Y249,1)="C","Cardiovascular",IF(LEFT(Y249,1)="D","Dermatológico",IF(LEFT(Y249,1)="G","Genitourinario",IF(LEFT(Y249,1)="H","Hormonal",IF(LEFT(Y249,1)="J","Antiinfecciosos",IF(LEFT(Y249,1)="L","Oncológicos",IF(LEFT(Y249,1)="M","Musculoesquelético",IF(LEFT(Y249,1)="N","Sistema nervioso",IF(LEFT(Y249,1)="R","Respiratorio",IF(LEFT(Y249,1)="S","Oftálmico",IF(LEFT(Y249,1)="V","Varios","OTRO")))))))))))))</f>
        <v>Sistema nervioso</v>
      </c>
      <c r="AM249" t="str">
        <f>IF(AG249="Vigente","ACTIVO",IF(ISNUMBER(SEARCH("Inactivo",J249)),"INACTIVO","REVISAR"))</f>
        <v>ACTIVO</v>
      </c>
      <c r="AN249">
        <f ca="1">IF(OR(AF249="",AF249="null"),"",ROUND((AF249-TODAY())/365.25,2))</f>
        <v>973.58</v>
      </c>
      <c r="AO249" t="str">
        <f ca="1">IF(AND(AG249="Vigente",OR(AF249="",AF249="null",AF249&gt;TODAY())),"SI",IF(AND(NOT(OR(AF249="",AF249="null")),AF249&lt;=TODAY()),"NO",IF(AG249="Vigente","SI","DESCONOCIDO")))</f>
        <v>SI</v>
      </c>
      <c r="AP249" t="str">
        <f>IF(AND(ISNUMBER(SEARCH("IMPORTAR",AA249)),ISNUMBER(SEARCH("FABRICAR",AA249))),"MIXTO",IF(ISNUMBER(SEARCH("IMPORTAR",AA249)),"IMPORTADO",IF(ISNUMBER(SEARCH("FABRICAR",AA249)),"LOCAL","OTRO")))</f>
        <v>IMPORTADO</v>
      </c>
      <c r="AQ249" t="str">
        <f>IF(AD249="Si","SI",IF(AD249="No","NO",""))</f>
        <v>NO</v>
      </c>
      <c r="AR249" t="str">
        <f>IF(ISNUMBER(SEARCH("®",N249)),"MARCA/INNOVADOR","GENERICO")</f>
        <v>GENERICO</v>
      </c>
      <c r="AS249">
        <f ca="1">IF(AE249&gt;100,RANDBETWEEN(500,5000),IF(AND(AE249&gt;=10,AE249&lt;=100),RANDBETWEEN(100,1000),RANDBETWEEN(10,200)))</f>
        <v>295</v>
      </c>
      <c r="AT249">
        <f t="shared" ca="1" si="17"/>
        <v>67</v>
      </c>
      <c r="AU249">
        <f ca="1">INT(AS249*RANDBETWEEN(120,200)/100)</f>
        <v>398</v>
      </c>
      <c r="AV249" s="2">
        <f ca="1">IF(LEFT(Y249,1)="L",RANDBETWEEN(500000,5000000),IF(LEFT(Y249,1)="C",RANDBETWEEN(5000,50000),IF(LEFT(Y249,1)="N",RANDBETWEEN(10000,150000),IF(LEFT(Y249,1)="J",RANDBETWEEN(8000,200000),RANDBETWEEN(5000,100000)))))</f>
        <v>14634</v>
      </c>
      <c r="AW249" s="2">
        <f ca="1">INT(AV249*RANDBETWEEN(30,60)/100)</f>
        <v>5560</v>
      </c>
      <c r="AX249">
        <f ca="1">IF(Z249="ORAL",RANDBETWEEN(1000,10000),IF(OR(Z249="INTRAVENOSA",Z249="INTRAMUSCULAR"),RANDBETWEEN(100,2000),IF(OR(Z249="OFTÁLMICA",Z249="TOPICA (EXTERNA)"),RANDBETWEEN(200,3000),RANDBETWEEN(100,1500))))</f>
        <v>1545</v>
      </c>
      <c r="AY249" s="2">
        <f ca="1">INT(AV249*RANDBETWEEN(90,130)/100)</f>
        <v>18585</v>
      </c>
      <c r="AZ249" t="str">
        <f t="shared" ca="1" si="18"/>
        <v>2.9%</v>
      </c>
      <c r="BA249" t="str">
        <f t="shared" ca="1" si="19"/>
        <v>BAJO</v>
      </c>
    </row>
    <row r="250" spans="4:53" x14ac:dyDescent="0.35">
      <c r="D250" t="s">
        <v>1998</v>
      </c>
      <c r="E250" s="1">
        <v>42202</v>
      </c>
      <c r="F250" t="s">
        <v>856</v>
      </c>
      <c r="G250" t="s">
        <v>108</v>
      </c>
      <c r="H250" t="s">
        <v>80</v>
      </c>
      <c r="I250">
        <v>20078742</v>
      </c>
      <c r="J250" t="s">
        <v>28</v>
      </c>
      <c r="K250">
        <v>29</v>
      </c>
      <c r="L250" t="s">
        <v>27</v>
      </c>
      <c r="M250" t="s">
        <v>419</v>
      </c>
      <c r="N250" t="s">
        <v>420</v>
      </c>
      <c r="O250" t="s">
        <v>1999</v>
      </c>
      <c r="P250" t="s">
        <v>422</v>
      </c>
      <c r="Q250" s="1">
        <v>42200</v>
      </c>
      <c r="R250" t="s">
        <v>423</v>
      </c>
      <c r="S250" t="s">
        <v>27</v>
      </c>
      <c r="T250" t="s">
        <v>80</v>
      </c>
      <c r="U250" t="s">
        <v>115</v>
      </c>
      <c r="V250" t="s">
        <v>424</v>
      </c>
      <c r="W250">
        <v>10</v>
      </c>
      <c r="X250">
        <v>20078742</v>
      </c>
      <c r="Y250" t="s">
        <v>425</v>
      </c>
      <c r="Z250" t="s">
        <v>119</v>
      </c>
      <c r="AA250" t="s">
        <v>165</v>
      </c>
      <c r="AB250" t="s">
        <v>120</v>
      </c>
      <c r="AC250" t="s">
        <v>38</v>
      </c>
      <c r="AD250" t="s">
        <v>155</v>
      </c>
      <c r="AE250">
        <v>3</v>
      </c>
      <c r="AF250" t="s">
        <v>27</v>
      </c>
      <c r="AG250" t="s">
        <v>26</v>
      </c>
      <c r="AH250" t="s">
        <v>6739</v>
      </c>
      <c r="AI250" t="str">
        <f t="shared" si="15"/>
        <v>NO</v>
      </c>
      <c r="AJ250" t="str">
        <f t="shared" si="16"/>
        <v>TECNOQUIMICAS</v>
      </c>
      <c r="AK250" t="str">
        <f>IF(ISNUMBER(SEARCH("FABRICANTE",AC250)),"FABRICANTE",IF(ISNUMBER(SEARCH("IMPORTADOR",AC250)),"IMPORTADOR","OTRO"))</f>
        <v>IMPORTADOR</v>
      </c>
      <c r="AL250" t="str">
        <f>IF(LEFT(Y250,1)="A","Sistema digestivo",IF(LEFT(Y250,1)="B","Sangre",IF(LEFT(Y250,1)="C","Cardiovascular",IF(LEFT(Y250,1)="D","Dermatológico",IF(LEFT(Y250,1)="G","Genitourinario",IF(LEFT(Y250,1)="H","Hormonal",IF(LEFT(Y250,1)="J","Antiinfecciosos",IF(LEFT(Y250,1)="L","Oncológicos",IF(LEFT(Y250,1)="M","Musculoesquelético",IF(LEFT(Y250,1)="N","Sistema nervioso",IF(LEFT(Y250,1)="R","Respiratorio",IF(LEFT(Y250,1)="S","Oftálmico",IF(LEFT(Y250,1)="V","Varios","OTRO")))))))))))))</f>
        <v>Sistema nervioso</v>
      </c>
      <c r="AM250" t="str">
        <f>IF(AG250="Vigente","ACTIVO",IF(ISNUMBER(SEARCH("Inactivo",J250)),"INACTIVO","REVISAR"))</f>
        <v>ACTIVO</v>
      </c>
      <c r="AN250" t="str">
        <f ca="1">IF(OR(AF250="",AF250="null"),"",ROUND((AF250-TODAY())/365.25,2))</f>
        <v/>
      </c>
      <c r="AO250" t="str">
        <f ca="1">IF(AND(AG250="Vigente",OR(AF250="",AF250="null",AF250&gt;TODAY())),"SI",IF(AND(NOT(OR(AF250="",AF250="null")),AF250&lt;=TODAY()),"NO",IF(AG250="Vigente","SI","DESCONOCIDO")))</f>
        <v>SI</v>
      </c>
      <c r="AP250" t="str">
        <f>IF(AND(ISNUMBER(SEARCH("IMPORTAR",AA250)),ISNUMBER(SEARCH("FABRICAR",AA250))),"MIXTO",IF(ISNUMBER(SEARCH("IMPORTAR",AA250)),"IMPORTADO",IF(ISNUMBER(SEARCH("FABRICAR",AA250)),"LOCAL","OTRO")))</f>
        <v>IMPORTADO</v>
      </c>
      <c r="AQ250" t="str">
        <f>IF(AD250="Si","SI",IF(AD250="No","NO",""))</f>
        <v>SI</v>
      </c>
      <c r="AR250" t="str">
        <f>IF(ISNUMBER(SEARCH("®",N250)),"MARCA/INNOVADOR","GENERICO")</f>
        <v>MARCA/INNOVADOR</v>
      </c>
      <c r="AS250">
        <f ca="1">IF(AE250&gt;100,RANDBETWEEN(500,5000),IF(AND(AE250&gt;=10,AE250&lt;=100),RANDBETWEEN(100,1000),RANDBETWEEN(10,200)))</f>
        <v>188</v>
      </c>
      <c r="AT250">
        <f t="shared" ca="1" si="17"/>
        <v>28</v>
      </c>
      <c r="AU250">
        <f ca="1">INT(AS250*RANDBETWEEN(120,200)/100)</f>
        <v>347</v>
      </c>
      <c r="AV250" s="2">
        <f ca="1">IF(LEFT(Y250,1)="L",RANDBETWEEN(500000,5000000),IF(LEFT(Y250,1)="C",RANDBETWEEN(5000,50000),IF(LEFT(Y250,1)="N",RANDBETWEEN(10000,150000),IF(LEFT(Y250,1)="J",RANDBETWEEN(8000,200000),RANDBETWEEN(5000,100000)))))</f>
        <v>13745</v>
      </c>
      <c r="AW250" s="2">
        <f ca="1">INT(AV250*RANDBETWEEN(30,60)/100)</f>
        <v>4123</v>
      </c>
      <c r="AX250">
        <f ca="1">IF(Z250="ORAL",RANDBETWEEN(1000,10000),IF(OR(Z250="INTRAVENOSA",Z250="INTRAMUSCULAR"),RANDBETWEEN(100,2000),IF(OR(Z250="OFTÁLMICA",Z250="TOPICA (EXTERNA)"),RANDBETWEEN(200,3000),RANDBETWEEN(100,1500))))</f>
        <v>8772</v>
      </c>
      <c r="AY250" s="2">
        <f ca="1">INT(AV250*RANDBETWEEN(90,130)/100)</f>
        <v>15806</v>
      </c>
      <c r="AZ250" t="str">
        <f t="shared" ca="1" si="18"/>
        <v>12.4%</v>
      </c>
      <c r="BA250" t="str">
        <f t="shared" ca="1" si="19"/>
        <v>BAJO</v>
      </c>
    </row>
    <row r="251" spans="4:53" x14ac:dyDescent="0.35">
      <c r="D251" t="s">
        <v>2000</v>
      </c>
      <c r="E251" s="1">
        <v>42017</v>
      </c>
      <c r="F251" t="s">
        <v>2001</v>
      </c>
      <c r="G251" t="s">
        <v>108</v>
      </c>
      <c r="H251" t="s">
        <v>2002</v>
      </c>
      <c r="I251">
        <v>20066788</v>
      </c>
      <c r="J251" t="s">
        <v>28</v>
      </c>
      <c r="K251">
        <v>1</v>
      </c>
      <c r="L251" t="s">
        <v>27</v>
      </c>
      <c r="M251" t="s">
        <v>2003</v>
      </c>
      <c r="N251" t="s">
        <v>2004</v>
      </c>
      <c r="O251" t="s">
        <v>2005</v>
      </c>
      <c r="P251" t="s">
        <v>2006</v>
      </c>
      <c r="Q251" s="1">
        <v>41739</v>
      </c>
      <c r="R251" t="s">
        <v>50</v>
      </c>
      <c r="S251" s="1">
        <v>43864</v>
      </c>
      <c r="T251" t="s">
        <v>2007</v>
      </c>
      <c r="U251" t="s">
        <v>115</v>
      </c>
      <c r="V251" t="s">
        <v>2001</v>
      </c>
      <c r="W251">
        <v>500</v>
      </c>
      <c r="X251">
        <v>20066788</v>
      </c>
      <c r="Y251" t="s">
        <v>2008</v>
      </c>
      <c r="Z251" t="s">
        <v>260</v>
      </c>
      <c r="AA251" t="s">
        <v>32</v>
      </c>
      <c r="AB251" t="s">
        <v>120</v>
      </c>
      <c r="AC251" t="s">
        <v>25</v>
      </c>
      <c r="AD251" t="s">
        <v>121</v>
      </c>
      <c r="AE251">
        <v>1</v>
      </c>
      <c r="AF251" s="1">
        <v>401769</v>
      </c>
      <c r="AG251" t="s">
        <v>26</v>
      </c>
      <c r="AH251" t="s">
        <v>2001</v>
      </c>
      <c r="AI251" t="str">
        <f t="shared" si="15"/>
        <v>NO</v>
      </c>
      <c r="AJ251" t="str">
        <f t="shared" si="16"/>
        <v>ROPSOHN THERAPEUTICS</v>
      </c>
      <c r="AK251" t="str">
        <f>IF(ISNUMBER(SEARCH("FABRICANTE",AC251)),"FABRICANTE",IF(ISNUMBER(SEARCH("IMPORTADOR",AC251)),"IMPORTADOR","OTRO"))</f>
        <v>FABRICANTE</v>
      </c>
      <c r="AL251" t="str">
        <f>IF(LEFT(Y251,1)="A","Sistema digestivo",IF(LEFT(Y251,1)="B","Sangre",IF(LEFT(Y251,1)="C","Cardiovascular",IF(LEFT(Y251,1)="D","Dermatológico",IF(LEFT(Y251,1)="G","Genitourinario",IF(LEFT(Y251,1)="H","Hormonal",IF(LEFT(Y251,1)="J","Antiinfecciosos",IF(LEFT(Y251,1)="L","Oncológicos",IF(LEFT(Y251,1)="M","Musculoesquelético",IF(LEFT(Y251,1)="N","Sistema nervioso",IF(LEFT(Y251,1)="R","Respiratorio",IF(LEFT(Y251,1)="S","Oftálmico",IF(LEFT(Y251,1)="V","Varios","OTRO")))))))))))))</f>
        <v>Oncológicos</v>
      </c>
      <c r="AM251" t="str">
        <f>IF(AG251="Vigente","ACTIVO",IF(ISNUMBER(SEARCH("Inactivo",J251)),"INACTIVO","REVISAR"))</f>
        <v>ACTIVO</v>
      </c>
      <c r="AN251">
        <f ca="1">IF(OR(AF251="",AF251="null"),"",ROUND((AF251-TODAY())/365.25,2))</f>
        <v>973.58</v>
      </c>
      <c r="AO251" t="str">
        <f ca="1">IF(AND(AG251="Vigente",OR(AF251="",AF251="null",AF251&gt;TODAY())),"SI",IF(AND(NOT(OR(AF251="",AF251="null")),AF251&lt;=TODAY()),"NO",IF(AG251="Vigente","SI","DESCONOCIDO")))</f>
        <v>SI</v>
      </c>
      <c r="AP251" t="str">
        <f>IF(AND(ISNUMBER(SEARCH("IMPORTAR",AA251)),ISNUMBER(SEARCH("FABRICAR",AA251))),"MIXTO",IF(ISNUMBER(SEARCH("IMPORTAR",AA251)),"IMPORTADO",IF(ISNUMBER(SEARCH("FABRICAR",AA251)),"LOCAL","OTRO")))</f>
        <v>IMPORTADO</v>
      </c>
      <c r="AQ251" t="str">
        <f>IF(AD251="Si","SI",IF(AD251="No","NO",""))</f>
        <v>NO</v>
      </c>
      <c r="AR251" t="str">
        <f>IF(ISNUMBER(SEARCH("®",N251)),"MARCA/INNOVADOR","GENERICO")</f>
        <v>GENERICO</v>
      </c>
      <c r="AS251">
        <f ca="1">IF(AE251&gt;100,RANDBETWEEN(500,5000),IF(AND(AE251&gt;=10,AE251&lt;=100),RANDBETWEEN(100,1000),RANDBETWEEN(10,200)))</f>
        <v>176</v>
      </c>
      <c r="AT251">
        <f t="shared" ca="1" si="17"/>
        <v>42</v>
      </c>
      <c r="AU251">
        <f ca="1">INT(AS251*RANDBETWEEN(120,200)/100)</f>
        <v>337</v>
      </c>
      <c r="AV251" s="2">
        <f ca="1">IF(LEFT(Y251,1)="L",RANDBETWEEN(500000,5000000),IF(LEFT(Y251,1)="C",RANDBETWEEN(5000,50000),IF(LEFT(Y251,1)="N",RANDBETWEEN(10000,150000),IF(LEFT(Y251,1)="J",RANDBETWEEN(8000,200000),RANDBETWEEN(5000,100000)))))</f>
        <v>3044436</v>
      </c>
      <c r="AW251" s="2">
        <f ca="1">INT(AV251*RANDBETWEEN(30,60)/100)</f>
        <v>1552662</v>
      </c>
      <c r="AX251">
        <f ca="1">IF(Z251="ORAL",RANDBETWEEN(1000,10000),IF(OR(Z251="INTRAVENOSA",Z251="INTRAMUSCULAR"),RANDBETWEEN(100,2000),IF(OR(Z251="OFTÁLMICA",Z251="TOPICA (EXTERNA)"),RANDBETWEEN(200,3000),RANDBETWEEN(100,1500))))</f>
        <v>275</v>
      </c>
      <c r="AY251" s="2">
        <f ca="1">INT(AV251*RANDBETWEEN(90,130)/100)</f>
        <v>3592434</v>
      </c>
      <c r="AZ251" t="str">
        <f t="shared" ca="1" si="18"/>
        <v>1.7%</v>
      </c>
      <c r="BA251" t="str">
        <f t="shared" ca="1" si="19"/>
        <v>BAJO</v>
      </c>
    </row>
    <row r="252" spans="4:53" x14ac:dyDescent="0.35">
      <c r="D252" t="s">
        <v>2009</v>
      </c>
      <c r="E252" s="1">
        <v>41410</v>
      </c>
      <c r="F252" t="s">
        <v>2010</v>
      </c>
      <c r="G252" t="s">
        <v>108</v>
      </c>
      <c r="H252" t="s">
        <v>83</v>
      </c>
      <c r="I252">
        <v>20050890</v>
      </c>
      <c r="J252" t="s">
        <v>28</v>
      </c>
      <c r="K252">
        <v>4</v>
      </c>
      <c r="L252" t="s">
        <v>27</v>
      </c>
      <c r="M252" t="s">
        <v>2011</v>
      </c>
      <c r="N252" t="s">
        <v>2012</v>
      </c>
      <c r="O252" t="s">
        <v>2013</v>
      </c>
      <c r="P252" t="s">
        <v>33</v>
      </c>
      <c r="Q252" s="1">
        <v>44426</v>
      </c>
      <c r="R252" t="s">
        <v>33</v>
      </c>
      <c r="S252" t="s">
        <v>27</v>
      </c>
      <c r="T252" t="s">
        <v>83</v>
      </c>
      <c r="U252" t="s">
        <v>115</v>
      </c>
      <c r="V252" t="s">
        <v>1583</v>
      </c>
      <c r="W252">
        <v>80</v>
      </c>
      <c r="X252">
        <v>20050890</v>
      </c>
      <c r="Y252" t="s">
        <v>1584</v>
      </c>
      <c r="Z252" t="s">
        <v>119</v>
      </c>
      <c r="AA252" t="s">
        <v>24</v>
      </c>
      <c r="AB252" t="s">
        <v>120</v>
      </c>
      <c r="AC252" t="s">
        <v>25</v>
      </c>
      <c r="AD252" t="s">
        <v>121</v>
      </c>
      <c r="AE252">
        <v>10</v>
      </c>
      <c r="AF252" t="s">
        <v>27</v>
      </c>
      <c r="AG252" t="s">
        <v>26</v>
      </c>
      <c r="AH252" t="s">
        <v>6755</v>
      </c>
      <c r="AI252" t="str">
        <f t="shared" si="15"/>
        <v>SI</v>
      </c>
      <c r="AJ252" t="str">
        <f t="shared" si="16"/>
        <v>LABORATORIOS LA SANTÉ</v>
      </c>
      <c r="AK252" t="str">
        <f>IF(ISNUMBER(SEARCH("FABRICANTE",AC252)),"FABRICANTE",IF(ISNUMBER(SEARCH("IMPORTADOR",AC252)),"IMPORTADOR","OTRO"))</f>
        <v>FABRICANTE</v>
      </c>
      <c r="AL252" t="str">
        <f>IF(LEFT(Y252,1)="A","Sistema digestivo",IF(LEFT(Y252,1)="B","Sangre",IF(LEFT(Y252,1)="C","Cardiovascular",IF(LEFT(Y252,1)="D","Dermatológico",IF(LEFT(Y252,1)="G","Genitourinario",IF(LEFT(Y252,1)="H","Hormonal",IF(LEFT(Y252,1)="J","Antiinfecciosos",IF(LEFT(Y252,1)="L","Oncológicos",IF(LEFT(Y252,1)="M","Musculoesquelético",IF(LEFT(Y252,1)="N","Sistema nervioso",IF(LEFT(Y252,1)="R","Respiratorio",IF(LEFT(Y252,1)="S","Oftálmico",IF(LEFT(Y252,1)="V","Varios","OTRO")))))))))))))</f>
        <v>Cardiovascular</v>
      </c>
      <c r="AM252" t="str">
        <f>IF(AG252="Vigente","ACTIVO",IF(ISNUMBER(SEARCH("Inactivo",J252)),"INACTIVO","REVISAR"))</f>
        <v>ACTIVO</v>
      </c>
      <c r="AN252" t="str">
        <f ca="1">IF(OR(AF252="",AF252="null"),"",ROUND((AF252-TODAY())/365.25,2))</f>
        <v/>
      </c>
      <c r="AO252" t="str">
        <f ca="1">IF(AND(AG252="Vigente",OR(AF252="",AF252="null",AF252&gt;TODAY())),"SI",IF(AND(NOT(OR(AF252="",AF252="null")),AF252&lt;=TODAY()),"NO",IF(AG252="Vigente","SI","DESCONOCIDO")))</f>
        <v>SI</v>
      </c>
      <c r="AP252" t="str">
        <f>IF(AND(ISNUMBER(SEARCH("IMPORTAR",AA252)),ISNUMBER(SEARCH("FABRICAR",AA252))),"MIXTO",IF(ISNUMBER(SEARCH("IMPORTAR",AA252)),"IMPORTADO",IF(ISNUMBER(SEARCH("FABRICAR",AA252)),"LOCAL","OTRO")))</f>
        <v>LOCAL</v>
      </c>
      <c r="AQ252" t="str">
        <f>IF(AD252="Si","SI",IF(AD252="No","NO",""))</f>
        <v>NO</v>
      </c>
      <c r="AR252" t="str">
        <f>IF(ISNUMBER(SEARCH("®",N252)),"MARCA/INNOVADOR","GENERICO")</f>
        <v>GENERICO</v>
      </c>
      <c r="AS252">
        <f ca="1">IF(AE252&gt;100,RANDBETWEEN(500,5000),IF(AND(AE252&gt;=10,AE252&lt;=100),RANDBETWEEN(100,1000),RANDBETWEEN(10,200)))</f>
        <v>346</v>
      </c>
      <c r="AT252">
        <f t="shared" ca="1" si="17"/>
        <v>58</v>
      </c>
      <c r="AU252">
        <f ca="1">INT(AS252*RANDBETWEEN(120,200)/100)</f>
        <v>508</v>
      </c>
      <c r="AV252" s="2">
        <f ca="1">IF(LEFT(Y252,1)="L",RANDBETWEEN(500000,5000000),IF(LEFT(Y252,1)="C",RANDBETWEEN(5000,50000),IF(LEFT(Y252,1)="N",RANDBETWEEN(10000,150000),IF(LEFT(Y252,1)="J",RANDBETWEEN(8000,200000),RANDBETWEEN(5000,100000)))))</f>
        <v>34097</v>
      </c>
      <c r="AW252" s="2">
        <f ca="1">INT(AV252*RANDBETWEEN(30,60)/100)</f>
        <v>18412</v>
      </c>
      <c r="AX252">
        <f ca="1">IF(Z252="ORAL",RANDBETWEEN(1000,10000),IF(OR(Z252="INTRAVENOSA",Z252="INTRAMUSCULAR"),RANDBETWEEN(100,2000),IF(OR(Z252="OFTÁLMICA",Z252="TOPICA (EXTERNA)"),RANDBETWEEN(200,3000),RANDBETWEEN(100,1500))))</f>
        <v>1516</v>
      </c>
      <c r="AY252" s="2">
        <f ca="1">INT(AV252*RANDBETWEEN(90,130)/100)</f>
        <v>38870</v>
      </c>
      <c r="AZ252" t="str">
        <f t="shared" ca="1" si="18"/>
        <v>10.7%</v>
      </c>
      <c r="BA252" t="str">
        <f t="shared" ca="1" si="19"/>
        <v>BAJO</v>
      </c>
    </row>
    <row r="253" spans="4:53" x14ac:dyDescent="0.35">
      <c r="D253" t="s">
        <v>2014</v>
      </c>
      <c r="E253" s="1">
        <v>39405</v>
      </c>
      <c r="F253" t="s">
        <v>2015</v>
      </c>
      <c r="G253" t="s">
        <v>108</v>
      </c>
      <c r="H253" t="s">
        <v>2016</v>
      </c>
      <c r="I253">
        <v>19983122</v>
      </c>
      <c r="J253" t="s">
        <v>28</v>
      </c>
      <c r="K253">
        <v>4</v>
      </c>
      <c r="L253" t="s">
        <v>2017</v>
      </c>
      <c r="M253" t="s">
        <v>2018</v>
      </c>
      <c r="N253" t="s">
        <v>2019</v>
      </c>
      <c r="O253" t="s">
        <v>2020</v>
      </c>
      <c r="P253" t="s">
        <v>47</v>
      </c>
      <c r="Q253" s="1">
        <v>39395</v>
      </c>
      <c r="R253" t="s">
        <v>47</v>
      </c>
      <c r="S253" t="s">
        <v>27</v>
      </c>
      <c r="T253" t="s">
        <v>2016</v>
      </c>
      <c r="U253" t="s">
        <v>115</v>
      </c>
      <c r="V253" t="s">
        <v>2021</v>
      </c>
      <c r="W253" t="s">
        <v>2022</v>
      </c>
      <c r="X253">
        <v>19983122</v>
      </c>
      <c r="Y253" t="s">
        <v>2023</v>
      </c>
      <c r="Z253" t="s">
        <v>119</v>
      </c>
      <c r="AA253" t="s">
        <v>32</v>
      </c>
      <c r="AB253" t="s">
        <v>120</v>
      </c>
      <c r="AC253" t="s">
        <v>38</v>
      </c>
      <c r="AD253" t="s">
        <v>121</v>
      </c>
      <c r="AE253">
        <v>28</v>
      </c>
      <c r="AF253" t="s">
        <v>27</v>
      </c>
      <c r="AG253" t="s">
        <v>26</v>
      </c>
      <c r="AH253" t="s">
        <v>2021</v>
      </c>
      <c r="AI253" t="str">
        <f t="shared" si="15"/>
        <v>NO</v>
      </c>
      <c r="AJ253" t="str">
        <f t="shared" si="16"/>
        <v>JANSSEN CILAG</v>
      </c>
      <c r="AK253" t="str">
        <f>IF(ISNUMBER(SEARCH("FABRICANTE",AC253)),"FABRICANTE",IF(ISNUMBER(SEARCH("IMPORTADOR",AC253)),"IMPORTADOR","OTRO"))</f>
        <v>IMPORTADOR</v>
      </c>
      <c r="AL253" t="str">
        <f>IF(LEFT(Y253,1)="A","Sistema digestivo",IF(LEFT(Y253,1)="B","Sangre",IF(LEFT(Y253,1)="C","Cardiovascular",IF(LEFT(Y253,1)="D","Dermatológico",IF(LEFT(Y253,1)="G","Genitourinario",IF(LEFT(Y253,1)="H","Hormonal",IF(LEFT(Y253,1)="J","Antiinfecciosos",IF(LEFT(Y253,1)="L","Oncológicos",IF(LEFT(Y253,1)="M","Musculoesquelético",IF(LEFT(Y253,1)="N","Sistema nervioso",IF(LEFT(Y253,1)="R","Respiratorio",IF(LEFT(Y253,1)="S","Oftálmico",IF(LEFT(Y253,1)="V","Varios","OTRO")))))))))))))</f>
        <v>Sistema nervioso</v>
      </c>
      <c r="AM253" t="str">
        <f>IF(AG253="Vigente","ACTIVO",IF(ISNUMBER(SEARCH("Inactivo",J253)),"INACTIVO","REVISAR"))</f>
        <v>ACTIVO</v>
      </c>
      <c r="AN253" t="str">
        <f ca="1">IF(OR(AF253="",AF253="null"),"",ROUND((AF253-TODAY())/365.25,2))</f>
        <v/>
      </c>
      <c r="AO253" t="str">
        <f ca="1">IF(AND(AG253="Vigente",OR(AF253="",AF253="null",AF253&gt;TODAY())),"SI",IF(AND(NOT(OR(AF253="",AF253="null")),AF253&lt;=TODAY()),"NO",IF(AG253="Vigente","SI","DESCONOCIDO")))</f>
        <v>SI</v>
      </c>
      <c r="AP253" t="str">
        <f>IF(AND(ISNUMBER(SEARCH("IMPORTAR",AA253)),ISNUMBER(SEARCH("FABRICAR",AA253))),"MIXTO",IF(ISNUMBER(SEARCH("IMPORTAR",AA253)),"IMPORTADO",IF(ISNUMBER(SEARCH("FABRICAR",AA253)),"LOCAL","OTRO")))</f>
        <v>IMPORTADO</v>
      </c>
      <c r="AQ253" t="str">
        <f>IF(AD253="Si","SI",IF(AD253="No","NO",""))</f>
        <v>NO</v>
      </c>
      <c r="AR253" t="str">
        <f>IF(ISNUMBER(SEARCH("®",N253)),"MARCA/INNOVADOR","GENERICO")</f>
        <v>MARCA/INNOVADOR</v>
      </c>
      <c r="AS253">
        <f ca="1">IF(AE253&gt;100,RANDBETWEEN(500,5000),IF(AND(AE253&gt;=10,AE253&lt;=100),RANDBETWEEN(100,1000),RANDBETWEEN(10,200)))</f>
        <v>696</v>
      </c>
      <c r="AT253">
        <f t="shared" ca="1" si="17"/>
        <v>201</v>
      </c>
      <c r="AU253">
        <f ca="1">INT(AS253*RANDBETWEEN(120,200)/100)</f>
        <v>1127</v>
      </c>
      <c r="AV253" s="2">
        <f ca="1">IF(LEFT(Y253,1)="L",RANDBETWEEN(500000,5000000),IF(LEFT(Y253,1)="C",RANDBETWEEN(5000,50000),IF(LEFT(Y253,1)="N",RANDBETWEEN(10000,150000),IF(LEFT(Y253,1)="J",RANDBETWEEN(8000,200000),RANDBETWEEN(5000,100000)))))</f>
        <v>72223</v>
      </c>
      <c r="AW253" s="2">
        <f ca="1">INT(AV253*RANDBETWEEN(30,60)/100)</f>
        <v>22389</v>
      </c>
      <c r="AX253">
        <f ca="1">IF(Z253="ORAL",RANDBETWEEN(1000,10000),IF(OR(Z253="INTRAVENOSA",Z253="INTRAMUSCULAR"),RANDBETWEEN(100,2000),IF(OR(Z253="OFTÁLMICA",Z253="TOPICA (EXTERNA)"),RANDBETWEEN(200,3000),RANDBETWEEN(100,1500))))</f>
        <v>7639</v>
      </c>
      <c r="AY253" s="2">
        <f ca="1">INT(AV253*RANDBETWEEN(90,130)/100)</f>
        <v>91723</v>
      </c>
      <c r="AZ253" t="str">
        <f t="shared" ca="1" si="18"/>
        <v>19.9%</v>
      </c>
      <c r="BA253" t="str">
        <f t="shared" ca="1" si="19"/>
        <v>BAJO</v>
      </c>
    </row>
    <row r="254" spans="4:53" x14ac:dyDescent="0.35">
      <c r="D254" t="s">
        <v>2024</v>
      </c>
      <c r="E254" s="1">
        <v>36161</v>
      </c>
      <c r="F254" t="s">
        <v>2025</v>
      </c>
      <c r="G254" t="s">
        <v>502</v>
      </c>
      <c r="H254" t="s">
        <v>1700</v>
      </c>
      <c r="I254">
        <v>19903695</v>
      </c>
      <c r="J254" t="s">
        <v>110</v>
      </c>
      <c r="K254">
        <v>1</v>
      </c>
      <c r="L254" t="s">
        <v>27</v>
      </c>
      <c r="M254" t="s">
        <v>2026</v>
      </c>
      <c r="N254" t="s">
        <v>2027</v>
      </c>
      <c r="O254" t="s">
        <v>2028</v>
      </c>
      <c r="P254" t="s">
        <v>2029</v>
      </c>
      <c r="Q254" s="1">
        <v>39031</v>
      </c>
      <c r="R254" t="s">
        <v>50</v>
      </c>
      <c r="S254" s="1">
        <v>39965</v>
      </c>
      <c r="T254" t="s">
        <v>2030</v>
      </c>
      <c r="U254" t="s">
        <v>115</v>
      </c>
      <c r="V254" t="s">
        <v>1596</v>
      </c>
      <c r="W254">
        <v>20</v>
      </c>
      <c r="X254">
        <v>19903695</v>
      </c>
      <c r="Y254" t="s">
        <v>1597</v>
      </c>
      <c r="Z254" t="s">
        <v>213</v>
      </c>
      <c r="AA254" t="s">
        <v>24</v>
      </c>
      <c r="AB254" t="s">
        <v>120</v>
      </c>
      <c r="AC254" t="s">
        <v>25</v>
      </c>
      <c r="AD254" t="s">
        <v>121</v>
      </c>
      <c r="AE254">
        <v>1</v>
      </c>
      <c r="AF254" t="s">
        <v>27</v>
      </c>
      <c r="AG254" t="s">
        <v>26</v>
      </c>
      <c r="AH254" t="s">
        <v>2025</v>
      </c>
      <c r="AI254" t="str">
        <f t="shared" si="15"/>
        <v>NO</v>
      </c>
      <c r="AJ254" t="str">
        <f t="shared" si="16"/>
        <v>LABORATORIOS RYAN DE COLOMBIA S.EN C.</v>
      </c>
      <c r="AK254" t="str">
        <f>IF(ISNUMBER(SEARCH("FABRICANTE",AC254)),"FABRICANTE",IF(ISNUMBER(SEARCH("IMPORTADOR",AC254)),"IMPORTADOR","OTRO"))</f>
        <v>FABRICANTE</v>
      </c>
      <c r="AL254" t="str">
        <f>IF(LEFT(Y254,1)="A","Sistema digestivo",IF(LEFT(Y254,1)="B","Sangre",IF(LEFT(Y254,1)="C","Cardiovascular",IF(LEFT(Y254,1)="D","Dermatológico",IF(LEFT(Y254,1)="G","Genitourinario",IF(LEFT(Y254,1)="H","Hormonal",IF(LEFT(Y254,1)="J","Antiinfecciosos",IF(LEFT(Y254,1)="L","Oncológicos",IF(LEFT(Y254,1)="M","Musculoesquelético",IF(LEFT(Y254,1)="N","Sistema nervioso",IF(LEFT(Y254,1)="R","Respiratorio",IF(LEFT(Y254,1)="S","Oftálmico",IF(LEFT(Y254,1)="V","Varios","OTRO")))))))))))))</f>
        <v>Sistema digestivo</v>
      </c>
      <c r="AM254" t="str">
        <f>IF(AG254="Vigente","ACTIVO",IF(ISNUMBER(SEARCH("Inactivo",J254)),"INACTIVO","REVISAR"))</f>
        <v>ACTIVO</v>
      </c>
      <c r="AN254" t="str">
        <f ca="1">IF(OR(AF254="",AF254="null"),"",ROUND((AF254-TODAY())/365.25,2))</f>
        <v/>
      </c>
      <c r="AO254" t="str">
        <f ca="1">IF(AND(AG254="Vigente",OR(AF254="",AF254="null",AF254&gt;TODAY())),"SI",IF(AND(NOT(OR(AF254="",AF254="null")),AF254&lt;=TODAY()),"NO",IF(AG254="Vigente","SI","DESCONOCIDO")))</f>
        <v>SI</v>
      </c>
      <c r="AP254" t="str">
        <f>IF(AND(ISNUMBER(SEARCH("IMPORTAR",AA254)),ISNUMBER(SEARCH("FABRICAR",AA254))),"MIXTO",IF(ISNUMBER(SEARCH("IMPORTAR",AA254)),"IMPORTADO",IF(ISNUMBER(SEARCH("FABRICAR",AA254)),"LOCAL","OTRO")))</f>
        <v>LOCAL</v>
      </c>
      <c r="AQ254" t="str">
        <f>IF(AD254="Si","SI",IF(AD254="No","NO",""))</f>
        <v>NO</v>
      </c>
      <c r="AR254" t="str">
        <f>IF(ISNUMBER(SEARCH("®",N254)),"MARCA/INNOVADOR","GENERICO")</f>
        <v>GENERICO</v>
      </c>
      <c r="AS254">
        <f ca="1">IF(AE254&gt;100,RANDBETWEEN(500,5000),IF(AND(AE254&gt;=10,AE254&lt;=100),RANDBETWEEN(100,1000),RANDBETWEEN(10,200)))</f>
        <v>31</v>
      </c>
      <c r="AT254">
        <f t="shared" ca="1" si="17"/>
        <v>6</v>
      </c>
      <c r="AU254">
        <f ca="1">INT(AS254*RANDBETWEEN(120,200)/100)</f>
        <v>53</v>
      </c>
      <c r="AV254" s="2">
        <f ca="1">IF(LEFT(Y254,1)="L",RANDBETWEEN(500000,5000000),IF(LEFT(Y254,1)="C",RANDBETWEEN(5000,50000),IF(LEFT(Y254,1)="N",RANDBETWEEN(10000,150000),IF(LEFT(Y254,1)="J",RANDBETWEEN(8000,200000),RANDBETWEEN(5000,100000)))))</f>
        <v>19030</v>
      </c>
      <c r="AW254" s="2">
        <f ca="1">INT(AV254*RANDBETWEEN(30,60)/100)</f>
        <v>10656</v>
      </c>
      <c r="AX254">
        <f ca="1">IF(Z254="ORAL",RANDBETWEEN(1000,10000),IF(OR(Z254="INTRAVENOSA",Z254="INTRAMUSCULAR"),RANDBETWEEN(100,2000),IF(OR(Z254="OFTÁLMICA",Z254="TOPICA (EXTERNA)"),RANDBETWEEN(200,3000),RANDBETWEEN(100,1500))))</f>
        <v>1914</v>
      </c>
      <c r="AY254" s="2">
        <f ca="1">INT(AV254*RANDBETWEEN(90,130)/100)</f>
        <v>19410</v>
      </c>
      <c r="AZ254" t="str">
        <f t="shared" ca="1" si="18"/>
        <v>3.2%</v>
      </c>
      <c r="BA254" t="str">
        <f t="shared" ca="1" si="19"/>
        <v>ALTO</v>
      </c>
    </row>
    <row r="255" spans="4:53" x14ac:dyDescent="0.35">
      <c r="D255" t="s">
        <v>2031</v>
      </c>
      <c r="E255" s="1">
        <v>40948</v>
      </c>
      <c r="F255" t="s">
        <v>2032</v>
      </c>
      <c r="G255" t="s">
        <v>108</v>
      </c>
      <c r="H255" t="s">
        <v>2033</v>
      </c>
      <c r="I255">
        <v>20033258</v>
      </c>
      <c r="J255" t="s">
        <v>28</v>
      </c>
      <c r="K255">
        <v>5</v>
      </c>
      <c r="L255" t="s">
        <v>27</v>
      </c>
      <c r="M255" t="s">
        <v>2034</v>
      </c>
      <c r="N255" t="s">
        <v>2035</v>
      </c>
      <c r="O255" t="s">
        <v>2036</v>
      </c>
      <c r="P255" t="s">
        <v>2037</v>
      </c>
      <c r="Q255" s="1">
        <v>45440</v>
      </c>
      <c r="R255" t="s">
        <v>258</v>
      </c>
      <c r="S255" t="s">
        <v>27</v>
      </c>
      <c r="T255" t="s">
        <v>549</v>
      </c>
      <c r="U255" t="s">
        <v>247</v>
      </c>
      <c r="V255" t="s">
        <v>64</v>
      </c>
      <c r="W255" t="s">
        <v>2038</v>
      </c>
      <c r="X255">
        <v>20033258</v>
      </c>
      <c r="Y255" t="s">
        <v>259</v>
      </c>
      <c r="Z255" t="s">
        <v>260</v>
      </c>
      <c r="AA255" t="s">
        <v>32</v>
      </c>
      <c r="AB255" t="s">
        <v>133</v>
      </c>
      <c r="AC255" t="s">
        <v>25</v>
      </c>
      <c r="AD255" t="s">
        <v>155</v>
      </c>
      <c r="AE255">
        <v>1</v>
      </c>
      <c r="AF255" t="s">
        <v>27</v>
      </c>
      <c r="AG255" t="s">
        <v>26</v>
      </c>
      <c r="AH255" t="s">
        <v>2032</v>
      </c>
      <c r="AI255" t="str">
        <f t="shared" si="15"/>
        <v>NO</v>
      </c>
      <c r="AJ255" t="str">
        <f t="shared" si="16"/>
        <v>LABORATORIOS BAXTER</v>
      </c>
      <c r="AK255" t="str">
        <f>IF(ISNUMBER(SEARCH("FABRICANTE",AC255)),"FABRICANTE",IF(ISNUMBER(SEARCH("IMPORTADOR",AC255)),"IMPORTADOR","OTRO"))</f>
        <v>FABRICANTE</v>
      </c>
      <c r="AL255" t="str">
        <f>IF(LEFT(Y255,1)="A","Sistema digestivo",IF(LEFT(Y255,1)="B","Sangre",IF(LEFT(Y255,1)="C","Cardiovascular",IF(LEFT(Y255,1)="D","Dermatológico",IF(LEFT(Y255,1)="G","Genitourinario",IF(LEFT(Y255,1)="H","Hormonal",IF(LEFT(Y255,1)="J","Antiinfecciosos",IF(LEFT(Y255,1)="L","Oncológicos",IF(LEFT(Y255,1)="M","Musculoesquelético",IF(LEFT(Y255,1)="N","Sistema nervioso",IF(LEFT(Y255,1)="R","Respiratorio",IF(LEFT(Y255,1)="S","Oftálmico",IF(LEFT(Y255,1)="V","Varios","OTRO")))))))))))))</f>
        <v>Sangre</v>
      </c>
      <c r="AM255" t="str">
        <f>IF(AG255="Vigente","ACTIVO",IF(ISNUMBER(SEARCH("Inactivo",J255)),"INACTIVO","REVISAR"))</f>
        <v>ACTIVO</v>
      </c>
      <c r="AN255" t="str">
        <f ca="1">IF(OR(AF255="",AF255="null"),"",ROUND((AF255-TODAY())/365.25,2))</f>
        <v/>
      </c>
      <c r="AO255" t="str">
        <f ca="1">IF(AND(AG255="Vigente",OR(AF255="",AF255="null",AF255&gt;TODAY())),"SI",IF(AND(NOT(OR(AF255="",AF255="null")),AF255&lt;=TODAY()),"NO",IF(AG255="Vigente","SI","DESCONOCIDO")))</f>
        <v>SI</v>
      </c>
      <c r="AP255" t="str">
        <f>IF(AND(ISNUMBER(SEARCH("IMPORTAR",AA255)),ISNUMBER(SEARCH("FABRICAR",AA255))),"MIXTO",IF(ISNUMBER(SEARCH("IMPORTAR",AA255)),"IMPORTADO",IF(ISNUMBER(SEARCH("FABRICAR",AA255)),"LOCAL","OTRO")))</f>
        <v>IMPORTADO</v>
      </c>
      <c r="AQ255" t="str">
        <f>IF(AD255="Si","SI",IF(AD255="No","NO",""))</f>
        <v>SI</v>
      </c>
      <c r="AR255" t="str">
        <f>IF(ISNUMBER(SEARCH("®",N255)),"MARCA/INNOVADOR","GENERICO")</f>
        <v>GENERICO</v>
      </c>
      <c r="AS255">
        <f ca="1">IF(AE255&gt;100,RANDBETWEEN(500,5000),IF(AND(AE255&gt;=10,AE255&lt;=100),RANDBETWEEN(100,1000),RANDBETWEEN(10,200)))</f>
        <v>109</v>
      </c>
      <c r="AT255">
        <f t="shared" ca="1" si="17"/>
        <v>28</v>
      </c>
      <c r="AU255">
        <f ca="1">INT(AS255*RANDBETWEEN(120,200)/100)</f>
        <v>170</v>
      </c>
      <c r="AV255" s="2">
        <f ca="1">IF(LEFT(Y255,1)="L",RANDBETWEEN(500000,5000000),IF(LEFT(Y255,1)="C",RANDBETWEEN(5000,50000),IF(LEFT(Y255,1)="N",RANDBETWEEN(10000,150000),IF(LEFT(Y255,1)="J",RANDBETWEEN(8000,200000),RANDBETWEEN(5000,100000)))))</f>
        <v>13675</v>
      </c>
      <c r="AW255" s="2">
        <f ca="1">INT(AV255*RANDBETWEEN(30,60)/100)</f>
        <v>6290</v>
      </c>
      <c r="AX255">
        <f ca="1">IF(Z255="ORAL",RANDBETWEEN(1000,10000),IF(OR(Z255="INTRAVENOSA",Z255="INTRAMUSCULAR"),RANDBETWEEN(100,2000),IF(OR(Z255="OFTÁLMICA",Z255="TOPICA (EXTERNA)"),RANDBETWEEN(200,3000),RANDBETWEEN(100,1500))))</f>
        <v>978</v>
      </c>
      <c r="AY255" s="2">
        <f ca="1">INT(AV255*RANDBETWEEN(90,130)/100)</f>
        <v>13811</v>
      </c>
      <c r="AZ255" t="str">
        <f t="shared" ca="1" si="18"/>
        <v>1.3%</v>
      </c>
      <c r="BA255" t="str">
        <f t="shared" ca="1" si="19"/>
        <v>BAJO</v>
      </c>
    </row>
    <row r="256" spans="4:53" x14ac:dyDescent="0.35">
      <c r="D256" t="s">
        <v>2039</v>
      </c>
      <c r="E256" s="1">
        <v>39346</v>
      </c>
      <c r="F256" t="s">
        <v>2040</v>
      </c>
      <c r="G256" t="s">
        <v>108</v>
      </c>
      <c r="H256" t="s">
        <v>124</v>
      </c>
      <c r="I256">
        <v>19976553</v>
      </c>
      <c r="J256" t="s">
        <v>28</v>
      </c>
      <c r="K256">
        <v>2</v>
      </c>
      <c r="L256" t="s">
        <v>27</v>
      </c>
      <c r="M256" t="s">
        <v>2041</v>
      </c>
      <c r="N256" t="s">
        <v>2042</v>
      </c>
      <c r="O256" t="s">
        <v>2043</v>
      </c>
      <c r="P256" t="s">
        <v>2044</v>
      </c>
      <c r="Q256" s="1">
        <v>39175</v>
      </c>
      <c r="R256" t="s">
        <v>50</v>
      </c>
      <c r="S256" t="s">
        <v>27</v>
      </c>
      <c r="T256" t="s">
        <v>129</v>
      </c>
      <c r="U256" t="s">
        <v>115</v>
      </c>
      <c r="V256" t="s">
        <v>2045</v>
      </c>
      <c r="W256" t="s">
        <v>433</v>
      </c>
      <c r="X256">
        <v>19976553</v>
      </c>
      <c r="Y256" t="s">
        <v>2046</v>
      </c>
      <c r="Z256" t="s">
        <v>260</v>
      </c>
      <c r="AA256" t="s">
        <v>24</v>
      </c>
      <c r="AB256" t="s">
        <v>120</v>
      </c>
      <c r="AC256" t="s">
        <v>25</v>
      </c>
      <c r="AD256" t="s">
        <v>121</v>
      </c>
      <c r="AE256">
        <v>2</v>
      </c>
      <c r="AF256" t="s">
        <v>27</v>
      </c>
      <c r="AG256" t="s">
        <v>26</v>
      </c>
      <c r="AH256" t="s">
        <v>2040</v>
      </c>
      <c r="AI256" t="str">
        <f t="shared" si="15"/>
        <v>NO</v>
      </c>
      <c r="AJ256" t="str">
        <f t="shared" si="16"/>
        <v>VITALIS</v>
      </c>
      <c r="AK256" t="str">
        <f>IF(ISNUMBER(SEARCH("FABRICANTE",AC256)),"FABRICANTE",IF(ISNUMBER(SEARCH("IMPORTADOR",AC256)),"IMPORTADOR","OTRO"))</f>
        <v>FABRICANTE</v>
      </c>
      <c r="AL256" t="str">
        <f>IF(LEFT(Y256,1)="A","Sistema digestivo",IF(LEFT(Y256,1)="B","Sangre",IF(LEFT(Y256,1)="C","Cardiovascular",IF(LEFT(Y256,1)="D","Dermatológico",IF(LEFT(Y256,1)="G","Genitourinario",IF(LEFT(Y256,1)="H","Hormonal",IF(LEFT(Y256,1)="J","Antiinfecciosos",IF(LEFT(Y256,1)="L","Oncológicos",IF(LEFT(Y256,1)="M","Musculoesquelético",IF(LEFT(Y256,1)="N","Sistema nervioso",IF(LEFT(Y256,1)="R","Respiratorio",IF(LEFT(Y256,1)="S","Oftálmico",IF(LEFT(Y256,1)="V","Varios","OTRO")))))))))))))</f>
        <v>Sistema nervioso</v>
      </c>
      <c r="AM256" t="str">
        <f>IF(AG256="Vigente","ACTIVO",IF(ISNUMBER(SEARCH("Inactivo",J256)),"INACTIVO","REVISAR"))</f>
        <v>ACTIVO</v>
      </c>
      <c r="AN256" t="str">
        <f ca="1">IF(OR(AF256="",AF256="null"),"",ROUND((AF256-TODAY())/365.25,2))</f>
        <v/>
      </c>
      <c r="AO256" t="str">
        <f ca="1">IF(AND(AG256="Vigente",OR(AF256="",AF256="null",AF256&gt;TODAY())),"SI",IF(AND(NOT(OR(AF256="",AF256="null")),AF256&lt;=TODAY()),"NO",IF(AG256="Vigente","SI","DESCONOCIDO")))</f>
        <v>SI</v>
      </c>
      <c r="AP256" t="str">
        <f>IF(AND(ISNUMBER(SEARCH("IMPORTAR",AA256)),ISNUMBER(SEARCH("FABRICAR",AA256))),"MIXTO",IF(ISNUMBER(SEARCH("IMPORTAR",AA256)),"IMPORTADO",IF(ISNUMBER(SEARCH("FABRICAR",AA256)),"LOCAL","OTRO")))</f>
        <v>LOCAL</v>
      </c>
      <c r="AQ256" t="str">
        <f>IF(AD256="Si","SI",IF(AD256="No","NO",""))</f>
        <v>NO</v>
      </c>
      <c r="AR256" t="str">
        <f>IF(ISNUMBER(SEARCH("®",N256)),"MARCA/INNOVADOR","GENERICO")</f>
        <v>GENERICO</v>
      </c>
      <c r="AS256">
        <f ca="1">IF(AE256&gt;100,RANDBETWEEN(500,5000),IF(AND(AE256&gt;=10,AE256&lt;=100),RANDBETWEEN(100,1000),RANDBETWEEN(10,200)))</f>
        <v>37</v>
      </c>
      <c r="AT256">
        <f t="shared" ca="1" si="17"/>
        <v>9</v>
      </c>
      <c r="AU256">
        <f ca="1">INT(AS256*RANDBETWEEN(120,200)/100)</f>
        <v>69</v>
      </c>
      <c r="AV256" s="2">
        <f ca="1">IF(LEFT(Y256,1)="L",RANDBETWEEN(500000,5000000),IF(LEFT(Y256,1)="C",RANDBETWEEN(5000,50000),IF(LEFT(Y256,1)="N",RANDBETWEEN(10000,150000),IF(LEFT(Y256,1)="J",RANDBETWEEN(8000,200000),RANDBETWEEN(5000,100000)))))</f>
        <v>52385</v>
      </c>
      <c r="AW256" s="2">
        <f ca="1">INT(AV256*RANDBETWEEN(30,60)/100)</f>
        <v>26716</v>
      </c>
      <c r="AX256">
        <f ca="1">IF(Z256="ORAL",RANDBETWEEN(1000,10000),IF(OR(Z256="INTRAVENOSA",Z256="INTRAMUSCULAR"),RANDBETWEEN(100,2000),IF(OR(Z256="OFTÁLMICA",Z256="TOPICA (EXTERNA)"),RANDBETWEEN(200,3000),RANDBETWEEN(100,1500))))</f>
        <v>1077</v>
      </c>
      <c r="AY256" s="2">
        <f ca="1">INT(AV256*RANDBETWEEN(90,130)/100)</f>
        <v>53956</v>
      </c>
      <c r="AZ256" t="str">
        <f t="shared" ca="1" si="18"/>
        <v>2.6%</v>
      </c>
      <c r="BA256" t="str">
        <f t="shared" ca="1" si="19"/>
        <v>BAJO</v>
      </c>
    </row>
    <row r="257" spans="4:53" x14ac:dyDescent="0.35">
      <c r="D257" t="s">
        <v>2047</v>
      </c>
      <c r="E257" s="1">
        <v>45385</v>
      </c>
      <c r="F257" t="s">
        <v>2048</v>
      </c>
      <c r="G257" t="s">
        <v>108</v>
      </c>
      <c r="H257" t="s">
        <v>2049</v>
      </c>
      <c r="I257">
        <v>20211243</v>
      </c>
      <c r="J257" t="s">
        <v>28</v>
      </c>
      <c r="K257">
        <v>2</v>
      </c>
      <c r="L257" t="s">
        <v>2050</v>
      </c>
      <c r="M257" t="s">
        <v>2051</v>
      </c>
      <c r="N257" t="s">
        <v>2052</v>
      </c>
      <c r="O257" t="s">
        <v>2053</v>
      </c>
      <c r="P257" t="s">
        <v>2054</v>
      </c>
      <c r="Q257" s="1">
        <v>45373</v>
      </c>
      <c r="R257" t="s">
        <v>375</v>
      </c>
      <c r="S257" t="s">
        <v>27</v>
      </c>
      <c r="T257" t="s">
        <v>376</v>
      </c>
      <c r="U257" t="s">
        <v>807</v>
      </c>
      <c r="V257" t="s">
        <v>2055</v>
      </c>
      <c r="W257">
        <v>50</v>
      </c>
      <c r="X257">
        <v>20211243</v>
      </c>
      <c r="Y257" t="s">
        <v>2056</v>
      </c>
      <c r="Z257" t="s">
        <v>213</v>
      </c>
      <c r="AA257" t="s">
        <v>32</v>
      </c>
      <c r="AB257" t="s">
        <v>239</v>
      </c>
      <c r="AC257" t="s">
        <v>25</v>
      </c>
      <c r="AD257" t="s">
        <v>121</v>
      </c>
      <c r="AE257">
        <v>10</v>
      </c>
      <c r="AF257" s="1">
        <v>401769</v>
      </c>
      <c r="AG257" t="s">
        <v>26</v>
      </c>
      <c r="AH257" t="s">
        <v>6641</v>
      </c>
      <c r="AI257" t="str">
        <f t="shared" si="15"/>
        <v>NO</v>
      </c>
      <c r="AJ257" t="str">
        <f t="shared" si="16"/>
        <v>GLAXOSMITHKLINE BIOLOGICALS</v>
      </c>
      <c r="AK257" t="str">
        <f>IF(ISNUMBER(SEARCH("FABRICANTE",AC257)),"FABRICANTE",IF(ISNUMBER(SEARCH("IMPORTADOR",AC257)),"IMPORTADOR","OTRO"))</f>
        <v>FABRICANTE</v>
      </c>
      <c r="AL257" t="str">
        <f>IF(LEFT(Y257,1)="A","Sistema digestivo",IF(LEFT(Y257,1)="B","Sangre",IF(LEFT(Y257,1)="C","Cardiovascular",IF(LEFT(Y257,1)="D","Dermatológico",IF(LEFT(Y257,1)="G","Genitourinario",IF(LEFT(Y257,1)="H","Hormonal",IF(LEFT(Y257,1)="J","Antiinfecciosos",IF(LEFT(Y257,1)="L","Oncológicos",IF(LEFT(Y257,1)="M","Musculoesquelético",IF(LEFT(Y257,1)="N","Sistema nervioso",IF(LEFT(Y257,1)="R","Respiratorio",IF(LEFT(Y257,1)="S","Oftálmico",IF(LEFT(Y257,1)="V","Varios","OTRO")))))))))))))</f>
        <v>Antiinfecciosos</v>
      </c>
      <c r="AM257" t="str">
        <f>IF(AG257="Vigente","ACTIVO",IF(ISNUMBER(SEARCH("Inactivo",J257)),"INACTIVO","REVISAR"))</f>
        <v>ACTIVO</v>
      </c>
      <c r="AN257">
        <f ca="1">IF(OR(AF257="",AF257="null"),"",ROUND((AF257-TODAY())/365.25,2))</f>
        <v>973.58</v>
      </c>
      <c r="AO257" t="str">
        <f ca="1">IF(AND(AG257="Vigente",OR(AF257="",AF257="null",AF257&gt;TODAY())),"SI",IF(AND(NOT(OR(AF257="",AF257="null")),AF257&lt;=TODAY()),"NO",IF(AG257="Vigente","SI","DESCONOCIDO")))</f>
        <v>SI</v>
      </c>
      <c r="AP257" t="str">
        <f>IF(AND(ISNUMBER(SEARCH("IMPORTAR",AA257)),ISNUMBER(SEARCH("FABRICAR",AA257))),"MIXTO",IF(ISNUMBER(SEARCH("IMPORTAR",AA257)),"IMPORTADO",IF(ISNUMBER(SEARCH("FABRICAR",AA257)),"LOCAL","OTRO")))</f>
        <v>IMPORTADO</v>
      </c>
      <c r="AQ257" t="str">
        <f>IF(AD257="Si","SI",IF(AD257="No","NO",""))</f>
        <v>NO</v>
      </c>
      <c r="AR257" t="str">
        <f>IF(ISNUMBER(SEARCH("®",N257)),"MARCA/INNOVADOR","GENERICO")</f>
        <v>GENERICO</v>
      </c>
      <c r="AS257">
        <f ca="1">IF(AE257&gt;100,RANDBETWEEN(500,5000),IF(AND(AE257&gt;=10,AE257&lt;=100),RANDBETWEEN(100,1000),RANDBETWEEN(10,200)))</f>
        <v>924</v>
      </c>
      <c r="AT257">
        <f t="shared" ca="1" si="17"/>
        <v>129</v>
      </c>
      <c r="AU257">
        <f ca="1">INT(AS257*RANDBETWEEN(120,200)/100)</f>
        <v>1515</v>
      </c>
      <c r="AV257" s="2">
        <f ca="1">IF(LEFT(Y257,1)="L",RANDBETWEEN(500000,5000000),IF(LEFT(Y257,1)="C",RANDBETWEEN(5000,50000),IF(LEFT(Y257,1)="N",RANDBETWEEN(10000,150000),IF(LEFT(Y257,1)="J",RANDBETWEEN(8000,200000),RANDBETWEEN(5000,100000)))))</f>
        <v>35345</v>
      </c>
      <c r="AW257" s="2">
        <f ca="1">INT(AV257*RANDBETWEEN(30,60)/100)</f>
        <v>20853</v>
      </c>
      <c r="AX257">
        <f ca="1">IF(Z257="ORAL",RANDBETWEEN(1000,10000),IF(OR(Z257="INTRAVENOSA",Z257="INTRAMUSCULAR"),RANDBETWEEN(100,2000),IF(OR(Z257="OFTÁLMICA",Z257="TOPICA (EXTERNA)"),RANDBETWEEN(200,3000),RANDBETWEEN(100,1500))))</f>
        <v>1087</v>
      </c>
      <c r="AY257" s="2">
        <f ca="1">INT(AV257*RANDBETWEEN(90,130)/100)</f>
        <v>41353</v>
      </c>
      <c r="AZ257" t="str">
        <f t="shared" ca="1" si="18"/>
        <v>4.4%</v>
      </c>
      <c r="BA257" t="str">
        <f t="shared" ca="1" si="19"/>
        <v>BAJO</v>
      </c>
    </row>
    <row r="258" spans="4:53" x14ac:dyDescent="0.35">
      <c r="D258" t="s">
        <v>2057</v>
      </c>
      <c r="E258" s="1">
        <v>41054</v>
      </c>
      <c r="F258" t="s">
        <v>2058</v>
      </c>
      <c r="G258" t="s">
        <v>108</v>
      </c>
      <c r="H258" t="s">
        <v>242</v>
      </c>
      <c r="I258">
        <v>20042480</v>
      </c>
      <c r="J258" t="s">
        <v>28</v>
      </c>
      <c r="K258">
        <v>118</v>
      </c>
      <c r="L258" t="s">
        <v>27</v>
      </c>
      <c r="M258" t="s">
        <v>243</v>
      </c>
      <c r="N258" t="s">
        <v>244</v>
      </c>
      <c r="O258" t="s">
        <v>2059</v>
      </c>
      <c r="P258" t="s">
        <v>246</v>
      </c>
      <c r="Q258" s="1">
        <v>42591</v>
      </c>
      <c r="R258" t="s">
        <v>67</v>
      </c>
      <c r="S258" t="s">
        <v>27</v>
      </c>
      <c r="T258" t="s">
        <v>80</v>
      </c>
      <c r="U258" t="s">
        <v>247</v>
      </c>
      <c r="V258" t="s">
        <v>248</v>
      </c>
      <c r="W258" t="s">
        <v>2060</v>
      </c>
      <c r="X258">
        <v>20042480</v>
      </c>
      <c r="Y258" t="s">
        <v>249</v>
      </c>
      <c r="Z258" t="s">
        <v>119</v>
      </c>
      <c r="AA258" t="s">
        <v>24</v>
      </c>
      <c r="AB258" t="s">
        <v>250</v>
      </c>
      <c r="AC258" t="s">
        <v>25</v>
      </c>
      <c r="AD258" t="s">
        <v>155</v>
      </c>
      <c r="AE258">
        <v>2</v>
      </c>
      <c r="AF258" t="s">
        <v>27</v>
      </c>
      <c r="AG258" t="s">
        <v>26</v>
      </c>
      <c r="AH258" t="s">
        <v>6765</v>
      </c>
      <c r="AI258" t="str">
        <f t="shared" si="15"/>
        <v>NO</v>
      </c>
      <c r="AJ258" t="str">
        <f t="shared" si="16"/>
        <v>TECNOQUIMICAS</v>
      </c>
      <c r="AK258" t="str">
        <f>IF(ISNUMBER(SEARCH("FABRICANTE",AC258)),"FABRICANTE",IF(ISNUMBER(SEARCH("IMPORTADOR",AC258)),"IMPORTADOR","OTRO"))</f>
        <v>FABRICANTE</v>
      </c>
      <c r="AL258" t="str">
        <f>IF(LEFT(Y258,1)="A","Sistema digestivo",IF(LEFT(Y258,1)="B","Sangre",IF(LEFT(Y258,1)="C","Cardiovascular",IF(LEFT(Y258,1)="D","Dermatológico",IF(LEFT(Y258,1)="G","Genitourinario",IF(LEFT(Y258,1)="H","Hormonal",IF(LEFT(Y258,1)="J","Antiinfecciosos",IF(LEFT(Y258,1)="L","Oncológicos",IF(LEFT(Y258,1)="M","Musculoesquelético",IF(LEFT(Y258,1)="N","Sistema nervioso",IF(LEFT(Y258,1)="R","Respiratorio",IF(LEFT(Y258,1)="S","Oftálmico",IF(LEFT(Y258,1)="V","Varios","OTRO")))))))))))))</f>
        <v>Sistema digestivo</v>
      </c>
      <c r="AM258" t="str">
        <f>IF(AG258="Vigente","ACTIVO",IF(ISNUMBER(SEARCH("Inactivo",J258)),"INACTIVO","REVISAR"))</f>
        <v>ACTIVO</v>
      </c>
      <c r="AN258" t="str">
        <f ca="1">IF(OR(AF258="",AF258="null"),"",ROUND((AF258-TODAY())/365.25,2))</f>
        <v/>
      </c>
      <c r="AO258" t="str">
        <f ca="1">IF(AND(AG258="Vigente",OR(AF258="",AF258="null",AF258&gt;TODAY())),"SI",IF(AND(NOT(OR(AF258="",AF258="null")),AF258&lt;=TODAY()),"NO",IF(AG258="Vigente","SI","DESCONOCIDO")))</f>
        <v>SI</v>
      </c>
      <c r="AP258" t="str">
        <f>IF(AND(ISNUMBER(SEARCH("IMPORTAR",AA258)),ISNUMBER(SEARCH("FABRICAR",AA258))),"MIXTO",IF(ISNUMBER(SEARCH("IMPORTAR",AA258)),"IMPORTADO",IF(ISNUMBER(SEARCH("FABRICAR",AA258)),"LOCAL","OTRO")))</f>
        <v>LOCAL</v>
      </c>
      <c r="AQ258" t="str">
        <f>IF(AD258="Si","SI",IF(AD258="No","NO",""))</f>
        <v>SI</v>
      </c>
      <c r="AR258" t="str">
        <f>IF(ISNUMBER(SEARCH("®",N258)),"MARCA/INNOVADOR","GENERICO")</f>
        <v>MARCA/INNOVADOR</v>
      </c>
      <c r="AS258">
        <f ca="1">IF(AE258&gt;100,RANDBETWEEN(500,5000),IF(AND(AE258&gt;=10,AE258&lt;=100),RANDBETWEEN(100,1000),RANDBETWEEN(10,200)))</f>
        <v>35</v>
      </c>
      <c r="AT258">
        <f t="shared" ca="1" si="17"/>
        <v>8</v>
      </c>
      <c r="AU258">
        <f ca="1">INT(AS258*RANDBETWEEN(120,200)/100)</f>
        <v>44</v>
      </c>
      <c r="AV258" s="2">
        <f ca="1">IF(LEFT(Y258,1)="L",RANDBETWEEN(500000,5000000),IF(LEFT(Y258,1)="C",RANDBETWEEN(5000,50000),IF(LEFT(Y258,1)="N",RANDBETWEEN(10000,150000),IF(LEFT(Y258,1)="J",RANDBETWEEN(8000,200000),RANDBETWEEN(5000,100000)))))</f>
        <v>96889</v>
      </c>
      <c r="AW258" s="2">
        <f ca="1">INT(AV258*RANDBETWEEN(30,60)/100)</f>
        <v>30035</v>
      </c>
      <c r="AX258">
        <f ca="1">IF(Z258="ORAL",RANDBETWEEN(1000,10000),IF(OR(Z258="INTRAVENOSA",Z258="INTRAMUSCULAR"),RANDBETWEEN(100,2000),IF(OR(Z258="OFTÁLMICA",Z258="TOPICA (EXTERNA)"),RANDBETWEEN(200,3000),RANDBETWEEN(100,1500))))</f>
        <v>4208</v>
      </c>
      <c r="AY258" s="2">
        <f ca="1">INT(AV258*RANDBETWEEN(90,130)/100)</f>
        <v>115297</v>
      </c>
      <c r="AZ258" t="str">
        <f t="shared" ca="1" si="18"/>
        <v>16.7%</v>
      </c>
      <c r="BA258" t="str">
        <f t="shared" ca="1" si="19"/>
        <v>BAJO</v>
      </c>
    </row>
    <row r="259" spans="4:53" x14ac:dyDescent="0.35">
      <c r="D259" t="s">
        <v>2061</v>
      </c>
      <c r="E259" s="1">
        <v>39800</v>
      </c>
      <c r="F259" t="s">
        <v>2062</v>
      </c>
      <c r="G259" t="s">
        <v>108</v>
      </c>
      <c r="H259" t="s">
        <v>2063</v>
      </c>
      <c r="I259">
        <v>19998726</v>
      </c>
      <c r="J259" t="s">
        <v>28</v>
      </c>
      <c r="K259">
        <v>6</v>
      </c>
      <c r="L259" t="s">
        <v>27</v>
      </c>
      <c r="M259" t="s">
        <v>2064</v>
      </c>
      <c r="N259" t="s">
        <v>2065</v>
      </c>
      <c r="O259" t="s">
        <v>2066</v>
      </c>
      <c r="P259" t="s">
        <v>2067</v>
      </c>
      <c r="Q259" s="1">
        <v>45582</v>
      </c>
      <c r="R259" t="s">
        <v>200</v>
      </c>
      <c r="S259" t="s">
        <v>27</v>
      </c>
      <c r="T259" t="s">
        <v>2068</v>
      </c>
      <c r="U259" t="s">
        <v>115</v>
      </c>
      <c r="V259" t="s">
        <v>91</v>
      </c>
      <c r="W259">
        <v>10</v>
      </c>
      <c r="X259">
        <v>19998726</v>
      </c>
      <c r="Y259" t="s">
        <v>92</v>
      </c>
      <c r="Z259" t="s">
        <v>119</v>
      </c>
      <c r="AA259" t="s">
        <v>32</v>
      </c>
      <c r="AB259" t="s">
        <v>120</v>
      </c>
      <c r="AC259" t="s">
        <v>25</v>
      </c>
      <c r="AD259" t="s">
        <v>155</v>
      </c>
      <c r="AE259">
        <v>10</v>
      </c>
      <c r="AF259" t="s">
        <v>27</v>
      </c>
      <c r="AG259" t="s">
        <v>26</v>
      </c>
      <c r="AH259" t="s">
        <v>91</v>
      </c>
      <c r="AI259" t="str">
        <f t="shared" ref="AI259:AI322" si="20">IF(OR(ISNUMBER(SEARCH("+",F259)),ISNUMBER(SEARCH(".",F259))),"SI","NO")</f>
        <v>NO</v>
      </c>
      <c r="AJ259" t="str">
        <f t="shared" ref="AJ259:AJ322" si="2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259)," S.A.S.",""),"S.A.S.","")," S.A.S",""),"S.A.S","")," S.A.C.I.","")," S.A.C.I","")," SAS","")," S.A.","")," S.A","")," LTDA.","")," LTDA","")," LIMITED","")," LTD.","")," LTD","")," INC.","")," INC","")," GMBH &amp; CO. KG.","")," GMBH","")," LLC","")," A.G.","")," A.G","")," A/S","")," S.R.L.","")," S.R.L","")," S.P.A.","")," DE C.V.","")," AG",""),"  "," "))</f>
        <v>BAYER</v>
      </c>
      <c r="AK259" t="str">
        <f>IF(ISNUMBER(SEARCH("FABRICANTE",AC259)),"FABRICANTE",IF(ISNUMBER(SEARCH("IMPORTADOR",AC259)),"IMPORTADOR","OTRO"))</f>
        <v>FABRICANTE</v>
      </c>
      <c r="AL259" t="str">
        <f>IF(LEFT(Y259,1)="A","Sistema digestivo",IF(LEFT(Y259,1)="B","Sangre",IF(LEFT(Y259,1)="C","Cardiovascular",IF(LEFT(Y259,1)="D","Dermatológico",IF(LEFT(Y259,1)="G","Genitourinario",IF(LEFT(Y259,1)="H","Hormonal",IF(LEFT(Y259,1)="J","Antiinfecciosos",IF(LEFT(Y259,1)="L","Oncológicos",IF(LEFT(Y259,1)="M","Musculoesquelético",IF(LEFT(Y259,1)="N","Sistema nervioso",IF(LEFT(Y259,1)="R","Respiratorio",IF(LEFT(Y259,1)="S","Oftálmico",IF(LEFT(Y259,1)="V","Varios","OTRO")))))))))))))</f>
        <v>Sangre</v>
      </c>
      <c r="AM259" t="str">
        <f>IF(AG259="Vigente","ACTIVO",IF(ISNUMBER(SEARCH("Inactivo",J259)),"INACTIVO","REVISAR"))</f>
        <v>ACTIVO</v>
      </c>
      <c r="AN259" t="str">
        <f ca="1">IF(OR(AF259="",AF259="null"),"",ROUND((AF259-TODAY())/365.25,2))</f>
        <v/>
      </c>
      <c r="AO259" t="str">
        <f ca="1">IF(AND(AG259="Vigente",OR(AF259="",AF259="null",AF259&gt;TODAY())),"SI",IF(AND(NOT(OR(AF259="",AF259="null")),AF259&lt;=TODAY()),"NO",IF(AG259="Vigente","SI","DESCONOCIDO")))</f>
        <v>SI</v>
      </c>
      <c r="AP259" t="str">
        <f>IF(AND(ISNUMBER(SEARCH("IMPORTAR",AA259)),ISNUMBER(SEARCH("FABRICAR",AA259))),"MIXTO",IF(ISNUMBER(SEARCH("IMPORTAR",AA259)),"IMPORTADO",IF(ISNUMBER(SEARCH("FABRICAR",AA259)),"LOCAL","OTRO")))</f>
        <v>IMPORTADO</v>
      </c>
      <c r="AQ259" t="str">
        <f>IF(AD259="Si","SI",IF(AD259="No","NO",""))</f>
        <v>SI</v>
      </c>
      <c r="AR259" t="str">
        <f>IF(ISNUMBER(SEARCH("®",N259)),"MARCA/INNOVADOR","GENERICO")</f>
        <v>MARCA/INNOVADOR</v>
      </c>
      <c r="AS259">
        <f ca="1">IF(AE259&gt;100,RANDBETWEEN(500,5000),IF(AND(AE259&gt;=10,AE259&lt;=100),RANDBETWEEN(100,1000),RANDBETWEEN(10,200)))</f>
        <v>386</v>
      </c>
      <c r="AT259">
        <f t="shared" ref="AT259:AT322" ca="1" si="22">INT(AS259*RANDBETWEEN(10,30)/100)</f>
        <v>92</v>
      </c>
      <c r="AU259">
        <f ca="1">INT(AS259*RANDBETWEEN(120,200)/100)</f>
        <v>748</v>
      </c>
      <c r="AV259" s="2">
        <f ca="1">IF(LEFT(Y259,1)="L",RANDBETWEEN(500000,5000000),IF(LEFT(Y259,1)="C",RANDBETWEEN(5000,50000),IF(LEFT(Y259,1)="N",RANDBETWEEN(10000,150000),IF(LEFT(Y259,1)="J",RANDBETWEEN(8000,200000),RANDBETWEEN(5000,100000)))))</f>
        <v>92337</v>
      </c>
      <c r="AW259" s="2">
        <f ca="1">INT(AV259*RANDBETWEEN(30,60)/100)</f>
        <v>36934</v>
      </c>
      <c r="AX259">
        <f ca="1">IF(Z259="ORAL",RANDBETWEEN(1000,10000),IF(OR(Z259="INTRAVENOSA",Z259="INTRAMUSCULAR"),RANDBETWEEN(100,2000),IF(OR(Z259="OFTÁLMICA",Z259="TOPICA (EXTERNA)"),RANDBETWEEN(200,3000),RANDBETWEEN(100,1500))))</f>
        <v>6439</v>
      </c>
      <c r="AY259" s="2">
        <f ca="1">INT(AV259*RANDBETWEEN(90,130)/100)</f>
        <v>113574</v>
      </c>
      <c r="AZ259" t="str">
        <f t="shared" ref="AZ259:AZ322" ca="1" si="23">IF(Z259="ORAL",RANDBETWEEN(50,250)/10,IF(OR(Z259="TOPICA (EXTERNA)",Z259="OFTÁLMICA"),RANDBETWEEN(20,150)/10,IF(OR(Z259="SUBCUTANEA",Z259="INTRAMUSCULAR"),RANDBETWEEN(10,100)/10,IF(Z259="INTRAVENOSA",RANDBETWEEN(1,50)/10,RANDBETWEEN(5,80)/10))))&amp;"%"</f>
        <v>20.6%</v>
      </c>
      <c r="BA259" t="str">
        <f t="shared" ref="BA259:BA322" ca="1" si="24">IF(OR(AG259&lt;&gt;"Vigente",AND(ISNUMBER(AF259),AF259&lt;TODAY()),AND(J259="Inactivo",NOT(ISNUMBER(AF259)))),"ALTO",IF(OR(AND(J259="Inactivo",ISNUMBER(AF259)),AND(ISNUMBER(AF259),AF259&gt;TODAY(),AF259&lt;=TODAY()+1825)),"MEDIO","BAJO"))</f>
        <v>BAJO</v>
      </c>
    </row>
    <row r="260" spans="4:53" x14ac:dyDescent="0.35">
      <c r="D260" t="s">
        <v>2069</v>
      </c>
      <c r="E260" s="1">
        <v>43572</v>
      </c>
      <c r="F260" t="s">
        <v>2070</v>
      </c>
      <c r="G260" t="s">
        <v>108</v>
      </c>
      <c r="H260" t="s">
        <v>2071</v>
      </c>
      <c r="I260">
        <v>20143308</v>
      </c>
      <c r="J260" t="s">
        <v>28</v>
      </c>
      <c r="K260">
        <v>1</v>
      </c>
      <c r="L260" t="s">
        <v>2072</v>
      </c>
      <c r="M260" t="s">
        <v>2073</v>
      </c>
      <c r="N260" t="s">
        <v>2074</v>
      </c>
      <c r="O260" t="s">
        <v>2075</v>
      </c>
      <c r="P260" t="s">
        <v>358</v>
      </c>
      <c r="Q260" s="1">
        <v>43357</v>
      </c>
      <c r="R260" t="s">
        <v>37</v>
      </c>
      <c r="S260" t="s">
        <v>27</v>
      </c>
      <c r="T260" t="s">
        <v>172</v>
      </c>
      <c r="U260" t="s">
        <v>115</v>
      </c>
      <c r="V260" t="s">
        <v>321</v>
      </c>
      <c r="W260">
        <v>20</v>
      </c>
      <c r="X260">
        <v>20143308</v>
      </c>
      <c r="Y260" t="s">
        <v>322</v>
      </c>
      <c r="Z260" t="s">
        <v>119</v>
      </c>
      <c r="AA260" t="s">
        <v>24</v>
      </c>
      <c r="AB260" t="s">
        <v>120</v>
      </c>
      <c r="AC260" t="s">
        <v>25</v>
      </c>
      <c r="AD260" t="s">
        <v>121</v>
      </c>
      <c r="AE260">
        <v>8</v>
      </c>
      <c r="AF260" t="s">
        <v>27</v>
      </c>
      <c r="AG260" t="s">
        <v>26</v>
      </c>
      <c r="AH260" t="s">
        <v>966</v>
      </c>
      <c r="AI260" t="str">
        <f t="shared" si="20"/>
        <v>NO</v>
      </c>
      <c r="AJ260" t="str">
        <f t="shared" si="21"/>
        <v>NOVAMED</v>
      </c>
      <c r="AK260" t="str">
        <f>IF(ISNUMBER(SEARCH("FABRICANTE",AC260)),"FABRICANTE",IF(ISNUMBER(SEARCH("IMPORTADOR",AC260)),"IMPORTADOR","OTRO"))</f>
        <v>FABRICANTE</v>
      </c>
      <c r="AL260" t="str">
        <f>IF(LEFT(Y260,1)="A","Sistema digestivo",IF(LEFT(Y260,1)="B","Sangre",IF(LEFT(Y260,1)="C","Cardiovascular",IF(LEFT(Y260,1)="D","Dermatológico",IF(LEFT(Y260,1)="G","Genitourinario",IF(LEFT(Y260,1)="H","Hormonal",IF(LEFT(Y260,1)="J","Antiinfecciosos",IF(LEFT(Y260,1)="L","Oncológicos",IF(LEFT(Y260,1)="M","Musculoesquelético",IF(LEFT(Y260,1)="N","Sistema nervioso",IF(LEFT(Y260,1)="R","Respiratorio",IF(LEFT(Y260,1)="S","Oftálmico",IF(LEFT(Y260,1)="V","Varios","OTRO")))))))))))))</f>
        <v>Sistema nervioso</v>
      </c>
      <c r="AM260" t="str">
        <f>IF(AG260="Vigente","ACTIVO",IF(ISNUMBER(SEARCH("Inactivo",J260)),"INACTIVO","REVISAR"))</f>
        <v>ACTIVO</v>
      </c>
      <c r="AN260" t="str">
        <f ca="1">IF(OR(AF260="",AF260="null"),"",ROUND((AF260-TODAY())/365.25,2))</f>
        <v/>
      </c>
      <c r="AO260" t="str">
        <f ca="1">IF(AND(AG260="Vigente",OR(AF260="",AF260="null",AF260&gt;TODAY())),"SI",IF(AND(NOT(OR(AF260="",AF260="null")),AF260&lt;=TODAY()),"NO",IF(AG260="Vigente","SI","DESCONOCIDO")))</f>
        <v>SI</v>
      </c>
      <c r="AP260" t="str">
        <f>IF(AND(ISNUMBER(SEARCH("IMPORTAR",AA260)),ISNUMBER(SEARCH("FABRICAR",AA260))),"MIXTO",IF(ISNUMBER(SEARCH("IMPORTAR",AA260)),"IMPORTADO",IF(ISNUMBER(SEARCH("FABRICAR",AA260)),"LOCAL","OTRO")))</f>
        <v>LOCAL</v>
      </c>
      <c r="AQ260" t="str">
        <f>IF(AD260="Si","SI",IF(AD260="No","NO",""))</f>
        <v>NO</v>
      </c>
      <c r="AR260" t="str">
        <f>IF(ISNUMBER(SEARCH("®",N260)),"MARCA/INNOVADOR","GENERICO")</f>
        <v>MARCA/INNOVADOR</v>
      </c>
      <c r="AS260">
        <f ca="1">IF(AE260&gt;100,RANDBETWEEN(500,5000),IF(AND(AE260&gt;=10,AE260&lt;=100),RANDBETWEEN(100,1000),RANDBETWEEN(10,200)))</f>
        <v>42</v>
      </c>
      <c r="AT260">
        <f t="shared" ca="1" si="22"/>
        <v>9</v>
      </c>
      <c r="AU260">
        <f ca="1">INT(AS260*RANDBETWEEN(120,200)/100)</f>
        <v>75</v>
      </c>
      <c r="AV260" s="2">
        <f ca="1">IF(LEFT(Y260,1)="L",RANDBETWEEN(500000,5000000),IF(LEFT(Y260,1)="C",RANDBETWEEN(5000,50000),IF(LEFT(Y260,1)="N",RANDBETWEEN(10000,150000),IF(LEFT(Y260,1)="J",RANDBETWEEN(8000,200000),RANDBETWEEN(5000,100000)))))</f>
        <v>99558</v>
      </c>
      <c r="AW260" s="2">
        <f ca="1">INT(AV260*RANDBETWEEN(30,60)/100)</f>
        <v>43805</v>
      </c>
      <c r="AX260">
        <f ca="1">IF(Z260="ORAL",RANDBETWEEN(1000,10000),IF(OR(Z260="INTRAVENOSA",Z260="INTRAMUSCULAR"),RANDBETWEEN(100,2000),IF(OR(Z260="OFTÁLMICA",Z260="TOPICA (EXTERNA)"),RANDBETWEEN(200,3000),RANDBETWEEN(100,1500))))</f>
        <v>5886</v>
      </c>
      <c r="AY260" s="2">
        <f ca="1">INT(AV260*RANDBETWEEN(90,130)/100)</f>
        <v>113496</v>
      </c>
      <c r="AZ260" t="str">
        <f t="shared" ca="1" si="23"/>
        <v>9.6%</v>
      </c>
      <c r="BA260" t="str">
        <f t="shared" ca="1" si="24"/>
        <v>BAJO</v>
      </c>
    </row>
    <row r="261" spans="4:53" x14ac:dyDescent="0.35">
      <c r="D261" t="s">
        <v>2076</v>
      </c>
      <c r="E261" s="1">
        <v>41948</v>
      </c>
      <c r="F261" t="s">
        <v>2077</v>
      </c>
      <c r="G261" t="s">
        <v>108</v>
      </c>
      <c r="H261" t="s">
        <v>2078</v>
      </c>
      <c r="I261">
        <v>20068918</v>
      </c>
      <c r="J261" t="s">
        <v>28</v>
      </c>
      <c r="K261">
        <v>1</v>
      </c>
      <c r="L261" t="s">
        <v>27</v>
      </c>
      <c r="M261" t="s">
        <v>2079</v>
      </c>
      <c r="N261" t="s">
        <v>2080</v>
      </c>
      <c r="O261" t="s">
        <v>2081</v>
      </c>
      <c r="P261" t="s">
        <v>33</v>
      </c>
      <c r="Q261" s="1">
        <v>41789</v>
      </c>
      <c r="R261" t="s">
        <v>200</v>
      </c>
      <c r="S261" t="s">
        <v>27</v>
      </c>
      <c r="T261" t="s">
        <v>958</v>
      </c>
      <c r="U261" t="s">
        <v>115</v>
      </c>
      <c r="V261" t="s">
        <v>2082</v>
      </c>
      <c r="W261">
        <v>10</v>
      </c>
      <c r="X261">
        <v>20068918</v>
      </c>
      <c r="Y261" t="s">
        <v>2083</v>
      </c>
      <c r="Z261" t="s">
        <v>119</v>
      </c>
      <c r="AA261" t="s">
        <v>848</v>
      </c>
      <c r="AB261" t="s">
        <v>120</v>
      </c>
      <c r="AC261" t="s">
        <v>25</v>
      </c>
      <c r="AD261" t="s">
        <v>121</v>
      </c>
      <c r="AE261">
        <v>7</v>
      </c>
      <c r="AF261" t="s">
        <v>27</v>
      </c>
      <c r="AG261" t="s">
        <v>26</v>
      </c>
      <c r="AH261" t="s">
        <v>6766</v>
      </c>
      <c r="AI261" t="str">
        <f t="shared" si="20"/>
        <v>SI</v>
      </c>
      <c r="AJ261" t="str">
        <f t="shared" si="21"/>
        <v>EUROFARMA COLOMBIA</v>
      </c>
      <c r="AK261" t="str">
        <f>IF(ISNUMBER(SEARCH("FABRICANTE",AC261)),"FABRICANTE",IF(ISNUMBER(SEARCH("IMPORTADOR",AC261)),"IMPORTADOR","OTRO"))</f>
        <v>FABRICANTE</v>
      </c>
      <c r="AL261" t="str">
        <f>IF(LEFT(Y261,1)="A","Sistema digestivo",IF(LEFT(Y261,1)="B","Sangre",IF(LEFT(Y261,1)="C","Cardiovascular",IF(LEFT(Y261,1)="D","Dermatológico",IF(LEFT(Y261,1)="G","Genitourinario",IF(LEFT(Y261,1)="H","Hormonal",IF(LEFT(Y261,1)="J","Antiinfecciosos",IF(LEFT(Y261,1)="L","Oncológicos",IF(LEFT(Y261,1)="M","Musculoesquelético",IF(LEFT(Y261,1)="N","Sistema nervioso",IF(LEFT(Y261,1)="R","Respiratorio",IF(LEFT(Y261,1)="S","Oftálmico",IF(LEFT(Y261,1)="V","Varios","OTRO")))))))))))))</f>
        <v>Sistema nervioso</v>
      </c>
      <c r="AM261" t="str">
        <f>IF(AG261="Vigente","ACTIVO",IF(ISNUMBER(SEARCH("Inactivo",J261)),"INACTIVO","REVISAR"))</f>
        <v>ACTIVO</v>
      </c>
      <c r="AN261" t="str">
        <f ca="1">IF(OR(AF261="",AF261="null"),"",ROUND((AF261-TODAY())/365.25,2))</f>
        <v/>
      </c>
      <c r="AO261" t="str">
        <f ca="1">IF(AND(AG261="Vigente",OR(AF261="",AF261="null",AF261&gt;TODAY())),"SI",IF(AND(NOT(OR(AF261="",AF261="null")),AF261&lt;=TODAY()),"NO",IF(AG261="Vigente","SI","DESCONOCIDO")))</f>
        <v>SI</v>
      </c>
      <c r="AP261" t="str">
        <f>IF(AND(ISNUMBER(SEARCH("IMPORTAR",AA261)),ISNUMBER(SEARCH("FABRICAR",AA261))),"MIXTO",IF(ISNUMBER(SEARCH("IMPORTAR",AA261)),"IMPORTADO",IF(ISNUMBER(SEARCH("FABRICAR",AA261)),"LOCAL","OTRO")))</f>
        <v>IMPORTADO</v>
      </c>
      <c r="AQ261" t="str">
        <f>IF(AD261="Si","SI",IF(AD261="No","NO",""))</f>
        <v>NO</v>
      </c>
      <c r="AR261" t="str">
        <f>IF(ISNUMBER(SEARCH("®",N261)),"MARCA/INNOVADOR","GENERICO")</f>
        <v>GENERICO</v>
      </c>
      <c r="AS261">
        <f ca="1">IF(AE261&gt;100,RANDBETWEEN(500,5000),IF(AND(AE261&gt;=10,AE261&lt;=100),RANDBETWEEN(100,1000),RANDBETWEEN(10,200)))</f>
        <v>26</v>
      </c>
      <c r="AT261">
        <f t="shared" ca="1" si="22"/>
        <v>7</v>
      </c>
      <c r="AU261">
        <f ca="1">INT(AS261*RANDBETWEEN(120,200)/100)</f>
        <v>43</v>
      </c>
      <c r="AV261" s="2">
        <f ca="1">IF(LEFT(Y261,1)="L",RANDBETWEEN(500000,5000000),IF(LEFT(Y261,1)="C",RANDBETWEEN(5000,50000),IF(LEFT(Y261,1)="N",RANDBETWEEN(10000,150000),IF(LEFT(Y261,1)="J",RANDBETWEEN(8000,200000),RANDBETWEEN(5000,100000)))))</f>
        <v>128868</v>
      </c>
      <c r="AW261" s="2">
        <f ca="1">INT(AV261*RANDBETWEEN(30,60)/100)</f>
        <v>38660</v>
      </c>
      <c r="AX261">
        <f ca="1">IF(Z261="ORAL",RANDBETWEEN(1000,10000),IF(OR(Z261="INTRAVENOSA",Z261="INTRAMUSCULAR"),RANDBETWEEN(100,2000),IF(OR(Z261="OFTÁLMICA",Z261="TOPICA (EXTERNA)"),RANDBETWEEN(200,3000),RANDBETWEEN(100,1500))))</f>
        <v>7968</v>
      </c>
      <c r="AY261" s="2">
        <f ca="1">INT(AV261*RANDBETWEEN(90,130)/100)</f>
        <v>167528</v>
      </c>
      <c r="AZ261" t="str">
        <f t="shared" ca="1" si="23"/>
        <v>10.1%</v>
      </c>
      <c r="BA261" t="str">
        <f t="shared" ca="1" si="24"/>
        <v>BAJO</v>
      </c>
    </row>
    <row r="262" spans="4:53" x14ac:dyDescent="0.35">
      <c r="D262" t="s">
        <v>2084</v>
      </c>
      <c r="E262" s="1">
        <v>40301</v>
      </c>
      <c r="F262" t="s">
        <v>2085</v>
      </c>
      <c r="G262" t="s">
        <v>108</v>
      </c>
      <c r="H262" t="s">
        <v>83</v>
      </c>
      <c r="I262">
        <v>20011915</v>
      </c>
      <c r="J262" t="s">
        <v>28</v>
      </c>
      <c r="K262">
        <v>7</v>
      </c>
      <c r="L262" t="s">
        <v>27</v>
      </c>
      <c r="M262" t="s">
        <v>2086</v>
      </c>
      <c r="N262" t="s">
        <v>2087</v>
      </c>
      <c r="O262" t="s">
        <v>2088</v>
      </c>
      <c r="P262" t="s">
        <v>659</v>
      </c>
      <c r="Q262" s="1">
        <v>44497</v>
      </c>
      <c r="R262" t="s">
        <v>37</v>
      </c>
      <c r="S262" t="s">
        <v>27</v>
      </c>
      <c r="T262" t="s">
        <v>2089</v>
      </c>
      <c r="U262" t="s">
        <v>115</v>
      </c>
      <c r="V262" t="s">
        <v>722</v>
      </c>
      <c r="W262">
        <v>30</v>
      </c>
      <c r="X262">
        <v>20011915</v>
      </c>
      <c r="Y262" t="s">
        <v>723</v>
      </c>
      <c r="Z262" t="s">
        <v>119</v>
      </c>
      <c r="AA262" t="s">
        <v>165</v>
      </c>
      <c r="AB262" t="s">
        <v>120</v>
      </c>
      <c r="AC262" t="s">
        <v>25</v>
      </c>
      <c r="AD262" t="s">
        <v>121</v>
      </c>
      <c r="AE262">
        <v>7</v>
      </c>
      <c r="AF262" t="s">
        <v>27</v>
      </c>
      <c r="AG262" t="s">
        <v>26</v>
      </c>
      <c r="AH262" t="s">
        <v>6767</v>
      </c>
      <c r="AI262" t="str">
        <f t="shared" si="20"/>
        <v>SI</v>
      </c>
      <c r="AJ262" t="str">
        <f t="shared" si="21"/>
        <v>COOPERATIVA NACIONAL DE DROGUISTAS DETALLISTAS - COOPIDROGAS</v>
      </c>
      <c r="AK262" t="str">
        <f>IF(ISNUMBER(SEARCH("FABRICANTE",AC262)),"FABRICANTE",IF(ISNUMBER(SEARCH("IMPORTADOR",AC262)),"IMPORTADOR","OTRO"))</f>
        <v>FABRICANTE</v>
      </c>
      <c r="AL262" t="str">
        <f>IF(LEFT(Y262,1)="A","Sistema digestivo",IF(LEFT(Y262,1)="B","Sangre",IF(LEFT(Y262,1)="C","Cardiovascular",IF(LEFT(Y262,1)="D","Dermatológico",IF(LEFT(Y262,1)="G","Genitourinario",IF(LEFT(Y262,1)="H","Hormonal",IF(LEFT(Y262,1)="J","Antiinfecciosos",IF(LEFT(Y262,1)="L","Oncológicos",IF(LEFT(Y262,1)="M","Musculoesquelético",IF(LEFT(Y262,1)="N","Sistema nervioso",IF(LEFT(Y262,1)="R","Respiratorio",IF(LEFT(Y262,1)="S","Oftálmico",IF(LEFT(Y262,1)="V","Varios","OTRO")))))))))))))</f>
        <v>Sistema digestivo</v>
      </c>
      <c r="AM262" t="str">
        <f>IF(AG262="Vigente","ACTIVO",IF(ISNUMBER(SEARCH("Inactivo",J262)),"INACTIVO","REVISAR"))</f>
        <v>ACTIVO</v>
      </c>
      <c r="AN262" t="str">
        <f ca="1">IF(OR(AF262="",AF262="null"),"",ROUND((AF262-TODAY())/365.25,2))</f>
        <v/>
      </c>
      <c r="AO262" t="str">
        <f ca="1">IF(AND(AG262="Vigente",OR(AF262="",AF262="null",AF262&gt;TODAY())),"SI",IF(AND(NOT(OR(AF262="",AF262="null")),AF262&lt;=TODAY()),"NO",IF(AG262="Vigente","SI","DESCONOCIDO")))</f>
        <v>SI</v>
      </c>
      <c r="AP262" t="str">
        <f>IF(AND(ISNUMBER(SEARCH("IMPORTAR",AA262)),ISNUMBER(SEARCH("FABRICAR",AA262))),"MIXTO",IF(ISNUMBER(SEARCH("IMPORTAR",AA262)),"IMPORTADO",IF(ISNUMBER(SEARCH("FABRICAR",AA262)),"LOCAL","OTRO")))</f>
        <v>IMPORTADO</v>
      </c>
      <c r="AQ262" t="str">
        <f>IF(AD262="Si","SI",IF(AD262="No","NO",""))</f>
        <v>NO</v>
      </c>
      <c r="AR262" t="str">
        <f>IF(ISNUMBER(SEARCH("®",N262)),"MARCA/INNOVADOR","GENERICO")</f>
        <v>GENERICO</v>
      </c>
      <c r="AS262">
        <f ca="1">IF(AE262&gt;100,RANDBETWEEN(500,5000),IF(AND(AE262&gt;=10,AE262&lt;=100),RANDBETWEEN(100,1000),RANDBETWEEN(10,200)))</f>
        <v>78</v>
      </c>
      <c r="AT262">
        <f t="shared" ca="1" si="22"/>
        <v>15</v>
      </c>
      <c r="AU262">
        <f ca="1">INT(AS262*RANDBETWEEN(120,200)/100)</f>
        <v>110</v>
      </c>
      <c r="AV262" s="2">
        <f ca="1">IF(LEFT(Y262,1)="L",RANDBETWEEN(500000,5000000),IF(LEFT(Y262,1)="C",RANDBETWEEN(5000,50000),IF(LEFT(Y262,1)="N",RANDBETWEEN(10000,150000),IF(LEFT(Y262,1)="J",RANDBETWEEN(8000,200000),RANDBETWEEN(5000,100000)))))</f>
        <v>80846</v>
      </c>
      <c r="AW262" s="2">
        <f ca="1">INT(AV262*RANDBETWEEN(30,60)/100)</f>
        <v>34763</v>
      </c>
      <c r="AX262">
        <f ca="1">IF(Z262="ORAL",RANDBETWEEN(1000,10000),IF(OR(Z262="INTRAVENOSA",Z262="INTRAMUSCULAR"),RANDBETWEEN(100,2000),IF(OR(Z262="OFTÁLMICA",Z262="TOPICA (EXTERNA)"),RANDBETWEEN(200,3000),RANDBETWEEN(100,1500))))</f>
        <v>7392</v>
      </c>
      <c r="AY262" s="2">
        <f ca="1">INT(AV262*RANDBETWEEN(90,130)/100)</f>
        <v>77612</v>
      </c>
      <c r="AZ262" t="str">
        <f t="shared" ca="1" si="23"/>
        <v>13.8%</v>
      </c>
      <c r="BA262" t="str">
        <f t="shared" ca="1" si="24"/>
        <v>BAJO</v>
      </c>
    </row>
    <row r="263" spans="4:53" x14ac:dyDescent="0.35">
      <c r="D263" t="s">
        <v>2090</v>
      </c>
      <c r="E263" s="1">
        <v>44545</v>
      </c>
      <c r="F263" t="s">
        <v>2091</v>
      </c>
      <c r="G263" t="s">
        <v>108</v>
      </c>
      <c r="H263" t="s">
        <v>2092</v>
      </c>
      <c r="I263">
        <v>20196686</v>
      </c>
      <c r="J263" t="s">
        <v>28</v>
      </c>
      <c r="K263">
        <v>7</v>
      </c>
      <c r="L263" t="s">
        <v>2093</v>
      </c>
      <c r="M263" t="s">
        <v>2094</v>
      </c>
      <c r="N263" t="s">
        <v>2095</v>
      </c>
      <c r="O263" t="s">
        <v>2096</v>
      </c>
      <c r="P263" t="s">
        <v>2097</v>
      </c>
      <c r="Q263" s="1">
        <v>44509</v>
      </c>
      <c r="R263" t="s">
        <v>459</v>
      </c>
      <c r="S263" t="s">
        <v>27</v>
      </c>
      <c r="T263" t="s">
        <v>1369</v>
      </c>
      <c r="U263" t="s">
        <v>247</v>
      </c>
      <c r="V263" t="s">
        <v>64</v>
      </c>
      <c r="W263">
        <v>2</v>
      </c>
      <c r="X263">
        <v>20196686</v>
      </c>
      <c r="Y263" t="s">
        <v>716</v>
      </c>
      <c r="Z263" t="s">
        <v>119</v>
      </c>
      <c r="AA263" t="s">
        <v>24</v>
      </c>
      <c r="AB263" t="s">
        <v>250</v>
      </c>
      <c r="AC263" t="s">
        <v>25</v>
      </c>
      <c r="AD263" t="s">
        <v>121</v>
      </c>
      <c r="AE263">
        <v>1</v>
      </c>
      <c r="AF263" t="s">
        <v>27</v>
      </c>
      <c r="AG263" t="s">
        <v>26</v>
      </c>
      <c r="AH263" t="s">
        <v>6768</v>
      </c>
      <c r="AI263" t="str">
        <f t="shared" si="20"/>
        <v>NO</v>
      </c>
      <c r="AJ263" t="str">
        <f t="shared" si="21"/>
        <v>GLOBAL INTERNATIONAL MEDICINE GIMED</v>
      </c>
      <c r="AK263" t="str">
        <f>IF(ISNUMBER(SEARCH("FABRICANTE",AC263)),"FABRICANTE",IF(ISNUMBER(SEARCH("IMPORTADOR",AC263)),"IMPORTADOR","OTRO"))</f>
        <v>FABRICANTE</v>
      </c>
      <c r="AL263" t="str">
        <f>IF(LEFT(Y263,1)="A","Sistema digestivo",IF(LEFT(Y263,1)="B","Sangre",IF(LEFT(Y263,1)="C","Cardiovascular",IF(LEFT(Y263,1)="D","Dermatológico",IF(LEFT(Y263,1)="G","Genitourinario",IF(LEFT(Y263,1)="H","Hormonal",IF(LEFT(Y263,1)="J","Antiinfecciosos",IF(LEFT(Y263,1)="L","Oncológicos",IF(LEFT(Y263,1)="M","Musculoesquelético",IF(LEFT(Y263,1)="N","Sistema nervioso",IF(LEFT(Y263,1)="R","Respiratorio",IF(LEFT(Y263,1)="S","Oftálmico",IF(LEFT(Y263,1)="V","Varios","OTRO")))))))))))))</f>
        <v>Respiratorio</v>
      </c>
      <c r="AM263" t="str">
        <f>IF(AG263="Vigente","ACTIVO",IF(ISNUMBER(SEARCH("Inactivo",J263)),"INACTIVO","REVISAR"))</f>
        <v>ACTIVO</v>
      </c>
      <c r="AN263" t="str">
        <f ca="1">IF(OR(AF263="",AF263="null"),"",ROUND((AF263-TODAY())/365.25,2))</f>
        <v/>
      </c>
      <c r="AO263" t="str">
        <f ca="1">IF(AND(AG263="Vigente",OR(AF263="",AF263="null",AF263&gt;TODAY())),"SI",IF(AND(NOT(OR(AF263="",AF263="null")),AF263&lt;=TODAY()),"NO",IF(AG263="Vigente","SI","DESCONOCIDO")))</f>
        <v>SI</v>
      </c>
      <c r="AP263" t="str">
        <f>IF(AND(ISNUMBER(SEARCH("IMPORTAR",AA263)),ISNUMBER(SEARCH("FABRICAR",AA263))),"MIXTO",IF(ISNUMBER(SEARCH("IMPORTAR",AA263)),"IMPORTADO",IF(ISNUMBER(SEARCH("FABRICAR",AA263)),"LOCAL","OTRO")))</f>
        <v>LOCAL</v>
      </c>
      <c r="AQ263" t="str">
        <f>IF(AD263="Si","SI",IF(AD263="No","NO",""))</f>
        <v>NO</v>
      </c>
      <c r="AR263" t="str">
        <f>IF(ISNUMBER(SEARCH("®",N263)),"MARCA/INNOVADOR","GENERICO")</f>
        <v>MARCA/INNOVADOR</v>
      </c>
      <c r="AS263">
        <f ca="1">IF(AE263&gt;100,RANDBETWEEN(500,5000),IF(AND(AE263&gt;=10,AE263&lt;=100),RANDBETWEEN(100,1000),RANDBETWEEN(10,200)))</f>
        <v>56</v>
      </c>
      <c r="AT263">
        <f t="shared" ca="1" si="22"/>
        <v>7</v>
      </c>
      <c r="AU263">
        <f ca="1">INT(AS263*RANDBETWEEN(120,200)/100)</f>
        <v>100</v>
      </c>
      <c r="AV263" s="2">
        <f ca="1">IF(LEFT(Y263,1)="L",RANDBETWEEN(500000,5000000),IF(LEFT(Y263,1)="C",RANDBETWEEN(5000,50000),IF(LEFT(Y263,1)="N",RANDBETWEEN(10000,150000),IF(LEFT(Y263,1)="J",RANDBETWEEN(8000,200000),RANDBETWEEN(5000,100000)))))</f>
        <v>39748</v>
      </c>
      <c r="AW263" s="2">
        <f ca="1">INT(AV263*RANDBETWEEN(30,60)/100)</f>
        <v>19874</v>
      </c>
      <c r="AX263">
        <f ca="1">IF(Z263="ORAL",RANDBETWEEN(1000,10000),IF(OR(Z263="INTRAVENOSA",Z263="INTRAMUSCULAR"),RANDBETWEEN(100,2000),IF(OR(Z263="OFTÁLMICA",Z263="TOPICA (EXTERNA)"),RANDBETWEEN(200,3000),RANDBETWEEN(100,1500))))</f>
        <v>6297</v>
      </c>
      <c r="AY263" s="2">
        <f ca="1">INT(AV263*RANDBETWEEN(90,130)/100)</f>
        <v>41735</v>
      </c>
      <c r="AZ263" t="str">
        <f t="shared" ca="1" si="23"/>
        <v>10.1%</v>
      </c>
      <c r="BA263" t="str">
        <f t="shared" ca="1" si="24"/>
        <v>BAJO</v>
      </c>
    </row>
    <row r="264" spans="4:53" x14ac:dyDescent="0.35">
      <c r="D264" t="s">
        <v>2098</v>
      </c>
      <c r="E264" s="1">
        <v>43504</v>
      </c>
      <c r="F264" t="s">
        <v>522</v>
      </c>
      <c r="G264" t="s">
        <v>108</v>
      </c>
      <c r="H264" t="s">
        <v>80</v>
      </c>
      <c r="I264">
        <v>20104221</v>
      </c>
      <c r="J264" t="s">
        <v>28</v>
      </c>
      <c r="K264">
        <v>26</v>
      </c>
      <c r="L264" t="s">
        <v>27</v>
      </c>
      <c r="M264" t="s">
        <v>2099</v>
      </c>
      <c r="N264" t="s">
        <v>2100</v>
      </c>
      <c r="O264" t="s">
        <v>2101</v>
      </c>
      <c r="P264" t="s">
        <v>527</v>
      </c>
      <c r="Q264" s="1">
        <v>45623</v>
      </c>
      <c r="R264" t="s">
        <v>527</v>
      </c>
      <c r="S264" t="s">
        <v>27</v>
      </c>
      <c r="T264" t="s">
        <v>80</v>
      </c>
      <c r="U264" t="s">
        <v>115</v>
      </c>
      <c r="V264" t="s">
        <v>321</v>
      </c>
      <c r="W264">
        <v>325</v>
      </c>
      <c r="X264">
        <v>20104221</v>
      </c>
      <c r="Y264" t="s">
        <v>322</v>
      </c>
      <c r="Z264" t="s">
        <v>119</v>
      </c>
      <c r="AA264" t="s">
        <v>24</v>
      </c>
      <c r="AB264" t="s">
        <v>120</v>
      </c>
      <c r="AC264" t="s">
        <v>25</v>
      </c>
      <c r="AD264" t="s">
        <v>121</v>
      </c>
      <c r="AE264">
        <v>4</v>
      </c>
      <c r="AF264" t="s">
        <v>27</v>
      </c>
      <c r="AG264" t="s">
        <v>26</v>
      </c>
      <c r="AH264" t="s">
        <v>522</v>
      </c>
      <c r="AI264" t="str">
        <f t="shared" si="20"/>
        <v>NO</v>
      </c>
      <c r="AJ264" t="str">
        <f t="shared" si="21"/>
        <v>TECNOQUIMICAS</v>
      </c>
      <c r="AK264" t="str">
        <f>IF(ISNUMBER(SEARCH("FABRICANTE",AC264)),"FABRICANTE",IF(ISNUMBER(SEARCH("IMPORTADOR",AC264)),"IMPORTADOR","OTRO"))</f>
        <v>FABRICANTE</v>
      </c>
      <c r="AL264" t="str">
        <f>IF(LEFT(Y264,1)="A","Sistema digestivo",IF(LEFT(Y264,1)="B","Sangre",IF(LEFT(Y264,1)="C","Cardiovascular",IF(LEFT(Y264,1)="D","Dermatológico",IF(LEFT(Y264,1)="G","Genitourinario",IF(LEFT(Y264,1)="H","Hormonal",IF(LEFT(Y264,1)="J","Antiinfecciosos",IF(LEFT(Y264,1)="L","Oncológicos",IF(LEFT(Y264,1)="M","Musculoesquelético",IF(LEFT(Y264,1)="N","Sistema nervioso",IF(LEFT(Y264,1)="R","Respiratorio",IF(LEFT(Y264,1)="S","Oftálmico",IF(LEFT(Y264,1)="V","Varios","OTRO")))))))))))))</f>
        <v>Sistema nervioso</v>
      </c>
      <c r="AM264" t="str">
        <f>IF(AG264="Vigente","ACTIVO",IF(ISNUMBER(SEARCH("Inactivo",J264)),"INACTIVO","REVISAR"))</f>
        <v>ACTIVO</v>
      </c>
      <c r="AN264" t="str">
        <f ca="1">IF(OR(AF264="",AF264="null"),"",ROUND((AF264-TODAY())/365.25,2))</f>
        <v/>
      </c>
      <c r="AO264" t="str">
        <f ca="1">IF(AND(AG264="Vigente",OR(AF264="",AF264="null",AF264&gt;TODAY())),"SI",IF(AND(NOT(OR(AF264="",AF264="null")),AF264&lt;=TODAY()),"NO",IF(AG264="Vigente","SI","DESCONOCIDO")))</f>
        <v>SI</v>
      </c>
      <c r="AP264" t="str">
        <f>IF(AND(ISNUMBER(SEARCH("IMPORTAR",AA264)),ISNUMBER(SEARCH("FABRICAR",AA264))),"MIXTO",IF(ISNUMBER(SEARCH("IMPORTAR",AA264)),"IMPORTADO",IF(ISNUMBER(SEARCH("FABRICAR",AA264)),"LOCAL","OTRO")))</f>
        <v>LOCAL</v>
      </c>
      <c r="AQ264" t="str">
        <f>IF(AD264="Si","SI",IF(AD264="No","NO",""))</f>
        <v>NO</v>
      </c>
      <c r="AR264" t="str">
        <f>IF(ISNUMBER(SEARCH("®",N264)),"MARCA/INNOVADOR","GENERICO")</f>
        <v>GENERICO</v>
      </c>
      <c r="AS264">
        <f ca="1">IF(AE264&gt;100,RANDBETWEEN(500,5000),IF(AND(AE264&gt;=10,AE264&lt;=100),RANDBETWEEN(100,1000),RANDBETWEEN(10,200)))</f>
        <v>11</v>
      </c>
      <c r="AT264">
        <f t="shared" ca="1" si="22"/>
        <v>1</v>
      </c>
      <c r="AU264">
        <f ca="1">INT(AS264*RANDBETWEEN(120,200)/100)</f>
        <v>18</v>
      </c>
      <c r="AV264" s="2">
        <f ca="1">IF(LEFT(Y264,1)="L",RANDBETWEEN(500000,5000000),IF(LEFT(Y264,1)="C",RANDBETWEEN(5000,50000),IF(LEFT(Y264,1)="N",RANDBETWEEN(10000,150000),IF(LEFT(Y264,1)="J",RANDBETWEEN(8000,200000),RANDBETWEEN(5000,100000)))))</f>
        <v>136401</v>
      </c>
      <c r="AW264" s="2">
        <f ca="1">INT(AV264*RANDBETWEEN(30,60)/100)</f>
        <v>54560</v>
      </c>
      <c r="AX264">
        <f ca="1">IF(Z264="ORAL",RANDBETWEEN(1000,10000),IF(OR(Z264="INTRAVENOSA",Z264="INTRAMUSCULAR"),RANDBETWEEN(100,2000),IF(OR(Z264="OFTÁLMICA",Z264="TOPICA (EXTERNA)"),RANDBETWEEN(200,3000),RANDBETWEEN(100,1500))))</f>
        <v>1006</v>
      </c>
      <c r="AY264" s="2">
        <f ca="1">INT(AV264*RANDBETWEEN(90,130)/100)</f>
        <v>128216</v>
      </c>
      <c r="AZ264" t="str">
        <f t="shared" ca="1" si="23"/>
        <v>5.1%</v>
      </c>
      <c r="BA264" t="str">
        <f t="shared" ca="1" si="24"/>
        <v>BAJO</v>
      </c>
    </row>
    <row r="265" spans="4:53" x14ac:dyDescent="0.35">
      <c r="D265" t="s">
        <v>2102</v>
      </c>
      <c r="E265" s="1">
        <v>36943</v>
      </c>
      <c r="F265" t="s">
        <v>2103</v>
      </c>
      <c r="G265" t="s">
        <v>108</v>
      </c>
      <c r="H265" t="s">
        <v>2104</v>
      </c>
      <c r="I265">
        <v>19912744</v>
      </c>
      <c r="J265" t="s">
        <v>28</v>
      </c>
      <c r="K265">
        <v>3</v>
      </c>
      <c r="L265" t="s">
        <v>27</v>
      </c>
      <c r="M265" t="s">
        <v>2105</v>
      </c>
      <c r="N265" t="s">
        <v>2106</v>
      </c>
      <c r="O265" t="s">
        <v>2107</v>
      </c>
      <c r="P265" t="s">
        <v>1124</v>
      </c>
      <c r="Q265" s="1">
        <v>42227</v>
      </c>
      <c r="R265" t="s">
        <v>50</v>
      </c>
      <c r="S265" t="s">
        <v>27</v>
      </c>
      <c r="T265" t="s">
        <v>1006</v>
      </c>
      <c r="U265" t="s">
        <v>115</v>
      </c>
      <c r="V265" t="s">
        <v>2108</v>
      </c>
      <c r="W265">
        <v>50</v>
      </c>
      <c r="X265">
        <v>19912744</v>
      </c>
      <c r="Y265" t="s">
        <v>2109</v>
      </c>
      <c r="Z265" t="s">
        <v>213</v>
      </c>
      <c r="AA265" t="s">
        <v>32</v>
      </c>
      <c r="AB265" t="s">
        <v>120</v>
      </c>
      <c r="AC265" t="s">
        <v>38</v>
      </c>
      <c r="AD265" t="s">
        <v>155</v>
      </c>
      <c r="AE265">
        <v>2</v>
      </c>
      <c r="AF265" t="s">
        <v>27</v>
      </c>
      <c r="AG265" t="s">
        <v>26</v>
      </c>
      <c r="AH265" t="s">
        <v>6769</v>
      </c>
      <c r="AI265" t="str">
        <f t="shared" si="20"/>
        <v>NO</v>
      </c>
      <c r="AJ265" t="str">
        <f t="shared" si="21"/>
        <v>ASPEN LABS. MEXICO</v>
      </c>
      <c r="AK265" t="str">
        <f>IF(ISNUMBER(SEARCH("FABRICANTE",AC265)),"FABRICANTE",IF(ISNUMBER(SEARCH("IMPORTADOR",AC265)),"IMPORTADOR","OTRO"))</f>
        <v>IMPORTADOR</v>
      </c>
      <c r="AL265" t="str">
        <f>IF(LEFT(Y265,1)="A","Sistema digestivo",IF(LEFT(Y265,1)="B","Sangre",IF(LEFT(Y265,1)="C","Cardiovascular",IF(LEFT(Y265,1)="D","Dermatológico",IF(LEFT(Y265,1)="G","Genitourinario",IF(LEFT(Y265,1)="H","Hormonal",IF(LEFT(Y265,1)="J","Antiinfecciosos",IF(LEFT(Y265,1)="L","Oncológicos",IF(LEFT(Y265,1)="M","Musculoesquelético",IF(LEFT(Y265,1)="N","Sistema nervioso",IF(LEFT(Y265,1)="R","Respiratorio",IF(LEFT(Y265,1)="S","Oftálmico",IF(LEFT(Y265,1)="V","Varios","OTRO")))))))))))))</f>
        <v>Sistema digestivo</v>
      </c>
      <c r="AM265" t="str">
        <f>IF(AG265="Vigente","ACTIVO",IF(ISNUMBER(SEARCH("Inactivo",J265)),"INACTIVO","REVISAR"))</f>
        <v>ACTIVO</v>
      </c>
      <c r="AN265" t="str">
        <f ca="1">IF(OR(AF265="",AF265="null"),"",ROUND((AF265-TODAY())/365.25,2))</f>
        <v/>
      </c>
      <c r="AO265" t="str">
        <f ca="1">IF(AND(AG265="Vigente",OR(AF265="",AF265="null",AF265&gt;TODAY())),"SI",IF(AND(NOT(OR(AF265="",AF265="null")),AF265&lt;=TODAY()),"NO",IF(AG265="Vigente","SI","DESCONOCIDO")))</f>
        <v>SI</v>
      </c>
      <c r="AP265" t="str">
        <f>IF(AND(ISNUMBER(SEARCH("IMPORTAR",AA265)),ISNUMBER(SEARCH("FABRICAR",AA265))),"MIXTO",IF(ISNUMBER(SEARCH("IMPORTAR",AA265)),"IMPORTADO",IF(ISNUMBER(SEARCH("FABRICAR",AA265)),"LOCAL","OTRO")))</f>
        <v>IMPORTADO</v>
      </c>
      <c r="AQ265" t="str">
        <f>IF(AD265="Si","SI",IF(AD265="No","NO",""))</f>
        <v>SI</v>
      </c>
      <c r="AR265" t="str">
        <f>IF(ISNUMBER(SEARCH("®",N265)),"MARCA/INNOVADOR","GENERICO")</f>
        <v>MARCA/INNOVADOR</v>
      </c>
      <c r="AS265">
        <f ca="1">IF(AE265&gt;100,RANDBETWEEN(500,5000),IF(AND(AE265&gt;=10,AE265&lt;=100),RANDBETWEEN(100,1000),RANDBETWEEN(10,200)))</f>
        <v>183</v>
      </c>
      <c r="AT265">
        <f t="shared" ca="1" si="22"/>
        <v>54</v>
      </c>
      <c r="AU265">
        <f ca="1">INT(AS265*RANDBETWEEN(120,200)/100)</f>
        <v>356</v>
      </c>
      <c r="AV265" s="2">
        <f ca="1">IF(LEFT(Y265,1)="L",RANDBETWEEN(500000,5000000),IF(LEFT(Y265,1)="C",RANDBETWEEN(5000,50000),IF(LEFT(Y265,1)="N",RANDBETWEEN(10000,150000),IF(LEFT(Y265,1)="J",RANDBETWEEN(8000,200000),RANDBETWEEN(5000,100000)))))</f>
        <v>81817</v>
      </c>
      <c r="AW265" s="2">
        <f ca="1">INT(AV265*RANDBETWEEN(30,60)/100)</f>
        <v>44181</v>
      </c>
      <c r="AX265">
        <f ca="1">IF(Z265="ORAL",RANDBETWEEN(1000,10000),IF(OR(Z265="INTRAVENOSA",Z265="INTRAMUSCULAR"),RANDBETWEEN(100,2000),IF(OR(Z265="OFTÁLMICA",Z265="TOPICA (EXTERNA)"),RANDBETWEEN(200,3000),RANDBETWEEN(100,1500))))</f>
        <v>1624</v>
      </c>
      <c r="AY265" s="2">
        <f ca="1">INT(AV265*RANDBETWEEN(90,130)/100)</f>
        <v>106362</v>
      </c>
      <c r="AZ265" t="str">
        <f t="shared" ca="1" si="23"/>
        <v>3.6%</v>
      </c>
      <c r="BA265" t="str">
        <f t="shared" ca="1" si="24"/>
        <v>BAJO</v>
      </c>
    </row>
    <row r="266" spans="4:53" x14ac:dyDescent="0.35">
      <c r="D266" t="s">
        <v>2110</v>
      </c>
      <c r="E266" s="1">
        <v>40228</v>
      </c>
      <c r="F266" t="s">
        <v>324</v>
      </c>
      <c r="G266" t="s">
        <v>108</v>
      </c>
      <c r="H266" t="s">
        <v>158</v>
      </c>
      <c r="I266">
        <v>20009236</v>
      </c>
      <c r="J266" t="s">
        <v>110</v>
      </c>
      <c r="K266">
        <v>13</v>
      </c>
      <c r="L266" t="s">
        <v>27</v>
      </c>
      <c r="M266" t="s">
        <v>2111</v>
      </c>
      <c r="N266" t="s">
        <v>2112</v>
      </c>
      <c r="O266" t="s">
        <v>2113</v>
      </c>
      <c r="P266" t="s">
        <v>266</v>
      </c>
      <c r="Q266" s="1">
        <v>40076</v>
      </c>
      <c r="R266" t="s">
        <v>33</v>
      </c>
      <c r="S266" s="1">
        <v>45562</v>
      </c>
      <c r="T266" t="s">
        <v>80</v>
      </c>
      <c r="U266" t="s">
        <v>115</v>
      </c>
      <c r="V266" t="s">
        <v>415</v>
      </c>
      <c r="W266">
        <v>100</v>
      </c>
      <c r="X266">
        <v>20009236</v>
      </c>
      <c r="Y266" t="s">
        <v>416</v>
      </c>
      <c r="Z266" t="s">
        <v>119</v>
      </c>
      <c r="AA266" t="s">
        <v>24</v>
      </c>
      <c r="AB266" t="s">
        <v>120</v>
      </c>
      <c r="AC266" t="s">
        <v>25</v>
      </c>
      <c r="AD266" t="s">
        <v>121</v>
      </c>
      <c r="AE266">
        <v>20</v>
      </c>
      <c r="AF266" t="s">
        <v>27</v>
      </c>
      <c r="AG266" t="s">
        <v>26</v>
      </c>
      <c r="AH266" t="s">
        <v>324</v>
      </c>
      <c r="AI266" t="str">
        <f t="shared" si="20"/>
        <v>NO</v>
      </c>
      <c r="AJ266" t="str">
        <f t="shared" si="21"/>
        <v>TECNOQUIMICAS</v>
      </c>
      <c r="AK266" t="str">
        <f>IF(ISNUMBER(SEARCH("FABRICANTE",AC266)),"FABRICANTE",IF(ISNUMBER(SEARCH("IMPORTADOR",AC266)),"IMPORTADOR","OTRO"))</f>
        <v>FABRICANTE</v>
      </c>
      <c r="AL266" t="str">
        <f>IF(LEFT(Y266,1)="A","Sistema digestivo",IF(LEFT(Y266,1)="B","Sangre",IF(LEFT(Y266,1)="C","Cardiovascular",IF(LEFT(Y266,1)="D","Dermatológico",IF(LEFT(Y266,1)="G","Genitourinario",IF(LEFT(Y266,1)="H","Hormonal",IF(LEFT(Y266,1)="J","Antiinfecciosos",IF(LEFT(Y266,1)="L","Oncológicos",IF(LEFT(Y266,1)="M","Musculoesquelético",IF(LEFT(Y266,1)="N","Sistema nervioso",IF(LEFT(Y266,1)="R","Respiratorio",IF(LEFT(Y266,1)="S","Oftálmico",IF(LEFT(Y266,1)="V","Varios","OTRO")))))))))))))</f>
        <v>Cardiovascular</v>
      </c>
      <c r="AM266" t="str">
        <f>IF(AG266="Vigente","ACTIVO",IF(ISNUMBER(SEARCH("Inactivo",J266)),"INACTIVO","REVISAR"))</f>
        <v>ACTIVO</v>
      </c>
      <c r="AN266" t="str">
        <f ca="1">IF(OR(AF266="",AF266="null"),"",ROUND((AF266-TODAY())/365.25,2))</f>
        <v/>
      </c>
      <c r="AO266" t="str">
        <f ca="1">IF(AND(AG266="Vigente",OR(AF266="",AF266="null",AF266&gt;TODAY())),"SI",IF(AND(NOT(OR(AF266="",AF266="null")),AF266&lt;=TODAY()),"NO",IF(AG266="Vigente","SI","DESCONOCIDO")))</f>
        <v>SI</v>
      </c>
      <c r="AP266" t="str">
        <f>IF(AND(ISNUMBER(SEARCH("IMPORTAR",AA266)),ISNUMBER(SEARCH("FABRICAR",AA266))),"MIXTO",IF(ISNUMBER(SEARCH("IMPORTAR",AA266)),"IMPORTADO",IF(ISNUMBER(SEARCH("FABRICAR",AA266)),"LOCAL","OTRO")))</f>
        <v>LOCAL</v>
      </c>
      <c r="AQ266" t="str">
        <f>IF(AD266="Si","SI",IF(AD266="No","NO",""))</f>
        <v>NO</v>
      </c>
      <c r="AR266" t="str">
        <f>IF(ISNUMBER(SEARCH("®",N266)),"MARCA/INNOVADOR","GENERICO")</f>
        <v>GENERICO</v>
      </c>
      <c r="AS266">
        <f ca="1">IF(AE266&gt;100,RANDBETWEEN(500,5000),IF(AND(AE266&gt;=10,AE266&lt;=100),RANDBETWEEN(100,1000),RANDBETWEEN(10,200)))</f>
        <v>247</v>
      </c>
      <c r="AT266">
        <f t="shared" ca="1" si="22"/>
        <v>39</v>
      </c>
      <c r="AU266">
        <f ca="1">INT(AS266*RANDBETWEEN(120,200)/100)</f>
        <v>301</v>
      </c>
      <c r="AV266" s="2">
        <f ca="1">IF(LEFT(Y266,1)="L",RANDBETWEEN(500000,5000000),IF(LEFT(Y266,1)="C",RANDBETWEEN(5000,50000),IF(LEFT(Y266,1)="N",RANDBETWEEN(10000,150000),IF(LEFT(Y266,1)="J",RANDBETWEEN(8000,200000),RANDBETWEEN(5000,100000)))))</f>
        <v>41712</v>
      </c>
      <c r="AW266" s="2">
        <f ca="1">INT(AV266*RANDBETWEEN(30,60)/100)</f>
        <v>21690</v>
      </c>
      <c r="AX266">
        <f ca="1">IF(Z266="ORAL",RANDBETWEEN(1000,10000),IF(OR(Z266="INTRAVENOSA",Z266="INTRAMUSCULAR"),RANDBETWEEN(100,2000),IF(OR(Z266="OFTÁLMICA",Z266="TOPICA (EXTERNA)"),RANDBETWEEN(200,3000),RANDBETWEEN(100,1500))))</f>
        <v>3671</v>
      </c>
      <c r="AY266" s="2">
        <f ca="1">INT(AV266*RANDBETWEEN(90,130)/100)</f>
        <v>43797</v>
      </c>
      <c r="AZ266" t="str">
        <f t="shared" ca="1" si="23"/>
        <v>20.8%</v>
      </c>
      <c r="BA266" t="str">
        <f t="shared" ca="1" si="24"/>
        <v>ALTO</v>
      </c>
    </row>
    <row r="267" spans="4:53" x14ac:dyDescent="0.35">
      <c r="D267" t="s">
        <v>2114</v>
      </c>
      <c r="E267" s="1">
        <v>39840</v>
      </c>
      <c r="F267" t="s">
        <v>361</v>
      </c>
      <c r="G267" t="s">
        <v>108</v>
      </c>
      <c r="H267" t="s">
        <v>362</v>
      </c>
      <c r="I267">
        <v>19993863</v>
      </c>
      <c r="J267" t="s">
        <v>28</v>
      </c>
      <c r="K267">
        <v>21</v>
      </c>
      <c r="L267" t="s">
        <v>2115</v>
      </c>
      <c r="M267" t="s">
        <v>363</v>
      </c>
      <c r="N267" t="s">
        <v>364</v>
      </c>
      <c r="O267" t="s">
        <v>2116</v>
      </c>
      <c r="P267" t="s">
        <v>366</v>
      </c>
      <c r="Q267" s="1">
        <v>42200</v>
      </c>
      <c r="R267" t="s">
        <v>67</v>
      </c>
      <c r="S267" t="s">
        <v>27</v>
      </c>
      <c r="T267" t="s">
        <v>367</v>
      </c>
      <c r="U267" t="s">
        <v>247</v>
      </c>
      <c r="V267" t="s">
        <v>248</v>
      </c>
      <c r="W267" t="s">
        <v>368</v>
      </c>
      <c r="X267">
        <v>19993863</v>
      </c>
      <c r="Y267" t="s">
        <v>249</v>
      </c>
      <c r="Z267" t="s">
        <v>119</v>
      </c>
      <c r="AA267" t="s">
        <v>32</v>
      </c>
      <c r="AB267" t="s">
        <v>250</v>
      </c>
      <c r="AC267" t="s">
        <v>38</v>
      </c>
      <c r="AD267" t="s">
        <v>121</v>
      </c>
      <c r="AE267">
        <v>1</v>
      </c>
      <c r="AF267" s="1">
        <v>401769</v>
      </c>
      <c r="AG267" t="s">
        <v>26</v>
      </c>
      <c r="AH267" t="s">
        <v>6726</v>
      </c>
      <c r="AI267" t="str">
        <f t="shared" si="20"/>
        <v>SI</v>
      </c>
      <c r="AJ267" t="str">
        <f t="shared" si="21"/>
        <v>LABORATORIOS PISA</v>
      </c>
      <c r="AK267" t="str">
        <f>IF(ISNUMBER(SEARCH("FABRICANTE",AC267)),"FABRICANTE",IF(ISNUMBER(SEARCH("IMPORTADOR",AC267)),"IMPORTADOR","OTRO"))</f>
        <v>IMPORTADOR</v>
      </c>
      <c r="AL267" t="str">
        <f>IF(LEFT(Y267,1)="A","Sistema digestivo",IF(LEFT(Y267,1)="B","Sangre",IF(LEFT(Y267,1)="C","Cardiovascular",IF(LEFT(Y267,1)="D","Dermatológico",IF(LEFT(Y267,1)="G","Genitourinario",IF(LEFT(Y267,1)="H","Hormonal",IF(LEFT(Y267,1)="J","Antiinfecciosos",IF(LEFT(Y267,1)="L","Oncológicos",IF(LEFT(Y267,1)="M","Musculoesquelético",IF(LEFT(Y267,1)="N","Sistema nervioso",IF(LEFT(Y267,1)="R","Respiratorio",IF(LEFT(Y267,1)="S","Oftálmico",IF(LEFT(Y267,1)="V","Varios","OTRO")))))))))))))</f>
        <v>Sistema digestivo</v>
      </c>
      <c r="AM267" t="str">
        <f>IF(AG267="Vigente","ACTIVO",IF(ISNUMBER(SEARCH("Inactivo",J267)),"INACTIVO","REVISAR"))</f>
        <v>ACTIVO</v>
      </c>
      <c r="AN267">
        <f ca="1">IF(OR(AF267="",AF267="null"),"",ROUND((AF267-TODAY())/365.25,2))</f>
        <v>973.58</v>
      </c>
      <c r="AO267" t="str">
        <f ca="1">IF(AND(AG267="Vigente",OR(AF267="",AF267="null",AF267&gt;TODAY())),"SI",IF(AND(NOT(OR(AF267="",AF267="null")),AF267&lt;=TODAY()),"NO",IF(AG267="Vigente","SI","DESCONOCIDO")))</f>
        <v>SI</v>
      </c>
      <c r="AP267" t="str">
        <f>IF(AND(ISNUMBER(SEARCH("IMPORTAR",AA267)),ISNUMBER(SEARCH("FABRICAR",AA267))),"MIXTO",IF(ISNUMBER(SEARCH("IMPORTAR",AA267)),"IMPORTADO",IF(ISNUMBER(SEARCH("FABRICAR",AA267)),"LOCAL","OTRO")))</f>
        <v>IMPORTADO</v>
      </c>
      <c r="AQ267" t="str">
        <f>IF(AD267="Si","SI",IF(AD267="No","NO",""))</f>
        <v>NO</v>
      </c>
      <c r="AR267" t="str">
        <f>IF(ISNUMBER(SEARCH("®",N267)),"MARCA/INNOVADOR","GENERICO")</f>
        <v>MARCA/INNOVADOR</v>
      </c>
      <c r="AS267">
        <f ca="1">IF(AE267&gt;100,RANDBETWEEN(500,5000),IF(AND(AE267&gt;=10,AE267&lt;=100),RANDBETWEEN(100,1000),RANDBETWEEN(10,200)))</f>
        <v>103</v>
      </c>
      <c r="AT267">
        <f t="shared" ca="1" si="22"/>
        <v>13</v>
      </c>
      <c r="AU267">
        <f ca="1">INT(AS267*RANDBETWEEN(120,200)/100)</f>
        <v>123</v>
      </c>
      <c r="AV267" s="2">
        <f ca="1">IF(LEFT(Y267,1)="L",RANDBETWEEN(500000,5000000),IF(LEFT(Y267,1)="C",RANDBETWEEN(5000,50000),IF(LEFT(Y267,1)="N",RANDBETWEEN(10000,150000),IF(LEFT(Y267,1)="J",RANDBETWEEN(8000,200000),RANDBETWEEN(5000,100000)))))</f>
        <v>77705</v>
      </c>
      <c r="AW267" s="2">
        <f ca="1">INT(AV267*RANDBETWEEN(30,60)/100)</f>
        <v>35744</v>
      </c>
      <c r="AX267">
        <f ca="1">IF(Z267="ORAL",RANDBETWEEN(1000,10000),IF(OR(Z267="INTRAVENOSA",Z267="INTRAMUSCULAR"),RANDBETWEEN(100,2000),IF(OR(Z267="OFTÁLMICA",Z267="TOPICA (EXTERNA)"),RANDBETWEEN(200,3000),RANDBETWEEN(100,1500))))</f>
        <v>5959</v>
      </c>
      <c r="AY267" s="2">
        <f ca="1">INT(AV267*RANDBETWEEN(90,130)/100)</f>
        <v>100239</v>
      </c>
      <c r="AZ267" t="str">
        <f t="shared" ca="1" si="23"/>
        <v>17.9%</v>
      </c>
      <c r="BA267" t="str">
        <f t="shared" ca="1" si="24"/>
        <v>BAJO</v>
      </c>
    </row>
    <row r="268" spans="4:53" x14ac:dyDescent="0.35">
      <c r="D268" t="s">
        <v>2117</v>
      </c>
      <c r="E268" s="1">
        <v>39344</v>
      </c>
      <c r="F268" t="s">
        <v>2118</v>
      </c>
      <c r="G268" t="s">
        <v>108</v>
      </c>
      <c r="H268" t="s">
        <v>2119</v>
      </c>
      <c r="I268">
        <v>19977936</v>
      </c>
      <c r="J268" t="s">
        <v>110</v>
      </c>
      <c r="K268">
        <v>1</v>
      </c>
      <c r="L268" t="s">
        <v>27</v>
      </c>
      <c r="M268" t="s">
        <v>2120</v>
      </c>
      <c r="N268" t="s">
        <v>2121</v>
      </c>
      <c r="O268" t="s">
        <v>2122</v>
      </c>
      <c r="P268" t="s">
        <v>274</v>
      </c>
      <c r="Q268" s="1">
        <v>39261</v>
      </c>
      <c r="R268" t="s">
        <v>50</v>
      </c>
      <c r="S268" s="1">
        <v>43782</v>
      </c>
      <c r="T268" t="s">
        <v>2123</v>
      </c>
      <c r="U268" t="s">
        <v>807</v>
      </c>
      <c r="V268" t="s">
        <v>2124</v>
      </c>
      <c r="W268">
        <v>30</v>
      </c>
      <c r="X268">
        <v>19977936</v>
      </c>
      <c r="Y268" t="s">
        <v>2125</v>
      </c>
      <c r="Z268" t="s">
        <v>213</v>
      </c>
      <c r="AA268" t="s">
        <v>32</v>
      </c>
      <c r="AB268" t="s">
        <v>239</v>
      </c>
      <c r="AC268" t="s">
        <v>25</v>
      </c>
      <c r="AD268" t="s">
        <v>121</v>
      </c>
      <c r="AE268">
        <v>1</v>
      </c>
      <c r="AF268" t="s">
        <v>27</v>
      </c>
      <c r="AG268" t="s">
        <v>26</v>
      </c>
      <c r="AH268" t="s">
        <v>120</v>
      </c>
      <c r="AI268" t="str">
        <f t="shared" si="20"/>
        <v>SI</v>
      </c>
      <c r="AJ268" t="str">
        <f t="shared" si="21"/>
        <v>BIIB COLOMBIA</v>
      </c>
      <c r="AK268" t="str">
        <f>IF(ISNUMBER(SEARCH("FABRICANTE",AC268)),"FABRICANTE",IF(ISNUMBER(SEARCH("IMPORTADOR",AC268)),"IMPORTADOR","OTRO"))</f>
        <v>FABRICANTE</v>
      </c>
      <c r="AL268" t="str">
        <f>IF(LEFT(Y268,1)="A","Sistema digestivo",IF(LEFT(Y268,1)="B","Sangre",IF(LEFT(Y268,1)="C","Cardiovascular",IF(LEFT(Y268,1)="D","Dermatológico",IF(LEFT(Y268,1)="G","Genitourinario",IF(LEFT(Y268,1)="H","Hormonal",IF(LEFT(Y268,1)="J","Antiinfecciosos",IF(LEFT(Y268,1)="L","Oncológicos",IF(LEFT(Y268,1)="M","Musculoesquelético",IF(LEFT(Y268,1)="N","Sistema nervioso",IF(LEFT(Y268,1)="R","Respiratorio",IF(LEFT(Y268,1)="S","Oftálmico",IF(LEFT(Y268,1)="V","Varios","OTRO")))))))))))))</f>
        <v>Oncológicos</v>
      </c>
      <c r="AM268" t="str">
        <f>IF(AG268="Vigente","ACTIVO",IF(ISNUMBER(SEARCH("Inactivo",J268)),"INACTIVO","REVISAR"))</f>
        <v>ACTIVO</v>
      </c>
      <c r="AN268" t="str">
        <f ca="1">IF(OR(AF268="",AF268="null"),"",ROUND((AF268-TODAY())/365.25,2))</f>
        <v/>
      </c>
      <c r="AO268" t="str">
        <f ca="1">IF(AND(AG268="Vigente",OR(AF268="",AF268="null",AF268&gt;TODAY())),"SI",IF(AND(NOT(OR(AF268="",AF268="null")),AF268&lt;=TODAY()),"NO",IF(AG268="Vigente","SI","DESCONOCIDO")))</f>
        <v>SI</v>
      </c>
      <c r="AP268" t="str">
        <f>IF(AND(ISNUMBER(SEARCH("IMPORTAR",AA268)),ISNUMBER(SEARCH("FABRICAR",AA268))),"MIXTO",IF(ISNUMBER(SEARCH("IMPORTAR",AA268)),"IMPORTADO",IF(ISNUMBER(SEARCH("FABRICAR",AA268)),"LOCAL","OTRO")))</f>
        <v>IMPORTADO</v>
      </c>
      <c r="AQ268" t="str">
        <f>IF(AD268="Si","SI",IF(AD268="No","NO",""))</f>
        <v>NO</v>
      </c>
      <c r="AR268" t="str">
        <f>IF(ISNUMBER(SEARCH("®",N268)),"MARCA/INNOVADOR","GENERICO")</f>
        <v>MARCA/INNOVADOR</v>
      </c>
      <c r="AS268">
        <f ca="1">IF(AE268&gt;100,RANDBETWEEN(500,5000),IF(AND(AE268&gt;=10,AE268&lt;=100),RANDBETWEEN(100,1000),RANDBETWEEN(10,200)))</f>
        <v>94</v>
      </c>
      <c r="AT268">
        <f t="shared" ca="1" si="22"/>
        <v>27</v>
      </c>
      <c r="AU268">
        <f ca="1">INT(AS268*RANDBETWEEN(120,200)/100)</f>
        <v>118</v>
      </c>
      <c r="AV268" s="2">
        <f ca="1">IF(LEFT(Y268,1)="L",RANDBETWEEN(500000,5000000),IF(LEFT(Y268,1)="C",RANDBETWEEN(5000,50000),IF(LEFT(Y268,1)="N",RANDBETWEEN(10000,150000),IF(LEFT(Y268,1)="J",RANDBETWEEN(8000,200000),RANDBETWEEN(5000,100000)))))</f>
        <v>1915225</v>
      </c>
      <c r="AW268" s="2">
        <f ca="1">INT(AV268*RANDBETWEEN(30,60)/100)</f>
        <v>976764</v>
      </c>
      <c r="AX268">
        <f ca="1">IF(Z268="ORAL",RANDBETWEEN(1000,10000),IF(OR(Z268="INTRAVENOSA",Z268="INTRAMUSCULAR"),RANDBETWEEN(100,2000),IF(OR(Z268="OFTÁLMICA",Z268="TOPICA (EXTERNA)"),RANDBETWEEN(200,3000),RANDBETWEEN(100,1500))))</f>
        <v>387</v>
      </c>
      <c r="AY268" s="2">
        <f ca="1">INT(AV268*RANDBETWEEN(90,130)/100)</f>
        <v>1857768</v>
      </c>
      <c r="AZ268" t="str">
        <f t="shared" ca="1" si="23"/>
        <v>8.7%</v>
      </c>
      <c r="BA268" t="str">
        <f t="shared" ca="1" si="24"/>
        <v>ALTO</v>
      </c>
    </row>
    <row r="269" spans="4:53" x14ac:dyDescent="0.35">
      <c r="D269" t="s">
        <v>2126</v>
      </c>
      <c r="E269" s="1">
        <v>45806</v>
      </c>
      <c r="F269" t="s">
        <v>49</v>
      </c>
      <c r="G269" t="s">
        <v>108</v>
      </c>
      <c r="H269" t="s">
        <v>2127</v>
      </c>
      <c r="I269">
        <v>20227451</v>
      </c>
      <c r="J269" t="s">
        <v>28</v>
      </c>
      <c r="K269">
        <v>6</v>
      </c>
      <c r="L269" t="s">
        <v>27</v>
      </c>
      <c r="M269" t="s">
        <v>2128</v>
      </c>
      <c r="N269" t="s">
        <v>2129</v>
      </c>
      <c r="O269" t="s">
        <v>2130</v>
      </c>
      <c r="P269" t="s">
        <v>2131</v>
      </c>
      <c r="Q269" s="1">
        <v>45804</v>
      </c>
      <c r="R269" t="s">
        <v>47</v>
      </c>
      <c r="S269" t="s">
        <v>27</v>
      </c>
      <c r="T269" t="s">
        <v>114</v>
      </c>
      <c r="U269" t="s">
        <v>115</v>
      </c>
      <c r="V269" t="s">
        <v>49</v>
      </c>
      <c r="W269">
        <v>1000</v>
      </c>
      <c r="X269">
        <v>20227451</v>
      </c>
      <c r="Y269" t="s">
        <v>46</v>
      </c>
      <c r="Z269" t="s">
        <v>119</v>
      </c>
      <c r="AA269" t="s">
        <v>32</v>
      </c>
      <c r="AB269" t="s">
        <v>120</v>
      </c>
      <c r="AC269" t="s">
        <v>25</v>
      </c>
      <c r="AD269" t="s">
        <v>121</v>
      </c>
      <c r="AE269">
        <v>90</v>
      </c>
      <c r="AF269" s="1">
        <v>47650</v>
      </c>
      <c r="AG269" t="s">
        <v>26</v>
      </c>
      <c r="AH269" t="s">
        <v>49</v>
      </c>
      <c r="AI269" t="str">
        <f t="shared" si="20"/>
        <v>NO</v>
      </c>
      <c r="AJ269" t="str">
        <f t="shared" si="21"/>
        <v>LABORATORIOS LEGRAND</v>
      </c>
      <c r="AK269" t="str">
        <f>IF(ISNUMBER(SEARCH("FABRICANTE",AC269)),"FABRICANTE",IF(ISNUMBER(SEARCH("IMPORTADOR",AC269)),"IMPORTADOR","OTRO"))</f>
        <v>FABRICANTE</v>
      </c>
      <c r="AL269" t="str">
        <f>IF(LEFT(Y269,1)="A","Sistema digestivo",IF(LEFT(Y269,1)="B","Sangre",IF(LEFT(Y269,1)="C","Cardiovascular",IF(LEFT(Y269,1)="D","Dermatológico",IF(LEFT(Y269,1)="G","Genitourinario",IF(LEFT(Y269,1)="H","Hormonal",IF(LEFT(Y269,1)="J","Antiinfecciosos",IF(LEFT(Y269,1)="L","Oncológicos",IF(LEFT(Y269,1)="M","Musculoesquelético",IF(LEFT(Y269,1)="N","Sistema nervioso",IF(LEFT(Y269,1)="R","Respiratorio",IF(LEFT(Y269,1)="S","Oftálmico",IF(LEFT(Y269,1)="V","Varios","OTRO")))))))))))))</f>
        <v>Sistema digestivo</v>
      </c>
      <c r="AM269" t="str">
        <f>IF(AG269="Vigente","ACTIVO",IF(ISNUMBER(SEARCH("Inactivo",J269)),"INACTIVO","REVISAR"))</f>
        <v>ACTIVO</v>
      </c>
      <c r="AN269">
        <f ca="1">IF(OR(AF269="",AF269="null"),"",ROUND((AF269-TODAY())/365.25,2))</f>
        <v>4.0599999999999996</v>
      </c>
      <c r="AO269" t="str">
        <f ca="1">IF(AND(AG269="Vigente",OR(AF269="",AF269="null",AF269&gt;TODAY())),"SI",IF(AND(NOT(OR(AF269="",AF269="null")),AF269&lt;=TODAY()),"NO",IF(AG269="Vigente","SI","DESCONOCIDO")))</f>
        <v>SI</v>
      </c>
      <c r="AP269" t="str">
        <f>IF(AND(ISNUMBER(SEARCH("IMPORTAR",AA269)),ISNUMBER(SEARCH("FABRICAR",AA269))),"MIXTO",IF(ISNUMBER(SEARCH("IMPORTAR",AA269)),"IMPORTADO",IF(ISNUMBER(SEARCH("FABRICAR",AA269)),"LOCAL","OTRO")))</f>
        <v>IMPORTADO</v>
      </c>
      <c r="AQ269" t="str">
        <f>IF(AD269="Si","SI",IF(AD269="No","NO",""))</f>
        <v>NO</v>
      </c>
      <c r="AR269" t="str">
        <f>IF(ISNUMBER(SEARCH("®",N269)),"MARCA/INNOVADOR","GENERICO")</f>
        <v>MARCA/INNOVADOR</v>
      </c>
      <c r="AS269">
        <f ca="1">IF(AE269&gt;100,RANDBETWEEN(500,5000),IF(AND(AE269&gt;=10,AE269&lt;=100),RANDBETWEEN(100,1000),RANDBETWEEN(10,200)))</f>
        <v>780</v>
      </c>
      <c r="AT269">
        <f t="shared" ca="1" si="22"/>
        <v>101</v>
      </c>
      <c r="AU269">
        <f ca="1">INT(AS269*RANDBETWEEN(120,200)/100)</f>
        <v>1185</v>
      </c>
      <c r="AV269" s="2">
        <f ca="1">IF(LEFT(Y269,1)="L",RANDBETWEEN(500000,5000000),IF(LEFT(Y269,1)="C",RANDBETWEEN(5000,50000),IF(LEFT(Y269,1)="N",RANDBETWEEN(10000,150000),IF(LEFT(Y269,1)="J",RANDBETWEEN(8000,200000),RANDBETWEEN(5000,100000)))))</f>
        <v>73553</v>
      </c>
      <c r="AW269" s="2">
        <f ca="1">INT(AV269*RANDBETWEEN(30,60)/100)</f>
        <v>40454</v>
      </c>
      <c r="AX269">
        <f ca="1">IF(Z269="ORAL",RANDBETWEEN(1000,10000),IF(OR(Z269="INTRAVENOSA",Z269="INTRAMUSCULAR"),RANDBETWEEN(100,2000),IF(OR(Z269="OFTÁLMICA",Z269="TOPICA (EXTERNA)"),RANDBETWEEN(200,3000),RANDBETWEEN(100,1500))))</f>
        <v>2825</v>
      </c>
      <c r="AY269" s="2">
        <f ca="1">INT(AV269*RANDBETWEEN(90,130)/100)</f>
        <v>66933</v>
      </c>
      <c r="AZ269" t="str">
        <f t="shared" ca="1" si="23"/>
        <v>18.8%</v>
      </c>
      <c r="BA269" t="str">
        <f t="shared" ca="1" si="24"/>
        <v>MEDIO</v>
      </c>
    </row>
    <row r="270" spans="4:53" x14ac:dyDescent="0.35">
      <c r="D270" t="s">
        <v>2132</v>
      </c>
      <c r="E270" s="1">
        <v>38750</v>
      </c>
      <c r="F270" t="s">
        <v>2133</v>
      </c>
      <c r="G270" t="s">
        <v>108</v>
      </c>
      <c r="H270" t="s">
        <v>2134</v>
      </c>
      <c r="I270">
        <v>19959454</v>
      </c>
      <c r="J270" t="s">
        <v>28</v>
      </c>
      <c r="K270">
        <v>3</v>
      </c>
      <c r="L270" t="s">
        <v>27</v>
      </c>
      <c r="M270" t="s">
        <v>2135</v>
      </c>
      <c r="N270" t="s">
        <v>2136</v>
      </c>
      <c r="O270" t="s">
        <v>2137</v>
      </c>
      <c r="P270" t="s">
        <v>659</v>
      </c>
      <c r="Q270" s="1">
        <v>39031</v>
      </c>
      <c r="R270" t="s">
        <v>37</v>
      </c>
      <c r="S270" s="1">
        <v>45026</v>
      </c>
      <c r="T270" t="s">
        <v>2138</v>
      </c>
      <c r="U270" t="s">
        <v>115</v>
      </c>
      <c r="V270" t="s">
        <v>2139</v>
      </c>
      <c r="W270">
        <v>170</v>
      </c>
      <c r="X270">
        <v>19959454</v>
      </c>
      <c r="Y270" t="s">
        <v>2140</v>
      </c>
      <c r="Z270" t="s">
        <v>119</v>
      </c>
      <c r="AA270" t="s">
        <v>32</v>
      </c>
      <c r="AB270" t="s">
        <v>120</v>
      </c>
      <c r="AC270" t="s">
        <v>38</v>
      </c>
      <c r="AD270" t="s">
        <v>121</v>
      </c>
      <c r="AE270">
        <v>12</v>
      </c>
      <c r="AF270" s="1">
        <v>401769</v>
      </c>
      <c r="AG270" t="s">
        <v>26</v>
      </c>
      <c r="AH270" t="s">
        <v>6642</v>
      </c>
      <c r="AI270" t="str">
        <f t="shared" si="20"/>
        <v>NO</v>
      </c>
      <c r="AJ270" t="str">
        <f t="shared" si="21"/>
        <v>DSM-FIRMENICH HOUDAN</v>
      </c>
      <c r="AK270" t="str">
        <f>IF(ISNUMBER(SEARCH("FABRICANTE",AC270)),"FABRICANTE",IF(ISNUMBER(SEARCH("IMPORTADOR",AC270)),"IMPORTADOR","OTRO"))</f>
        <v>IMPORTADOR</v>
      </c>
      <c r="AL270" t="str">
        <f>IF(LEFT(Y270,1)="A","Sistema digestivo",IF(LEFT(Y270,1)="B","Sangre",IF(LEFT(Y270,1)="C","Cardiovascular",IF(LEFT(Y270,1)="D","Dermatológico",IF(LEFT(Y270,1)="G","Genitourinario",IF(LEFT(Y270,1)="H","Hormonal",IF(LEFT(Y270,1)="J","Antiinfecciosos",IF(LEFT(Y270,1)="L","Oncológicos",IF(LEFT(Y270,1)="M","Musculoesquelético",IF(LEFT(Y270,1)="N","Sistema nervioso",IF(LEFT(Y270,1)="R","Respiratorio",IF(LEFT(Y270,1)="S","Oftálmico",IF(LEFT(Y270,1)="V","Varios","OTRO")))))))))))))</f>
        <v>Sistema digestivo</v>
      </c>
      <c r="AM270" t="str">
        <f>IF(AG270="Vigente","ACTIVO",IF(ISNUMBER(SEARCH("Inactivo",J270)),"INACTIVO","REVISAR"))</f>
        <v>ACTIVO</v>
      </c>
      <c r="AN270">
        <f ca="1">IF(OR(AF270="",AF270="null"),"",ROUND((AF270-TODAY())/365.25,2))</f>
        <v>973.58</v>
      </c>
      <c r="AO270" t="str">
        <f ca="1">IF(AND(AG270="Vigente",OR(AF270="",AF270="null",AF270&gt;TODAY())),"SI",IF(AND(NOT(OR(AF270="",AF270="null")),AF270&lt;=TODAY()),"NO",IF(AG270="Vigente","SI","DESCONOCIDO")))</f>
        <v>SI</v>
      </c>
      <c r="AP270" t="str">
        <f>IF(AND(ISNUMBER(SEARCH("IMPORTAR",AA270)),ISNUMBER(SEARCH("FABRICAR",AA270))),"MIXTO",IF(ISNUMBER(SEARCH("IMPORTAR",AA270)),"IMPORTADO",IF(ISNUMBER(SEARCH("FABRICAR",AA270)),"LOCAL","OTRO")))</f>
        <v>IMPORTADO</v>
      </c>
      <c r="AQ270" t="str">
        <f>IF(AD270="Si","SI",IF(AD270="No","NO",""))</f>
        <v>NO</v>
      </c>
      <c r="AR270" t="str">
        <f>IF(ISNUMBER(SEARCH("®",N270)),"MARCA/INNOVADOR","GENERICO")</f>
        <v>GENERICO</v>
      </c>
      <c r="AS270">
        <f ca="1">IF(AE270&gt;100,RANDBETWEEN(500,5000),IF(AND(AE270&gt;=10,AE270&lt;=100),RANDBETWEEN(100,1000),RANDBETWEEN(10,200)))</f>
        <v>463</v>
      </c>
      <c r="AT270">
        <f t="shared" ca="1" si="22"/>
        <v>115</v>
      </c>
      <c r="AU270">
        <f ca="1">INT(AS270*RANDBETWEEN(120,200)/100)</f>
        <v>861</v>
      </c>
      <c r="AV270" s="2">
        <f ca="1">IF(LEFT(Y270,1)="L",RANDBETWEEN(500000,5000000),IF(LEFT(Y270,1)="C",RANDBETWEEN(5000,50000),IF(LEFT(Y270,1)="N",RANDBETWEEN(10000,150000),IF(LEFT(Y270,1)="J",RANDBETWEEN(8000,200000),RANDBETWEEN(5000,100000)))))</f>
        <v>94859</v>
      </c>
      <c r="AW270" s="2">
        <f ca="1">INT(AV270*RANDBETWEEN(30,60)/100)</f>
        <v>36995</v>
      </c>
      <c r="AX270">
        <f ca="1">IF(Z270="ORAL",RANDBETWEEN(1000,10000),IF(OR(Z270="INTRAVENOSA",Z270="INTRAMUSCULAR"),RANDBETWEEN(100,2000),IF(OR(Z270="OFTÁLMICA",Z270="TOPICA (EXTERNA)"),RANDBETWEEN(200,3000),RANDBETWEEN(100,1500))))</f>
        <v>9495</v>
      </c>
      <c r="AY270" s="2">
        <f ca="1">INT(AV270*RANDBETWEEN(90,130)/100)</f>
        <v>86321</v>
      </c>
      <c r="AZ270" t="str">
        <f t="shared" ca="1" si="23"/>
        <v>21.2%</v>
      </c>
      <c r="BA270" t="str">
        <f t="shared" ca="1" si="24"/>
        <v>BAJO</v>
      </c>
    </row>
    <row r="271" spans="4:53" x14ac:dyDescent="0.35">
      <c r="D271" t="s">
        <v>2141</v>
      </c>
      <c r="E271" s="1">
        <v>42052</v>
      </c>
      <c r="F271" t="s">
        <v>1303</v>
      </c>
      <c r="G271" t="s">
        <v>108</v>
      </c>
      <c r="H271" t="s">
        <v>1298</v>
      </c>
      <c r="I271">
        <v>20075649</v>
      </c>
      <c r="J271" t="s">
        <v>110</v>
      </c>
      <c r="K271">
        <v>20</v>
      </c>
      <c r="L271" t="s">
        <v>27</v>
      </c>
      <c r="M271" t="s">
        <v>1299</v>
      </c>
      <c r="N271" t="s">
        <v>1300</v>
      </c>
      <c r="O271" t="s">
        <v>2142</v>
      </c>
      <c r="P271" t="s">
        <v>1302</v>
      </c>
      <c r="Q271" s="1">
        <v>41995</v>
      </c>
      <c r="R271" t="s">
        <v>1302</v>
      </c>
      <c r="S271" s="1">
        <v>45806</v>
      </c>
      <c r="T271" t="s">
        <v>80</v>
      </c>
      <c r="U271" t="s">
        <v>115</v>
      </c>
      <c r="V271" t="s">
        <v>2143</v>
      </c>
      <c r="W271">
        <v>200</v>
      </c>
      <c r="X271">
        <v>20075649</v>
      </c>
      <c r="Y271" t="s">
        <v>2144</v>
      </c>
      <c r="Z271" t="s">
        <v>1305</v>
      </c>
      <c r="AA271" t="s">
        <v>24</v>
      </c>
      <c r="AB271" t="s">
        <v>120</v>
      </c>
      <c r="AC271" t="s">
        <v>25</v>
      </c>
      <c r="AD271" t="s">
        <v>121</v>
      </c>
      <c r="AE271">
        <v>40</v>
      </c>
      <c r="AF271" t="s">
        <v>27</v>
      </c>
      <c r="AG271" t="s">
        <v>26</v>
      </c>
      <c r="AH271" t="s">
        <v>1303</v>
      </c>
      <c r="AI271" t="str">
        <f t="shared" si="20"/>
        <v>NO</v>
      </c>
      <c r="AJ271" t="str">
        <f t="shared" si="21"/>
        <v>TECNOQUIMICAS</v>
      </c>
      <c r="AK271" t="str">
        <f>IF(ISNUMBER(SEARCH("FABRICANTE",AC271)),"FABRICANTE",IF(ISNUMBER(SEARCH("IMPORTADOR",AC271)),"IMPORTADOR","OTRO"))</f>
        <v>FABRICANTE</v>
      </c>
      <c r="AL271" t="str">
        <f>IF(LEFT(Y271,1)="A","Sistema digestivo",IF(LEFT(Y271,1)="B","Sangre",IF(LEFT(Y271,1)="C","Cardiovascular",IF(LEFT(Y271,1)="D","Dermatológico",IF(LEFT(Y271,1)="G","Genitourinario",IF(LEFT(Y271,1)="H","Hormonal",IF(LEFT(Y271,1)="J","Antiinfecciosos",IF(LEFT(Y271,1)="L","Oncológicos",IF(LEFT(Y271,1)="M","Musculoesquelético",IF(LEFT(Y271,1)="N","Sistema nervioso",IF(LEFT(Y271,1)="R","Respiratorio",IF(LEFT(Y271,1)="S","Oftálmico",IF(LEFT(Y271,1)="V","Varios","OTRO")))))))))))))</f>
        <v>Genitourinario</v>
      </c>
      <c r="AM271" t="str">
        <f>IF(AG271="Vigente","ACTIVO",IF(ISNUMBER(SEARCH("Inactivo",J271)),"INACTIVO","REVISAR"))</f>
        <v>ACTIVO</v>
      </c>
      <c r="AN271" t="str">
        <f ca="1">IF(OR(AF271="",AF271="null"),"",ROUND((AF271-TODAY())/365.25,2))</f>
        <v/>
      </c>
      <c r="AO271" t="str">
        <f ca="1">IF(AND(AG271="Vigente",OR(AF271="",AF271="null",AF271&gt;TODAY())),"SI",IF(AND(NOT(OR(AF271="",AF271="null")),AF271&lt;=TODAY()),"NO",IF(AG271="Vigente","SI","DESCONOCIDO")))</f>
        <v>SI</v>
      </c>
      <c r="AP271" t="str">
        <f>IF(AND(ISNUMBER(SEARCH("IMPORTAR",AA271)),ISNUMBER(SEARCH("FABRICAR",AA271))),"MIXTO",IF(ISNUMBER(SEARCH("IMPORTAR",AA271)),"IMPORTADO",IF(ISNUMBER(SEARCH("FABRICAR",AA271)),"LOCAL","OTRO")))</f>
        <v>LOCAL</v>
      </c>
      <c r="AQ271" t="str">
        <f>IF(AD271="Si","SI",IF(AD271="No","NO",""))</f>
        <v>NO</v>
      </c>
      <c r="AR271" t="str">
        <f>IF(ISNUMBER(SEARCH("®",N271)),"MARCA/INNOVADOR","GENERICO")</f>
        <v>GENERICO</v>
      </c>
      <c r="AS271">
        <f ca="1">IF(AE271&gt;100,RANDBETWEEN(500,5000),IF(AND(AE271&gt;=10,AE271&lt;=100),RANDBETWEEN(100,1000),RANDBETWEEN(10,200)))</f>
        <v>548</v>
      </c>
      <c r="AT271">
        <f t="shared" ca="1" si="22"/>
        <v>54</v>
      </c>
      <c r="AU271">
        <f ca="1">INT(AS271*RANDBETWEEN(120,200)/100)</f>
        <v>920</v>
      </c>
      <c r="AV271" s="2">
        <f ca="1">IF(LEFT(Y271,1)="L",RANDBETWEEN(500000,5000000),IF(LEFT(Y271,1)="C",RANDBETWEEN(5000,50000),IF(LEFT(Y271,1)="N",RANDBETWEEN(10000,150000),IF(LEFT(Y271,1)="J",RANDBETWEEN(8000,200000),RANDBETWEEN(5000,100000)))))</f>
        <v>20519</v>
      </c>
      <c r="AW271" s="2">
        <f ca="1">INT(AV271*RANDBETWEEN(30,60)/100)</f>
        <v>11285</v>
      </c>
      <c r="AX271">
        <f ca="1">IF(Z271="ORAL",RANDBETWEEN(1000,10000),IF(OR(Z271="INTRAVENOSA",Z271="INTRAMUSCULAR"),RANDBETWEEN(100,2000),IF(OR(Z271="OFTÁLMICA",Z271="TOPICA (EXTERNA)"),RANDBETWEEN(200,3000),RANDBETWEEN(100,1500))))</f>
        <v>434</v>
      </c>
      <c r="AY271" s="2">
        <f ca="1">INT(AV271*RANDBETWEEN(90,130)/100)</f>
        <v>25853</v>
      </c>
      <c r="AZ271" t="str">
        <f t="shared" ca="1" si="23"/>
        <v>4.5%</v>
      </c>
      <c r="BA271" t="str">
        <f t="shared" ca="1" si="24"/>
        <v>ALTO</v>
      </c>
    </row>
    <row r="272" spans="4:53" x14ac:dyDescent="0.35">
      <c r="D272" t="s">
        <v>2145</v>
      </c>
      <c r="E272" s="1">
        <v>42409</v>
      </c>
      <c r="F272" t="s">
        <v>1599</v>
      </c>
      <c r="G272" t="s">
        <v>108</v>
      </c>
      <c r="H272" t="s">
        <v>677</v>
      </c>
      <c r="I272">
        <v>20091274</v>
      </c>
      <c r="J272" t="s">
        <v>28</v>
      </c>
      <c r="K272">
        <v>4</v>
      </c>
      <c r="L272" t="s">
        <v>2146</v>
      </c>
      <c r="M272" t="s">
        <v>1602</v>
      </c>
      <c r="N272" t="s">
        <v>1603</v>
      </c>
      <c r="O272" t="s">
        <v>2147</v>
      </c>
      <c r="P272" t="s">
        <v>1605</v>
      </c>
      <c r="Q272" s="1">
        <v>42405</v>
      </c>
      <c r="R272" t="s">
        <v>50</v>
      </c>
      <c r="S272" t="s">
        <v>27</v>
      </c>
      <c r="T272" t="s">
        <v>677</v>
      </c>
      <c r="U272" t="s">
        <v>115</v>
      </c>
      <c r="V272" t="s">
        <v>1599</v>
      </c>
      <c r="W272" t="s">
        <v>1606</v>
      </c>
      <c r="X272">
        <v>20091274</v>
      </c>
      <c r="Y272" t="s">
        <v>1607</v>
      </c>
      <c r="Z272" t="s">
        <v>132</v>
      </c>
      <c r="AA272" t="s">
        <v>32</v>
      </c>
      <c r="AB272" t="s">
        <v>239</v>
      </c>
      <c r="AC272" t="s">
        <v>25</v>
      </c>
      <c r="AD272" t="s">
        <v>155</v>
      </c>
      <c r="AE272">
        <v>1</v>
      </c>
      <c r="AF272" t="s">
        <v>27</v>
      </c>
      <c r="AG272" t="s">
        <v>26</v>
      </c>
      <c r="AH272" t="s">
        <v>1599</v>
      </c>
      <c r="AI272" t="str">
        <f t="shared" si="20"/>
        <v>NO</v>
      </c>
      <c r="AJ272" t="str">
        <f t="shared" si="21"/>
        <v>ELI LILLY AND COMPANY</v>
      </c>
      <c r="AK272" t="str">
        <f>IF(ISNUMBER(SEARCH("FABRICANTE",AC272)),"FABRICANTE",IF(ISNUMBER(SEARCH("IMPORTADOR",AC272)),"IMPORTADOR","OTRO"))</f>
        <v>FABRICANTE</v>
      </c>
      <c r="AL272" t="str">
        <f>IF(LEFT(Y272,1)="A","Sistema digestivo",IF(LEFT(Y272,1)="B","Sangre",IF(LEFT(Y272,1)="C","Cardiovascular",IF(LEFT(Y272,1)="D","Dermatológico",IF(LEFT(Y272,1)="G","Genitourinario",IF(LEFT(Y272,1)="H","Hormonal",IF(LEFT(Y272,1)="J","Antiinfecciosos",IF(LEFT(Y272,1)="L","Oncológicos",IF(LEFT(Y272,1)="M","Musculoesquelético",IF(LEFT(Y272,1)="N","Sistema nervioso",IF(LEFT(Y272,1)="R","Respiratorio",IF(LEFT(Y272,1)="S","Oftálmico",IF(LEFT(Y272,1)="V","Varios","OTRO")))))))))))))</f>
        <v>Sistema digestivo</v>
      </c>
      <c r="AM272" t="str">
        <f>IF(AG272="Vigente","ACTIVO",IF(ISNUMBER(SEARCH("Inactivo",J272)),"INACTIVO","REVISAR"))</f>
        <v>ACTIVO</v>
      </c>
      <c r="AN272" t="str">
        <f ca="1">IF(OR(AF272="",AF272="null"),"",ROUND((AF272-TODAY())/365.25,2))</f>
        <v/>
      </c>
      <c r="AO272" t="str">
        <f ca="1">IF(AND(AG272="Vigente",OR(AF272="",AF272="null",AF272&gt;TODAY())),"SI",IF(AND(NOT(OR(AF272="",AF272="null")),AF272&lt;=TODAY()),"NO",IF(AG272="Vigente","SI","DESCONOCIDO")))</f>
        <v>SI</v>
      </c>
      <c r="AP272" t="str">
        <f>IF(AND(ISNUMBER(SEARCH("IMPORTAR",AA272)),ISNUMBER(SEARCH("FABRICAR",AA272))),"MIXTO",IF(ISNUMBER(SEARCH("IMPORTAR",AA272)),"IMPORTADO",IF(ISNUMBER(SEARCH("FABRICAR",AA272)),"LOCAL","OTRO")))</f>
        <v>IMPORTADO</v>
      </c>
      <c r="AQ272" t="str">
        <f>IF(AD272="Si","SI",IF(AD272="No","NO",""))</f>
        <v>SI</v>
      </c>
      <c r="AR272" t="str">
        <f>IF(ISNUMBER(SEARCH("®",N272)),"MARCA/INNOVADOR","GENERICO")</f>
        <v>MARCA/INNOVADOR</v>
      </c>
      <c r="AS272">
        <f ca="1">IF(AE272&gt;100,RANDBETWEEN(500,5000),IF(AND(AE272&gt;=10,AE272&lt;=100),RANDBETWEEN(100,1000),RANDBETWEEN(10,200)))</f>
        <v>187</v>
      </c>
      <c r="AT272">
        <f t="shared" ca="1" si="22"/>
        <v>31</v>
      </c>
      <c r="AU272">
        <f ca="1">INT(AS272*RANDBETWEEN(120,200)/100)</f>
        <v>362</v>
      </c>
      <c r="AV272" s="2">
        <f ca="1">IF(LEFT(Y272,1)="L",RANDBETWEEN(500000,5000000),IF(LEFT(Y272,1)="C",RANDBETWEEN(5000,50000),IF(LEFT(Y272,1)="N",RANDBETWEEN(10000,150000),IF(LEFT(Y272,1)="J",RANDBETWEEN(8000,200000),RANDBETWEEN(5000,100000)))))</f>
        <v>47753</v>
      </c>
      <c r="AW272" s="2">
        <f ca="1">INT(AV272*RANDBETWEEN(30,60)/100)</f>
        <v>22443</v>
      </c>
      <c r="AX272">
        <f ca="1">IF(Z272="ORAL",RANDBETWEEN(1000,10000),IF(OR(Z272="INTRAVENOSA",Z272="INTRAMUSCULAR"),RANDBETWEEN(100,2000),IF(OR(Z272="OFTÁLMICA",Z272="TOPICA (EXTERNA)"),RANDBETWEEN(200,3000),RANDBETWEEN(100,1500))))</f>
        <v>1028</v>
      </c>
      <c r="AY272" s="2">
        <f ca="1">INT(AV272*RANDBETWEEN(90,130)/100)</f>
        <v>62078</v>
      </c>
      <c r="AZ272" t="str">
        <f t="shared" ca="1" si="23"/>
        <v>5.1%</v>
      </c>
      <c r="BA272" t="str">
        <f t="shared" ca="1" si="24"/>
        <v>BAJO</v>
      </c>
    </row>
    <row r="273" spans="4:53" x14ac:dyDescent="0.35">
      <c r="D273" t="s">
        <v>2148</v>
      </c>
      <c r="E273" s="1">
        <v>40227</v>
      </c>
      <c r="F273" t="s">
        <v>2149</v>
      </c>
      <c r="G273" t="s">
        <v>108</v>
      </c>
      <c r="H273" t="s">
        <v>2150</v>
      </c>
      <c r="I273">
        <v>20012232</v>
      </c>
      <c r="J273" t="s">
        <v>28</v>
      </c>
      <c r="K273">
        <v>23</v>
      </c>
      <c r="L273" t="s">
        <v>27</v>
      </c>
      <c r="M273" t="s">
        <v>2151</v>
      </c>
      <c r="N273" t="s">
        <v>2152</v>
      </c>
      <c r="O273" t="s">
        <v>2153</v>
      </c>
      <c r="P273" t="s">
        <v>2154</v>
      </c>
      <c r="Q273" s="1">
        <v>42727</v>
      </c>
      <c r="R273" t="s">
        <v>1818</v>
      </c>
      <c r="S273" t="s">
        <v>27</v>
      </c>
      <c r="T273" t="s">
        <v>2155</v>
      </c>
      <c r="U273" t="s">
        <v>1982</v>
      </c>
      <c r="V273" t="s">
        <v>1819</v>
      </c>
      <c r="W273">
        <v>100</v>
      </c>
      <c r="X273">
        <v>20012232</v>
      </c>
      <c r="Y273" t="s">
        <v>1820</v>
      </c>
      <c r="Z273" t="s">
        <v>1168</v>
      </c>
      <c r="AA273" t="s">
        <v>24</v>
      </c>
      <c r="AB273" t="s">
        <v>1983</v>
      </c>
      <c r="AC273" t="s">
        <v>25</v>
      </c>
      <c r="AD273" t="s">
        <v>121</v>
      </c>
      <c r="AE273">
        <v>1</v>
      </c>
      <c r="AF273" t="s">
        <v>27</v>
      </c>
      <c r="AG273" t="s">
        <v>26</v>
      </c>
      <c r="AH273" t="s">
        <v>6643</v>
      </c>
      <c r="AI273" t="str">
        <f t="shared" si="20"/>
        <v>SI</v>
      </c>
      <c r="AJ273" t="str">
        <f t="shared" si="21"/>
        <v>GASES INDUSTRIALES DE COLOMBIA - CRYOGAS</v>
      </c>
      <c r="AK273" t="str">
        <f>IF(ISNUMBER(SEARCH("FABRICANTE",AC273)),"FABRICANTE",IF(ISNUMBER(SEARCH("IMPORTADOR",AC273)),"IMPORTADOR","OTRO"))</f>
        <v>FABRICANTE</v>
      </c>
      <c r="AL273" t="str">
        <f>IF(LEFT(Y273,1)="A","Sistema digestivo",IF(LEFT(Y273,1)="B","Sangre",IF(LEFT(Y273,1)="C","Cardiovascular",IF(LEFT(Y273,1)="D","Dermatológico",IF(LEFT(Y273,1)="G","Genitourinario",IF(LEFT(Y273,1)="H","Hormonal",IF(LEFT(Y273,1)="J","Antiinfecciosos",IF(LEFT(Y273,1)="L","Oncológicos",IF(LEFT(Y273,1)="M","Musculoesquelético",IF(LEFT(Y273,1)="N","Sistema nervioso",IF(LEFT(Y273,1)="R","Respiratorio",IF(LEFT(Y273,1)="S","Oftálmico",IF(LEFT(Y273,1)="V","Varios","OTRO")))))))))))))</f>
        <v>Varios</v>
      </c>
      <c r="AM273" t="str">
        <f>IF(AG273="Vigente","ACTIVO",IF(ISNUMBER(SEARCH("Inactivo",J273)),"INACTIVO","REVISAR"))</f>
        <v>ACTIVO</v>
      </c>
      <c r="AN273" t="str">
        <f ca="1">IF(OR(AF273="",AF273="null"),"",ROUND((AF273-TODAY())/365.25,2))</f>
        <v/>
      </c>
      <c r="AO273" t="str">
        <f ca="1">IF(AND(AG273="Vigente",OR(AF273="",AF273="null",AF273&gt;TODAY())),"SI",IF(AND(NOT(OR(AF273="",AF273="null")),AF273&lt;=TODAY()),"NO",IF(AG273="Vigente","SI","DESCONOCIDO")))</f>
        <v>SI</v>
      </c>
      <c r="AP273" t="str">
        <f>IF(AND(ISNUMBER(SEARCH("IMPORTAR",AA273)),ISNUMBER(SEARCH("FABRICAR",AA273))),"MIXTO",IF(ISNUMBER(SEARCH("IMPORTAR",AA273)),"IMPORTADO",IF(ISNUMBER(SEARCH("FABRICAR",AA273)),"LOCAL","OTRO")))</f>
        <v>LOCAL</v>
      </c>
      <c r="AQ273" t="str">
        <f>IF(AD273="Si","SI",IF(AD273="No","NO",""))</f>
        <v>NO</v>
      </c>
      <c r="AR273" t="str">
        <f>IF(ISNUMBER(SEARCH("®",N273)),"MARCA/INNOVADOR","GENERICO")</f>
        <v>GENERICO</v>
      </c>
      <c r="AS273">
        <f ca="1">IF(AE273&gt;100,RANDBETWEEN(500,5000),IF(AND(AE273&gt;=10,AE273&lt;=100),RANDBETWEEN(100,1000),RANDBETWEEN(10,200)))</f>
        <v>114</v>
      </c>
      <c r="AT273">
        <f t="shared" ca="1" si="22"/>
        <v>11</v>
      </c>
      <c r="AU273">
        <f ca="1">INT(AS273*RANDBETWEEN(120,200)/100)</f>
        <v>223</v>
      </c>
      <c r="AV273" s="2">
        <f ca="1">IF(LEFT(Y273,1)="L",RANDBETWEEN(500000,5000000),IF(LEFT(Y273,1)="C",RANDBETWEEN(5000,50000),IF(LEFT(Y273,1)="N",RANDBETWEEN(10000,150000),IF(LEFT(Y273,1)="J",RANDBETWEEN(8000,200000),RANDBETWEEN(5000,100000)))))</f>
        <v>12705</v>
      </c>
      <c r="AW273" s="2">
        <f ca="1">INT(AV273*RANDBETWEEN(30,60)/100)</f>
        <v>6479</v>
      </c>
      <c r="AX273">
        <f ca="1">IF(Z273="ORAL",RANDBETWEEN(1000,10000),IF(OR(Z273="INTRAVENOSA",Z273="INTRAMUSCULAR"),RANDBETWEEN(100,2000),IF(OR(Z273="OFTÁLMICA",Z273="TOPICA (EXTERNA)"),RANDBETWEEN(200,3000),RANDBETWEEN(100,1500))))</f>
        <v>1039</v>
      </c>
      <c r="AY273" s="2">
        <f ca="1">INT(AV273*RANDBETWEEN(90,130)/100)</f>
        <v>15881</v>
      </c>
      <c r="AZ273" t="str">
        <f t="shared" ca="1" si="23"/>
        <v>3.1%</v>
      </c>
      <c r="BA273" t="str">
        <f t="shared" ca="1" si="24"/>
        <v>BAJO</v>
      </c>
    </row>
    <row r="274" spans="4:53" x14ac:dyDescent="0.35">
      <c r="D274" t="s">
        <v>2156</v>
      </c>
      <c r="E274" s="1">
        <v>35292</v>
      </c>
      <c r="F274" t="s">
        <v>2157</v>
      </c>
      <c r="G274" t="s">
        <v>108</v>
      </c>
      <c r="H274" t="s">
        <v>158</v>
      </c>
      <c r="I274">
        <v>6411</v>
      </c>
      <c r="J274" t="s">
        <v>28</v>
      </c>
      <c r="K274">
        <v>4</v>
      </c>
      <c r="L274" t="s">
        <v>27</v>
      </c>
      <c r="M274" t="s">
        <v>2158</v>
      </c>
      <c r="N274" t="s">
        <v>2159</v>
      </c>
      <c r="O274" t="s">
        <v>2160</v>
      </c>
      <c r="P274" t="s">
        <v>2161</v>
      </c>
      <c r="Q274" s="1">
        <v>42062</v>
      </c>
      <c r="R274" t="s">
        <v>200</v>
      </c>
      <c r="S274" t="s">
        <v>27</v>
      </c>
      <c r="T274" t="s">
        <v>80</v>
      </c>
      <c r="U274" t="s">
        <v>115</v>
      </c>
      <c r="V274" t="s">
        <v>2162</v>
      </c>
      <c r="W274">
        <v>500</v>
      </c>
      <c r="X274">
        <v>6411</v>
      </c>
      <c r="Y274" t="s">
        <v>2163</v>
      </c>
      <c r="Z274" t="s">
        <v>119</v>
      </c>
      <c r="AA274" t="s">
        <v>24</v>
      </c>
      <c r="AB274" t="s">
        <v>120</v>
      </c>
      <c r="AC274" t="s">
        <v>25</v>
      </c>
      <c r="AD274" t="s">
        <v>155</v>
      </c>
      <c r="AE274">
        <v>3</v>
      </c>
      <c r="AF274" t="s">
        <v>27</v>
      </c>
      <c r="AG274" t="s">
        <v>26</v>
      </c>
      <c r="AH274" t="s">
        <v>2162</v>
      </c>
      <c r="AI274" t="str">
        <f t="shared" si="20"/>
        <v>SI</v>
      </c>
      <c r="AJ274" t="str">
        <f t="shared" si="21"/>
        <v>TECNOQUIMICAS</v>
      </c>
      <c r="AK274" t="str">
        <f>IF(ISNUMBER(SEARCH("FABRICANTE",AC274)),"FABRICANTE",IF(ISNUMBER(SEARCH("IMPORTADOR",AC274)),"IMPORTADOR","OTRO"))</f>
        <v>FABRICANTE</v>
      </c>
      <c r="AL274" t="str">
        <f>IF(LEFT(Y274,1)="A","Sistema digestivo",IF(LEFT(Y274,1)="B","Sangre",IF(LEFT(Y274,1)="C","Cardiovascular",IF(LEFT(Y274,1)="D","Dermatológico",IF(LEFT(Y274,1)="G","Genitourinario",IF(LEFT(Y274,1)="H","Hormonal",IF(LEFT(Y274,1)="J","Antiinfecciosos",IF(LEFT(Y274,1)="L","Oncológicos",IF(LEFT(Y274,1)="M","Musculoesquelético",IF(LEFT(Y274,1)="N","Sistema nervioso",IF(LEFT(Y274,1)="R","Respiratorio",IF(LEFT(Y274,1)="S","Oftálmico",IF(LEFT(Y274,1)="V","Varios","OTRO")))))))))))))</f>
        <v>Antiinfecciosos</v>
      </c>
      <c r="AM274" t="str">
        <f>IF(AG274="Vigente","ACTIVO",IF(ISNUMBER(SEARCH("Inactivo",J274)),"INACTIVO","REVISAR"))</f>
        <v>ACTIVO</v>
      </c>
      <c r="AN274" t="str">
        <f ca="1">IF(OR(AF274="",AF274="null"),"",ROUND((AF274-TODAY())/365.25,2))</f>
        <v/>
      </c>
      <c r="AO274" t="str">
        <f ca="1">IF(AND(AG274="Vigente",OR(AF274="",AF274="null",AF274&gt;TODAY())),"SI",IF(AND(NOT(OR(AF274="",AF274="null")),AF274&lt;=TODAY()),"NO",IF(AG274="Vigente","SI","DESCONOCIDO")))</f>
        <v>SI</v>
      </c>
      <c r="AP274" t="str">
        <f>IF(AND(ISNUMBER(SEARCH("IMPORTAR",AA274)),ISNUMBER(SEARCH("FABRICAR",AA274))),"MIXTO",IF(ISNUMBER(SEARCH("IMPORTAR",AA274)),"IMPORTADO",IF(ISNUMBER(SEARCH("FABRICAR",AA274)),"LOCAL","OTRO")))</f>
        <v>LOCAL</v>
      </c>
      <c r="AQ274" t="str">
        <f>IF(AD274="Si","SI",IF(AD274="No","NO",""))</f>
        <v>SI</v>
      </c>
      <c r="AR274" t="str">
        <f>IF(ISNUMBER(SEARCH("®",N274)),"MARCA/INNOVADOR","GENERICO")</f>
        <v>GENERICO</v>
      </c>
      <c r="AS274">
        <f ca="1">IF(AE274&gt;100,RANDBETWEEN(500,5000),IF(AND(AE274&gt;=10,AE274&lt;=100),RANDBETWEEN(100,1000),RANDBETWEEN(10,200)))</f>
        <v>165</v>
      </c>
      <c r="AT274">
        <f t="shared" ca="1" si="22"/>
        <v>29</v>
      </c>
      <c r="AU274">
        <f ca="1">INT(AS274*RANDBETWEEN(120,200)/100)</f>
        <v>207</v>
      </c>
      <c r="AV274" s="2">
        <f ca="1">IF(LEFT(Y274,1)="L",RANDBETWEEN(500000,5000000),IF(LEFT(Y274,1)="C",RANDBETWEEN(5000,50000),IF(LEFT(Y274,1)="N",RANDBETWEEN(10000,150000),IF(LEFT(Y274,1)="J",RANDBETWEEN(8000,200000),RANDBETWEEN(5000,100000)))))</f>
        <v>34003</v>
      </c>
      <c r="AW274" s="2">
        <f ca="1">INT(AV274*RANDBETWEEN(30,60)/100)</f>
        <v>17001</v>
      </c>
      <c r="AX274">
        <f ca="1">IF(Z274="ORAL",RANDBETWEEN(1000,10000),IF(OR(Z274="INTRAVENOSA",Z274="INTRAMUSCULAR"),RANDBETWEEN(100,2000),IF(OR(Z274="OFTÁLMICA",Z274="TOPICA (EXTERNA)"),RANDBETWEEN(200,3000),RANDBETWEEN(100,1500))))</f>
        <v>7024</v>
      </c>
      <c r="AY274" s="2">
        <f ca="1">INT(AV274*RANDBETWEEN(90,130)/100)</f>
        <v>33322</v>
      </c>
      <c r="AZ274" t="str">
        <f t="shared" ca="1" si="23"/>
        <v>21%</v>
      </c>
      <c r="BA274" t="str">
        <f t="shared" ca="1" si="24"/>
        <v>BAJO</v>
      </c>
    </row>
    <row r="275" spans="4:53" x14ac:dyDescent="0.35">
      <c r="D275" t="s">
        <v>2164</v>
      </c>
      <c r="E275" s="1">
        <v>34901</v>
      </c>
      <c r="F275" t="s">
        <v>2165</v>
      </c>
      <c r="G275" t="s">
        <v>108</v>
      </c>
      <c r="H275" t="s">
        <v>549</v>
      </c>
      <c r="I275">
        <v>24958</v>
      </c>
      <c r="J275" t="s">
        <v>110</v>
      </c>
      <c r="K275">
        <v>3</v>
      </c>
      <c r="L275" t="s">
        <v>27</v>
      </c>
      <c r="M275" t="s">
        <v>2166</v>
      </c>
      <c r="N275" t="s">
        <v>2167</v>
      </c>
      <c r="O275" t="s">
        <v>2168</v>
      </c>
      <c r="P275" t="s">
        <v>2169</v>
      </c>
      <c r="Q275" s="1">
        <v>39031</v>
      </c>
      <c r="R275" t="s">
        <v>50</v>
      </c>
      <c r="S275" s="1">
        <v>42466</v>
      </c>
      <c r="T275" t="s">
        <v>549</v>
      </c>
      <c r="U275" t="s">
        <v>247</v>
      </c>
      <c r="V275" t="s">
        <v>554</v>
      </c>
      <c r="W275" t="s">
        <v>2170</v>
      </c>
      <c r="X275">
        <v>24958</v>
      </c>
      <c r="Y275" t="s">
        <v>556</v>
      </c>
      <c r="Z275" t="s">
        <v>260</v>
      </c>
      <c r="AA275" t="s">
        <v>24</v>
      </c>
      <c r="AB275" t="s">
        <v>250</v>
      </c>
      <c r="AC275" t="s">
        <v>25</v>
      </c>
      <c r="AD275" t="s">
        <v>121</v>
      </c>
      <c r="AE275">
        <v>1000</v>
      </c>
      <c r="AF275" t="s">
        <v>27</v>
      </c>
      <c r="AG275" t="s">
        <v>26</v>
      </c>
      <c r="AH275" t="s">
        <v>6644</v>
      </c>
      <c r="AI275" t="str">
        <f t="shared" si="20"/>
        <v>NO</v>
      </c>
      <c r="AJ275" t="str">
        <f t="shared" si="21"/>
        <v>LABORATORIOS BAXTER</v>
      </c>
      <c r="AK275" t="str">
        <f>IF(ISNUMBER(SEARCH("FABRICANTE",AC275)),"FABRICANTE",IF(ISNUMBER(SEARCH("IMPORTADOR",AC275)),"IMPORTADOR","OTRO"))</f>
        <v>FABRICANTE</v>
      </c>
      <c r="AL275" t="str">
        <f>IF(LEFT(Y275,1)="A","Sistema digestivo",IF(LEFT(Y275,1)="B","Sangre",IF(LEFT(Y275,1)="C","Cardiovascular",IF(LEFT(Y275,1)="D","Dermatológico",IF(LEFT(Y275,1)="G","Genitourinario",IF(LEFT(Y275,1)="H","Hormonal",IF(LEFT(Y275,1)="J","Antiinfecciosos",IF(LEFT(Y275,1)="L","Oncológicos",IF(LEFT(Y275,1)="M","Musculoesquelético",IF(LEFT(Y275,1)="N","Sistema nervioso",IF(LEFT(Y275,1)="R","Respiratorio",IF(LEFT(Y275,1)="S","Oftálmico",IF(LEFT(Y275,1)="V","Varios","OTRO")))))))))))))</f>
        <v>Sangre</v>
      </c>
      <c r="AM275" t="str">
        <f>IF(AG275="Vigente","ACTIVO",IF(ISNUMBER(SEARCH("Inactivo",J275)),"INACTIVO","REVISAR"))</f>
        <v>ACTIVO</v>
      </c>
      <c r="AN275" t="str">
        <f ca="1">IF(OR(AF275="",AF275="null"),"",ROUND((AF275-TODAY())/365.25,2))</f>
        <v/>
      </c>
      <c r="AO275" t="str">
        <f ca="1">IF(AND(AG275="Vigente",OR(AF275="",AF275="null",AF275&gt;TODAY())),"SI",IF(AND(NOT(OR(AF275="",AF275="null")),AF275&lt;=TODAY()),"NO",IF(AG275="Vigente","SI","DESCONOCIDO")))</f>
        <v>SI</v>
      </c>
      <c r="AP275" t="str">
        <f>IF(AND(ISNUMBER(SEARCH("IMPORTAR",AA275)),ISNUMBER(SEARCH("FABRICAR",AA275))),"MIXTO",IF(ISNUMBER(SEARCH("IMPORTAR",AA275)),"IMPORTADO",IF(ISNUMBER(SEARCH("FABRICAR",AA275)),"LOCAL","OTRO")))</f>
        <v>LOCAL</v>
      </c>
      <c r="AQ275" t="str">
        <f>IF(AD275="Si","SI",IF(AD275="No","NO",""))</f>
        <v>NO</v>
      </c>
      <c r="AR275" t="str">
        <f>IF(ISNUMBER(SEARCH("®",N275)),"MARCA/INNOVADOR","GENERICO")</f>
        <v>GENERICO</v>
      </c>
      <c r="AS275">
        <f ca="1">IF(AE275&gt;100,RANDBETWEEN(500,5000),IF(AND(AE275&gt;=10,AE275&lt;=100),RANDBETWEEN(100,1000),RANDBETWEEN(10,200)))</f>
        <v>2699</v>
      </c>
      <c r="AT275">
        <f t="shared" ca="1" si="22"/>
        <v>782</v>
      </c>
      <c r="AU275">
        <f ca="1">INT(AS275*RANDBETWEEN(120,200)/100)</f>
        <v>4048</v>
      </c>
      <c r="AV275" s="2">
        <f ca="1">IF(LEFT(Y275,1)="L",RANDBETWEEN(500000,5000000),IF(LEFT(Y275,1)="C",RANDBETWEEN(5000,50000),IF(LEFT(Y275,1)="N",RANDBETWEEN(10000,150000),IF(LEFT(Y275,1)="J",RANDBETWEEN(8000,200000),RANDBETWEEN(5000,100000)))))</f>
        <v>98547</v>
      </c>
      <c r="AW275" s="2">
        <f ca="1">INT(AV275*RANDBETWEEN(30,60)/100)</f>
        <v>35476</v>
      </c>
      <c r="AX275">
        <f ca="1">IF(Z275="ORAL",RANDBETWEEN(1000,10000),IF(OR(Z275="INTRAVENOSA",Z275="INTRAMUSCULAR"),RANDBETWEEN(100,2000),IF(OR(Z275="OFTÁLMICA",Z275="TOPICA (EXTERNA)"),RANDBETWEEN(200,3000),RANDBETWEEN(100,1500))))</f>
        <v>1264</v>
      </c>
      <c r="AY275" s="2">
        <f ca="1">INT(AV275*RANDBETWEEN(90,130)/100)</f>
        <v>96576</v>
      </c>
      <c r="AZ275" t="str">
        <f t="shared" ca="1" si="23"/>
        <v>2.7%</v>
      </c>
      <c r="BA275" t="str">
        <f t="shared" ca="1" si="24"/>
        <v>ALTO</v>
      </c>
    </row>
    <row r="276" spans="4:53" x14ac:dyDescent="0.35">
      <c r="D276" t="s">
        <v>2171</v>
      </c>
      <c r="E276" s="1">
        <v>42226</v>
      </c>
      <c r="F276" t="s">
        <v>270</v>
      </c>
      <c r="G276" t="s">
        <v>108</v>
      </c>
      <c r="H276" t="s">
        <v>93</v>
      </c>
      <c r="I276">
        <v>20084690</v>
      </c>
      <c r="J276" t="s">
        <v>28</v>
      </c>
      <c r="K276">
        <v>27</v>
      </c>
      <c r="L276" t="s">
        <v>27</v>
      </c>
      <c r="M276" t="s">
        <v>271</v>
      </c>
      <c r="N276" t="s">
        <v>272</v>
      </c>
      <c r="O276" t="s">
        <v>2172</v>
      </c>
      <c r="P276" t="s">
        <v>274</v>
      </c>
      <c r="Q276" s="1">
        <v>42202</v>
      </c>
      <c r="R276" t="s">
        <v>50</v>
      </c>
      <c r="S276" t="s">
        <v>27</v>
      </c>
      <c r="T276" t="s">
        <v>93</v>
      </c>
      <c r="U276" t="s">
        <v>115</v>
      </c>
      <c r="V276" t="s">
        <v>275</v>
      </c>
      <c r="W276">
        <v>80</v>
      </c>
      <c r="X276">
        <v>20084690</v>
      </c>
      <c r="Y276" t="s">
        <v>276</v>
      </c>
      <c r="Z276" t="s">
        <v>260</v>
      </c>
      <c r="AA276" t="s">
        <v>32</v>
      </c>
      <c r="AB276" t="s">
        <v>239</v>
      </c>
      <c r="AC276" t="s">
        <v>38</v>
      </c>
      <c r="AD276" t="s">
        <v>121</v>
      </c>
      <c r="AE276">
        <v>50</v>
      </c>
      <c r="AF276" t="s">
        <v>27</v>
      </c>
      <c r="AG276" t="s">
        <v>26</v>
      </c>
      <c r="AH276" t="s">
        <v>1822</v>
      </c>
      <c r="AI276" t="str">
        <f t="shared" si="20"/>
        <v>SI</v>
      </c>
      <c r="AJ276" t="str">
        <f t="shared" si="21"/>
        <v>LABORATORIOS DELTA</v>
      </c>
      <c r="AK276" t="str">
        <f>IF(ISNUMBER(SEARCH("FABRICANTE",AC276)),"FABRICANTE",IF(ISNUMBER(SEARCH("IMPORTADOR",AC276)),"IMPORTADOR","OTRO"))</f>
        <v>IMPORTADOR</v>
      </c>
      <c r="AL276" t="str">
        <f>IF(LEFT(Y276,1)="A","Sistema digestivo",IF(LEFT(Y276,1)="B","Sangre",IF(LEFT(Y276,1)="C","Cardiovascular",IF(LEFT(Y276,1)="D","Dermatológico",IF(LEFT(Y276,1)="G","Genitourinario",IF(LEFT(Y276,1)="H","Hormonal",IF(LEFT(Y276,1)="J","Antiinfecciosos",IF(LEFT(Y276,1)="L","Oncológicos",IF(LEFT(Y276,1)="M","Musculoesquelético",IF(LEFT(Y276,1)="N","Sistema nervioso",IF(LEFT(Y276,1)="R","Respiratorio",IF(LEFT(Y276,1)="S","Oftálmico",IF(LEFT(Y276,1)="V","Varios","OTRO")))))))))))))</f>
        <v>Sangre</v>
      </c>
      <c r="AM276" t="str">
        <f>IF(AG276="Vigente","ACTIVO",IF(ISNUMBER(SEARCH("Inactivo",J276)),"INACTIVO","REVISAR"))</f>
        <v>ACTIVO</v>
      </c>
      <c r="AN276" t="str">
        <f ca="1">IF(OR(AF276="",AF276="null"),"",ROUND((AF276-TODAY())/365.25,2))</f>
        <v/>
      </c>
      <c r="AO276" t="str">
        <f ca="1">IF(AND(AG276="Vigente",OR(AF276="",AF276="null",AF276&gt;TODAY())),"SI",IF(AND(NOT(OR(AF276="",AF276="null")),AF276&lt;=TODAY()),"NO",IF(AG276="Vigente","SI","DESCONOCIDO")))</f>
        <v>SI</v>
      </c>
      <c r="AP276" t="str">
        <f>IF(AND(ISNUMBER(SEARCH("IMPORTAR",AA276)),ISNUMBER(SEARCH("FABRICAR",AA276))),"MIXTO",IF(ISNUMBER(SEARCH("IMPORTAR",AA276)),"IMPORTADO",IF(ISNUMBER(SEARCH("FABRICAR",AA276)),"LOCAL","OTRO")))</f>
        <v>IMPORTADO</v>
      </c>
      <c r="AQ276" t="str">
        <f>IF(AD276="Si","SI",IF(AD276="No","NO",""))</f>
        <v>NO</v>
      </c>
      <c r="AR276" t="str">
        <f>IF(ISNUMBER(SEARCH("®",N276)),"MARCA/INNOVADOR","GENERICO")</f>
        <v>GENERICO</v>
      </c>
      <c r="AS276">
        <f ca="1">IF(AE276&gt;100,RANDBETWEEN(500,5000),IF(AND(AE276&gt;=10,AE276&lt;=100),RANDBETWEEN(100,1000),RANDBETWEEN(10,200)))</f>
        <v>163</v>
      </c>
      <c r="AT276">
        <f t="shared" ca="1" si="22"/>
        <v>24</v>
      </c>
      <c r="AU276">
        <f ca="1">INT(AS276*RANDBETWEEN(120,200)/100)</f>
        <v>267</v>
      </c>
      <c r="AV276" s="2">
        <f ca="1">IF(LEFT(Y276,1)="L",RANDBETWEEN(500000,5000000),IF(LEFT(Y276,1)="C",RANDBETWEEN(5000,50000),IF(LEFT(Y276,1)="N",RANDBETWEEN(10000,150000),IF(LEFT(Y276,1)="J",RANDBETWEEN(8000,200000),RANDBETWEEN(5000,100000)))))</f>
        <v>91012</v>
      </c>
      <c r="AW276" s="2">
        <f ca="1">INT(AV276*RANDBETWEEN(30,60)/100)</f>
        <v>39135</v>
      </c>
      <c r="AX276">
        <f ca="1">IF(Z276="ORAL",RANDBETWEEN(1000,10000),IF(OR(Z276="INTRAVENOSA",Z276="INTRAMUSCULAR"),RANDBETWEEN(100,2000),IF(OR(Z276="OFTÁLMICA",Z276="TOPICA (EXTERNA)"),RANDBETWEEN(200,3000),RANDBETWEEN(100,1500))))</f>
        <v>1077</v>
      </c>
      <c r="AY276" s="2">
        <f ca="1">INT(AV276*RANDBETWEEN(90,130)/100)</f>
        <v>103753</v>
      </c>
      <c r="AZ276" t="str">
        <f t="shared" ca="1" si="23"/>
        <v>3.1%</v>
      </c>
      <c r="BA276" t="str">
        <f t="shared" ca="1" si="24"/>
        <v>BAJO</v>
      </c>
    </row>
    <row r="277" spans="4:53" x14ac:dyDescent="0.35">
      <c r="D277" t="s">
        <v>2173</v>
      </c>
      <c r="E277" s="1">
        <v>43395</v>
      </c>
      <c r="F277" t="s">
        <v>1197</v>
      </c>
      <c r="G277" t="s">
        <v>108</v>
      </c>
      <c r="H277" t="s">
        <v>445</v>
      </c>
      <c r="I277">
        <v>20146047</v>
      </c>
      <c r="J277" t="s">
        <v>28</v>
      </c>
      <c r="K277">
        <v>3</v>
      </c>
      <c r="L277" t="s">
        <v>2174</v>
      </c>
      <c r="M277" t="s">
        <v>1495</v>
      </c>
      <c r="N277" t="s">
        <v>1496</v>
      </c>
      <c r="O277" t="s">
        <v>2175</v>
      </c>
      <c r="P277" t="s">
        <v>1498</v>
      </c>
      <c r="Q277" s="1">
        <v>43370</v>
      </c>
      <c r="R277" t="s">
        <v>962</v>
      </c>
      <c r="S277" t="s">
        <v>27</v>
      </c>
      <c r="T277" t="s">
        <v>449</v>
      </c>
      <c r="U277" t="s">
        <v>115</v>
      </c>
      <c r="V277" t="s">
        <v>1197</v>
      </c>
      <c r="W277">
        <v>500</v>
      </c>
      <c r="X277">
        <v>20146047</v>
      </c>
      <c r="Y277" t="s">
        <v>1202</v>
      </c>
      <c r="Z277" t="s">
        <v>119</v>
      </c>
      <c r="AA277" t="s">
        <v>32</v>
      </c>
      <c r="AB277" t="s">
        <v>120</v>
      </c>
      <c r="AC277" t="s">
        <v>38</v>
      </c>
      <c r="AD277" t="s">
        <v>121</v>
      </c>
      <c r="AE277">
        <v>28</v>
      </c>
      <c r="AF277" t="s">
        <v>27</v>
      </c>
      <c r="AG277" t="s">
        <v>26</v>
      </c>
      <c r="AH277" t="s">
        <v>1197</v>
      </c>
      <c r="AI277" t="str">
        <f t="shared" si="20"/>
        <v>NO</v>
      </c>
      <c r="AJ277" t="str">
        <f t="shared" si="21"/>
        <v>MSN LABORATORIES PRIVATE</v>
      </c>
      <c r="AK277" t="str">
        <f>IF(ISNUMBER(SEARCH("FABRICANTE",AC277)),"FABRICANTE",IF(ISNUMBER(SEARCH("IMPORTADOR",AC277)),"IMPORTADOR","OTRO"))</f>
        <v>IMPORTADOR</v>
      </c>
      <c r="AL277" t="str">
        <f>IF(LEFT(Y277,1)="A","Sistema digestivo",IF(LEFT(Y277,1)="B","Sangre",IF(LEFT(Y277,1)="C","Cardiovascular",IF(LEFT(Y277,1)="D","Dermatológico",IF(LEFT(Y277,1)="G","Genitourinario",IF(LEFT(Y277,1)="H","Hormonal",IF(LEFT(Y277,1)="J","Antiinfecciosos",IF(LEFT(Y277,1)="L","Oncológicos",IF(LEFT(Y277,1)="M","Musculoesquelético",IF(LEFT(Y277,1)="N","Sistema nervioso",IF(LEFT(Y277,1)="R","Respiratorio",IF(LEFT(Y277,1)="S","Oftálmico",IF(LEFT(Y277,1)="V","Varios","OTRO")))))))))))))</f>
        <v>Varios</v>
      </c>
      <c r="AM277" t="str">
        <f>IF(AG277="Vigente","ACTIVO",IF(ISNUMBER(SEARCH("Inactivo",J277)),"INACTIVO","REVISAR"))</f>
        <v>ACTIVO</v>
      </c>
      <c r="AN277" t="str">
        <f ca="1">IF(OR(AF277="",AF277="null"),"",ROUND((AF277-TODAY())/365.25,2))</f>
        <v/>
      </c>
      <c r="AO277" t="str">
        <f ca="1">IF(AND(AG277="Vigente",OR(AF277="",AF277="null",AF277&gt;TODAY())),"SI",IF(AND(NOT(OR(AF277="",AF277="null")),AF277&lt;=TODAY()),"NO",IF(AG277="Vigente","SI","DESCONOCIDO")))</f>
        <v>SI</v>
      </c>
      <c r="AP277" t="str">
        <f>IF(AND(ISNUMBER(SEARCH("IMPORTAR",AA277)),ISNUMBER(SEARCH("FABRICAR",AA277))),"MIXTO",IF(ISNUMBER(SEARCH("IMPORTAR",AA277)),"IMPORTADO",IF(ISNUMBER(SEARCH("FABRICAR",AA277)),"LOCAL","OTRO")))</f>
        <v>IMPORTADO</v>
      </c>
      <c r="AQ277" t="str">
        <f>IF(AD277="Si","SI",IF(AD277="No","NO",""))</f>
        <v>NO</v>
      </c>
      <c r="AR277" t="str">
        <f>IF(ISNUMBER(SEARCH("®",N277)),"MARCA/INNOVADOR","GENERICO")</f>
        <v>GENERICO</v>
      </c>
      <c r="AS277">
        <f ca="1">IF(AE277&gt;100,RANDBETWEEN(500,5000),IF(AND(AE277&gt;=10,AE277&lt;=100),RANDBETWEEN(100,1000),RANDBETWEEN(10,200)))</f>
        <v>887</v>
      </c>
      <c r="AT277">
        <f t="shared" ca="1" si="22"/>
        <v>248</v>
      </c>
      <c r="AU277">
        <f ca="1">INT(AS277*RANDBETWEEN(120,200)/100)</f>
        <v>1330</v>
      </c>
      <c r="AV277" s="2">
        <f ca="1">IF(LEFT(Y277,1)="L",RANDBETWEEN(500000,5000000),IF(LEFT(Y277,1)="C",RANDBETWEEN(5000,50000),IF(LEFT(Y277,1)="N",RANDBETWEEN(10000,150000),IF(LEFT(Y277,1)="J",RANDBETWEEN(8000,200000),RANDBETWEEN(5000,100000)))))</f>
        <v>18717</v>
      </c>
      <c r="AW277" s="2">
        <f ca="1">INT(AV277*RANDBETWEEN(30,60)/100)</f>
        <v>7861</v>
      </c>
      <c r="AX277">
        <f ca="1">IF(Z277="ORAL",RANDBETWEEN(1000,10000),IF(OR(Z277="INTRAVENOSA",Z277="INTRAMUSCULAR"),RANDBETWEEN(100,2000),IF(OR(Z277="OFTÁLMICA",Z277="TOPICA (EXTERNA)"),RANDBETWEEN(200,3000),RANDBETWEEN(100,1500))))</f>
        <v>8546</v>
      </c>
      <c r="AY277" s="2">
        <f ca="1">INT(AV277*RANDBETWEEN(90,130)/100)</f>
        <v>17406</v>
      </c>
      <c r="AZ277" t="str">
        <f t="shared" ca="1" si="23"/>
        <v>15.5%</v>
      </c>
      <c r="BA277" t="str">
        <f t="shared" ca="1" si="24"/>
        <v>BAJO</v>
      </c>
    </row>
    <row r="278" spans="4:53" x14ac:dyDescent="0.35">
      <c r="D278" t="s">
        <v>2176</v>
      </c>
      <c r="E278" s="1">
        <v>38044</v>
      </c>
      <c r="F278" t="s">
        <v>2177</v>
      </c>
      <c r="G278" t="s">
        <v>108</v>
      </c>
      <c r="H278" t="s">
        <v>1700</v>
      </c>
      <c r="I278">
        <v>19943196</v>
      </c>
      <c r="J278" t="s">
        <v>28</v>
      </c>
      <c r="K278">
        <v>4</v>
      </c>
      <c r="L278" t="s">
        <v>27</v>
      </c>
      <c r="M278" t="s">
        <v>2178</v>
      </c>
      <c r="N278" t="s">
        <v>2179</v>
      </c>
      <c r="O278" t="s">
        <v>2180</v>
      </c>
      <c r="P278" t="s">
        <v>2181</v>
      </c>
      <c r="Q278" s="1">
        <v>44729</v>
      </c>
      <c r="R278" t="s">
        <v>50</v>
      </c>
      <c r="S278" t="s">
        <v>27</v>
      </c>
      <c r="T278" t="s">
        <v>2182</v>
      </c>
      <c r="U278" t="s">
        <v>115</v>
      </c>
      <c r="V278" t="s">
        <v>933</v>
      </c>
      <c r="W278">
        <v>500</v>
      </c>
      <c r="X278">
        <v>19943196</v>
      </c>
      <c r="Y278" t="s">
        <v>934</v>
      </c>
      <c r="Z278" t="s">
        <v>260</v>
      </c>
      <c r="AA278" t="s">
        <v>24</v>
      </c>
      <c r="AB278" t="s">
        <v>120</v>
      </c>
      <c r="AC278" t="s">
        <v>25</v>
      </c>
      <c r="AD278" t="s">
        <v>121</v>
      </c>
      <c r="AE278">
        <v>100</v>
      </c>
      <c r="AF278" t="s">
        <v>27</v>
      </c>
      <c r="AG278" t="s">
        <v>26</v>
      </c>
      <c r="AH278" t="s">
        <v>6645</v>
      </c>
      <c r="AI278" t="str">
        <f t="shared" si="20"/>
        <v>NO</v>
      </c>
      <c r="AJ278" t="str">
        <f t="shared" si="21"/>
        <v>LABORATORIOS RYAN DE COLOMBIA</v>
      </c>
      <c r="AK278" t="str">
        <f>IF(ISNUMBER(SEARCH("FABRICANTE",AC278)),"FABRICANTE",IF(ISNUMBER(SEARCH("IMPORTADOR",AC278)),"IMPORTADOR","OTRO"))</f>
        <v>FABRICANTE</v>
      </c>
      <c r="AL278" t="str">
        <f>IF(LEFT(Y278,1)="A","Sistema digestivo",IF(LEFT(Y278,1)="B","Sangre",IF(LEFT(Y278,1)="C","Cardiovascular",IF(LEFT(Y278,1)="D","Dermatológico",IF(LEFT(Y278,1)="G","Genitourinario",IF(LEFT(Y278,1)="H","Hormonal",IF(LEFT(Y278,1)="J","Antiinfecciosos",IF(LEFT(Y278,1)="L","Oncológicos",IF(LEFT(Y278,1)="M","Musculoesquelético",IF(LEFT(Y278,1)="N","Sistema nervioso",IF(LEFT(Y278,1)="R","Respiratorio",IF(LEFT(Y278,1)="S","Oftálmico",IF(LEFT(Y278,1)="V","Varios","OTRO")))))))))))))</f>
        <v>Sistema digestivo</v>
      </c>
      <c r="AM278" t="str">
        <f>IF(AG278="Vigente","ACTIVO",IF(ISNUMBER(SEARCH("Inactivo",J278)),"INACTIVO","REVISAR"))</f>
        <v>ACTIVO</v>
      </c>
      <c r="AN278" t="str">
        <f ca="1">IF(OR(AF278="",AF278="null"),"",ROUND((AF278-TODAY())/365.25,2))</f>
        <v/>
      </c>
      <c r="AO278" t="str">
        <f ca="1">IF(AND(AG278="Vigente",OR(AF278="",AF278="null",AF278&gt;TODAY())),"SI",IF(AND(NOT(OR(AF278="",AF278="null")),AF278&lt;=TODAY()),"NO",IF(AG278="Vigente","SI","DESCONOCIDO")))</f>
        <v>SI</v>
      </c>
      <c r="AP278" t="str">
        <f>IF(AND(ISNUMBER(SEARCH("IMPORTAR",AA278)),ISNUMBER(SEARCH("FABRICAR",AA278))),"MIXTO",IF(ISNUMBER(SEARCH("IMPORTAR",AA278)),"IMPORTADO",IF(ISNUMBER(SEARCH("FABRICAR",AA278)),"LOCAL","OTRO")))</f>
        <v>LOCAL</v>
      </c>
      <c r="AQ278" t="str">
        <f>IF(AD278="Si","SI",IF(AD278="No","NO",""))</f>
        <v>NO</v>
      </c>
      <c r="AR278" t="str">
        <f>IF(ISNUMBER(SEARCH("®",N278)),"MARCA/INNOVADOR","GENERICO")</f>
        <v>GENERICO</v>
      </c>
      <c r="AS278">
        <f ca="1">IF(AE278&gt;100,RANDBETWEEN(500,5000),IF(AND(AE278&gt;=10,AE278&lt;=100),RANDBETWEEN(100,1000),RANDBETWEEN(10,200)))</f>
        <v>918</v>
      </c>
      <c r="AT278">
        <f t="shared" ca="1" si="22"/>
        <v>266</v>
      </c>
      <c r="AU278">
        <f ca="1">INT(AS278*RANDBETWEEN(120,200)/100)</f>
        <v>1468</v>
      </c>
      <c r="AV278" s="2">
        <f ca="1">IF(LEFT(Y278,1)="L",RANDBETWEEN(500000,5000000),IF(LEFT(Y278,1)="C",RANDBETWEEN(5000,50000),IF(LEFT(Y278,1)="N",RANDBETWEEN(10000,150000),IF(LEFT(Y278,1)="J",RANDBETWEEN(8000,200000),RANDBETWEEN(5000,100000)))))</f>
        <v>90575</v>
      </c>
      <c r="AW278" s="2">
        <f ca="1">INT(AV278*RANDBETWEEN(30,60)/100)</f>
        <v>52533</v>
      </c>
      <c r="AX278">
        <f ca="1">IF(Z278="ORAL",RANDBETWEEN(1000,10000),IF(OR(Z278="INTRAVENOSA",Z278="INTRAMUSCULAR"),RANDBETWEEN(100,2000),IF(OR(Z278="OFTÁLMICA",Z278="TOPICA (EXTERNA)"),RANDBETWEEN(200,3000),RANDBETWEEN(100,1500))))</f>
        <v>925</v>
      </c>
      <c r="AY278" s="2">
        <f ca="1">INT(AV278*RANDBETWEEN(90,130)/100)</f>
        <v>114124</v>
      </c>
      <c r="AZ278" t="str">
        <f t="shared" ca="1" si="23"/>
        <v>3.7%</v>
      </c>
      <c r="BA278" t="str">
        <f t="shared" ca="1" si="24"/>
        <v>BAJO</v>
      </c>
    </row>
    <row r="279" spans="4:53" x14ac:dyDescent="0.35">
      <c r="D279" t="s">
        <v>2183</v>
      </c>
      <c r="E279" s="1">
        <v>43664</v>
      </c>
      <c r="F279" t="s">
        <v>2184</v>
      </c>
      <c r="G279" t="s">
        <v>108</v>
      </c>
      <c r="H279" t="s">
        <v>39</v>
      </c>
      <c r="I279">
        <v>20137719</v>
      </c>
      <c r="J279" t="s">
        <v>28</v>
      </c>
      <c r="K279">
        <v>1</v>
      </c>
      <c r="L279" t="s">
        <v>2185</v>
      </c>
      <c r="M279" t="s">
        <v>2186</v>
      </c>
      <c r="N279" t="s">
        <v>2187</v>
      </c>
      <c r="O279" t="s">
        <v>2188</v>
      </c>
      <c r="P279" t="s">
        <v>2189</v>
      </c>
      <c r="Q279" s="1">
        <v>43343</v>
      </c>
      <c r="R279" t="s">
        <v>33</v>
      </c>
      <c r="S279" t="s">
        <v>27</v>
      </c>
      <c r="T279" t="s">
        <v>2190</v>
      </c>
      <c r="U279" t="s">
        <v>115</v>
      </c>
      <c r="V279" t="s">
        <v>2184</v>
      </c>
      <c r="W279">
        <v>50</v>
      </c>
      <c r="X279">
        <v>20137719</v>
      </c>
      <c r="Y279" t="s">
        <v>2191</v>
      </c>
      <c r="Z279" t="s">
        <v>119</v>
      </c>
      <c r="AA279" t="s">
        <v>32</v>
      </c>
      <c r="AB279" t="s">
        <v>120</v>
      </c>
      <c r="AC279" t="s">
        <v>38</v>
      </c>
      <c r="AD279" t="s">
        <v>121</v>
      </c>
      <c r="AE279">
        <v>30</v>
      </c>
      <c r="AF279" t="s">
        <v>27</v>
      </c>
      <c r="AG279" t="s">
        <v>26</v>
      </c>
      <c r="AH279" t="s">
        <v>2184</v>
      </c>
      <c r="AI279" t="str">
        <f t="shared" si="20"/>
        <v>NO</v>
      </c>
      <c r="AJ279" t="str">
        <f t="shared" si="21"/>
        <v>HETERO LABS UNIT V - BLOCK VB</v>
      </c>
      <c r="AK279" t="str">
        <f>IF(ISNUMBER(SEARCH("FABRICANTE",AC279)),"FABRICANTE",IF(ISNUMBER(SEARCH("IMPORTADOR",AC279)),"IMPORTADOR","OTRO"))</f>
        <v>IMPORTADOR</v>
      </c>
      <c r="AL279" t="str">
        <f>IF(LEFT(Y279,1)="A","Sistema digestivo",IF(LEFT(Y279,1)="B","Sangre",IF(LEFT(Y279,1)="C","Cardiovascular",IF(LEFT(Y279,1)="D","Dermatológico",IF(LEFT(Y279,1)="G","Genitourinario",IF(LEFT(Y279,1)="H","Hormonal",IF(LEFT(Y279,1)="J","Antiinfecciosos",IF(LEFT(Y279,1)="L","Oncológicos",IF(LEFT(Y279,1)="M","Musculoesquelético",IF(LEFT(Y279,1)="N","Sistema nervioso",IF(LEFT(Y279,1)="R","Respiratorio",IF(LEFT(Y279,1)="S","Oftálmico",IF(LEFT(Y279,1)="V","Varios","OTRO")))))))))))))</f>
        <v>Sistema nervioso</v>
      </c>
      <c r="AM279" t="str">
        <f>IF(AG279="Vigente","ACTIVO",IF(ISNUMBER(SEARCH("Inactivo",J279)),"INACTIVO","REVISAR"))</f>
        <v>ACTIVO</v>
      </c>
      <c r="AN279" t="str">
        <f ca="1">IF(OR(AF279="",AF279="null"),"",ROUND((AF279-TODAY())/365.25,2))</f>
        <v/>
      </c>
      <c r="AO279" t="str">
        <f ca="1">IF(AND(AG279="Vigente",OR(AF279="",AF279="null",AF279&gt;TODAY())),"SI",IF(AND(NOT(OR(AF279="",AF279="null")),AF279&lt;=TODAY()),"NO",IF(AG279="Vigente","SI","DESCONOCIDO")))</f>
        <v>SI</v>
      </c>
      <c r="AP279" t="str">
        <f>IF(AND(ISNUMBER(SEARCH("IMPORTAR",AA279)),ISNUMBER(SEARCH("FABRICAR",AA279))),"MIXTO",IF(ISNUMBER(SEARCH("IMPORTAR",AA279)),"IMPORTADO",IF(ISNUMBER(SEARCH("FABRICAR",AA279)),"LOCAL","OTRO")))</f>
        <v>IMPORTADO</v>
      </c>
      <c r="AQ279" t="str">
        <f>IF(AD279="Si","SI",IF(AD279="No","NO",""))</f>
        <v>NO</v>
      </c>
      <c r="AR279" t="str">
        <f>IF(ISNUMBER(SEARCH("®",N279)),"MARCA/INNOVADOR","GENERICO")</f>
        <v>MARCA/INNOVADOR</v>
      </c>
      <c r="AS279">
        <f ca="1">IF(AE279&gt;100,RANDBETWEEN(500,5000),IF(AND(AE279&gt;=10,AE279&lt;=100),RANDBETWEEN(100,1000),RANDBETWEEN(10,200)))</f>
        <v>514</v>
      </c>
      <c r="AT279">
        <f t="shared" ca="1" si="22"/>
        <v>113</v>
      </c>
      <c r="AU279">
        <f ca="1">INT(AS279*RANDBETWEEN(120,200)/100)</f>
        <v>858</v>
      </c>
      <c r="AV279" s="2">
        <f ca="1">IF(LEFT(Y279,1)="L",RANDBETWEEN(500000,5000000),IF(LEFT(Y279,1)="C",RANDBETWEEN(5000,50000),IF(LEFT(Y279,1)="N",RANDBETWEEN(10000,150000),IF(LEFT(Y279,1)="J",RANDBETWEEN(8000,200000),RANDBETWEEN(5000,100000)))))</f>
        <v>149401</v>
      </c>
      <c r="AW279" s="2">
        <f ca="1">INT(AV279*RANDBETWEEN(30,60)/100)</f>
        <v>89640</v>
      </c>
      <c r="AX279">
        <f ca="1">IF(Z279="ORAL",RANDBETWEEN(1000,10000),IF(OR(Z279="INTRAVENOSA",Z279="INTRAMUSCULAR"),RANDBETWEEN(100,2000),IF(OR(Z279="OFTÁLMICA",Z279="TOPICA (EXTERNA)"),RANDBETWEEN(200,3000),RANDBETWEEN(100,1500))))</f>
        <v>4140</v>
      </c>
      <c r="AY279" s="2">
        <f ca="1">INT(AV279*RANDBETWEEN(90,130)/100)</f>
        <v>141930</v>
      </c>
      <c r="AZ279" t="str">
        <f t="shared" ca="1" si="23"/>
        <v>20.1%</v>
      </c>
      <c r="BA279" t="str">
        <f t="shared" ca="1" si="24"/>
        <v>BAJO</v>
      </c>
    </row>
    <row r="280" spans="4:53" x14ac:dyDescent="0.35">
      <c r="D280" t="s">
        <v>2192</v>
      </c>
      <c r="E280" s="1">
        <v>40225</v>
      </c>
      <c r="F280" t="s">
        <v>215</v>
      </c>
      <c r="G280" t="s">
        <v>108</v>
      </c>
      <c r="H280" t="s">
        <v>464</v>
      </c>
      <c r="I280">
        <v>20007895</v>
      </c>
      <c r="J280" t="s">
        <v>28</v>
      </c>
      <c r="K280">
        <v>20</v>
      </c>
      <c r="L280" t="s">
        <v>27</v>
      </c>
      <c r="M280" t="s">
        <v>2193</v>
      </c>
      <c r="N280" t="s">
        <v>2194</v>
      </c>
      <c r="O280" t="s">
        <v>2195</v>
      </c>
      <c r="P280" t="s">
        <v>33</v>
      </c>
      <c r="Q280" s="1">
        <v>45761</v>
      </c>
      <c r="R280" t="s">
        <v>200</v>
      </c>
      <c r="S280" t="s">
        <v>27</v>
      </c>
      <c r="T280" t="s">
        <v>464</v>
      </c>
      <c r="U280" t="s">
        <v>115</v>
      </c>
      <c r="V280" t="s">
        <v>215</v>
      </c>
      <c r="W280">
        <v>1000</v>
      </c>
      <c r="X280">
        <v>20007895</v>
      </c>
      <c r="Y280" t="s">
        <v>221</v>
      </c>
      <c r="Z280" t="s">
        <v>119</v>
      </c>
      <c r="AA280" t="s">
        <v>32</v>
      </c>
      <c r="AB280" t="s">
        <v>120</v>
      </c>
      <c r="AC280" t="s">
        <v>38</v>
      </c>
      <c r="AD280" t="s">
        <v>121</v>
      </c>
      <c r="AE280">
        <v>20</v>
      </c>
      <c r="AF280" t="s">
        <v>27</v>
      </c>
      <c r="AG280" t="s">
        <v>26</v>
      </c>
      <c r="AH280" t="s">
        <v>215</v>
      </c>
      <c r="AI280" t="str">
        <f t="shared" si="20"/>
        <v>NO</v>
      </c>
      <c r="AJ280" t="str">
        <f t="shared" si="21"/>
        <v>MEGALABS COLOMBIA</v>
      </c>
      <c r="AK280" t="str">
        <f>IF(ISNUMBER(SEARCH("FABRICANTE",AC280)),"FABRICANTE",IF(ISNUMBER(SEARCH("IMPORTADOR",AC280)),"IMPORTADOR","OTRO"))</f>
        <v>IMPORTADOR</v>
      </c>
      <c r="AL280" t="str">
        <f>IF(LEFT(Y280,1)="A","Sistema digestivo",IF(LEFT(Y280,1)="B","Sangre",IF(LEFT(Y280,1)="C","Cardiovascular",IF(LEFT(Y280,1)="D","Dermatológico",IF(LEFT(Y280,1)="G","Genitourinario",IF(LEFT(Y280,1)="H","Hormonal",IF(LEFT(Y280,1)="J","Antiinfecciosos",IF(LEFT(Y280,1)="L","Oncológicos",IF(LEFT(Y280,1)="M","Musculoesquelético",IF(LEFT(Y280,1)="N","Sistema nervioso",IF(LEFT(Y280,1)="R","Respiratorio",IF(LEFT(Y280,1)="S","Oftálmico",IF(LEFT(Y280,1)="V","Varios","OTRO")))))))))))))</f>
        <v>Sistema nervioso</v>
      </c>
      <c r="AM280" t="str">
        <f>IF(AG280="Vigente","ACTIVO",IF(ISNUMBER(SEARCH("Inactivo",J280)),"INACTIVO","REVISAR"))</f>
        <v>ACTIVO</v>
      </c>
      <c r="AN280" t="str">
        <f ca="1">IF(OR(AF280="",AF280="null"),"",ROUND((AF280-TODAY())/365.25,2))</f>
        <v/>
      </c>
      <c r="AO280" t="str">
        <f ca="1">IF(AND(AG280="Vigente",OR(AF280="",AF280="null",AF280&gt;TODAY())),"SI",IF(AND(NOT(OR(AF280="",AF280="null")),AF280&lt;=TODAY()),"NO",IF(AG280="Vigente","SI","DESCONOCIDO")))</f>
        <v>SI</v>
      </c>
      <c r="AP280" t="str">
        <f>IF(AND(ISNUMBER(SEARCH("IMPORTAR",AA280)),ISNUMBER(SEARCH("FABRICAR",AA280))),"MIXTO",IF(ISNUMBER(SEARCH("IMPORTAR",AA280)),"IMPORTADO",IF(ISNUMBER(SEARCH("FABRICAR",AA280)),"LOCAL","OTRO")))</f>
        <v>IMPORTADO</v>
      </c>
      <c r="AQ280" t="str">
        <f>IF(AD280="Si","SI",IF(AD280="No","NO",""))</f>
        <v>NO</v>
      </c>
      <c r="AR280" t="str">
        <f>IF(ISNUMBER(SEARCH("®",N280)),"MARCA/INNOVADOR","GENERICO")</f>
        <v>MARCA/INNOVADOR</v>
      </c>
      <c r="AS280">
        <f ca="1">IF(AE280&gt;100,RANDBETWEEN(500,5000),IF(AND(AE280&gt;=10,AE280&lt;=100),RANDBETWEEN(100,1000),RANDBETWEEN(10,200)))</f>
        <v>838</v>
      </c>
      <c r="AT280">
        <f t="shared" ca="1" si="22"/>
        <v>159</v>
      </c>
      <c r="AU280">
        <f ca="1">INT(AS280*RANDBETWEEN(120,200)/100)</f>
        <v>1164</v>
      </c>
      <c r="AV280" s="2">
        <f ca="1">IF(LEFT(Y280,1)="L",RANDBETWEEN(500000,5000000),IF(LEFT(Y280,1)="C",RANDBETWEEN(5000,50000),IF(LEFT(Y280,1)="N",RANDBETWEEN(10000,150000),IF(LEFT(Y280,1)="J",RANDBETWEEN(8000,200000),RANDBETWEEN(5000,100000)))))</f>
        <v>66234</v>
      </c>
      <c r="AW280" s="2">
        <f ca="1">INT(AV280*RANDBETWEEN(30,60)/100)</f>
        <v>38415</v>
      </c>
      <c r="AX280">
        <f ca="1">IF(Z280="ORAL",RANDBETWEEN(1000,10000),IF(OR(Z280="INTRAVENOSA",Z280="INTRAMUSCULAR"),RANDBETWEEN(100,2000),IF(OR(Z280="OFTÁLMICA",Z280="TOPICA (EXTERNA)"),RANDBETWEEN(200,3000),RANDBETWEEN(100,1500))))</f>
        <v>3382</v>
      </c>
      <c r="AY280" s="2">
        <f ca="1">INT(AV280*RANDBETWEEN(90,130)/100)</f>
        <v>70208</v>
      </c>
      <c r="AZ280" t="str">
        <f t="shared" ca="1" si="23"/>
        <v>15.3%</v>
      </c>
      <c r="BA280" t="str">
        <f t="shared" ca="1" si="24"/>
        <v>BAJO</v>
      </c>
    </row>
    <row r="281" spans="4:53" x14ac:dyDescent="0.35">
      <c r="D281" t="s">
        <v>2196</v>
      </c>
      <c r="E281" s="1">
        <v>43899</v>
      </c>
      <c r="F281" t="s">
        <v>522</v>
      </c>
      <c r="G281" t="s">
        <v>108</v>
      </c>
      <c r="H281" t="s">
        <v>454</v>
      </c>
      <c r="I281">
        <v>20167956</v>
      </c>
      <c r="J281" t="s">
        <v>28</v>
      </c>
      <c r="K281">
        <v>10</v>
      </c>
      <c r="L281" t="s">
        <v>27</v>
      </c>
      <c r="M281" t="s">
        <v>2197</v>
      </c>
      <c r="N281" t="s">
        <v>2198</v>
      </c>
      <c r="O281" t="s">
        <v>2199</v>
      </c>
      <c r="P281" t="s">
        <v>1061</v>
      </c>
      <c r="Q281" s="1">
        <v>44386</v>
      </c>
      <c r="R281" t="s">
        <v>527</v>
      </c>
      <c r="S281" t="s">
        <v>27</v>
      </c>
      <c r="T281" t="s">
        <v>454</v>
      </c>
      <c r="U281" t="s">
        <v>115</v>
      </c>
      <c r="V281" t="s">
        <v>321</v>
      </c>
      <c r="W281">
        <v>325</v>
      </c>
      <c r="X281">
        <v>20167956</v>
      </c>
      <c r="Y281" t="s">
        <v>322</v>
      </c>
      <c r="Z281" t="s">
        <v>119</v>
      </c>
      <c r="AA281" t="s">
        <v>2200</v>
      </c>
      <c r="AB281" t="s">
        <v>120</v>
      </c>
      <c r="AC281" t="s">
        <v>25</v>
      </c>
      <c r="AD281" t="s">
        <v>121</v>
      </c>
      <c r="AE281">
        <v>40</v>
      </c>
      <c r="AF281" t="s">
        <v>27</v>
      </c>
      <c r="AG281" t="s">
        <v>26</v>
      </c>
      <c r="AH281" t="s">
        <v>522</v>
      </c>
      <c r="AI281" t="str">
        <f t="shared" si="20"/>
        <v>NO</v>
      </c>
      <c r="AJ281" t="str">
        <f t="shared" si="21"/>
        <v>PROCAPS</v>
      </c>
      <c r="AK281" t="str">
        <f>IF(ISNUMBER(SEARCH("FABRICANTE",AC281)),"FABRICANTE",IF(ISNUMBER(SEARCH("IMPORTADOR",AC281)),"IMPORTADOR","OTRO"))</f>
        <v>FABRICANTE</v>
      </c>
      <c r="AL281" t="str">
        <f>IF(LEFT(Y281,1)="A","Sistema digestivo",IF(LEFT(Y281,1)="B","Sangre",IF(LEFT(Y281,1)="C","Cardiovascular",IF(LEFT(Y281,1)="D","Dermatológico",IF(LEFT(Y281,1)="G","Genitourinario",IF(LEFT(Y281,1)="H","Hormonal",IF(LEFT(Y281,1)="J","Antiinfecciosos",IF(LEFT(Y281,1)="L","Oncológicos",IF(LEFT(Y281,1)="M","Musculoesquelético",IF(LEFT(Y281,1)="N","Sistema nervioso",IF(LEFT(Y281,1)="R","Respiratorio",IF(LEFT(Y281,1)="S","Oftálmico",IF(LEFT(Y281,1)="V","Varios","OTRO")))))))))))))</f>
        <v>Sistema nervioso</v>
      </c>
      <c r="AM281" t="str">
        <f>IF(AG281="Vigente","ACTIVO",IF(ISNUMBER(SEARCH("Inactivo",J281)),"INACTIVO","REVISAR"))</f>
        <v>ACTIVO</v>
      </c>
      <c r="AN281" t="str">
        <f ca="1">IF(OR(AF281="",AF281="null"),"",ROUND((AF281-TODAY())/365.25,2))</f>
        <v/>
      </c>
      <c r="AO281" t="str">
        <f ca="1">IF(AND(AG281="Vigente",OR(AF281="",AF281="null",AF281&gt;TODAY())),"SI",IF(AND(NOT(OR(AF281="",AF281="null")),AF281&lt;=TODAY()),"NO",IF(AG281="Vigente","SI","DESCONOCIDO")))</f>
        <v>SI</v>
      </c>
      <c r="AP281" t="str">
        <f>IF(AND(ISNUMBER(SEARCH("IMPORTAR",AA281)),ISNUMBER(SEARCH("FABRICAR",AA281))),"MIXTO",IF(ISNUMBER(SEARCH("IMPORTAR",AA281)),"IMPORTADO",IF(ISNUMBER(SEARCH("FABRICAR",AA281)),"LOCAL","OTRO")))</f>
        <v>LOCAL</v>
      </c>
      <c r="AQ281" t="str">
        <f>IF(AD281="Si","SI",IF(AD281="No","NO",""))</f>
        <v>NO</v>
      </c>
      <c r="AR281" t="str">
        <f>IF(ISNUMBER(SEARCH("®",N281)),"MARCA/INNOVADOR","GENERICO")</f>
        <v>GENERICO</v>
      </c>
      <c r="AS281">
        <f ca="1">IF(AE281&gt;100,RANDBETWEEN(500,5000),IF(AND(AE281&gt;=10,AE281&lt;=100),RANDBETWEEN(100,1000),RANDBETWEEN(10,200)))</f>
        <v>229</v>
      </c>
      <c r="AT281">
        <f t="shared" ca="1" si="22"/>
        <v>43</v>
      </c>
      <c r="AU281">
        <f ca="1">INT(AS281*RANDBETWEEN(120,200)/100)</f>
        <v>405</v>
      </c>
      <c r="AV281" s="2">
        <f ca="1">IF(LEFT(Y281,1)="L",RANDBETWEEN(500000,5000000),IF(LEFT(Y281,1)="C",RANDBETWEEN(5000,50000),IF(LEFT(Y281,1)="N",RANDBETWEEN(10000,150000),IF(LEFT(Y281,1)="J",RANDBETWEEN(8000,200000),RANDBETWEEN(5000,100000)))))</f>
        <v>39594</v>
      </c>
      <c r="AW281" s="2">
        <f ca="1">INT(AV281*RANDBETWEEN(30,60)/100)</f>
        <v>15441</v>
      </c>
      <c r="AX281">
        <f ca="1">IF(Z281="ORAL",RANDBETWEEN(1000,10000),IF(OR(Z281="INTRAVENOSA",Z281="INTRAMUSCULAR"),RANDBETWEEN(100,2000),IF(OR(Z281="OFTÁLMICA",Z281="TOPICA (EXTERNA)"),RANDBETWEEN(200,3000),RANDBETWEEN(100,1500))))</f>
        <v>3878</v>
      </c>
      <c r="AY281" s="2">
        <f ca="1">INT(AV281*RANDBETWEEN(90,130)/100)</f>
        <v>47512</v>
      </c>
      <c r="AZ281" t="str">
        <f t="shared" ca="1" si="23"/>
        <v>18.5%</v>
      </c>
      <c r="BA281" t="str">
        <f t="shared" ca="1" si="24"/>
        <v>BAJO</v>
      </c>
    </row>
    <row r="282" spans="4:53" x14ac:dyDescent="0.35">
      <c r="D282" t="s">
        <v>2201</v>
      </c>
      <c r="E282" s="1">
        <v>37881</v>
      </c>
      <c r="F282" t="s">
        <v>922</v>
      </c>
      <c r="G282" t="s">
        <v>108</v>
      </c>
      <c r="H282" t="s">
        <v>114</v>
      </c>
      <c r="I282">
        <v>19940076</v>
      </c>
      <c r="J282" t="s">
        <v>28</v>
      </c>
      <c r="K282">
        <v>54</v>
      </c>
      <c r="L282" t="s">
        <v>27</v>
      </c>
      <c r="M282" t="s">
        <v>923</v>
      </c>
      <c r="N282" t="s">
        <v>924</v>
      </c>
      <c r="O282" t="s">
        <v>2202</v>
      </c>
      <c r="P282" t="s">
        <v>181</v>
      </c>
      <c r="Q282" s="1">
        <v>42179</v>
      </c>
      <c r="R282" t="s">
        <v>37</v>
      </c>
      <c r="S282" t="s">
        <v>27</v>
      </c>
      <c r="T282" t="s">
        <v>114</v>
      </c>
      <c r="U282" t="s">
        <v>115</v>
      </c>
      <c r="V282" t="s">
        <v>585</v>
      </c>
      <c r="W282">
        <v>40</v>
      </c>
      <c r="X282">
        <v>19940076</v>
      </c>
      <c r="Y282" t="s">
        <v>586</v>
      </c>
      <c r="Z282" t="s">
        <v>119</v>
      </c>
      <c r="AA282" t="s">
        <v>165</v>
      </c>
      <c r="AB282" t="s">
        <v>120</v>
      </c>
      <c r="AC282" t="s">
        <v>38</v>
      </c>
      <c r="AD282" t="s">
        <v>121</v>
      </c>
      <c r="AE282">
        <v>231</v>
      </c>
      <c r="AF282" t="s">
        <v>27</v>
      </c>
      <c r="AG282" t="s">
        <v>26</v>
      </c>
      <c r="AH282" t="s">
        <v>585</v>
      </c>
      <c r="AI282" t="str">
        <f t="shared" si="20"/>
        <v>SI</v>
      </c>
      <c r="AJ282" t="str">
        <f t="shared" si="21"/>
        <v>LABORATORIOS LEGRAND</v>
      </c>
      <c r="AK282" t="str">
        <f>IF(ISNUMBER(SEARCH("FABRICANTE",AC282)),"FABRICANTE",IF(ISNUMBER(SEARCH("IMPORTADOR",AC282)),"IMPORTADOR","OTRO"))</f>
        <v>IMPORTADOR</v>
      </c>
      <c r="AL282" t="str">
        <f>IF(LEFT(Y282,1)="A","Sistema digestivo",IF(LEFT(Y282,1)="B","Sangre",IF(LEFT(Y282,1)="C","Cardiovascular",IF(LEFT(Y282,1)="D","Dermatológico",IF(LEFT(Y282,1)="G","Genitourinario",IF(LEFT(Y282,1)="H","Hormonal",IF(LEFT(Y282,1)="J","Antiinfecciosos",IF(LEFT(Y282,1)="L","Oncológicos",IF(LEFT(Y282,1)="M","Musculoesquelético",IF(LEFT(Y282,1)="N","Sistema nervioso",IF(LEFT(Y282,1)="R","Respiratorio",IF(LEFT(Y282,1)="S","Oftálmico",IF(LEFT(Y282,1)="V","Varios","OTRO")))))))))))))</f>
        <v>Sistema digestivo</v>
      </c>
      <c r="AM282" t="str">
        <f>IF(AG282="Vigente","ACTIVO",IF(ISNUMBER(SEARCH("Inactivo",J282)),"INACTIVO","REVISAR"))</f>
        <v>ACTIVO</v>
      </c>
      <c r="AN282" t="str">
        <f ca="1">IF(OR(AF282="",AF282="null"),"",ROUND((AF282-TODAY())/365.25,2))</f>
        <v/>
      </c>
      <c r="AO282" t="str">
        <f ca="1">IF(AND(AG282="Vigente",OR(AF282="",AF282="null",AF282&gt;TODAY())),"SI",IF(AND(NOT(OR(AF282="",AF282="null")),AF282&lt;=TODAY()),"NO",IF(AG282="Vigente","SI","DESCONOCIDO")))</f>
        <v>SI</v>
      </c>
      <c r="AP282" t="str">
        <f>IF(AND(ISNUMBER(SEARCH("IMPORTAR",AA282)),ISNUMBER(SEARCH("FABRICAR",AA282))),"MIXTO",IF(ISNUMBER(SEARCH("IMPORTAR",AA282)),"IMPORTADO",IF(ISNUMBER(SEARCH("FABRICAR",AA282)),"LOCAL","OTRO")))</f>
        <v>IMPORTADO</v>
      </c>
      <c r="AQ282" t="str">
        <f>IF(AD282="Si","SI",IF(AD282="No","NO",""))</f>
        <v>NO</v>
      </c>
      <c r="AR282" t="str">
        <f>IF(ISNUMBER(SEARCH("®",N282)),"MARCA/INNOVADOR","GENERICO")</f>
        <v>MARCA/INNOVADOR</v>
      </c>
      <c r="AS282">
        <f ca="1">IF(AE282&gt;100,RANDBETWEEN(500,5000),IF(AND(AE282&gt;=10,AE282&lt;=100),RANDBETWEEN(100,1000),RANDBETWEEN(10,200)))</f>
        <v>4866</v>
      </c>
      <c r="AT282">
        <f t="shared" ca="1" si="22"/>
        <v>681</v>
      </c>
      <c r="AU282">
        <f ca="1">INT(AS282*RANDBETWEEN(120,200)/100)</f>
        <v>8174</v>
      </c>
      <c r="AV282" s="2">
        <f ca="1">IF(LEFT(Y282,1)="L",RANDBETWEEN(500000,5000000),IF(LEFT(Y282,1)="C",RANDBETWEEN(5000,50000),IF(LEFT(Y282,1)="N",RANDBETWEEN(10000,150000),IF(LEFT(Y282,1)="J",RANDBETWEEN(8000,200000),RANDBETWEEN(5000,100000)))))</f>
        <v>37194</v>
      </c>
      <c r="AW282" s="2">
        <f ca="1">INT(AV282*RANDBETWEEN(30,60)/100)</f>
        <v>21572</v>
      </c>
      <c r="AX282">
        <f ca="1">IF(Z282="ORAL",RANDBETWEEN(1000,10000),IF(OR(Z282="INTRAVENOSA",Z282="INTRAMUSCULAR"),RANDBETWEEN(100,2000),IF(OR(Z282="OFTÁLMICA",Z282="TOPICA (EXTERNA)"),RANDBETWEEN(200,3000),RANDBETWEEN(100,1500))))</f>
        <v>6138</v>
      </c>
      <c r="AY282" s="2">
        <f ca="1">INT(AV282*RANDBETWEEN(90,130)/100)</f>
        <v>35706</v>
      </c>
      <c r="AZ282" t="str">
        <f t="shared" ca="1" si="23"/>
        <v>14.8%</v>
      </c>
      <c r="BA282" t="str">
        <f t="shared" ca="1" si="24"/>
        <v>BAJO</v>
      </c>
    </row>
    <row r="283" spans="4:53" x14ac:dyDescent="0.35">
      <c r="D283" t="s">
        <v>2203</v>
      </c>
      <c r="E283" s="1">
        <v>40127</v>
      </c>
      <c r="F283" t="s">
        <v>2204</v>
      </c>
      <c r="G283" t="s">
        <v>108</v>
      </c>
      <c r="H283" t="s">
        <v>2205</v>
      </c>
      <c r="I283">
        <v>20004571</v>
      </c>
      <c r="J283" t="s">
        <v>28</v>
      </c>
      <c r="K283">
        <v>6</v>
      </c>
      <c r="L283" t="s">
        <v>27</v>
      </c>
      <c r="M283" t="s">
        <v>2206</v>
      </c>
      <c r="N283" t="s">
        <v>2207</v>
      </c>
      <c r="O283" t="s">
        <v>2208</v>
      </c>
      <c r="P283" t="s">
        <v>2209</v>
      </c>
      <c r="Q283" s="1">
        <v>40963</v>
      </c>
      <c r="R283" t="s">
        <v>200</v>
      </c>
      <c r="S283" t="s">
        <v>27</v>
      </c>
      <c r="T283" t="s">
        <v>2210</v>
      </c>
      <c r="U283" t="s">
        <v>115</v>
      </c>
      <c r="V283" t="s">
        <v>2211</v>
      </c>
      <c r="W283">
        <v>5</v>
      </c>
      <c r="X283">
        <v>20004571</v>
      </c>
      <c r="Y283" t="s">
        <v>2212</v>
      </c>
      <c r="Z283" t="s">
        <v>119</v>
      </c>
      <c r="AA283" t="s">
        <v>32</v>
      </c>
      <c r="AB283" t="s">
        <v>120</v>
      </c>
      <c r="AC283" t="s">
        <v>38</v>
      </c>
      <c r="AD283" t="s">
        <v>155</v>
      </c>
      <c r="AE283">
        <v>10</v>
      </c>
      <c r="AF283" t="s">
        <v>27</v>
      </c>
      <c r="AG283" t="s">
        <v>26</v>
      </c>
      <c r="AH283" t="s">
        <v>2204</v>
      </c>
      <c r="AI283" t="str">
        <f t="shared" si="20"/>
        <v>NO</v>
      </c>
      <c r="AJ283" t="str">
        <f t="shared" si="21"/>
        <v>LES LABORATORIES SERVIER INDUSTRIE</v>
      </c>
      <c r="AK283" t="str">
        <f>IF(ISNUMBER(SEARCH("FABRICANTE",AC283)),"FABRICANTE",IF(ISNUMBER(SEARCH("IMPORTADOR",AC283)),"IMPORTADOR","OTRO"))</f>
        <v>IMPORTADOR</v>
      </c>
      <c r="AL283" t="str">
        <f>IF(LEFT(Y283,1)="A","Sistema digestivo",IF(LEFT(Y283,1)="B","Sangre",IF(LEFT(Y283,1)="C","Cardiovascular",IF(LEFT(Y283,1)="D","Dermatológico",IF(LEFT(Y283,1)="G","Genitourinario",IF(LEFT(Y283,1)="H","Hormonal",IF(LEFT(Y283,1)="J","Antiinfecciosos",IF(LEFT(Y283,1)="L","Oncológicos",IF(LEFT(Y283,1)="M","Musculoesquelético",IF(LEFT(Y283,1)="N","Sistema nervioso",IF(LEFT(Y283,1)="R","Respiratorio",IF(LEFT(Y283,1)="S","Oftálmico",IF(LEFT(Y283,1)="V","Varios","OTRO")))))))))))))</f>
        <v>Cardiovascular</v>
      </c>
      <c r="AM283" t="str">
        <f>IF(AG283="Vigente","ACTIVO",IF(ISNUMBER(SEARCH("Inactivo",J283)),"INACTIVO","REVISAR"))</f>
        <v>ACTIVO</v>
      </c>
      <c r="AN283" t="str">
        <f ca="1">IF(OR(AF283="",AF283="null"),"",ROUND((AF283-TODAY())/365.25,2))</f>
        <v/>
      </c>
      <c r="AO283" t="str">
        <f ca="1">IF(AND(AG283="Vigente",OR(AF283="",AF283="null",AF283&gt;TODAY())),"SI",IF(AND(NOT(OR(AF283="",AF283="null")),AF283&lt;=TODAY()),"NO",IF(AG283="Vigente","SI","DESCONOCIDO")))</f>
        <v>SI</v>
      </c>
      <c r="AP283" t="str">
        <f>IF(AND(ISNUMBER(SEARCH("IMPORTAR",AA283)),ISNUMBER(SEARCH("FABRICAR",AA283))),"MIXTO",IF(ISNUMBER(SEARCH("IMPORTAR",AA283)),"IMPORTADO",IF(ISNUMBER(SEARCH("FABRICAR",AA283)),"LOCAL","OTRO")))</f>
        <v>IMPORTADO</v>
      </c>
      <c r="AQ283" t="str">
        <f>IF(AD283="Si","SI",IF(AD283="No","NO",""))</f>
        <v>SI</v>
      </c>
      <c r="AR283" t="str">
        <f>IF(ISNUMBER(SEARCH("®",N283)),"MARCA/INNOVADOR","GENERICO")</f>
        <v>MARCA/INNOVADOR</v>
      </c>
      <c r="AS283">
        <f ca="1">IF(AE283&gt;100,RANDBETWEEN(500,5000),IF(AND(AE283&gt;=10,AE283&lt;=100),RANDBETWEEN(100,1000),RANDBETWEEN(10,200)))</f>
        <v>230</v>
      </c>
      <c r="AT283">
        <f t="shared" ca="1" si="22"/>
        <v>52</v>
      </c>
      <c r="AU283">
        <f ca="1">INT(AS283*RANDBETWEEN(120,200)/100)</f>
        <v>418</v>
      </c>
      <c r="AV283" s="2">
        <f ca="1">IF(LEFT(Y283,1)="L",RANDBETWEEN(500000,5000000),IF(LEFT(Y283,1)="C",RANDBETWEEN(5000,50000),IF(LEFT(Y283,1)="N",RANDBETWEEN(10000,150000),IF(LEFT(Y283,1)="J",RANDBETWEEN(8000,200000),RANDBETWEEN(5000,100000)))))</f>
        <v>6071</v>
      </c>
      <c r="AW283" s="2">
        <f ca="1">INT(AV283*RANDBETWEEN(30,60)/100)</f>
        <v>2185</v>
      </c>
      <c r="AX283">
        <f ca="1">IF(Z283="ORAL",RANDBETWEEN(1000,10000),IF(OR(Z283="INTRAVENOSA",Z283="INTRAMUSCULAR"),RANDBETWEEN(100,2000),IF(OR(Z283="OFTÁLMICA",Z283="TOPICA (EXTERNA)"),RANDBETWEEN(200,3000),RANDBETWEEN(100,1500))))</f>
        <v>3665</v>
      </c>
      <c r="AY283" s="2">
        <f ca="1">INT(AV283*RANDBETWEEN(90,130)/100)</f>
        <v>6435</v>
      </c>
      <c r="AZ283" t="str">
        <f t="shared" ca="1" si="23"/>
        <v>23.7%</v>
      </c>
      <c r="BA283" t="str">
        <f t="shared" ca="1" si="24"/>
        <v>BAJO</v>
      </c>
    </row>
    <row r="284" spans="4:53" x14ac:dyDescent="0.35">
      <c r="D284" t="s">
        <v>2213</v>
      </c>
      <c r="E284" s="1">
        <v>39049</v>
      </c>
      <c r="F284" t="s">
        <v>2214</v>
      </c>
      <c r="G284" t="s">
        <v>108</v>
      </c>
      <c r="H284" t="s">
        <v>2215</v>
      </c>
      <c r="I284">
        <v>19969105</v>
      </c>
      <c r="J284" t="s">
        <v>28</v>
      </c>
      <c r="K284">
        <v>7</v>
      </c>
      <c r="L284" t="s">
        <v>27</v>
      </c>
      <c r="M284" t="s">
        <v>2216</v>
      </c>
      <c r="N284" t="s">
        <v>2217</v>
      </c>
      <c r="O284" t="s">
        <v>2218</v>
      </c>
      <c r="P284" t="s">
        <v>2219</v>
      </c>
      <c r="Q284" s="1">
        <v>39514</v>
      </c>
      <c r="R284" t="s">
        <v>211</v>
      </c>
      <c r="S284" t="s">
        <v>27</v>
      </c>
      <c r="T284" t="s">
        <v>129</v>
      </c>
      <c r="U284" t="s">
        <v>247</v>
      </c>
      <c r="V284" t="s">
        <v>765</v>
      </c>
      <c r="W284">
        <v>4</v>
      </c>
      <c r="X284">
        <v>19969105</v>
      </c>
      <c r="Y284" t="s">
        <v>766</v>
      </c>
      <c r="Z284" t="s">
        <v>260</v>
      </c>
      <c r="AA284" t="s">
        <v>24</v>
      </c>
      <c r="AB284" t="s">
        <v>120</v>
      </c>
      <c r="AC284" t="s">
        <v>25</v>
      </c>
      <c r="AD284" t="s">
        <v>121</v>
      </c>
      <c r="AE284">
        <v>10</v>
      </c>
      <c r="AF284" s="1">
        <v>401769</v>
      </c>
      <c r="AG284" t="s">
        <v>26</v>
      </c>
      <c r="AH284" t="s">
        <v>6646</v>
      </c>
      <c r="AI284" t="str">
        <f t="shared" si="20"/>
        <v>SI</v>
      </c>
      <c r="AJ284" t="str">
        <f t="shared" si="21"/>
        <v>VITALIS</v>
      </c>
      <c r="AK284" t="str">
        <f>IF(ISNUMBER(SEARCH("FABRICANTE",AC284)),"FABRICANTE",IF(ISNUMBER(SEARCH("IMPORTADOR",AC284)),"IMPORTADOR","OTRO"))</f>
        <v>FABRICANTE</v>
      </c>
      <c r="AL284" t="str">
        <f>IF(LEFT(Y284,1)="A","Sistema digestivo",IF(LEFT(Y284,1)="B","Sangre",IF(LEFT(Y284,1)="C","Cardiovascular",IF(LEFT(Y284,1)="D","Dermatológico",IF(LEFT(Y284,1)="G","Genitourinario",IF(LEFT(Y284,1)="H","Hormonal",IF(LEFT(Y284,1)="J","Antiinfecciosos",IF(LEFT(Y284,1)="L","Oncológicos",IF(LEFT(Y284,1)="M","Musculoesquelético",IF(LEFT(Y284,1)="N","Sistema nervioso",IF(LEFT(Y284,1)="R","Respiratorio",IF(LEFT(Y284,1)="S","Oftálmico",IF(LEFT(Y284,1)="V","Varios","OTRO")))))))))))))</f>
        <v>Antiinfecciosos</v>
      </c>
      <c r="AM284" t="str">
        <f>IF(AG284="Vigente","ACTIVO",IF(ISNUMBER(SEARCH("Inactivo",J284)),"INACTIVO","REVISAR"))</f>
        <v>ACTIVO</v>
      </c>
      <c r="AN284">
        <f ca="1">IF(OR(AF284="",AF284="null"),"",ROUND((AF284-TODAY())/365.25,2))</f>
        <v>973.58</v>
      </c>
      <c r="AO284" t="str">
        <f ca="1">IF(AND(AG284="Vigente",OR(AF284="",AF284="null",AF284&gt;TODAY())),"SI",IF(AND(NOT(OR(AF284="",AF284="null")),AF284&lt;=TODAY()),"NO",IF(AG284="Vigente","SI","DESCONOCIDO")))</f>
        <v>SI</v>
      </c>
      <c r="AP284" t="str">
        <f>IF(AND(ISNUMBER(SEARCH("IMPORTAR",AA284)),ISNUMBER(SEARCH("FABRICAR",AA284))),"MIXTO",IF(ISNUMBER(SEARCH("IMPORTAR",AA284)),"IMPORTADO",IF(ISNUMBER(SEARCH("FABRICAR",AA284)),"LOCAL","OTRO")))</f>
        <v>LOCAL</v>
      </c>
      <c r="AQ284" t="str">
        <f>IF(AD284="Si","SI",IF(AD284="No","NO",""))</f>
        <v>NO</v>
      </c>
      <c r="AR284" t="str">
        <f>IF(ISNUMBER(SEARCH("®",N284)),"MARCA/INNOVADOR","GENERICO")</f>
        <v>GENERICO</v>
      </c>
      <c r="AS284">
        <f ca="1">IF(AE284&gt;100,RANDBETWEEN(500,5000),IF(AND(AE284&gt;=10,AE284&lt;=100),RANDBETWEEN(100,1000),RANDBETWEEN(10,200)))</f>
        <v>746</v>
      </c>
      <c r="AT284">
        <f t="shared" ca="1" si="22"/>
        <v>208</v>
      </c>
      <c r="AU284">
        <f ca="1">INT(AS284*RANDBETWEEN(120,200)/100)</f>
        <v>1350</v>
      </c>
      <c r="AV284" s="2">
        <f ca="1">IF(LEFT(Y284,1)="L",RANDBETWEEN(500000,5000000),IF(LEFT(Y284,1)="C",RANDBETWEEN(5000,50000),IF(LEFT(Y284,1)="N",RANDBETWEEN(10000,150000),IF(LEFT(Y284,1)="J",RANDBETWEEN(8000,200000),RANDBETWEEN(5000,100000)))))</f>
        <v>55174</v>
      </c>
      <c r="AW284" s="2">
        <f ca="1">INT(AV284*RANDBETWEEN(30,60)/100)</f>
        <v>20414</v>
      </c>
      <c r="AX284">
        <f ca="1">IF(Z284="ORAL",RANDBETWEEN(1000,10000),IF(OR(Z284="INTRAVENOSA",Z284="INTRAMUSCULAR"),RANDBETWEEN(100,2000),IF(OR(Z284="OFTÁLMICA",Z284="TOPICA (EXTERNA)"),RANDBETWEEN(200,3000),RANDBETWEEN(100,1500))))</f>
        <v>1365</v>
      </c>
      <c r="AY284" s="2">
        <f ca="1">INT(AV284*RANDBETWEEN(90,130)/100)</f>
        <v>62898</v>
      </c>
      <c r="AZ284" t="str">
        <f t="shared" ca="1" si="23"/>
        <v>1.6%</v>
      </c>
      <c r="BA284" t="str">
        <f t="shared" ca="1" si="24"/>
        <v>BAJO</v>
      </c>
    </row>
    <row r="285" spans="4:53" x14ac:dyDescent="0.35">
      <c r="D285" t="s">
        <v>2220</v>
      </c>
      <c r="E285" s="1">
        <v>44025</v>
      </c>
      <c r="F285" t="s">
        <v>722</v>
      </c>
      <c r="G285" t="s">
        <v>108</v>
      </c>
      <c r="H285" t="s">
        <v>40</v>
      </c>
      <c r="I285">
        <v>20093574</v>
      </c>
      <c r="J285" t="s">
        <v>28</v>
      </c>
      <c r="K285">
        <v>2</v>
      </c>
      <c r="L285" t="s">
        <v>2221</v>
      </c>
      <c r="M285" t="s">
        <v>2222</v>
      </c>
      <c r="N285" t="s">
        <v>2223</v>
      </c>
      <c r="O285" t="s">
        <v>2224</v>
      </c>
      <c r="P285" t="s">
        <v>2225</v>
      </c>
      <c r="Q285" s="1">
        <v>43546</v>
      </c>
      <c r="R285" t="s">
        <v>780</v>
      </c>
      <c r="S285" t="s">
        <v>27</v>
      </c>
      <c r="T285" t="s">
        <v>40</v>
      </c>
      <c r="U285" t="s">
        <v>115</v>
      </c>
      <c r="V285" t="s">
        <v>722</v>
      </c>
      <c r="W285">
        <v>30</v>
      </c>
      <c r="X285">
        <v>20093574</v>
      </c>
      <c r="Y285" t="s">
        <v>723</v>
      </c>
      <c r="Z285" t="s">
        <v>119</v>
      </c>
      <c r="AA285" t="s">
        <v>32</v>
      </c>
      <c r="AB285" t="s">
        <v>120</v>
      </c>
      <c r="AC285" t="s">
        <v>25</v>
      </c>
      <c r="AD285" t="s">
        <v>121</v>
      </c>
      <c r="AE285">
        <v>7</v>
      </c>
      <c r="AF285" t="s">
        <v>27</v>
      </c>
      <c r="AG285" t="s">
        <v>26</v>
      </c>
      <c r="AH285" t="s">
        <v>722</v>
      </c>
      <c r="AI285" t="str">
        <f t="shared" si="20"/>
        <v>NO</v>
      </c>
      <c r="AJ285" t="str">
        <f t="shared" si="21"/>
        <v>HETERO LABS</v>
      </c>
      <c r="AK285" t="str">
        <f>IF(ISNUMBER(SEARCH("FABRICANTE",AC285)),"FABRICANTE",IF(ISNUMBER(SEARCH("IMPORTADOR",AC285)),"IMPORTADOR","OTRO"))</f>
        <v>FABRICANTE</v>
      </c>
      <c r="AL285" t="str">
        <f>IF(LEFT(Y285,1)="A","Sistema digestivo",IF(LEFT(Y285,1)="B","Sangre",IF(LEFT(Y285,1)="C","Cardiovascular",IF(LEFT(Y285,1)="D","Dermatológico",IF(LEFT(Y285,1)="G","Genitourinario",IF(LEFT(Y285,1)="H","Hormonal",IF(LEFT(Y285,1)="J","Antiinfecciosos",IF(LEFT(Y285,1)="L","Oncológicos",IF(LEFT(Y285,1)="M","Musculoesquelético",IF(LEFT(Y285,1)="N","Sistema nervioso",IF(LEFT(Y285,1)="R","Respiratorio",IF(LEFT(Y285,1)="S","Oftálmico",IF(LEFT(Y285,1)="V","Varios","OTRO")))))))))))))</f>
        <v>Sistema digestivo</v>
      </c>
      <c r="AM285" t="str">
        <f>IF(AG285="Vigente","ACTIVO",IF(ISNUMBER(SEARCH("Inactivo",J285)),"INACTIVO","REVISAR"))</f>
        <v>ACTIVO</v>
      </c>
      <c r="AN285" t="str">
        <f ca="1">IF(OR(AF285="",AF285="null"),"",ROUND((AF285-TODAY())/365.25,2))</f>
        <v/>
      </c>
      <c r="AO285" t="str">
        <f ca="1">IF(AND(AG285="Vigente",OR(AF285="",AF285="null",AF285&gt;TODAY())),"SI",IF(AND(NOT(OR(AF285="",AF285="null")),AF285&lt;=TODAY()),"NO",IF(AG285="Vigente","SI","DESCONOCIDO")))</f>
        <v>SI</v>
      </c>
      <c r="AP285" t="str">
        <f>IF(AND(ISNUMBER(SEARCH("IMPORTAR",AA285)),ISNUMBER(SEARCH("FABRICAR",AA285))),"MIXTO",IF(ISNUMBER(SEARCH("IMPORTAR",AA285)),"IMPORTADO",IF(ISNUMBER(SEARCH("FABRICAR",AA285)),"LOCAL","OTRO")))</f>
        <v>IMPORTADO</v>
      </c>
      <c r="AQ285" t="str">
        <f>IF(AD285="Si","SI",IF(AD285="No","NO",""))</f>
        <v>NO</v>
      </c>
      <c r="AR285" t="str">
        <f>IF(ISNUMBER(SEARCH("®",N285)),"MARCA/INNOVADOR","GENERICO")</f>
        <v>MARCA/INNOVADOR</v>
      </c>
      <c r="AS285">
        <f ca="1">IF(AE285&gt;100,RANDBETWEEN(500,5000),IF(AND(AE285&gt;=10,AE285&lt;=100),RANDBETWEEN(100,1000),RANDBETWEEN(10,200)))</f>
        <v>200</v>
      </c>
      <c r="AT285">
        <f t="shared" ca="1" si="22"/>
        <v>26</v>
      </c>
      <c r="AU285">
        <f ca="1">INT(AS285*RANDBETWEEN(120,200)/100)</f>
        <v>300</v>
      </c>
      <c r="AV285" s="2">
        <f ca="1">IF(LEFT(Y285,1)="L",RANDBETWEEN(500000,5000000),IF(LEFT(Y285,1)="C",RANDBETWEEN(5000,50000),IF(LEFT(Y285,1)="N",RANDBETWEEN(10000,150000),IF(LEFT(Y285,1)="J",RANDBETWEEN(8000,200000),RANDBETWEEN(5000,100000)))))</f>
        <v>37267</v>
      </c>
      <c r="AW285" s="2">
        <f ca="1">INT(AV285*RANDBETWEEN(30,60)/100)</f>
        <v>16024</v>
      </c>
      <c r="AX285">
        <f ca="1">IF(Z285="ORAL",RANDBETWEEN(1000,10000),IF(OR(Z285="INTRAVENOSA",Z285="INTRAMUSCULAR"),RANDBETWEEN(100,2000),IF(OR(Z285="OFTÁLMICA",Z285="TOPICA (EXTERNA)"),RANDBETWEEN(200,3000),RANDBETWEEN(100,1500))))</f>
        <v>6836</v>
      </c>
      <c r="AY285" s="2">
        <f ca="1">INT(AV285*RANDBETWEEN(90,130)/100)</f>
        <v>45465</v>
      </c>
      <c r="AZ285" t="str">
        <f t="shared" ca="1" si="23"/>
        <v>18.1%</v>
      </c>
      <c r="BA285" t="str">
        <f t="shared" ca="1" si="24"/>
        <v>BAJO</v>
      </c>
    </row>
    <row r="286" spans="4:53" x14ac:dyDescent="0.35">
      <c r="D286" t="s">
        <v>2226</v>
      </c>
      <c r="E286" s="1">
        <v>43777</v>
      </c>
      <c r="F286" t="s">
        <v>966</v>
      </c>
      <c r="G286" t="s">
        <v>108</v>
      </c>
      <c r="H286" t="s">
        <v>454</v>
      </c>
      <c r="I286">
        <v>20165041</v>
      </c>
      <c r="J286" t="s">
        <v>28</v>
      </c>
      <c r="K286">
        <v>1</v>
      </c>
      <c r="L286" t="s">
        <v>2227</v>
      </c>
      <c r="M286" t="s">
        <v>2228</v>
      </c>
      <c r="N286" t="s">
        <v>2229</v>
      </c>
      <c r="O286" t="s">
        <v>2230</v>
      </c>
      <c r="P286" t="s">
        <v>659</v>
      </c>
      <c r="Q286" s="1">
        <v>43763</v>
      </c>
      <c r="R286" t="s">
        <v>527</v>
      </c>
      <c r="S286" t="s">
        <v>27</v>
      </c>
      <c r="T286" t="s">
        <v>520</v>
      </c>
      <c r="U286" t="s">
        <v>115</v>
      </c>
      <c r="V286" t="s">
        <v>2231</v>
      </c>
      <c r="W286">
        <v>10</v>
      </c>
      <c r="X286">
        <v>20165041</v>
      </c>
      <c r="Y286" t="s">
        <v>2232</v>
      </c>
      <c r="Z286" t="s">
        <v>119</v>
      </c>
      <c r="AA286" t="s">
        <v>24</v>
      </c>
      <c r="AB286" t="s">
        <v>120</v>
      </c>
      <c r="AC286" t="s">
        <v>25</v>
      </c>
      <c r="AD286" t="s">
        <v>121</v>
      </c>
      <c r="AE286">
        <v>4</v>
      </c>
      <c r="AF286" t="s">
        <v>27</v>
      </c>
      <c r="AG286" t="s">
        <v>26</v>
      </c>
      <c r="AH286" t="s">
        <v>966</v>
      </c>
      <c r="AI286" t="str">
        <f t="shared" si="20"/>
        <v>NO</v>
      </c>
      <c r="AJ286" t="str">
        <f t="shared" si="21"/>
        <v>HALEON COLOMBIA</v>
      </c>
      <c r="AK286" t="str">
        <f>IF(ISNUMBER(SEARCH("FABRICANTE",AC286)),"FABRICANTE",IF(ISNUMBER(SEARCH("IMPORTADOR",AC286)),"IMPORTADOR","OTRO"))</f>
        <v>FABRICANTE</v>
      </c>
      <c r="AL286" t="str">
        <f>IF(LEFT(Y286,1)="A","Sistema digestivo",IF(LEFT(Y286,1)="B","Sangre",IF(LEFT(Y286,1)="C","Cardiovascular",IF(LEFT(Y286,1)="D","Dermatológico",IF(LEFT(Y286,1)="G","Genitourinario",IF(LEFT(Y286,1)="H","Hormonal",IF(LEFT(Y286,1)="J","Antiinfecciosos",IF(LEFT(Y286,1)="L","Oncológicos",IF(LEFT(Y286,1)="M","Musculoesquelético",IF(LEFT(Y286,1)="N","Sistema nervioso",IF(LEFT(Y286,1)="R","Respiratorio",IF(LEFT(Y286,1)="S","Oftálmico",IF(LEFT(Y286,1)="V","Varios","OTRO")))))))))))))</f>
        <v>Respiratorio</v>
      </c>
      <c r="AM286" t="str">
        <f>IF(AG286="Vigente","ACTIVO",IF(ISNUMBER(SEARCH("Inactivo",J286)),"INACTIVO","REVISAR"))</f>
        <v>ACTIVO</v>
      </c>
      <c r="AN286" t="str">
        <f ca="1">IF(OR(AF286="",AF286="null"),"",ROUND((AF286-TODAY())/365.25,2))</f>
        <v/>
      </c>
      <c r="AO286" t="str">
        <f ca="1">IF(AND(AG286="Vigente",OR(AF286="",AF286="null",AF286&gt;TODAY())),"SI",IF(AND(NOT(OR(AF286="",AF286="null")),AF286&lt;=TODAY()),"NO",IF(AG286="Vigente","SI","DESCONOCIDO")))</f>
        <v>SI</v>
      </c>
      <c r="AP286" t="str">
        <f>IF(AND(ISNUMBER(SEARCH("IMPORTAR",AA286)),ISNUMBER(SEARCH("FABRICAR",AA286))),"MIXTO",IF(ISNUMBER(SEARCH("IMPORTAR",AA286)),"IMPORTADO",IF(ISNUMBER(SEARCH("FABRICAR",AA286)),"LOCAL","OTRO")))</f>
        <v>LOCAL</v>
      </c>
      <c r="AQ286" t="str">
        <f>IF(AD286="Si","SI",IF(AD286="No","NO",""))</f>
        <v>NO</v>
      </c>
      <c r="AR286" t="str">
        <f>IF(ISNUMBER(SEARCH("®",N286)),"MARCA/INNOVADOR","GENERICO")</f>
        <v>MARCA/INNOVADOR</v>
      </c>
      <c r="AS286">
        <f ca="1">IF(AE286&gt;100,RANDBETWEEN(500,5000),IF(AND(AE286&gt;=10,AE286&lt;=100),RANDBETWEEN(100,1000),RANDBETWEEN(10,200)))</f>
        <v>105</v>
      </c>
      <c r="AT286">
        <f t="shared" ca="1" si="22"/>
        <v>12</v>
      </c>
      <c r="AU286">
        <f ca="1">INT(AS286*RANDBETWEEN(120,200)/100)</f>
        <v>189</v>
      </c>
      <c r="AV286" s="2">
        <f ca="1">IF(LEFT(Y286,1)="L",RANDBETWEEN(500000,5000000),IF(LEFT(Y286,1)="C",RANDBETWEEN(5000,50000),IF(LEFT(Y286,1)="N",RANDBETWEEN(10000,150000),IF(LEFT(Y286,1)="J",RANDBETWEEN(8000,200000),RANDBETWEEN(5000,100000)))))</f>
        <v>47284</v>
      </c>
      <c r="AW286" s="2">
        <f ca="1">INT(AV286*RANDBETWEEN(30,60)/100)</f>
        <v>15603</v>
      </c>
      <c r="AX286">
        <f ca="1">IF(Z286="ORAL",RANDBETWEEN(1000,10000),IF(OR(Z286="INTRAVENOSA",Z286="INTRAMUSCULAR"),RANDBETWEEN(100,2000),IF(OR(Z286="OFTÁLMICA",Z286="TOPICA (EXTERNA)"),RANDBETWEEN(200,3000),RANDBETWEEN(100,1500))))</f>
        <v>2366</v>
      </c>
      <c r="AY286" s="2">
        <f ca="1">INT(AV286*RANDBETWEEN(90,130)/100)</f>
        <v>50593</v>
      </c>
      <c r="AZ286" t="str">
        <f t="shared" ca="1" si="23"/>
        <v>10.4%</v>
      </c>
      <c r="BA286" t="str">
        <f t="shared" ca="1" si="24"/>
        <v>BAJO</v>
      </c>
    </row>
    <row r="287" spans="4:53" x14ac:dyDescent="0.35">
      <c r="D287" t="s">
        <v>2233</v>
      </c>
      <c r="E287" s="1">
        <v>42065</v>
      </c>
      <c r="F287" t="s">
        <v>2234</v>
      </c>
      <c r="G287" t="s">
        <v>108</v>
      </c>
      <c r="H287" t="s">
        <v>1325</v>
      </c>
      <c r="I287">
        <v>20061748</v>
      </c>
      <c r="J287" t="s">
        <v>110</v>
      </c>
      <c r="K287">
        <v>2</v>
      </c>
      <c r="L287" t="s">
        <v>27</v>
      </c>
      <c r="M287" t="s">
        <v>2235</v>
      </c>
      <c r="N287" t="s">
        <v>2236</v>
      </c>
      <c r="O287" t="s">
        <v>2237</v>
      </c>
      <c r="P287" t="s">
        <v>2238</v>
      </c>
      <c r="Q287" s="1">
        <v>41569</v>
      </c>
      <c r="R287" t="s">
        <v>258</v>
      </c>
      <c r="S287" s="1">
        <v>42063</v>
      </c>
      <c r="T287" t="s">
        <v>1329</v>
      </c>
      <c r="U287" t="s">
        <v>247</v>
      </c>
      <c r="V287" t="s">
        <v>64</v>
      </c>
      <c r="W287" t="s">
        <v>2239</v>
      </c>
      <c r="X287">
        <v>20061748</v>
      </c>
      <c r="Y287" t="s">
        <v>259</v>
      </c>
      <c r="Z287" t="s">
        <v>2240</v>
      </c>
      <c r="AA287" t="s">
        <v>32</v>
      </c>
      <c r="AB287" t="s">
        <v>133</v>
      </c>
      <c r="AC287" t="s">
        <v>38</v>
      </c>
      <c r="AD287" t="s">
        <v>121</v>
      </c>
      <c r="AE287">
        <v>1</v>
      </c>
      <c r="AF287" s="1">
        <v>401769</v>
      </c>
      <c r="AG287" t="s">
        <v>26</v>
      </c>
      <c r="AH287" t="s">
        <v>6744</v>
      </c>
      <c r="AI287" t="str">
        <f t="shared" si="20"/>
        <v>SI</v>
      </c>
      <c r="AJ287" t="str">
        <f t="shared" si="21"/>
        <v>FRESENIUS KABI AB</v>
      </c>
      <c r="AK287" t="str">
        <f>IF(ISNUMBER(SEARCH("FABRICANTE",AC287)),"FABRICANTE",IF(ISNUMBER(SEARCH("IMPORTADOR",AC287)),"IMPORTADOR","OTRO"))</f>
        <v>IMPORTADOR</v>
      </c>
      <c r="AL287" t="str">
        <f>IF(LEFT(Y287,1)="A","Sistema digestivo",IF(LEFT(Y287,1)="B","Sangre",IF(LEFT(Y287,1)="C","Cardiovascular",IF(LEFT(Y287,1)="D","Dermatológico",IF(LEFT(Y287,1)="G","Genitourinario",IF(LEFT(Y287,1)="H","Hormonal",IF(LEFT(Y287,1)="J","Antiinfecciosos",IF(LEFT(Y287,1)="L","Oncológicos",IF(LEFT(Y287,1)="M","Musculoesquelético",IF(LEFT(Y287,1)="N","Sistema nervioso",IF(LEFT(Y287,1)="R","Respiratorio",IF(LEFT(Y287,1)="S","Oftálmico",IF(LEFT(Y287,1)="V","Varios","OTRO")))))))))))))</f>
        <v>Sangre</v>
      </c>
      <c r="AM287" t="str">
        <f>IF(AG287="Vigente","ACTIVO",IF(ISNUMBER(SEARCH("Inactivo",J287)),"INACTIVO","REVISAR"))</f>
        <v>ACTIVO</v>
      </c>
      <c r="AN287">
        <f ca="1">IF(OR(AF287="",AF287="null"),"",ROUND((AF287-TODAY())/365.25,2))</f>
        <v>973.58</v>
      </c>
      <c r="AO287" t="str">
        <f ca="1">IF(AND(AG287="Vigente",OR(AF287="",AF287="null",AF287&gt;TODAY())),"SI",IF(AND(NOT(OR(AF287="",AF287="null")),AF287&lt;=TODAY()),"NO",IF(AG287="Vigente","SI","DESCONOCIDO")))</f>
        <v>SI</v>
      </c>
      <c r="AP287" t="str">
        <f>IF(AND(ISNUMBER(SEARCH("IMPORTAR",AA287)),ISNUMBER(SEARCH("FABRICAR",AA287))),"MIXTO",IF(ISNUMBER(SEARCH("IMPORTAR",AA287)),"IMPORTADO",IF(ISNUMBER(SEARCH("FABRICAR",AA287)),"LOCAL","OTRO")))</f>
        <v>IMPORTADO</v>
      </c>
      <c r="AQ287" t="str">
        <f>IF(AD287="Si","SI",IF(AD287="No","NO",""))</f>
        <v>NO</v>
      </c>
      <c r="AR287" t="str">
        <f>IF(ISNUMBER(SEARCH("®",N287)),"MARCA/INNOVADOR","GENERICO")</f>
        <v>MARCA/INNOVADOR</v>
      </c>
      <c r="AS287">
        <f ca="1">IF(AE287&gt;100,RANDBETWEEN(500,5000),IF(AND(AE287&gt;=10,AE287&lt;=100),RANDBETWEEN(100,1000),RANDBETWEEN(10,200)))</f>
        <v>68</v>
      </c>
      <c r="AT287">
        <f t="shared" ca="1" si="22"/>
        <v>10</v>
      </c>
      <c r="AU287">
        <f ca="1">INT(AS287*RANDBETWEEN(120,200)/100)</f>
        <v>96</v>
      </c>
      <c r="AV287" s="2">
        <f ca="1">IF(LEFT(Y287,1)="L",RANDBETWEEN(500000,5000000),IF(LEFT(Y287,1)="C",RANDBETWEEN(5000,50000),IF(LEFT(Y287,1)="N",RANDBETWEEN(10000,150000),IF(LEFT(Y287,1)="J",RANDBETWEEN(8000,200000),RANDBETWEEN(5000,100000)))))</f>
        <v>70395</v>
      </c>
      <c r="AW287" s="2">
        <f ca="1">INT(AV287*RANDBETWEEN(30,60)/100)</f>
        <v>42237</v>
      </c>
      <c r="AX287">
        <f ca="1">IF(Z287="ORAL",RANDBETWEEN(1000,10000),IF(OR(Z287="INTRAVENOSA",Z287="INTRAMUSCULAR"),RANDBETWEEN(100,2000),IF(OR(Z287="OFTÁLMICA",Z287="TOPICA (EXTERNA)"),RANDBETWEEN(200,3000),RANDBETWEEN(100,1500))))</f>
        <v>353</v>
      </c>
      <c r="AY287" s="2">
        <f ca="1">INT(AV287*RANDBETWEEN(90,130)/100)</f>
        <v>76026</v>
      </c>
      <c r="AZ287" t="str">
        <f t="shared" ca="1" si="23"/>
        <v>7.2%</v>
      </c>
      <c r="BA287" t="str">
        <f t="shared" ca="1" si="24"/>
        <v>MEDIO</v>
      </c>
    </row>
    <row r="288" spans="4:53" x14ac:dyDescent="0.35">
      <c r="D288" t="s">
        <v>2241</v>
      </c>
      <c r="E288" s="1">
        <v>35787</v>
      </c>
      <c r="F288" t="s">
        <v>2242</v>
      </c>
      <c r="G288" t="s">
        <v>108</v>
      </c>
      <c r="H288" t="s">
        <v>681</v>
      </c>
      <c r="I288">
        <v>208141</v>
      </c>
      <c r="J288" t="s">
        <v>110</v>
      </c>
      <c r="K288">
        <v>25</v>
      </c>
      <c r="L288" t="s">
        <v>27</v>
      </c>
      <c r="M288" t="s">
        <v>550</v>
      </c>
      <c r="N288" t="s">
        <v>551</v>
      </c>
      <c r="O288" t="s">
        <v>2243</v>
      </c>
      <c r="P288" t="s">
        <v>553</v>
      </c>
      <c r="Q288" s="1">
        <v>39225</v>
      </c>
      <c r="R288" t="s">
        <v>50</v>
      </c>
      <c r="S288" t="s">
        <v>27</v>
      </c>
      <c r="T288" t="s">
        <v>549</v>
      </c>
      <c r="U288" t="s">
        <v>247</v>
      </c>
      <c r="V288" t="s">
        <v>554</v>
      </c>
      <c r="W288" t="s">
        <v>2244</v>
      </c>
      <c r="X288">
        <v>208141</v>
      </c>
      <c r="Y288" t="s">
        <v>556</v>
      </c>
      <c r="Z288" t="s">
        <v>260</v>
      </c>
      <c r="AA288" t="s">
        <v>32</v>
      </c>
      <c r="AB288" t="s">
        <v>120</v>
      </c>
      <c r="AC288" t="s">
        <v>25</v>
      </c>
      <c r="AD288" t="s">
        <v>121</v>
      </c>
      <c r="AE288">
        <v>1</v>
      </c>
      <c r="AF288" t="s">
        <v>27</v>
      </c>
      <c r="AG288" t="s">
        <v>26</v>
      </c>
      <c r="AH288" t="s">
        <v>6770</v>
      </c>
      <c r="AI288" t="str">
        <f t="shared" si="20"/>
        <v>NO</v>
      </c>
      <c r="AJ288" t="str">
        <f t="shared" si="21"/>
        <v>LABORATORIOS BAXTER</v>
      </c>
      <c r="AK288" t="str">
        <f>IF(ISNUMBER(SEARCH("FABRICANTE",AC288)),"FABRICANTE",IF(ISNUMBER(SEARCH("IMPORTADOR",AC288)),"IMPORTADOR","OTRO"))</f>
        <v>FABRICANTE</v>
      </c>
      <c r="AL288" t="str">
        <f>IF(LEFT(Y288,1)="A","Sistema digestivo",IF(LEFT(Y288,1)="B","Sangre",IF(LEFT(Y288,1)="C","Cardiovascular",IF(LEFT(Y288,1)="D","Dermatológico",IF(LEFT(Y288,1)="G","Genitourinario",IF(LEFT(Y288,1)="H","Hormonal",IF(LEFT(Y288,1)="J","Antiinfecciosos",IF(LEFT(Y288,1)="L","Oncológicos",IF(LEFT(Y288,1)="M","Musculoesquelético",IF(LEFT(Y288,1)="N","Sistema nervioso",IF(LEFT(Y288,1)="R","Respiratorio",IF(LEFT(Y288,1)="S","Oftálmico",IF(LEFT(Y288,1)="V","Varios","OTRO")))))))))))))</f>
        <v>Sangre</v>
      </c>
      <c r="AM288" t="str">
        <f>IF(AG288="Vigente","ACTIVO",IF(ISNUMBER(SEARCH("Inactivo",J288)),"INACTIVO","REVISAR"))</f>
        <v>ACTIVO</v>
      </c>
      <c r="AN288" t="str">
        <f ca="1">IF(OR(AF288="",AF288="null"),"",ROUND((AF288-TODAY())/365.25,2))</f>
        <v/>
      </c>
      <c r="AO288" t="str">
        <f ca="1">IF(AND(AG288="Vigente",OR(AF288="",AF288="null",AF288&gt;TODAY())),"SI",IF(AND(NOT(OR(AF288="",AF288="null")),AF288&lt;=TODAY()),"NO",IF(AG288="Vigente","SI","DESCONOCIDO")))</f>
        <v>SI</v>
      </c>
      <c r="AP288" t="str">
        <f>IF(AND(ISNUMBER(SEARCH("IMPORTAR",AA288)),ISNUMBER(SEARCH("FABRICAR",AA288))),"MIXTO",IF(ISNUMBER(SEARCH("IMPORTAR",AA288)),"IMPORTADO",IF(ISNUMBER(SEARCH("FABRICAR",AA288)),"LOCAL","OTRO")))</f>
        <v>IMPORTADO</v>
      </c>
      <c r="AQ288" t="str">
        <f>IF(AD288="Si","SI",IF(AD288="No","NO",""))</f>
        <v>NO</v>
      </c>
      <c r="AR288" t="str">
        <f>IF(ISNUMBER(SEARCH("®",N288)),"MARCA/INNOVADOR","GENERICO")</f>
        <v>GENERICO</v>
      </c>
      <c r="AS288">
        <f ca="1">IF(AE288&gt;100,RANDBETWEEN(500,5000),IF(AND(AE288&gt;=10,AE288&lt;=100),RANDBETWEEN(100,1000),RANDBETWEEN(10,200)))</f>
        <v>66</v>
      </c>
      <c r="AT288">
        <f t="shared" ca="1" si="22"/>
        <v>15</v>
      </c>
      <c r="AU288">
        <f ca="1">INT(AS288*RANDBETWEEN(120,200)/100)</f>
        <v>86</v>
      </c>
      <c r="AV288" s="2">
        <f ca="1">IF(LEFT(Y288,1)="L",RANDBETWEEN(500000,5000000),IF(LEFT(Y288,1)="C",RANDBETWEEN(5000,50000),IF(LEFT(Y288,1)="N",RANDBETWEEN(10000,150000),IF(LEFT(Y288,1)="J",RANDBETWEEN(8000,200000),RANDBETWEEN(5000,100000)))))</f>
        <v>55532</v>
      </c>
      <c r="AW288" s="2">
        <f ca="1">INT(AV288*RANDBETWEEN(30,60)/100)</f>
        <v>17214</v>
      </c>
      <c r="AX288">
        <f ca="1">IF(Z288="ORAL",RANDBETWEEN(1000,10000),IF(OR(Z288="INTRAVENOSA",Z288="INTRAMUSCULAR"),RANDBETWEEN(100,2000),IF(OR(Z288="OFTÁLMICA",Z288="TOPICA (EXTERNA)"),RANDBETWEEN(200,3000),RANDBETWEEN(100,1500))))</f>
        <v>431</v>
      </c>
      <c r="AY288" s="2">
        <f ca="1">INT(AV288*RANDBETWEEN(90,130)/100)</f>
        <v>64972</v>
      </c>
      <c r="AZ288" t="str">
        <f t="shared" ca="1" si="23"/>
        <v>3.3%</v>
      </c>
      <c r="BA288" t="str">
        <f t="shared" ca="1" si="24"/>
        <v>ALTO</v>
      </c>
    </row>
    <row r="289" spans="4:53" x14ac:dyDescent="0.35">
      <c r="D289" t="s">
        <v>2245</v>
      </c>
      <c r="E289" s="1">
        <v>42590</v>
      </c>
      <c r="F289" t="s">
        <v>2246</v>
      </c>
      <c r="G289" t="s">
        <v>108</v>
      </c>
      <c r="H289" t="s">
        <v>1490</v>
      </c>
      <c r="I289">
        <v>20066852</v>
      </c>
      <c r="J289" t="s">
        <v>28</v>
      </c>
      <c r="K289">
        <v>4</v>
      </c>
      <c r="L289" t="s">
        <v>2247</v>
      </c>
      <c r="M289" t="s">
        <v>2248</v>
      </c>
      <c r="N289" t="s">
        <v>2249</v>
      </c>
      <c r="O289" t="s">
        <v>2250</v>
      </c>
      <c r="P289" t="s">
        <v>97</v>
      </c>
      <c r="Q289" s="1">
        <v>42537</v>
      </c>
      <c r="R289" t="s">
        <v>33</v>
      </c>
      <c r="S289" t="s">
        <v>27</v>
      </c>
      <c r="T289" t="s">
        <v>1490</v>
      </c>
      <c r="U289" t="s">
        <v>115</v>
      </c>
      <c r="V289" t="s">
        <v>2251</v>
      </c>
      <c r="W289">
        <v>300</v>
      </c>
      <c r="X289">
        <v>20066852</v>
      </c>
      <c r="Y289" t="s">
        <v>2252</v>
      </c>
      <c r="Z289" t="s">
        <v>119</v>
      </c>
      <c r="AA289" t="s">
        <v>165</v>
      </c>
      <c r="AB289" t="s">
        <v>120</v>
      </c>
      <c r="AC289" t="s">
        <v>38</v>
      </c>
      <c r="AD289" t="s">
        <v>121</v>
      </c>
      <c r="AE289">
        <v>24</v>
      </c>
      <c r="AF289" t="s">
        <v>27</v>
      </c>
      <c r="AG289" t="s">
        <v>26</v>
      </c>
      <c r="AH289" t="s">
        <v>6771</v>
      </c>
      <c r="AI289" t="str">
        <f t="shared" si="20"/>
        <v>NO</v>
      </c>
      <c r="AJ289" t="str">
        <f t="shared" si="21"/>
        <v>LABORATORIO FRANCO COLOMBIANO - LAFRANCOL</v>
      </c>
      <c r="AK289" t="str">
        <f>IF(ISNUMBER(SEARCH("FABRICANTE",AC289)),"FABRICANTE",IF(ISNUMBER(SEARCH("IMPORTADOR",AC289)),"IMPORTADOR","OTRO"))</f>
        <v>IMPORTADOR</v>
      </c>
      <c r="AL289" t="str">
        <f>IF(LEFT(Y289,1)="A","Sistema digestivo",IF(LEFT(Y289,1)="B","Sangre",IF(LEFT(Y289,1)="C","Cardiovascular",IF(LEFT(Y289,1)="D","Dermatológico",IF(LEFT(Y289,1)="G","Genitourinario",IF(LEFT(Y289,1)="H","Hormonal",IF(LEFT(Y289,1)="J","Antiinfecciosos",IF(LEFT(Y289,1)="L","Oncológicos",IF(LEFT(Y289,1)="M","Musculoesquelético",IF(LEFT(Y289,1)="N","Sistema nervioso",IF(LEFT(Y289,1)="R","Respiratorio",IF(LEFT(Y289,1)="S","Oftálmico",IF(LEFT(Y289,1)="V","Varios","OTRO")))))))))))))</f>
        <v>Sistema digestivo</v>
      </c>
      <c r="AM289" t="str">
        <f>IF(AG289="Vigente","ACTIVO",IF(ISNUMBER(SEARCH("Inactivo",J289)),"INACTIVO","REVISAR"))</f>
        <v>ACTIVO</v>
      </c>
      <c r="AN289" t="str">
        <f ca="1">IF(OR(AF289="",AF289="null"),"",ROUND((AF289-TODAY())/365.25,2))</f>
        <v/>
      </c>
      <c r="AO289" t="str">
        <f ca="1">IF(AND(AG289="Vigente",OR(AF289="",AF289="null",AF289&gt;TODAY())),"SI",IF(AND(NOT(OR(AF289="",AF289="null")),AF289&lt;=TODAY()),"NO",IF(AG289="Vigente","SI","DESCONOCIDO")))</f>
        <v>SI</v>
      </c>
      <c r="AP289" t="str">
        <f>IF(AND(ISNUMBER(SEARCH("IMPORTAR",AA289)),ISNUMBER(SEARCH("FABRICAR",AA289))),"MIXTO",IF(ISNUMBER(SEARCH("IMPORTAR",AA289)),"IMPORTADO",IF(ISNUMBER(SEARCH("FABRICAR",AA289)),"LOCAL","OTRO")))</f>
        <v>IMPORTADO</v>
      </c>
      <c r="AQ289" t="str">
        <f>IF(AD289="Si","SI",IF(AD289="No","NO",""))</f>
        <v>NO</v>
      </c>
      <c r="AR289" t="str">
        <f>IF(ISNUMBER(SEARCH("®",N289)),"MARCA/INNOVADOR","GENERICO")</f>
        <v>MARCA/INNOVADOR</v>
      </c>
      <c r="AS289">
        <f ca="1">IF(AE289&gt;100,RANDBETWEEN(500,5000),IF(AND(AE289&gt;=10,AE289&lt;=100),RANDBETWEEN(100,1000),RANDBETWEEN(10,200)))</f>
        <v>994</v>
      </c>
      <c r="AT289">
        <f t="shared" ca="1" si="22"/>
        <v>149</v>
      </c>
      <c r="AU289">
        <f ca="1">INT(AS289*RANDBETWEEN(120,200)/100)</f>
        <v>1272</v>
      </c>
      <c r="AV289" s="2">
        <f ca="1">IF(LEFT(Y289,1)="L",RANDBETWEEN(500000,5000000),IF(LEFT(Y289,1)="C",RANDBETWEEN(5000,50000),IF(LEFT(Y289,1)="N",RANDBETWEEN(10000,150000),IF(LEFT(Y289,1)="J",RANDBETWEEN(8000,200000),RANDBETWEEN(5000,100000)))))</f>
        <v>32152</v>
      </c>
      <c r="AW289" s="2">
        <f ca="1">INT(AV289*RANDBETWEEN(30,60)/100)</f>
        <v>18969</v>
      </c>
      <c r="AX289">
        <f ca="1">IF(Z289="ORAL",RANDBETWEEN(1000,10000),IF(OR(Z289="INTRAVENOSA",Z289="INTRAMUSCULAR"),RANDBETWEEN(100,2000),IF(OR(Z289="OFTÁLMICA",Z289="TOPICA (EXTERNA)"),RANDBETWEEN(200,3000),RANDBETWEEN(100,1500))))</f>
        <v>3361</v>
      </c>
      <c r="AY289" s="2">
        <f ca="1">INT(AV289*RANDBETWEEN(90,130)/100)</f>
        <v>33438</v>
      </c>
      <c r="AZ289" t="str">
        <f t="shared" ca="1" si="23"/>
        <v>24.5%</v>
      </c>
      <c r="BA289" t="str">
        <f t="shared" ca="1" si="24"/>
        <v>BAJO</v>
      </c>
    </row>
    <row r="290" spans="4:53" x14ac:dyDescent="0.35">
      <c r="D290" t="s">
        <v>2253</v>
      </c>
      <c r="E290" s="1">
        <v>39510</v>
      </c>
      <c r="F290" t="s">
        <v>41</v>
      </c>
      <c r="G290" t="s">
        <v>108</v>
      </c>
      <c r="H290" t="s">
        <v>114</v>
      </c>
      <c r="I290">
        <v>19987663</v>
      </c>
      <c r="J290" t="s">
        <v>28</v>
      </c>
      <c r="K290">
        <v>1</v>
      </c>
      <c r="L290" t="s">
        <v>27</v>
      </c>
      <c r="M290" t="s">
        <v>2254</v>
      </c>
      <c r="N290" t="s">
        <v>2255</v>
      </c>
      <c r="O290" t="s">
        <v>2256</v>
      </c>
      <c r="P290" t="s">
        <v>29</v>
      </c>
      <c r="Q290" s="1">
        <v>39482</v>
      </c>
      <c r="R290" t="s">
        <v>29</v>
      </c>
      <c r="S290" t="s">
        <v>27</v>
      </c>
      <c r="T290" t="s">
        <v>114</v>
      </c>
      <c r="U290" t="s">
        <v>115</v>
      </c>
      <c r="V290" t="s">
        <v>41</v>
      </c>
      <c r="W290">
        <v>15</v>
      </c>
      <c r="X290">
        <v>19987663</v>
      </c>
      <c r="Y290" t="s">
        <v>42</v>
      </c>
      <c r="Z290" t="s">
        <v>119</v>
      </c>
      <c r="AA290" t="s">
        <v>24</v>
      </c>
      <c r="AB290" t="s">
        <v>120</v>
      </c>
      <c r="AC290" t="s">
        <v>25</v>
      </c>
      <c r="AD290" t="s">
        <v>121</v>
      </c>
      <c r="AE290">
        <v>4</v>
      </c>
      <c r="AF290" t="s">
        <v>27</v>
      </c>
      <c r="AG290" t="s">
        <v>26</v>
      </c>
      <c r="AH290" t="s">
        <v>41</v>
      </c>
      <c r="AI290" t="str">
        <f t="shared" si="20"/>
        <v>NO</v>
      </c>
      <c r="AJ290" t="str">
        <f t="shared" si="21"/>
        <v>LABORATORIOS LEGRAND</v>
      </c>
      <c r="AK290" t="str">
        <f>IF(ISNUMBER(SEARCH("FABRICANTE",AC290)),"FABRICANTE",IF(ISNUMBER(SEARCH("IMPORTADOR",AC290)),"IMPORTADOR","OTRO"))</f>
        <v>FABRICANTE</v>
      </c>
      <c r="AL290" t="str">
        <f>IF(LEFT(Y290,1)="A","Sistema digestivo",IF(LEFT(Y290,1)="B","Sangre",IF(LEFT(Y290,1)="C","Cardiovascular",IF(LEFT(Y290,1)="D","Dermatológico",IF(LEFT(Y290,1)="G","Genitourinario",IF(LEFT(Y290,1)="H","Hormonal",IF(LEFT(Y290,1)="J","Antiinfecciosos",IF(LEFT(Y290,1)="L","Oncológicos",IF(LEFT(Y290,1)="M","Musculoesquelético",IF(LEFT(Y290,1)="N","Sistema nervioso",IF(LEFT(Y290,1)="R","Respiratorio",IF(LEFT(Y290,1)="S","Oftálmico",IF(LEFT(Y290,1)="V","Varios","OTRO")))))))))))))</f>
        <v>Musculoesquelético</v>
      </c>
      <c r="AM290" t="str">
        <f>IF(AG290="Vigente","ACTIVO",IF(ISNUMBER(SEARCH("Inactivo",J290)),"INACTIVO","REVISAR"))</f>
        <v>ACTIVO</v>
      </c>
      <c r="AN290" t="str">
        <f ca="1">IF(OR(AF290="",AF290="null"),"",ROUND((AF290-TODAY())/365.25,2))</f>
        <v/>
      </c>
      <c r="AO290" t="str">
        <f ca="1">IF(AND(AG290="Vigente",OR(AF290="",AF290="null",AF290&gt;TODAY())),"SI",IF(AND(NOT(OR(AF290="",AF290="null")),AF290&lt;=TODAY()),"NO",IF(AG290="Vigente","SI","DESCONOCIDO")))</f>
        <v>SI</v>
      </c>
      <c r="AP290" t="str">
        <f>IF(AND(ISNUMBER(SEARCH("IMPORTAR",AA290)),ISNUMBER(SEARCH("FABRICAR",AA290))),"MIXTO",IF(ISNUMBER(SEARCH("IMPORTAR",AA290)),"IMPORTADO",IF(ISNUMBER(SEARCH("FABRICAR",AA290)),"LOCAL","OTRO")))</f>
        <v>LOCAL</v>
      </c>
      <c r="AQ290" t="str">
        <f>IF(AD290="Si","SI",IF(AD290="No","NO",""))</f>
        <v>NO</v>
      </c>
      <c r="AR290" t="str">
        <f>IF(ISNUMBER(SEARCH("®",N290)),"MARCA/INNOVADOR","GENERICO")</f>
        <v>MARCA/INNOVADOR</v>
      </c>
      <c r="AS290">
        <f ca="1">IF(AE290&gt;100,RANDBETWEEN(500,5000),IF(AND(AE290&gt;=10,AE290&lt;=100),RANDBETWEEN(100,1000),RANDBETWEEN(10,200)))</f>
        <v>115</v>
      </c>
      <c r="AT290">
        <f t="shared" ca="1" si="22"/>
        <v>20</v>
      </c>
      <c r="AU290">
        <f ca="1">INT(AS290*RANDBETWEEN(120,200)/100)</f>
        <v>146</v>
      </c>
      <c r="AV290" s="2">
        <f ca="1">IF(LEFT(Y290,1)="L",RANDBETWEEN(500000,5000000),IF(LEFT(Y290,1)="C",RANDBETWEEN(5000,50000),IF(LEFT(Y290,1)="N",RANDBETWEEN(10000,150000),IF(LEFT(Y290,1)="J",RANDBETWEEN(8000,200000),RANDBETWEEN(5000,100000)))))</f>
        <v>35450</v>
      </c>
      <c r="AW290" s="2">
        <f ca="1">INT(AV290*RANDBETWEEN(30,60)/100)</f>
        <v>14180</v>
      </c>
      <c r="AX290">
        <f ca="1">IF(Z290="ORAL",RANDBETWEEN(1000,10000),IF(OR(Z290="INTRAVENOSA",Z290="INTRAMUSCULAR"),RANDBETWEEN(100,2000),IF(OR(Z290="OFTÁLMICA",Z290="TOPICA (EXTERNA)"),RANDBETWEEN(200,3000),RANDBETWEEN(100,1500))))</f>
        <v>7609</v>
      </c>
      <c r="AY290" s="2">
        <f ca="1">INT(AV290*RANDBETWEEN(90,130)/100)</f>
        <v>36868</v>
      </c>
      <c r="AZ290" t="str">
        <f t="shared" ca="1" si="23"/>
        <v>11.7%</v>
      </c>
      <c r="BA290" t="str">
        <f t="shared" ca="1" si="24"/>
        <v>BAJO</v>
      </c>
    </row>
    <row r="291" spans="4:53" x14ac:dyDescent="0.35">
      <c r="D291" t="s">
        <v>2257</v>
      </c>
      <c r="E291" s="1">
        <v>36867</v>
      </c>
      <c r="F291" t="s">
        <v>2258</v>
      </c>
      <c r="G291" t="s">
        <v>108</v>
      </c>
      <c r="H291" t="s">
        <v>454</v>
      </c>
      <c r="I291">
        <v>32993</v>
      </c>
      <c r="J291" t="s">
        <v>110</v>
      </c>
      <c r="K291">
        <v>6</v>
      </c>
      <c r="L291" t="s">
        <v>27</v>
      </c>
      <c r="M291" t="s">
        <v>2259</v>
      </c>
      <c r="N291" t="s">
        <v>2260</v>
      </c>
      <c r="O291" t="s">
        <v>2261</v>
      </c>
      <c r="P291" t="s">
        <v>1061</v>
      </c>
      <c r="Q291" s="1">
        <v>39031</v>
      </c>
      <c r="R291" t="s">
        <v>527</v>
      </c>
      <c r="S291" s="1">
        <v>40386</v>
      </c>
      <c r="T291" t="s">
        <v>428</v>
      </c>
      <c r="U291" t="s">
        <v>115</v>
      </c>
      <c r="V291" t="s">
        <v>2262</v>
      </c>
      <c r="W291" t="s">
        <v>2263</v>
      </c>
      <c r="X291">
        <v>32993</v>
      </c>
      <c r="Y291" t="s">
        <v>2264</v>
      </c>
      <c r="Z291" t="s">
        <v>119</v>
      </c>
      <c r="AA291" t="s">
        <v>24</v>
      </c>
      <c r="AB291" t="s">
        <v>120</v>
      </c>
      <c r="AC291" t="s">
        <v>25</v>
      </c>
      <c r="AD291" t="s">
        <v>121</v>
      </c>
      <c r="AE291">
        <v>4</v>
      </c>
      <c r="AF291" t="s">
        <v>27</v>
      </c>
      <c r="AG291" t="s">
        <v>26</v>
      </c>
      <c r="AH291" t="s">
        <v>1769</v>
      </c>
      <c r="AI291" t="str">
        <f t="shared" si="20"/>
        <v>NO</v>
      </c>
      <c r="AJ291" t="str">
        <f t="shared" si="21"/>
        <v>LABORATORIOS SIEGFRIED</v>
      </c>
      <c r="AK291" t="str">
        <f>IF(ISNUMBER(SEARCH("FABRICANTE",AC291)),"FABRICANTE",IF(ISNUMBER(SEARCH("IMPORTADOR",AC291)),"IMPORTADOR","OTRO"))</f>
        <v>FABRICANTE</v>
      </c>
      <c r="AL291" t="str">
        <f>IF(LEFT(Y291,1)="A","Sistema digestivo",IF(LEFT(Y291,1)="B","Sangre",IF(LEFT(Y291,1)="C","Cardiovascular",IF(LEFT(Y291,1)="D","Dermatológico",IF(LEFT(Y291,1)="G","Genitourinario",IF(LEFT(Y291,1)="H","Hormonal",IF(LEFT(Y291,1)="J","Antiinfecciosos",IF(LEFT(Y291,1)="L","Oncológicos",IF(LEFT(Y291,1)="M","Musculoesquelético",IF(LEFT(Y291,1)="N","Sistema nervioso",IF(LEFT(Y291,1)="R","Respiratorio",IF(LEFT(Y291,1)="S","Oftálmico",IF(LEFT(Y291,1)="V","Varios","OTRO")))))))))))))</f>
        <v>Sistema digestivo</v>
      </c>
      <c r="AM291" t="str">
        <f>IF(AG291="Vigente","ACTIVO",IF(ISNUMBER(SEARCH("Inactivo",J291)),"INACTIVO","REVISAR"))</f>
        <v>ACTIVO</v>
      </c>
      <c r="AN291" t="str">
        <f ca="1">IF(OR(AF291="",AF291="null"),"",ROUND((AF291-TODAY())/365.25,2))</f>
        <v/>
      </c>
      <c r="AO291" t="str">
        <f ca="1">IF(AND(AG291="Vigente",OR(AF291="",AF291="null",AF291&gt;TODAY())),"SI",IF(AND(NOT(OR(AF291="",AF291="null")),AF291&lt;=TODAY()),"NO",IF(AG291="Vigente","SI","DESCONOCIDO")))</f>
        <v>SI</v>
      </c>
      <c r="AP291" t="str">
        <f>IF(AND(ISNUMBER(SEARCH("IMPORTAR",AA291)),ISNUMBER(SEARCH("FABRICAR",AA291))),"MIXTO",IF(ISNUMBER(SEARCH("IMPORTAR",AA291)),"IMPORTADO",IF(ISNUMBER(SEARCH("FABRICAR",AA291)),"LOCAL","OTRO")))</f>
        <v>LOCAL</v>
      </c>
      <c r="AQ291" t="str">
        <f>IF(AD291="Si","SI",IF(AD291="No","NO",""))</f>
        <v>NO</v>
      </c>
      <c r="AR291" t="str">
        <f>IF(ISNUMBER(SEARCH("®",N291)),"MARCA/INNOVADOR","GENERICO")</f>
        <v>GENERICO</v>
      </c>
      <c r="AS291">
        <f ca="1">IF(AE291&gt;100,RANDBETWEEN(500,5000),IF(AND(AE291&gt;=10,AE291&lt;=100),RANDBETWEEN(100,1000),RANDBETWEEN(10,200)))</f>
        <v>180</v>
      </c>
      <c r="AT291">
        <f t="shared" ca="1" si="22"/>
        <v>28</v>
      </c>
      <c r="AU291">
        <f ca="1">INT(AS291*RANDBETWEEN(120,200)/100)</f>
        <v>223</v>
      </c>
      <c r="AV291" s="2">
        <f ca="1">IF(LEFT(Y291,1)="L",RANDBETWEEN(500000,5000000),IF(LEFT(Y291,1)="C",RANDBETWEEN(5000,50000),IF(LEFT(Y291,1)="N",RANDBETWEEN(10000,150000),IF(LEFT(Y291,1)="J",RANDBETWEEN(8000,200000),RANDBETWEEN(5000,100000)))))</f>
        <v>28151</v>
      </c>
      <c r="AW291" s="2">
        <f ca="1">INT(AV291*RANDBETWEEN(30,60)/100)</f>
        <v>12949</v>
      </c>
      <c r="AX291">
        <f ca="1">IF(Z291="ORAL",RANDBETWEEN(1000,10000),IF(OR(Z291="INTRAVENOSA",Z291="INTRAMUSCULAR"),RANDBETWEEN(100,2000),IF(OR(Z291="OFTÁLMICA",Z291="TOPICA (EXTERNA)"),RANDBETWEEN(200,3000),RANDBETWEEN(100,1500))))</f>
        <v>2158</v>
      </c>
      <c r="AY291" s="2">
        <f ca="1">INT(AV291*RANDBETWEEN(90,130)/100)</f>
        <v>31529</v>
      </c>
      <c r="AZ291" t="str">
        <f t="shared" ca="1" si="23"/>
        <v>10.3%</v>
      </c>
      <c r="BA291" t="str">
        <f t="shared" ca="1" si="24"/>
        <v>ALTO</v>
      </c>
    </row>
    <row r="292" spans="4:53" x14ac:dyDescent="0.35">
      <c r="D292" t="s">
        <v>2265</v>
      </c>
      <c r="E292" s="1">
        <v>40063</v>
      </c>
      <c r="F292" t="s">
        <v>2266</v>
      </c>
      <c r="G292" t="s">
        <v>108</v>
      </c>
      <c r="H292" t="s">
        <v>312</v>
      </c>
      <c r="I292">
        <v>20005003</v>
      </c>
      <c r="J292" t="s">
        <v>110</v>
      </c>
      <c r="K292">
        <v>5</v>
      </c>
      <c r="L292" t="s">
        <v>27</v>
      </c>
      <c r="M292" t="s">
        <v>2267</v>
      </c>
      <c r="N292" t="s">
        <v>2268</v>
      </c>
      <c r="O292" t="s">
        <v>2269</v>
      </c>
      <c r="P292" t="s">
        <v>553</v>
      </c>
      <c r="Q292" s="1">
        <v>39973</v>
      </c>
      <c r="R292" t="s">
        <v>50</v>
      </c>
      <c r="S292" s="1">
        <v>40060</v>
      </c>
      <c r="T292" t="s">
        <v>253</v>
      </c>
      <c r="U292" t="s">
        <v>247</v>
      </c>
      <c r="V292" t="s">
        <v>2270</v>
      </c>
      <c r="W292" t="s">
        <v>2271</v>
      </c>
      <c r="X292">
        <v>20005003</v>
      </c>
      <c r="Y292" t="s">
        <v>2272</v>
      </c>
      <c r="Z292" t="s">
        <v>260</v>
      </c>
      <c r="AA292" t="s">
        <v>32</v>
      </c>
      <c r="AB292" t="s">
        <v>250</v>
      </c>
      <c r="AC292" t="s">
        <v>38</v>
      </c>
      <c r="AD292" t="s">
        <v>121</v>
      </c>
      <c r="AE292">
        <v>1</v>
      </c>
      <c r="AF292" t="s">
        <v>27</v>
      </c>
      <c r="AG292" t="s">
        <v>26</v>
      </c>
      <c r="AH292" t="s">
        <v>6772</v>
      </c>
      <c r="AI292" t="str">
        <f t="shared" si="20"/>
        <v>NO</v>
      </c>
      <c r="AJ292" t="str">
        <f t="shared" si="21"/>
        <v>B. BRAUN MELSUNGEN</v>
      </c>
      <c r="AK292" t="str">
        <f>IF(ISNUMBER(SEARCH("FABRICANTE",AC292)),"FABRICANTE",IF(ISNUMBER(SEARCH("IMPORTADOR",AC292)),"IMPORTADOR","OTRO"))</f>
        <v>IMPORTADOR</v>
      </c>
      <c r="AL292" t="str">
        <f>IF(LEFT(Y292,1)="A","Sistema digestivo",IF(LEFT(Y292,1)="B","Sangre",IF(LEFT(Y292,1)="C","Cardiovascular",IF(LEFT(Y292,1)="D","Dermatológico",IF(LEFT(Y292,1)="G","Genitourinario",IF(LEFT(Y292,1)="H","Hormonal",IF(LEFT(Y292,1)="J","Antiinfecciosos",IF(LEFT(Y292,1)="L","Oncológicos",IF(LEFT(Y292,1)="M","Musculoesquelético",IF(LEFT(Y292,1)="N","Sistema nervioso",IF(LEFT(Y292,1)="R","Respiratorio",IF(LEFT(Y292,1)="S","Oftálmico",IF(LEFT(Y292,1)="V","Varios","OTRO")))))))))))))</f>
        <v>Sangre</v>
      </c>
      <c r="AM292" t="str">
        <f>IF(AG292="Vigente","ACTIVO",IF(ISNUMBER(SEARCH("Inactivo",J292)),"INACTIVO","REVISAR"))</f>
        <v>ACTIVO</v>
      </c>
      <c r="AN292" t="str">
        <f ca="1">IF(OR(AF292="",AF292="null"),"",ROUND((AF292-TODAY())/365.25,2))</f>
        <v/>
      </c>
      <c r="AO292" t="str">
        <f ca="1">IF(AND(AG292="Vigente",OR(AF292="",AF292="null",AF292&gt;TODAY())),"SI",IF(AND(NOT(OR(AF292="",AF292="null")),AF292&lt;=TODAY()),"NO",IF(AG292="Vigente","SI","DESCONOCIDO")))</f>
        <v>SI</v>
      </c>
      <c r="AP292" t="str">
        <f>IF(AND(ISNUMBER(SEARCH("IMPORTAR",AA292)),ISNUMBER(SEARCH("FABRICAR",AA292))),"MIXTO",IF(ISNUMBER(SEARCH("IMPORTAR",AA292)),"IMPORTADO",IF(ISNUMBER(SEARCH("FABRICAR",AA292)),"LOCAL","OTRO")))</f>
        <v>IMPORTADO</v>
      </c>
      <c r="AQ292" t="str">
        <f>IF(AD292="Si","SI",IF(AD292="No","NO",""))</f>
        <v>NO</v>
      </c>
      <c r="AR292" t="str">
        <f>IF(ISNUMBER(SEARCH("®",N292)),"MARCA/INNOVADOR","GENERICO")</f>
        <v>MARCA/INNOVADOR</v>
      </c>
      <c r="AS292">
        <f ca="1">IF(AE292&gt;100,RANDBETWEEN(500,5000),IF(AND(AE292&gt;=10,AE292&lt;=100),RANDBETWEEN(100,1000),RANDBETWEEN(10,200)))</f>
        <v>115</v>
      </c>
      <c r="AT292">
        <f t="shared" ca="1" si="22"/>
        <v>20</v>
      </c>
      <c r="AU292">
        <f ca="1">INT(AS292*RANDBETWEEN(120,200)/100)</f>
        <v>141</v>
      </c>
      <c r="AV292" s="2">
        <f ca="1">IF(LEFT(Y292,1)="L",RANDBETWEEN(500000,5000000),IF(LEFT(Y292,1)="C",RANDBETWEEN(5000,50000),IF(LEFT(Y292,1)="N",RANDBETWEEN(10000,150000),IF(LEFT(Y292,1)="J",RANDBETWEEN(8000,200000),RANDBETWEEN(5000,100000)))))</f>
        <v>91021</v>
      </c>
      <c r="AW292" s="2">
        <f ca="1">INT(AV292*RANDBETWEEN(30,60)/100)</f>
        <v>44600</v>
      </c>
      <c r="AX292">
        <f ca="1">IF(Z292="ORAL",RANDBETWEEN(1000,10000),IF(OR(Z292="INTRAVENOSA",Z292="INTRAMUSCULAR"),RANDBETWEEN(100,2000),IF(OR(Z292="OFTÁLMICA",Z292="TOPICA (EXTERNA)"),RANDBETWEEN(200,3000),RANDBETWEEN(100,1500))))</f>
        <v>373</v>
      </c>
      <c r="AY292" s="2">
        <f ca="1">INT(AV292*RANDBETWEEN(90,130)/100)</f>
        <v>115596</v>
      </c>
      <c r="AZ292" t="str">
        <f t="shared" ca="1" si="23"/>
        <v>3.6%</v>
      </c>
      <c r="BA292" t="str">
        <f t="shared" ca="1" si="24"/>
        <v>ALTO</v>
      </c>
    </row>
    <row r="293" spans="4:53" x14ac:dyDescent="0.35">
      <c r="D293" t="s">
        <v>2273</v>
      </c>
      <c r="E293" s="1">
        <v>41897</v>
      </c>
      <c r="F293" t="s">
        <v>2274</v>
      </c>
      <c r="G293" t="s">
        <v>108</v>
      </c>
      <c r="H293" t="s">
        <v>928</v>
      </c>
      <c r="I293">
        <v>20066793</v>
      </c>
      <c r="J293" t="s">
        <v>28</v>
      </c>
      <c r="K293">
        <v>21</v>
      </c>
      <c r="L293" t="s">
        <v>27</v>
      </c>
      <c r="M293" t="s">
        <v>2275</v>
      </c>
      <c r="N293" t="s">
        <v>2276</v>
      </c>
      <c r="O293" t="s">
        <v>2277</v>
      </c>
      <c r="P293" t="s">
        <v>2278</v>
      </c>
      <c r="Q293" s="1">
        <v>41723</v>
      </c>
      <c r="R293" t="s">
        <v>867</v>
      </c>
      <c r="S293" t="s">
        <v>27</v>
      </c>
      <c r="T293" t="s">
        <v>928</v>
      </c>
      <c r="U293" t="s">
        <v>247</v>
      </c>
      <c r="V293" t="s">
        <v>2279</v>
      </c>
      <c r="W293">
        <v>100</v>
      </c>
      <c r="X293">
        <v>20066793</v>
      </c>
      <c r="Y293" t="s">
        <v>2280</v>
      </c>
      <c r="Z293" t="s">
        <v>119</v>
      </c>
      <c r="AA293" t="s">
        <v>24</v>
      </c>
      <c r="AB293" t="s">
        <v>653</v>
      </c>
      <c r="AC293" t="s">
        <v>25</v>
      </c>
      <c r="AD293" t="s">
        <v>121</v>
      </c>
      <c r="AE293">
        <v>50</v>
      </c>
      <c r="AF293" t="s">
        <v>27</v>
      </c>
      <c r="AG293" t="s">
        <v>26</v>
      </c>
      <c r="AH293" t="s">
        <v>6647</v>
      </c>
      <c r="AI293" t="str">
        <f t="shared" si="20"/>
        <v>NO</v>
      </c>
      <c r="AJ293" t="str">
        <f t="shared" si="21"/>
        <v>LABORATORIOS ECAR</v>
      </c>
      <c r="AK293" t="str">
        <f>IF(ISNUMBER(SEARCH("FABRICANTE",AC293)),"FABRICANTE",IF(ISNUMBER(SEARCH("IMPORTADOR",AC293)),"IMPORTADOR","OTRO"))</f>
        <v>FABRICANTE</v>
      </c>
      <c r="AL293" t="str">
        <f>IF(LEFT(Y293,1)="A","Sistema digestivo",IF(LEFT(Y293,1)="B","Sangre",IF(LEFT(Y293,1)="C","Cardiovascular",IF(LEFT(Y293,1)="D","Dermatológico",IF(LEFT(Y293,1)="G","Genitourinario",IF(LEFT(Y293,1)="H","Hormonal",IF(LEFT(Y293,1)="J","Antiinfecciosos",IF(LEFT(Y293,1)="L","Oncológicos",IF(LEFT(Y293,1)="M","Musculoesquelético",IF(LEFT(Y293,1)="N","Sistema nervioso",IF(LEFT(Y293,1)="R","Respiratorio",IF(LEFT(Y293,1)="S","Oftálmico",IF(LEFT(Y293,1)="V","Varios","OTRO")))))))))))))</f>
        <v>Sistema digestivo</v>
      </c>
      <c r="AM293" t="str">
        <f>IF(AG293="Vigente","ACTIVO",IF(ISNUMBER(SEARCH("Inactivo",J293)),"INACTIVO","REVISAR"))</f>
        <v>ACTIVO</v>
      </c>
      <c r="AN293" t="str">
        <f ca="1">IF(OR(AF293="",AF293="null"),"",ROUND((AF293-TODAY())/365.25,2))</f>
        <v/>
      </c>
      <c r="AO293" t="str">
        <f ca="1">IF(AND(AG293="Vigente",OR(AF293="",AF293="null",AF293&gt;TODAY())),"SI",IF(AND(NOT(OR(AF293="",AF293="null")),AF293&lt;=TODAY()),"NO",IF(AG293="Vigente","SI","DESCONOCIDO")))</f>
        <v>SI</v>
      </c>
      <c r="AP293" t="str">
        <f>IF(AND(ISNUMBER(SEARCH("IMPORTAR",AA293)),ISNUMBER(SEARCH("FABRICAR",AA293))),"MIXTO",IF(ISNUMBER(SEARCH("IMPORTAR",AA293)),"IMPORTADO",IF(ISNUMBER(SEARCH("FABRICAR",AA293)),"LOCAL","OTRO")))</f>
        <v>LOCAL</v>
      </c>
      <c r="AQ293" t="str">
        <f>IF(AD293="Si","SI",IF(AD293="No","NO",""))</f>
        <v>NO</v>
      </c>
      <c r="AR293" t="str">
        <f>IF(ISNUMBER(SEARCH("®",N293)),"MARCA/INNOVADOR","GENERICO")</f>
        <v>GENERICO</v>
      </c>
      <c r="AS293">
        <f ca="1">IF(AE293&gt;100,RANDBETWEEN(500,5000),IF(AND(AE293&gt;=10,AE293&lt;=100),RANDBETWEEN(100,1000),RANDBETWEEN(10,200)))</f>
        <v>885</v>
      </c>
      <c r="AT293">
        <f t="shared" ca="1" si="22"/>
        <v>150</v>
      </c>
      <c r="AU293">
        <f ca="1">INT(AS293*RANDBETWEEN(120,200)/100)</f>
        <v>1123</v>
      </c>
      <c r="AV293" s="2">
        <f ca="1">IF(LEFT(Y293,1)="L",RANDBETWEEN(500000,5000000),IF(LEFT(Y293,1)="C",RANDBETWEEN(5000,50000),IF(LEFT(Y293,1)="N",RANDBETWEEN(10000,150000),IF(LEFT(Y293,1)="J",RANDBETWEEN(8000,200000),RANDBETWEEN(5000,100000)))))</f>
        <v>76491</v>
      </c>
      <c r="AW293" s="2">
        <f ca="1">INT(AV293*RANDBETWEEN(30,60)/100)</f>
        <v>28301</v>
      </c>
      <c r="AX293">
        <f ca="1">IF(Z293="ORAL",RANDBETWEEN(1000,10000),IF(OR(Z293="INTRAVENOSA",Z293="INTRAMUSCULAR"),RANDBETWEEN(100,2000),IF(OR(Z293="OFTÁLMICA",Z293="TOPICA (EXTERNA)"),RANDBETWEEN(200,3000),RANDBETWEEN(100,1500))))</f>
        <v>4819</v>
      </c>
      <c r="AY293" s="2">
        <f ca="1">INT(AV293*RANDBETWEEN(90,130)/100)</f>
        <v>97143</v>
      </c>
      <c r="AZ293" t="str">
        <f t="shared" ca="1" si="23"/>
        <v>15.7%</v>
      </c>
      <c r="BA293" t="str">
        <f t="shared" ca="1" si="24"/>
        <v>BAJO</v>
      </c>
    </row>
    <row r="294" spans="4:53" x14ac:dyDescent="0.35">
      <c r="D294" t="s">
        <v>2281</v>
      </c>
      <c r="E294" s="1">
        <v>35783</v>
      </c>
      <c r="F294" t="s">
        <v>2282</v>
      </c>
      <c r="G294" t="s">
        <v>108</v>
      </c>
      <c r="H294" t="s">
        <v>1242</v>
      </c>
      <c r="I294">
        <v>224286</v>
      </c>
      <c r="J294" t="s">
        <v>28</v>
      </c>
      <c r="K294">
        <v>2</v>
      </c>
      <c r="L294" t="s">
        <v>27</v>
      </c>
      <c r="M294" t="s">
        <v>2283</v>
      </c>
      <c r="N294" t="s">
        <v>2284</v>
      </c>
      <c r="O294" t="s">
        <v>2285</v>
      </c>
      <c r="P294" t="s">
        <v>2286</v>
      </c>
      <c r="Q294" s="1">
        <v>39471</v>
      </c>
      <c r="R294" t="s">
        <v>29</v>
      </c>
      <c r="S294" s="1">
        <v>44814</v>
      </c>
      <c r="T294" t="s">
        <v>1247</v>
      </c>
      <c r="U294" t="s">
        <v>115</v>
      </c>
      <c r="V294" t="s">
        <v>1575</v>
      </c>
      <c r="W294">
        <v>10</v>
      </c>
      <c r="X294">
        <v>224286</v>
      </c>
      <c r="Y294" t="s">
        <v>1576</v>
      </c>
      <c r="Z294" t="s">
        <v>119</v>
      </c>
      <c r="AA294" t="s">
        <v>32</v>
      </c>
      <c r="AB294" t="s">
        <v>120</v>
      </c>
      <c r="AC294" t="s">
        <v>38</v>
      </c>
      <c r="AD294" t="s">
        <v>121</v>
      </c>
      <c r="AE294">
        <v>30</v>
      </c>
      <c r="AF294" t="s">
        <v>27</v>
      </c>
      <c r="AG294" t="s">
        <v>26</v>
      </c>
      <c r="AH294" t="s">
        <v>1575</v>
      </c>
      <c r="AI294" t="str">
        <f t="shared" si="20"/>
        <v>SI</v>
      </c>
      <c r="AJ294" t="str">
        <f t="shared" si="21"/>
        <v>ORGANON</v>
      </c>
      <c r="AK294" t="str">
        <f>IF(ISNUMBER(SEARCH("FABRICANTE",AC294)),"FABRICANTE",IF(ISNUMBER(SEARCH("IMPORTADOR",AC294)),"IMPORTADOR","OTRO"))</f>
        <v>IMPORTADOR</v>
      </c>
      <c r="AL294" t="str">
        <f>IF(LEFT(Y294,1)="A","Sistema digestivo",IF(LEFT(Y294,1)="B","Sangre",IF(LEFT(Y294,1)="C","Cardiovascular",IF(LEFT(Y294,1)="D","Dermatológico",IF(LEFT(Y294,1)="G","Genitourinario",IF(LEFT(Y294,1)="H","Hormonal",IF(LEFT(Y294,1)="J","Antiinfecciosos",IF(LEFT(Y294,1)="L","Oncológicos",IF(LEFT(Y294,1)="M","Musculoesquelético",IF(LEFT(Y294,1)="N","Sistema nervioso",IF(LEFT(Y294,1)="R","Respiratorio",IF(LEFT(Y294,1)="S","Oftálmico",IF(LEFT(Y294,1)="V","Varios","OTRO")))))))))))))</f>
        <v>Respiratorio</v>
      </c>
      <c r="AM294" t="str">
        <f>IF(AG294="Vigente","ACTIVO",IF(ISNUMBER(SEARCH("Inactivo",J294)),"INACTIVO","REVISAR"))</f>
        <v>ACTIVO</v>
      </c>
      <c r="AN294" t="str">
        <f ca="1">IF(OR(AF294="",AF294="null"),"",ROUND((AF294-TODAY())/365.25,2))</f>
        <v/>
      </c>
      <c r="AO294" t="str">
        <f ca="1">IF(AND(AG294="Vigente",OR(AF294="",AF294="null",AF294&gt;TODAY())),"SI",IF(AND(NOT(OR(AF294="",AF294="null")),AF294&lt;=TODAY()),"NO",IF(AG294="Vigente","SI","DESCONOCIDO")))</f>
        <v>SI</v>
      </c>
      <c r="AP294" t="str">
        <f>IF(AND(ISNUMBER(SEARCH("IMPORTAR",AA294)),ISNUMBER(SEARCH("FABRICAR",AA294))),"MIXTO",IF(ISNUMBER(SEARCH("IMPORTAR",AA294)),"IMPORTADO",IF(ISNUMBER(SEARCH("FABRICAR",AA294)),"LOCAL","OTRO")))</f>
        <v>IMPORTADO</v>
      </c>
      <c r="AQ294" t="str">
        <f>IF(AD294="Si","SI",IF(AD294="No","NO",""))</f>
        <v>NO</v>
      </c>
      <c r="AR294" t="str">
        <f>IF(ISNUMBER(SEARCH("®",N294)),"MARCA/INNOVADOR","GENERICO")</f>
        <v>MARCA/INNOVADOR</v>
      </c>
      <c r="AS294">
        <f ca="1">IF(AE294&gt;100,RANDBETWEEN(500,5000),IF(AND(AE294&gt;=10,AE294&lt;=100),RANDBETWEEN(100,1000),RANDBETWEEN(10,200)))</f>
        <v>943</v>
      </c>
      <c r="AT294">
        <f t="shared" ca="1" si="22"/>
        <v>216</v>
      </c>
      <c r="AU294">
        <f ca="1">INT(AS294*RANDBETWEEN(120,200)/100)</f>
        <v>1235</v>
      </c>
      <c r="AV294" s="2">
        <f ca="1">IF(LEFT(Y294,1)="L",RANDBETWEEN(500000,5000000),IF(LEFT(Y294,1)="C",RANDBETWEEN(5000,50000),IF(LEFT(Y294,1)="N",RANDBETWEEN(10000,150000),IF(LEFT(Y294,1)="J",RANDBETWEEN(8000,200000),RANDBETWEEN(5000,100000)))))</f>
        <v>87367</v>
      </c>
      <c r="AW294" s="2">
        <f ca="1">INT(AV294*RANDBETWEEN(30,60)/100)</f>
        <v>32325</v>
      </c>
      <c r="AX294">
        <f ca="1">IF(Z294="ORAL",RANDBETWEEN(1000,10000),IF(OR(Z294="INTRAVENOSA",Z294="INTRAMUSCULAR"),RANDBETWEEN(100,2000),IF(OR(Z294="OFTÁLMICA",Z294="TOPICA (EXTERNA)"),RANDBETWEEN(200,3000),RANDBETWEEN(100,1500))))</f>
        <v>9749</v>
      </c>
      <c r="AY294" s="2">
        <f ca="1">INT(AV294*RANDBETWEEN(90,130)/100)</f>
        <v>100472</v>
      </c>
      <c r="AZ294" t="str">
        <f t="shared" ca="1" si="23"/>
        <v>12.2%</v>
      </c>
      <c r="BA294" t="str">
        <f t="shared" ca="1" si="24"/>
        <v>BAJO</v>
      </c>
    </row>
    <row r="295" spans="4:53" x14ac:dyDescent="0.35">
      <c r="D295" t="s">
        <v>2287</v>
      </c>
      <c r="E295" s="1">
        <v>44539</v>
      </c>
      <c r="F295" t="s">
        <v>2288</v>
      </c>
      <c r="G295" t="s">
        <v>108</v>
      </c>
      <c r="H295" t="s">
        <v>2289</v>
      </c>
      <c r="I295">
        <v>20199319</v>
      </c>
      <c r="J295" t="s">
        <v>28</v>
      </c>
      <c r="K295">
        <v>12</v>
      </c>
      <c r="L295" t="s">
        <v>27</v>
      </c>
      <c r="M295" t="s">
        <v>2290</v>
      </c>
      <c r="N295" t="s">
        <v>2291</v>
      </c>
      <c r="O295" t="s">
        <v>2292</v>
      </c>
      <c r="P295" t="s">
        <v>845</v>
      </c>
      <c r="Q295" s="1">
        <v>45335</v>
      </c>
      <c r="R295" t="s">
        <v>29</v>
      </c>
      <c r="S295" t="s">
        <v>27</v>
      </c>
      <c r="T295" t="s">
        <v>2293</v>
      </c>
      <c r="U295" t="s">
        <v>115</v>
      </c>
      <c r="V295" t="s">
        <v>321</v>
      </c>
      <c r="W295">
        <v>65</v>
      </c>
      <c r="X295">
        <v>20199319</v>
      </c>
      <c r="Y295" t="s">
        <v>322</v>
      </c>
      <c r="Z295" t="s">
        <v>119</v>
      </c>
      <c r="AA295" t="s">
        <v>165</v>
      </c>
      <c r="AB295" t="s">
        <v>120</v>
      </c>
      <c r="AC295" t="s">
        <v>25</v>
      </c>
      <c r="AD295" t="s">
        <v>155</v>
      </c>
      <c r="AE295">
        <v>90</v>
      </c>
      <c r="AF295" t="s">
        <v>27</v>
      </c>
      <c r="AG295" t="s">
        <v>26</v>
      </c>
      <c r="AH295" t="s">
        <v>976</v>
      </c>
      <c r="AI295" t="str">
        <f t="shared" si="20"/>
        <v>SI</v>
      </c>
      <c r="AJ295" t="str">
        <f t="shared" si="21"/>
        <v>BALANCE PHARMA</v>
      </c>
      <c r="AK295" t="str">
        <f>IF(ISNUMBER(SEARCH("FABRICANTE",AC295)),"FABRICANTE",IF(ISNUMBER(SEARCH("IMPORTADOR",AC295)),"IMPORTADOR","OTRO"))</f>
        <v>FABRICANTE</v>
      </c>
      <c r="AL295" t="str">
        <f>IF(LEFT(Y295,1)="A","Sistema digestivo",IF(LEFT(Y295,1)="B","Sangre",IF(LEFT(Y295,1)="C","Cardiovascular",IF(LEFT(Y295,1)="D","Dermatológico",IF(LEFT(Y295,1)="G","Genitourinario",IF(LEFT(Y295,1)="H","Hormonal",IF(LEFT(Y295,1)="J","Antiinfecciosos",IF(LEFT(Y295,1)="L","Oncológicos",IF(LEFT(Y295,1)="M","Musculoesquelético",IF(LEFT(Y295,1)="N","Sistema nervioso",IF(LEFT(Y295,1)="R","Respiratorio",IF(LEFT(Y295,1)="S","Oftálmico",IF(LEFT(Y295,1)="V","Varios","OTRO")))))))))))))</f>
        <v>Sistema nervioso</v>
      </c>
      <c r="AM295" t="str">
        <f>IF(AG295="Vigente","ACTIVO",IF(ISNUMBER(SEARCH("Inactivo",J295)),"INACTIVO","REVISAR"))</f>
        <v>ACTIVO</v>
      </c>
      <c r="AN295" t="str">
        <f ca="1">IF(OR(AF295="",AF295="null"),"",ROUND((AF295-TODAY())/365.25,2))</f>
        <v/>
      </c>
      <c r="AO295" t="str">
        <f ca="1">IF(AND(AG295="Vigente",OR(AF295="",AF295="null",AF295&gt;TODAY())),"SI",IF(AND(NOT(OR(AF295="",AF295="null")),AF295&lt;=TODAY()),"NO",IF(AG295="Vigente","SI","DESCONOCIDO")))</f>
        <v>SI</v>
      </c>
      <c r="AP295" t="str">
        <f>IF(AND(ISNUMBER(SEARCH("IMPORTAR",AA295)),ISNUMBER(SEARCH("FABRICAR",AA295))),"MIXTO",IF(ISNUMBER(SEARCH("IMPORTAR",AA295)),"IMPORTADO",IF(ISNUMBER(SEARCH("FABRICAR",AA295)),"LOCAL","OTRO")))</f>
        <v>IMPORTADO</v>
      </c>
      <c r="AQ295" t="str">
        <f>IF(AD295="Si","SI",IF(AD295="No","NO",""))</f>
        <v>SI</v>
      </c>
      <c r="AR295" t="str">
        <f>IF(ISNUMBER(SEARCH("®",N295)),"MARCA/INNOVADOR","GENERICO")</f>
        <v>GENERICO</v>
      </c>
      <c r="AS295">
        <f ca="1">IF(AE295&gt;100,RANDBETWEEN(500,5000),IF(AND(AE295&gt;=10,AE295&lt;=100),RANDBETWEEN(100,1000),RANDBETWEEN(10,200)))</f>
        <v>686</v>
      </c>
      <c r="AT295">
        <f t="shared" ca="1" si="22"/>
        <v>130</v>
      </c>
      <c r="AU295">
        <f ca="1">INT(AS295*RANDBETWEEN(120,200)/100)</f>
        <v>843</v>
      </c>
      <c r="AV295" s="2">
        <f ca="1">IF(LEFT(Y295,1)="L",RANDBETWEEN(500000,5000000),IF(LEFT(Y295,1)="C",RANDBETWEEN(5000,50000),IF(LEFT(Y295,1)="N",RANDBETWEEN(10000,150000),IF(LEFT(Y295,1)="J",RANDBETWEEN(8000,200000),RANDBETWEEN(5000,100000)))))</f>
        <v>147130</v>
      </c>
      <c r="AW295" s="2">
        <f ca="1">INT(AV295*RANDBETWEEN(30,60)/100)</f>
        <v>44139</v>
      </c>
      <c r="AX295">
        <f ca="1">IF(Z295="ORAL",RANDBETWEEN(1000,10000),IF(OR(Z295="INTRAVENOSA",Z295="INTRAMUSCULAR"),RANDBETWEEN(100,2000),IF(OR(Z295="OFTÁLMICA",Z295="TOPICA (EXTERNA)"),RANDBETWEEN(200,3000),RANDBETWEEN(100,1500))))</f>
        <v>3258</v>
      </c>
      <c r="AY295" s="2">
        <f ca="1">INT(AV295*RANDBETWEEN(90,130)/100)</f>
        <v>132417</v>
      </c>
      <c r="AZ295" t="str">
        <f t="shared" ca="1" si="23"/>
        <v>17%</v>
      </c>
      <c r="BA295" t="str">
        <f t="shared" ca="1" si="24"/>
        <v>BAJO</v>
      </c>
    </row>
    <row r="296" spans="4:53" x14ac:dyDescent="0.35">
      <c r="D296" t="s">
        <v>2294</v>
      </c>
      <c r="E296" s="1">
        <v>39128</v>
      </c>
      <c r="F296" t="s">
        <v>2295</v>
      </c>
      <c r="G296" t="s">
        <v>247</v>
      </c>
      <c r="H296" t="s">
        <v>2296</v>
      </c>
      <c r="I296">
        <v>19966334</v>
      </c>
      <c r="J296" t="s">
        <v>28</v>
      </c>
      <c r="K296">
        <v>2</v>
      </c>
      <c r="L296" t="s">
        <v>27</v>
      </c>
      <c r="M296" t="s">
        <v>2297</v>
      </c>
      <c r="N296" t="s">
        <v>2298</v>
      </c>
      <c r="O296" t="s">
        <v>2299</v>
      </c>
      <c r="P296" t="s">
        <v>2300</v>
      </c>
      <c r="Q296" s="1">
        <v>39162</v>
      </c>
      <c r="R296" t="s">
        <v>2301</v>
      </c>
      <c r="S296" t="s">
        <v>27</v>
      </c>
      <c r="T296" t="s">
        <v>172</v>
      </c>
      <c r="U296" t="s">
        <v>247</v>
      </c>
      <c r="V296" t="s">
        <v>2302</v>
      </c>
      <c r="W296">
        <v>10</v>
      </c>
      <c r="X296">
        <v>19966334</v>
      </c>
      <c r="Y296" t="s">
        <v>2303</v>
      </c>
      <c r="Z296" t="s">
        <v>1305</v>
      </c>
      <c r="AA296" t="s">
        <v>24</v>
      </c>
      <c r="AB296" t="s">
        <v>653</v>
      </c>
      <c r="AC296" t="s">
        <v>25</v>
      </c>
      <c r="AD296" t="s">
        <v>121</v>
      </c>
      <c r="AE296">
        <v>40</v>
      </c>
      <c r="AF296" t="s">
        <v>27</v>
      </c>
      <c r="AG296" t="s">
        <v>26</v>
      </c>
      <c r="AH296" t="s">
        <v>2302</v>
      </c>
      <c r="AI296" t="str">
        <f t="shared" si="20"/>
        <v>NO</v>
      </c>
      <c r="AJ296" t="str">
        <f t="shared" si="21"/>
        <v>NOVAMED</v>
      </c>
      <c r="AK296" t="str">
        <f>IF(ISNUMBER(SEARCH("FABRICANTE",AC296)),"FABRICANTE",IF(ISNUMBER(SEARCH("IMPORTADOR",AC296)),"IMPORTADOR","OTRO"))</f>
        <v>FABRICANTE</v>
      </c>
      <c r="AL296" t="str">
        <f>IF(LEFT(Y296,1)="A","Sistema digestivo",IF(LEFT(Y296,1)="B","Sangre",IF(LEFT(Y296,1)="C","Cardiovascular",IF(LEFT(Y296,1)="D","Dermatológico",IF(LEFT(Y296,1)="G","Genitourinario",IF(LEFT(Y296,1)="H","Hormonal",IF(LEFT(Y296,1)="J","Antiinfecciosos",IF(LEFT(Y296,1)="L","Oncológicos",IF(LEFT(Y296,1)="M","Musculoesquelético",IF(LEFT(Y296,1)="N","Sistema nervioso",IF(LEFT(Y296,1)="R","Respiratorio",IF(LEFT(Y296,1)="S","Oftálmico",IF(LEFT(Y296,1)="V","Varios","OTRO")))))))))))))</f>
        <v>Genitourinario</v>
      </c>
      <c r="AM296" t="str">
        <f>IF(AG296="Vigente","ACTIVO",IF(ISNUMBER(SEARCH("Inactivo",J296)),"INACTIVO","REVISAR"))</f>
        <v>ACTIVO</v>
      </c>
      <c r="AN296" t="str">
        <f ca="1">IF(OR(AF296="",AF296="null"),"",ROUND((AF296-TODAY())/365.25,2))</f>
        <v/>
      </c>
      <c r="AO296" t="str">
        <f ca="1">IF(AND(AG296="Vigente",OR(AF296="",AF296="null",AF296&gt;TODAY())),"SI",IF(AND(NOT(OR(AF296="",AF296="null")),AF296&lt;=TODAY()),"NO",IF(AG296="Vigente","SI","DESCONOCIDO")))</f>
        <v>SI</v>
      </c>
      <c r="AP296" t="str">
        <f>IF(AND(ISNUMBER(SEARCH("IMPORTAR",AA296)),ISNUMBER(SEARCH("FABRICAR",AA296))),"MIXTO",IF(ISNUMBER(SEARCH("IMPORTAR",AA296)),"IMPORTADO",IF(ISNUMBER(SEARCH("FABRICAR",AA296)),"LOCAL","OTRO")))</f>
        <v>LOCAL</v>
      </c>
      <c r="AQ296" t="str">
        <f>IF(AD296="Si","SI",IF(AD296="No","NO",""))</f>
        <v>NO</v>
      </c>
      <c r="AR296" t="str">
        <f>IF(ISNUMBER(SEARCH("®",N296)),"MARCA/INNOVADOR","GENERICO")</f>
        <v>GENERICO</v>
      </c>
      <c r="AS296">
        <f ca="1">IF(AE296&gt;100,RANDBETWEEN(500,5000),IF(AND(AE296&gt;=10,AE296&lt;=100),RANDBETWEEN(100,1000),RANDBETWEEN(10,200)))</f>
        <v>619</v>
      </c>
      <c r="AT296">
        <f t="shared" ca="1" si="22"/>
        <v>111</v>
      </c>
      <c r="AU296">
        <f ca="1">INT(AS296*RANDBETWEEN(120,200)/100)</f>
        <v>848</v>
      </c>
      <c r="AV296" s="2">
        <f ca="1">IF(LEFT(Y296,1)="L",RANDBETWEEN(500000,5000000),IF(LEFT(Y296,1)="C",RANDBETWEEN(5000,50000),IF(LEFT(Y296,1)="N",RANDBETWEEN(10000,150000),IF(LEFT(Y296,1)="J",RANDBETWEEN(8000,200000),RANDBETWEEN(5000,100000)))))</f>
        <v>17351</v>
      </c>
      <c r="AW296" s="2">
        <f ca="1">INT(AV296*RANDBETWEEN(30,60)/100)</f>
        <v>5378</v>
      </c>
      <c r="AX296">
        <f ca="1">IF(Z296="ORAL",RANDBETWEEN(1000,10000),IF(OR(Z296="INTRAVENOSA",Z296="INTRAMUSCULAR"),RANDBETWEEN(100,2000),IF(OR(Z296="OFTÁLMICA",Z296="TOPICA (EXTERNA)"),RANDBETWEEN(200,3000),RANDBETWEEN(100,1500))))</f>
        <v>616</v>
      </c>
      <c r="AY296" s="2">
        <f ca="1">INT(AV296*RANDBETWEEN(90,130)/100)</f>
        <v>15615</v>
      </c>
      <c r="AZ296" t="str">
        <f t="shared" ca="1" si="23"/>
        <v>0.7%</v>
      </c>
      <c r="BA296" t="str">
        <f t="shared" ca="1" si="24"/>
        <v>BAJO</v>
      </c>
    </row>
    <row r="297" spans="4:53" x14ac:dyDescent="0.35">
      <c r="D297" t="s">
        <v>2304</v>
      </c>
      <c r="E297" s="1">
        <v>39575</v>
      </c>
      <c r="F297" t="s">
        <v>2305</v>
      </c>
      <c r="G297" t="s">
        <v>108</v>
      </c>
      <c r="H297" t="s">
        <v>454</v>
      </c>
      <c r="I297">
        <v>19988249</v>
      </c>
      <c r="J297" t="s">
        <v>28</v>
      </c>
      <c r="K297">
        <v>5</v>
      </c>
      <c r="L297" t="s">
        <v>27</v>
      </c>
      <c r="M297" t="s">
        <v>2306</v>
      </c>
      <c r="N297" t="s">
        <v>2307</v>
      </c>
      <c r="O297" t="s">
        <v>2308</v>
      </c>
      <c r="P297" t="s">
        <v>37</v>
      </c>
      <c r="Q297" s="1">
        <v>40434</v>
      </c>
      <c r="R297" t="s">
        <v>780</v>
      </c>
      <c r="S297" t="s">
        <v>27</v>
      </c>
      <c r="T297" t="s">
        <v>454</v>
      </c>
      <c r="U297" t="s">
        <v>2309</v>
      </c>
      <c r="V297" t="s">
        <v>933</v>
      </c>
      <c r="W297">
        <v>0</v>
      </c>
      <c r="X297">
        <v>19988249</v>
      </c>
      <c r="Y297" t="s">
        <v>934</v>
      </c>
      <c r="Z297" t="s">
        <v>119</v>
      </c>
      <c r="AA297" t="s">
        <v>165</v>
      </c>
      <c r="AB297" t="s">
        <v>120</v>
      </c>
      <c r="AC297" t="s">
        <v>25</v>
      </c>
      <c r="AD297" t="s">
        <v>121</v>
      </c>
      <c r="AE297">
        <v>40</v>
      </c>
      <c r="AF297" t="s">
        <v>27</v>
      </c>
      <c r="AG297" t="s">
        <v>26</v>
      </c>
      <c r="AH297" t="s">
        <v>6773</v>
      </c>
      <c r="AI297" t="str">
        <f t="shared" si="20"/>
        <v>SI</v>
      </c>
      <c r="AJ297" t="str">
        <f t="shared" si="21"/>
        <v>PROCAPS</v>
      </c>
      <c r="AK297" t="str">
        <f>IF(ISNUMBER(SEARCH("FABRICANTE",AC297)),"FABRICANTE",IF(ISNUMBER(SEARCH("IMPORTADOR",AC297)),"IMPORTADOR","OTRO"))</f>
        <v>FABRICANTE</v>
      </c>
      <c r="AL297" t="str">
        <f>IF(LEFT(Y297,1)="A","Sistema digestivo",IF(LEFT(Y297,1)="B","Sangre",IF(LEFT(Y297,1)="C","Cardiovascular",IF(LEFT(Y297,1)="D","Dermatológico",IF(LEFT(Y297,1)="G","Genitourinario",IF(LEFT(Y297,1)="H","Hormonal",IF(LEFT(Y297,1)="J","Antiinfecciosos",IF(LEFT(Y297,1)="L","Oncológicos",IF(LEFT(Y297,1)="M","Musculoesquelético",IF(LEFT(Y297,1)="N","Sistema nervioso",IF(LEFT(Y297,1)="R","Respiratorio",IF(LEFT(Y297,1)="S","Oftálmico",IF(LEFT(Y297,1)="V","Varios","OTRO")))))))))))))</f>
        <v>Sistema digestivo</v>
      </c>
      <c r="AM297" t="str">
        <f>IF(AG297="Vigente","ACTIVO",IF(ISNUMBER(SEARCH("Inactivo",J297)),"INACTIVO","REVISAR"))</f>
        <v>ACTIVO</v>
      </c>
      <c r="AN297" t="str">
        <f ca="1">IF(OR(AF297="",AF297="null"),"",ROUND((AF297-TODAY())/365.25,2))</f>
        <v/>
      </c>
      <c r="AO297" t="str">
        <f ca="1">IF(AND(AG297="Vigente",OR(AF297="",AF297="null",AF297&gt;TODAY())),"SI",IF(AND(NOT(OR(AF297="",AF297="null")),AF297&lt;=TODAY()),"NO",IF(AG297="Vigente","SI","DESCONOCIDO")))</f>
        <v>SI</v>
      </c>
      <c r="AP297" t="str">
        <f>IF(AND(ISNUMBER(SEARCH("IMPORTAR",AA297)),ISNUMBER(SEARCH("FABRICAR",AA297))),"MIXTO",IF(ISNUMBER(SEARCH("IMPORTAR",AA297)),"IMPORTADO",IF(ISNUMBER(SEARCH("FABRICAR",AA297)),"LOCAL","OTRO")))</f>
        <v>IMPORTADO</v>
      </c>
      <c r="AQ297" t="str">
        <f>IF(AD297="Si","SI",IF(AD297="No","NO",""))</f>
        <v>NO</v>
      </c>
      <c r="AR297" t="str">
        <f>IF(ISNUMBER(SEARCH("®",N297)),"MARCA/INNOVADOR","GENERICO")</f>
        <v>MARCA/INNOVADOR</v>
      </c>
      <c r="AS297">
        <f ca="1">IF(AE297&gt;100,RANDBETWEEN(500,5000),IF(AND(AE297&gt;=10,AE297&lt;=100),RANDBETWEEN(100,1000),RANDBETWEEN(10,200)))</f>
        <v>190</v>
      </c>
      <c r="AT297">
        <f t="shared" ca="1" si="22"/>
        <v>30</v>
      </c>
      <c r="AU297">
        <f ca="1">INT(AS297*RANDBETWEEN(120,200)/100)</f>
        <v>300</v>
      </c>
      <c r="AV297" s="2">
        <f ca="1">IF(LEFT(Y297,1)="L",RANDBETWEEN(500000,5000000),IF(LEFT(Y297,1)="C",RANDBETWEEN(5000,50000),IF(LEFT(Y297,1)="N",RANDBETWEEN(10000,150000),IF(LEFT(Y297,1)="J",RANDBETWEEN(8000,200000),RANDBETWEEN(5000,100000)))))</f>
        <v>41393</v>
      </c>
      <c r="AW297" s="2">
        <f ca="1">INT(AV297*RANDBETWEEN(30,60)/100)</f>
        <v>20696</v>
      </c>
      <c r="AX297">
        <f ca="1">IF(Z297="ORAL",RANDBETWEEN(1000,10000),IF(OR(Z297="INTRAVENOSA",Z297="INTRAMUSCULAR"),RANDBETWEEN(100,2000),IF(OR(Z297="OFTÁLMICA",Z297="TOPICA (EXTERNA)"),RANDBETWEEN(200,3000),RANDBETWEEN(100,1500))))</f>
        <v>9340</v>
      </c>
      <c r="AY297" s="2">
        <f ca="1">INT(AV297*RANDBETWEEN(90,130)/100)</f>
        <v>50085</v>
      </c>
      <c r="AZ297" t="str">
        <f t="shared" ca="1" si="23"/>
        <v>23.1%</v>
      </c>
      <c r="BA297" t="str">
        <f t="shared" ca="1" si="24"/>
        <v>BAJO</v>
      </c>
    </row>
    <row r="298" spans="4:53" x14ac:dyDescent="0.35">
      <c r="D298" t="s">
        <v>2310</v>
      </c>
      <c r="E298" s="1">
        <v>40844</v>
      </c>
      <c r="F298" t="s">
        <v>1992</v>
      </c>
      <c r="G298" t="s">
        <v>108</v>
      </c>
      <c r="H298" t="s">
        <v>168</v>
      </c>
      <c r="I298">
        <v>20030114</v>
      </c>
      <c r="J298" t="s">
        <v>28</v>
      </c>
      <c r="K298">
        <v>29</v>
      </c>
      <c r="L298" t="s">
        <v>27</v>
      </c>
      <c r="M298" t="s">
        <v>2311</v>
      </c>
      <c r="N298" t="s">
        <v>2312</v>
      </c>
      <c r="O298" t="s">
        <v>2313</v>
      </c>
      <c r="P298" t="s">
        <v>659</v>
      </c>
      <c r="Q298" s="1">
        <v>41220</v>
      </c>
      <c r="R298" t="s">
        <v>37</v>
      </c>
      <c r="S298" t="s">
        <v>27</v>
      </c>
      <c r="T298" t="s">
        <v>172</v>
      </c>
      <c r="U298" t="s">
        <v>115</v>
      </c>
      <c r="V298" t="s">
        <v>585</v>
      </c>
      <c r="W298">
        <v>40</v>
      </c>
      <c r="X298">
        <v>20030114</v>
      </c>
      <c r="Y298" t="s">
        <v>586</v>
      </c>
      <c r="Z298" t="s">
        <v>119</v>
      </c>
      <c r="AA298" t="s">
        <v>24</v>
      </c>
      <c r="AB298" t="s">
        <v>120</v>
      </c>
      <c r="AC298" t="s">
        <v>25</v>
      </c>
      <c r="AD298" t="s">
        <v>121</v>
      </c>
      <c r="AE298">
        <v>60</v>
      </c>
      <c r="AF298" t="s">
        <v>27</v>
      </c>
      <c r="AG298" t="s">
        <v>26</v>
      </c>
      <c r="AH298" t="s">
        <v>585</v>
      </c>
      <c r="AI298" t="str">
        <f t="shared" si="20"/>
        <v>NO</v>
      </c>
      <c r="AJ298" t="str">
        <f t="shared" si="21"/>
        <v>NOVAMED</v>
      </c>
      <c r="AK298" t="str">
        <f>IF(ISNUMBER(SEARCH("FABRICANTE",AC298)),"FABRICANTE",IF(ISNUMBER(SEARCH("IMPORTADOR",AC298)),"IMPORTADOR","OTRO"))</f>
        <v>FABRICANTE</v>
      </c>
      <c r="AL298" t="str">
        <f>IF(LEFT(Y298,1)="A","Sistema digestivo",IF(LEFT(Y298,1)="B","Sangre",IF(LEFT(Y298,1)="C","Cardiovascular",IF(LEFT(Y298,1)="D","Dermatológico",IF(LEFT(Y298,1)="G","Genitourinario",IF(LEFT(Y298,1)="H","Hormonal",IF(LEFT(Y298,1)="J","Antiinfecciosos",IF(LEFT(Y298,1)="L","Oncológicos",IF(LEFT(Y298,1)="M","Musculoesquelético",IF(LEFT(Y298,1)="N","Sistema nervioso",IF(LEFT(Y298,1)="R","Respiratorio",IF(LEFT(Y298,1)="S","Oftálmico",IF(LEFT(Y298,1)="V","Varios","OTRO")))))))))))))</f>
        <v>Sistema digestivo</v>
      </c>
      <c r="AM298" t="str">
        <f>IF(AG298="Vigente","ACTIVO",IF(ISNUMBER(SEARCH("Inactivo",J298)),"INACTIVO","REVISAR"))</f>
        <v>ACTIVO</v>
      </c>
      <c r="AN298" t="str">
        <f ca="1">IF(OR(AF298="",AF298="null"),"",ROUND((AF298-TODAY())/365.25,2))</f>
        <v/>
      </c>
      <c r="AO298" t="str">
        <f ca="1">IF(AND(AG298="Vigente",OR(AF298="",AF298="null",AF298&gt;TODAY())),"SI",IF(AND(NOT(OR(AF298="",AF298="null")),AF298&lt;=TODAY()),"NO",IF(AG298="Vigente","SI","DESCONOCIDO")))</f>
        <v>SI</v>
      </c>
      <c r="AP298" t="str">
        <f>IF(AND(ISNUMBER(SEARCH("IMPORTAR",AA298)),ISNUMBER(SEARCH("FABRICAR",AA298))),"MIXTO",IF(ISNUMBER(SEARCH("IMPORTAR",AA298)),"IMPORTADO",IF(ISNUMBER(SEARCH("FABRICAR",AA298)),"LOCAL","OTRO")))</f>
        <v>LOCAL</v>
      </c>
      <c r="AQ298" t="str">
        <f>IF(AD298="Si","SI",IF(AD298="No","NO",""))</f>
        <v>NO</v>
      </c>
      <c r="AR298" t="str">
        <f>IF(ISNUMBER(SEARCH("®",N298)),"MARCA/INNOVADOR","GENERICO")</f>
        <v>GENERICO</v>
      </c>
      <c r="AS298">
        <f ca="1">IF(AE298&gt;100,RANDBETWEEN(500,5000),IF(AND(AE298&gt;=10,AE298&lt;=100),RANDBETWEEN(100,1000),RANDBETWEEN(10,200)))</f>
        <v>153</v>
      </c>
      <c r="AT298">
        <f t="shared" ca="1" si="22"/>
        <v>33</v>
      </c>
      <c r="AU298">
        <f ca="1">INT(AS298*RANDBETWEEN(120,200)/100)</f>
        <v>241</v>
      </c>
      <c r="AV298" s="2">
        <f ca="1">IF(LEFT(Y298,1)="L",RANDBETWEEN(500000,5000000),IF(LEFT(Y298,1)="C",RANDBETWEEN(5000,50000),IF(LEFT(Y298,1)="N",RANDBETWEEN(10000,150000),IF(LEFT(Y298,1)="J",RANDBETWEEN(8000,200000),RANDBETWEEN(5000,100000)))))</f>
        <v>61157</v>
      </c>
      <c r="AW298" s="2">
        <f ca="1">INT(AV298*RANDBETWEEN(30,60)/100)</f>
        <v>25074</v>
      </c>
      <c r="AX298">
        <f ca="1">IF(Z298="ORAL",RANDBETWEEN(1000,10000),IF(OR(Z298="INTRAVENOSA",Z298="INTRAMUSCULAR"),RANDBETWEEN(100,2000),IF(OR(Z298="OFTÁLMICA",Z298="TOPICA (EXTERNA)"),RANDBETWEEN(200,3000),RANDBETWEEN(100,1500))))</f>
        <v>9045</v>
      </c>
      <c r="AY298" s="2">
        <f ca="1">INT(AV298*RANDBETWEEN(90,130)/100)</f>
        <v>68495</v>
      </c>
      <c r="AZ298" t="str">
        <f t="shared" ca="1" si="23"/>
        <v>14%</v>
      </c>
      <c r="BA298" t="str">
        <f t="shared" ca="1" si="24"/>
        <v>BAJO</v>
      </c>
    </row>
    <row r="299" spans="4:53" x14ac:dyDescent="0.35">
      <c r="D299" t="s">
        <v>2314</v>
      </c>
      <c r="E299" s="1">
        <v>43186</v>
      </c>
      <c r="F299" t="s">
        <v>2315</v>
      </c>
      <c r="G299" t="s">
        <v>108</v>
      </c>
      <c r="H299" t="s">
        <v>2316</v>
      </c>
      <c r="I299">
        <v>20101043</v>
      </c>
      <c r="J299" t="s">
        <v>28</v>
      </c>
      <c r="K299">
        <v>7</v>
      </c>
      <c r="L299" t="s">
        <v>27</v>
      </c>
      <c r="M299" t="s">
        <v>2317</v>
      </c>
      <c r="N299" t="s">
        <v>2318</v>
      </c>
      <c r="O299" t="s">
        <v>2319</v>
      </c>
      <c r="P299" t="s">
        <v>29</v>
      </c>
      <c r="Q299" s="1">
        <v>43082</v>
      </c>
      <c r="R299" t="s">
        <v>495</v>
      </c>
      <c r="S299" t="s">
        <v>27</v>
      </c>
      <c r="T299" t="s">
        <v>2320</v>
      </c>
      <c r="U299" t="s">
        <v>115</v>
      </c>
      <c r="V299" t="s">
        <v>2321</v>
      </c>
      <c r="W299">
        <v>1</v>
      </c>
      <c r="X299">
        <v>20101043</v>
      </c>
      <c r="Y299" t="s">
        <v>2322</v>
      </c>
      <c r="Z299" t="s">
        <v>499</v>
      </c>
      <c r="AA299" t="s">
        <v>32</v>
      </c>
      <c r="AB299" t="s">
        <v>120</v>
      </c>
      <c r="AC299" t="s">
        <v>25</v>
      </c>
      <c r="AD299" t="s">
        <v>155</v>
      </c>
      <c r="AE299">
        <v>10</v>
      </c>
      <c r="AF299" t="s">
        <v>27</v>
      </c>
      <c r="AG299" t="s">
        <v>26</v>
      </c>
      <c r="AH299" t="s">
        <v>5689</v>
      </c>
      <c r="AI299" t="str">
        <f t="shared" si="20"/>
        <v>NO</v>
      </c>
      <c r="AJ299" t="str">
        <f t="shared" si="21"/>
        <v>STADA ARZNEIMITTEL AKTIENGESELLSCHAFT</v>
      </c>
      <c r="AK299" t="str">
        <f>IF(ISNUMBER(SEARCH("FABRICANTE",AC299)),"FABRICANTE",IF(ISNUMBER(SEARCH("IMPORTADOR",AC299)),"IMPORTADOR","OTRO"))</f>
        <v>FABRICANTE</v>
      </c>
      <c r="AL299" t="str">
        <f>IF(LEFT(Y299,1)="A","Sistema digestivo",IF(LEFT(Y299,1)="B","Sangre",IF(LEFT(Y299,1)="C","Cardiovascular",IF(LEFT(Y299,1)="D","Dermatológico",IF(LEFT(Y299,1)="G","Genitourinario",IF(LEFT(Y299,1)="H","Hormonal",IF(LEFT(Y299,1)="J","Antiinfecciosos",IF(LEFT(Y299,1)="L","Oncológicos",IF(LEFT(Y299,1)="M","Musculoesquelético",IF(LEFT(Y299,1)="N","Sistema nervioso",IF(LEFT(Y299,1)="R","Respiratorio",IF(LEFT(Y299,1)="S","Oftálmico",IF(LEFT(Y299,1)="V","Varios","OTRO")))))))))))))</f>
        <v>Sistema nervioso</v>
      </c>
      <c r="AM299" t="str">
        <f>IF(AG299="Vigente","ACTIVO",IF(ISNUMBER(SEARCH("Inactivo",J299)),"INACTIVO","REVISAR"))</f>
        <v>ACTIVO</v>
      </c>
      <c r="AN299" t="str">
        <f ca="1">IF(OR(AF299="",AF299="null"),"",ROUND((AF299-TODAY())/365.25,2))</f>
        <v/>
      </c>
      <c r="AO299" t="str">
        <f ca="1">IF(AND(AG299="Vigente",OR(AF299="",AF299="null",AF299&gt;TODAY())),"SI",IF(AND(NOT(OR(AF299="",AF299="null")),AF299&lt;=TODAY()),"NO",IF(AG299="Vigente","SI","DESCONOCIDO")))</f>
        <v>SI</v>
      </c>
      <c r="AP299" t="str">
        <f>IF(AND(ISNUMBER(SEARCH("IMPORTAR",AA299)),ISNUMBER(SEARCH("FABRICAR",AA299))),"MIXTO",IF(ISNUMBER(SEARCH("IMPORTAR",AA299)),"IMPORTADO",IF(ISNUMBER(SEARCH("FABRICAR",AA299)),"LOCAL","OTRO")))</f>
        <v>IMPORTADO</v>
      </c>
      <c r="AQ299" t="str">
        <f>IF(AD299="Si","SI",IF(AD299="No","NO",""))</f>
        <v>SI</v>
      </c>
      <c r="AR299" t="str">
        <f>IF(ISNUMBER(SEARCH("®",N299)),"MARCA/INNOVADOR","GENERICO")</f>
        <v>MARCA/INNOVADOR</v>
      </c>
      <c r="AS299">
        <f ca="1">IF(AE299&gt;100,RANDBETWEEN(500,5000),IF(AND(AE299&gt;=10,AE299&lt;=100),RANDBETWEEN(100,1000),RANDBETWEEN(10,200)))</f>
        <v>901</v>
      </c>
      <c r="AT299">
        <f t="shared" ca="1" si="22"/>
        <v>252</v>
      </c>
      <c r="AU299">
        <f ca="1">INT(AS299*RANDBETWEEN(120,200)/100)</f>
        <v>1396</v>
      </c>
      <c r="AV299" s="2">
        <f ca="1">IF(LEFT(Y299,1)="L",RANDBETWEEN(500000,5000000),IF(LEFT(Y299,1)="C",RANDBETWEEN(5000,50000),IF(LEFT(Y299,1)="N",RANDBETWEEN(10000,150000),IF(LEFT(Y299,1)="J",RANDBETWEEN(8000,200000),RANDBETWEEN(5000,100000)))))</f>
        <v>33140</v>
      </c>
      <c r="AW299" s="2">
        <f ca="1">INT(AV299*RANDBETWEEN(30,60)/100)</f>
        <v>15244</v>
      </c>
      <c r="AX299">
        <f ca="1">IF(Z299="ORAL",RANDBETWEEN(1000,10000),IF(OR(Z299="INTRAVENOSA",Z299="INTRAMUSCULAR"),RANDBETWEEN(100,2000),IF(OR(Z299="OFTÁLMICA",Z299="TOPICA (EXTERNA)"),RANDBETWEEN(200,3000),RANDBETWEEN(100,1500))))</f>
        <v>183</v>
      </c>
      <c r="AY299" s="2">
        <f ca="1">INT(AV299*RANDBETWEEN(90,130)/100)</f>
        <v>41425</v>
      </c>
      <c r="AZ299" t="str">
        <f t="shared" ca="1" si="23"/>
        <v>6.4%</v>
      </c>
      <c r="BA299" t="str">
        <f t="shared" ca="1" si="24"/>
        <v>BAJO</v>
      </c>
    </row>
    <row r="300" spans="4:53" x14ac:dyDescent="0.35">
      <c r="D300" t="s">
        <v>2323</v>
      </c>
      <c r="E300" s="1">
        <v>43173</v>
      </c>
      <c r="F300" t="s">
        <v>2324</v>
      </c>
      <c r="G300" t="s">
        <v>108</v>
      </c>
      <c r="H300" t="s">
        <v>2325</v>
      </c>
      <c r="I300">
        <v>20112120</v>
      </c>
      <c r="J300" t="s">
        <v>28</v>
      </c>
      <c r="K300">
        <v>10</v>
      </c>
      <c r="L300" t="s">
        <v>2326</v>
      </c>
      <c r="M300" t="s">
        <v>2327</v>
      </c>
      <c r="N300" t="s">
        <v>2328</v>
      </c>
      <c r="O300" t="s">
        <v>2329</v>
      </c>
      <c r="P300" t="s">
        <v>33</v>
      </c>
      <c r="Q300" s="1">
        <v>42790</v>
      </c>
      <c r="R300" t="s">
        <v>33</v>
      </c>
      <c r="S300" t="s">
        <v>27</v>
      </c>
      <c r="T300" t="s">
        <v>354</v>
      </c>
      <c r="U300" t="s">
        <v>115</v>
      </c>
      <c r="V300" t="s">
        <v>2330</v>
      </c>
      <c r="W300">
        <v>500</v>
      </c>
      <c r="X300">
        <v>20112120</v>
      </c>
      <c r="Y300" t="s">
        <v>2331</v>
      </c>
      <c r="Z300" t="s">
        <v>119</v>
      </c>
      <c r="AA300" t="s">
        <v>32</v>
      </c>
      <c r="AB300" t="s">
        <v>120</v>
      </c>
      <c r="AC300" t="s">
        <v>25</v>
      </c>
      <c r="AD300" t="s">
        <v>121</v>
      </c>
      <c r="AE300">
        <v>30</v>
      </c>
      <c r="AF300" t="s">
        <v>27</v>
      </c>
      <c r="AG300" t="s">
        <v>26</v>
      </c>
      <c r="AH300" t="s">
        <v>6774</v>
      </c>
      <c r="AI300" t="str">
        <f t="shared" si="20"/>
        <v>NO</v>
      </c>
      <c r="AJ300" t="str">
        <f t="shared" si="21"/>
        <v>PFIZER</v>
      </c>
      <c r="AK300" t="str">
        <f>IF(ISNUMBER(SEARCH("FABRICANTE",AC300)),"FABRICANTE",IF(ISNUMBER(SEARCH("IMPORTADOR",AC300)),"IMPORTADOR","OTRO"))</f>
        <v>FABRICANTE</v>
      </c>
      <c r="AL300" t="str">
        <f>IF(LEFT(Y300,1)="A","Sistema digestivo",IF(LEFT(Y300,1)="B","Sangre",IF(LEFT(Y300,1)="C","Cardiovascular",IF(LEFT(Y300,1)="D","Dermatológico",IF(LEFT(Y300,1)="G","Genitourinario",IF(LEFT(Y300,1)="H","Hormonal",IF(LEFT(Y300,1)="J","Antiinfecciosos",IF(LEFT(Y300,1)="L","Oncológicos",IF(LEFT(Y300,1)="M","Musculoesquelético",IF(LEFT(Y300,1)="N","Sistema nervioso",IF(LEFT(Y300,1)="R","Respiratorio",IF(LEFT(Y300,1)="S","Oftálmico",IF(LEFT(Y300,1)="V","Varios","OTRO")))))))))))))</f>
        <v>Oncológicos</v>
      </c>
      <c r="AM300" t="str">
        <f>IF(AG300="Vigente","ACTIVO",IF(ISNUMBER(SEARCH("Inactivo",J300)),"INACTIVO","REVISAR"))</f>
        <v>ACTIVO</v>
      </c>
      <c r="AN300" t="str">
        <f ca="1">IF(OR(AF300="",AF300="null"),"",ROUND((AF300-TODAY())/365.25,2))</f>
        <v/>
      </c>
      <c r="AO300" t="str">
        <f ca="1">IF(AND(AG300="Vigente",OR(AF300="",AF300="null",AF300&gt;TODAY())),"SI",IF(AND(NOT(OR(AF300="",AF300="null")),AF300&lt;=TODAY()),"NO",IF(AG300="Vigente","SI","DESCONOCIDO")))</f>
        <v>SI</v>
      </c>
      <c r="AP300" t="str">
        <f>IF(AND(ISNUMBER(SEARCH("IMPORTAR",AA300)),ISNUMBER(SEARCH("FABRICAR",AA300))),"MIXTO",IF(ISNUMBER(SEARCH("IMPORTAR",AA300)),"IMPORTADO",IF(ISNUMBER(SEARCH("FABRICAR",AA300)),"LOCAL","OTRO")))</f>
        <v>IMPORTADO</v>
      </c>
      <c r="AQ300" t="str">
        <f>IF(AD300="Si","SI",IF(AD300="No","NO",""))</f>
        <v>NO</v>
      </c>
      <c r="AR300" t="str">
        <f>IF(ISNUMBER(SEARCH("®",N300)),"MARCA/INNOVADOR","GENERICO")</f>
        <v>MARCA/INNOVADOR</v>
      </c>
      <c r="AS300">
        <f ca="1">IF(AE300&gt;100,RANDBETWEEN(500,5000),IF(AND(AE300&gt;=10,AE300&lt;=100),RANDBETWEEN(100,1000),RANDBETWEEN(10,200)))</f>
        <v>318</v>
      </c>
      <c r="AT300">
        <f t="shared" ca="1" si="22"/>
        <v>85</v>
      </c>
      <c r="AU300">
        <f ca="1">INT(AS300*RANDBETWEEN(120,200)/100)</f>
        <v>629</v>
      </c>
      <c r="AV300" s="2">
        <f ca="1">IF(LEFT(Y300,1)="L",RANDBETWEEN(500000,5000000),IF(LEFT(Y300,1)="C",RANDBETWEEN(5000,50000),IF(LEFT(Y300,1)="N",RANDBETWEEN(10000,150000),IF(LEFT(Y300,1)="J",RANDBETWEEN(8000,200000),RANDBETWEEN(5000,100000)))))</f>
        <v>4414459</v>
      </c>
      <c r="AW300" s="2">
        <f ca="1">INT(AV300*RANDBETWEEN(30,60)/100)</f>
        <v>2516241</v>
      </c>
      <c r="AX300">
        <f ca="1">IF(Z300="ORAL",RANDBETWEEN(1000,10000),IF(OR(Z300="INTRAVENOSA",Z300="INTRAMUSCULAR"),RANDBETWEEN(100,2000),IF(OR(Z300="OFTÁLMICA",Z300="TOPICA (EXTERNA)"),RANDBETWEEN(200,3000),RANDBETWEEN(100,1500))))</f>
        <v>4754</v>
      </c>
      <c r="AY300" s="2">
        <f ca="1">INT(AV300*RANDBETWEEN(90,130)/100)</f>
        <v>5562218</v>
      </c>
      <c r="AZ300" t="str">
        <f t="shared" ca="1" si="23"/>
        <v>16.9%</v>
      </c>
      <c r="BA300" t="str">
        <f t="shared" ca="1" si="24"/>
        <v>BAJO</v>
      </c>
    </row>
    <row r="301" spans="4:53" x14ac:dyDescent="0.35">
      <c r="D301" t="s">
        <v>2332</v>
      </c>
      <c r="E301" s="1">
        <v>37593</v>
      </c>
      <c r="F301" t="s">
        <v>2333</v>
      </c>
      <c r="G301" t="s">
        <v>108</v>
      </c>
      <c r="H301" t="s">
        <v>1858</v>
      </c>
      <c r="I301">
        <v>19931880</v>
      </c>
      <c r="J301" t="s">
        <v>110</v>
      </c>
      <c r="K301">
        <v>13</v>
      </c>
      <c r="L301" t="s">
        <v>27</v>
      </c>
      <c r="M301" t="s">
        <v>2334</v>
      </c>
      <c r="N301" t="s">
        <v>2335</v>
      </c>
      <c r="O301" t="s">
        <v>2336</v>
      </c>
      <c r="P301" t="s">
        <v>2337</v>
      </c>
      <c r="Q301" s="1">
        <v>42100</v>
      </c>
      <c r="R301" t="s">
        <v>50</v>
      </c>
      <c r="S301" t="s">
        <v>27</v>
      </c>
      <c r="T301" t="s">
        <v>1858</v>
      </c>
      <c r="U301" t="s">
        <v>115</v>
      </c>
      <c r="V301" t="s">
        <v>2338</v>
      </c>
      <c r="W301" t="s">
        <v>433</v>
      </c>
      <c r="X301">
        <v>19931880</v>
      </c>
      <c r="Y301" t="s">
        <v>2339</v>
      </c>
      <c r="Z301" t="s">
        <v>260</v>
      </c>
      <c r="AA301" t="s">
        <v>32</v>
      </c>
      <c r="AB301" t="s">
        <v>120</v>
      </c>
      <c r="AC301" t="s">
        <v>25</v>
      </c>
      <c r="AD301" t="s">
        <v>121</v>
      </c>
      <c r="AE301">
        <v>5</v>
      </c>
      <c r="AF301" t="s">
        <v>27</v>
      </c>
      <c r="AG301" t="s">
        <v>26</v>
      </c>
      <c r="AH301" t="s">
        <v>6775</v>
      </c>
      <c r="AI301" t="str">
        <f t="shared" si="20"/>
        <v>SI</v>
      </c>
      <c r="AJ301" t="str">
        <f t="shared" si="21"/>
        <v>LABORATORIO BIOSANO</v>
      </c>
      <c r="AK301" t="str">
        <f>IF(ISNUMBER(SEARCH("FABRICANTE",AC301)),"FABRICANTE",IF(ISNUMBER(SEARCH("IMPORTADOR",AC301)),"IMPORTADOR","OTRO"))</f>
        <v>FABRICANTE</v>
      </c>
      <c r="AL301" t="str">
        <f>IF(LEFT(Y301,1)="A","Sistema digestivo",IF(LEFT(Y301,1)="B","Sangre",IF(LEFT(Y301,1)="C","Cardiovascular",IF(LEFT(Y301,1)="D","Dermatológico",IF(LEFT(Y301,1)="G","Genitourinario",IF(LEFT(Y301,1)="H","Hormonal",IF(LEFT(Y301,1)="J","Antiinfecciosos",IF(LEFT(Y301,1)="L","Oncológicos",IF(LEFT(Y301,1)="M","Musculoesquelético",IF(LEFT(Y301,1)="N","Sistema nervioso",IF(LEFT(Y301,1)="R","Respiratorio",IF(LEFT(Y301,1)="S","Oftálmico",IF(LEFT(Y301,1)="V","Varios","OTRO")))))))))))))</f>
        <v>Sistema nervioso</v>
      </c>
      <c r="AM301" t="str">
        <f>IF(AG301="Vigente","ACTIVO",IF(ISNUMBER(SEARCH("Inactivo",J301)),"INACTIVO","REVISAR"))</f>
        <v>ACTIVO</v>
      </c>
      <c r="AN301" t="str">
        <f ca="1">IF(OR(AF301="",AF301="null"),"",ROUND((AF301-TODAY())/365.25,2))</f>
        <v/>
      </c>
      <c r="AO301" t="str">
        <f ca="1">IF(AND(AG301="Vigente",OR(AF301="",AF301="null",AF301&gt;TODAY())),"SI",IF(AND(NOT(OR(AF301="",AF301="null")),AF301&lt;=TODAY()),"NO",IF(AG301="Vigente","SI","DESCONOCIDO")))</f>
        <v>SI</v>
      </c>
      <c r="AP301" t="str">
        <f>IF(AND(ISNUMBER(SEARCH("IMPORTAR",AA301)),ISNUMBER(SEARCH("FABRICAR",AA301))),"MIXTO",IF(ISNUMBER(SEARCH("IMPORTAR",AA301)),"IMPORTADO",IF(ISNUMBER(SEARCH("FABRICAR",AA301)),"LOCAL","OTRO")))</f>
        <v>IMPORTADO</v>
      </c>
      <c r="AQ301" t="str">
        <f>IF(AD301="Si","SI",IF(AD301="No","NO",""))</f>
        <v>NO</v>
      </c>
      <c r="AR301" t="str">
        <f>IF(ISNUMBER(SEARCH("®",N301)),"MARCA/INNOVADOR","GENERICO")</f>
        <v>GENERICO</v>
      </c>
      <c r="AS301">
        <f ca="1">IF(AE301&gt;100,RANDBETWEEN(500,5000),IF(AND(AE301&gt;=10,AE301&lt;=100),RANDBETWEEN(100,1000),RANDBETWEEN(10,200)))</f>
        <v>80</v>
      </c>
      <c r="AT301">
        <f t="shared" ca="1" si="22"/>
        <v>16</v>
      </c>
      <c r="AU301">
        <f ca="1">INT(AS301*RANDBETWEEN(120,200)/100)</f>
        <v>112</v>
      </c>
      <c r="AV301" s="2">
        <f ca="1">IF(LEFT(Y301,1)="L",RANDBETWEEN(500000,5000000),IF(LEFT(Y301,1)="C",RANDBETWEEN(5000,50000),IF(LEFT(Y301,1)="N",RANDBETWEEN(10000,150000),IF(LEFT(Y301,1)="J",RANDBETWEEN(8000,200000),RANDBETWEEN(5000,100000)))))</f>
        <v>89684</v>
      </c>
      <c r="AW301" s="2">
        <f ca="1">INT(AV301*RANDBETWEEN(30,60)/100)</f>
        <v>30492</v>
      </c>
      <c r="AX301">
        <f ca="1">IF(Z301="ORAL",RANDBETWEEN(1000,10000),IF(OR(Z301="INTRAVENOSA",Z301="INTRAMUSCULAR"),RANDBETWEEN(100,2000),IF(OR(Z301="OFTÁLMICA",Z301="TOPICA (EXTERNA)"),RANDBETWEEN(200,3000),RANDBETWEEN(100,1500))))</f>
        <v>813</v>
      </c>
      <c r="AY301" s="2">
        <f ca="1">INT(AV301*RANDBETWEEN(90,130)/100)</f>
        <v>103136</v>
      </c>
      <c r="AZ301" t="str">
        <f t="shared" ca="1" si="23"/>
        <v>4.1%</v>
      </c>
      <c r="BA301" t="str">
        <f t="shared" ca="1" si="24"/>
        <v>ALTO</v>
      </c>
    </row>
    <row r="302" spans="4:53" x14ac:dyDescent="0.35">
      <c r="D302" t="s">
        <v>2340</v>
      </c>
      <c r="E302" s="1">
        <v>34858</v>
      </c>
      <c r="F302" t="s">
        <v>2341</v>
      </c>
      <c r="G302" t="s">
        <v>108</v>
      </c>
      <c r="H302" t="s">
        <v>2342</v>
      </c>
      <c r="I302">
        <v>44232</v>
      </c>
      <c r="J302" t="s">
        <v>110</v>
      </c>
      <c r="K302">
        <v>3</v>
      </c>
      <c r="L302" t="s">
        <v>27</v>
      </c>
      <c r="M302" t="s">
        <v>2343</v>
      </c>
      <c r="N302" t="s">
        <v>2344</v>
      </c>
      <c r="O302" t="s">
        <v>2345</v>
      </c>
      <c r="P302" t="s">
        <v>29</v>
      </c>
      <c r="Q302" s="1">
        <v>39031</v>
      </c>
      <c r="R302" t="s">
        <v>29</v>
      </c>
      <c r="S302" s="1">
        <v>42431</v>
      </c>
      <c r="T302" t="s">
        <v>1477</v>
      </c>
      <c r="U302" t="s">
        <v>115</v>
      </c>
      <c r="V302" t="s">
        <v>2346</v>
      </c>
      <c r="W302">
        <v>800</v>
      </c>
      <c r="X302">
        <v>44232</v>
      </c>
      <c r="Y302" t="s">
        <v>2347</v>
      </c>
      <c r="Z302" t="s">
        <v>119</v>
      </c>
      <c r="AA302" t="s">
        <v>24</v>
      </c>
      <c r="AB302" t="s">
        <v>120</v>
      </c>
      <c r="AC302" t="s">
        <v>25</v>
      </c>
      <c r="AD302" t="s">
        <v>155</v>
      </c>
      <c r="AE302">
        <v>10</v>
      </c>
      <c r="AF302" t="s">
        <v>27</v>
      </c>
      <c r="AG302" t="s">
        <v>26</v>
      </c>
      <c r="AH302" t="s">
        <v>2341</v>
      </c>
      <c r="AI302" t="str">
        <f t="shared" si="20"/>
        <v>NO</v>
      </c>
      <c r="AJ302" t="str">
        <f t="shared" si="21"/>
        <v>MEMPHIS PRODUCTS</v>
      </c>
      <c r="AK302" t="str">
        <f>IF(ISNUMBER(SEARCH("FABRICANTE",AC302)),"FABRICANTE",IF(ISNUMBER(SEARCH("IMPORTADOR",AC302)),"IMPORTADOR","OTRO"))</f>
        <v>FABRICANTE</v>
      </c>
      <c r="AL302" t="str">
        <f>IF(LEFT(Y302,1)="A","Sistema digestivo",IF(LEFT(Y302,1)="B","Sangre",IF(LEFT(Y302,1)="C","Cardiovascular",IF(LEFT(Y302,1)="D","Dermatológico",IF(LEFT(Y302,1)="G","Genitourinario",IF(LEFT(Y302,1)="H","Hormonal",IF(LEFT(Y302,1)="J","Antiinfecciosos",IF(LEFT(Y302,1)="L","Oncológicos",IF(LEFT(Y302,1)="M","Musculoesquelético",IF(LEFT(Y302,1)="N","Sistema nervioso",IF(LEFT(Y302,1)="R","Respiratorio",IF(LEFT(Y302,1)="S","Oftálmico",IF(LEFT(Y302,1)="V","Varios","OTRO")))))))))))))</f>
        <v>Antiinfecciosos</v>
      </c>
      <c r="AM302" t="str">
        <f>IF(AG302="Vigente","ACTIVO",IF(ISNUMBER(SEARCH("Inactivo",J302)),"INACTIVO","REVISAR"))</f>
        <v>ACTIVO</v>
      </c>
      <c r="AN302" t="str">
        <f ca="1">IF(OR(AF302="",AF302="null"),"",ROUND((AF302-TODAY())/365.25,2))</f>
        <v/>
      </c>
      <c r="AO302" t="str">
        <f ca="1">IF(AND(AG302="Vigente",OR(AF302="",AF302="null",AF302&gt;TODAY())),"SI",IF(AND(NOT(OR(AF302="",AF302="null")),AF302&lt;=TODAY()),"NO",IF(AG302="Vigente","SI","DESCONOCIDO")))</f>
        <v>SI</v>
      </c>
      <c r="AP302" t="str">
        <f>IF(AND(ISNUMBER(SEARCH("IMPORTAR",AA302)),ISNUMBER(SEARCH("FABRICAR",AA302))),"MIXTO",IF(ISNUMBER(SEARCH("IMPORTAR",AA302)),"IMPORTADO",IF(ISNUMBER(SEARCH("FABRICAR",AA302)),"LOCAL","OTRO")))</f>
        <v>LOCAL</v>
      </c>
      <c r="AQ302" t="str">
        <f>IF(AD302="Si","SI",IF(AD302="No","NO",""))</f>
        <v>SI</v>
      </c>
      <c r="AR302" t="str">
        <f>IF(ISNUMBER(SEARCH("®",N302)),"MARCA/INNOVADOR","GENERICO")</f>
        <v>GENERICO</v>
      </c>
      <c r="AS302">
        <f ca="1">IF(AE302&gt;100,RANDBETWEEN(500,5000),IF(AND(AE302&gt;=10,AE302&lt;=100),RANDBETWEEN(100,1000),RANDBETWEEN(10,200)))</f>
        <v>445</v>
      </c>
      <c r="AT302">
        <f t="shared" ca="1" si="22"/>
        <v>97</v>
      </c>
      <c r="AU302">
        <f ca="1">INT(AS302*RANDBETWEEN(120,200)/100)</f>
        <v>680</v>
      </c>
      <c r="AV302" s="2">
        <f ca="1">IF(LEFT(Y302,1)="L",RANDBETWEEN(500000,5000000),IF(LEFT(Y302,1)="C",RANDBETWEEN(5000,50000),IF(LEFT(Y302,1)="N",RANDBETWEEN(10000,150000),IF(LEFT(Y302,1)="J",RANDBETWEEN(8000,200000),RANDBETWEEN(5000,100000)))))</f>
        <v>88791</v>
      </c>
      <c r="AW302" s="2">
        <f ca="1">INT(AV302*RANDBETWEEN(30,60)/100)</f>
        <v>33740</v>
      </c>
      <c r="AX302">
        <f ca="1">IF(Z302="ORAL",RANDBETWEEN(1000,10000),IF(OR(Z302="INTRAVENOSA",Z302="INTRAMUSCULAR"),RANDBETWEEN(100,2000),IF(OR(Z302="OFTÁLMICA",Z302="TOPICA (EXTERNA)"),RANDBETWEEN(200,3000),RANDBETWEEN(100,1500))))</f>
        <v>4803</v>
      </c>
      <c r="AY302" s="2">
        <f ca="1">INT(AV302*RANDBETWEEN(90,130)/100)</f>
        <v>110988</v>
      </c>
      <c r="AZ302" t="str">
        <f t="shared" ca="1" si="23"/>
        <v>21.2%</v>
      </c>
      <c r="BA302" t="str">
        <f t="shared" ca="1" si="24"/>
        <v>ALTO</v>
      </c>
    </row>
    <row r="303" spans="4:53" x14ac:dyDescent="0.35">
      <c r="D303" t="s">
        <v>2348</v>
      </c>
      <c r="E303" s="1">
        <v>40456</v>
      </c>
      <c r="F303" t="s">
        <v>1275</v>
      </c>
      <c r="G303" t="s">
        <v>108</v>
      </c>
      <c r="H303" t="s">
        <v>316</v>
      </c>
      <c r="I303">
        <v>20020095</v>
      </c>
      <c r="J303" t="s">
        <v>28</v>
      </c>
      <c r="K303">
        <v>3</v>
      </c>
      <c r="L303" t="s">
        <v>27</v>
      </c>
      <c r="M303" t="s">
        <v>1276</v>
      </c>
      <c r="N303" t="s">
        <v>1277</v>
      </c>
      <c r="O303" t="s">
        <v>2349</v>
      </c>
      <c r="P303" t="s">
        <v>33</v>
      </c>
      <c r="Q303" s="1">
        <v>40449</v>
      </c>
      <c r="R303" t="s">
        <v>33</v>
      </c>
      <c r="S303" t="s">
        <v>27</v>
      </c>
      <c r="T303" t="s">
        <v>1279</v>
      </c>
      <c r="U303" t="s">
        <v>115</v>
      </c>
      <c r="V303" t="s">
        <v>773</v>
      </c>
      <c r="W303">
        <v>500</v>
      </c>
      <c r="X303">
        <v>20020095</v>
      </c>
      <c r="Y303" t="s">
        <v>774</v>
      </c>
      <c r="Z303" t="s">
        <v>119</v>
      </c>
      <c r="AA303" t="s">
        <v>165</v>
      </c>
      <c r="AB303" t="s">
        <v>120</v>
      </c>
      <c r="AC303" t="s">
        <v>25</v>
      </c>
      <c r="AD303" t="s">
        <v>121</v>
      </c>
      <c r="AE303">
        <v>10</v>
      </c>
      <c r="AF303" s="1">
        <v>401769</v>
      </c>
      <c r="AG303" t="s">
        <v>26</v>
      </c>
      <c r="AH303" t="s">
        <v>6749</v>
      </c>
      <c r="AI303" t="str">
        <f t="shared" si="20"/>
        <v>SI</v>
      </c>
      <c r="AJ303" t="str">
        <f t="shared" si="21"/>
        <v>LABORATORIOS LA SANTE</v>
      </c>
      <c r="AK303" t="str">
        <f>IF(ISNUMBER(SEARCH("FABRICANTE",AC303)),"FABRICANTE",IF(ISNUMBER(SEARCH("IMPORTADOR",AC303)),"IMPORTADOR","OTRO"))</f>
        <v>FABRICANTE</v>
      </c>
      <c r="AL303" t="str">
        <f>IF(LEFT(Y303,1)="A","Sistema digestivo",IF(LEFT(Y303,1)="B","Sangre",IF(LEFT(Y303,1)="C","Cardiovascular",IF(LEFT(Y303,1)="D","Dermatológico",IF(LEFT(Y303,1)="G","Genitourinario",IF(LEFT(Y303,1)="H","Hormonal",IF(LEFT(Y303,1)="J","Antiinfecciosos",IF(LEFT(Y303,1)="L","Oncológicos",IF(LEFT(Y303,1)="M","Musculoesquelético",IF(LEFT(Y303,1)="N","Sistema nervioso",IF(LEFT(Y303,1)="R","Respiratorio",IF(LEFT(Y303,1)="S","Oftálmico",IF(LEFT(Y303,1)="V","Varios","OTRO")))))))))))))</f>
        <v>Antiinfecciosos</v>
      </c>
      <c r="AM303" t="str">
        <f>IF(AG303="Vigente","ACTIVO",IF(ISNUMBER(SEARCH("Inactivo",J303)),"INACTIVO","REVISAR"))</f>
        <v>ACTIVO</v>
      </c>
      <c r="AN303">
        <f ca="1">IF(OR(AF303="",AF303="null"),"",ROUND((AF303-TODAY())/365.25,2))</f>
        <v>973.58</v>
      </c>
      <c r="AO303" t="str">
        <f ca="1">IF(AND(AG303="Vigente",OR(AF303="",AF303="null",AF303&gt;TODAY())),"SI",IF(AND(NOT(OR(AF303="",AF303="null")),AF303&lt;=TODAY()),"NO",IF(AG303="Vigente","SI","DESCONOCIDO")))</f>
        <v>SI</v>
      </c>
      <c r="AP303" t="str">
        <f>IF(AND(ISNUMBER(SEARCH("IMPORTAR",AA303)),ISNUMBER(SEARCH("FABRICAR",AA303))),"MIXTO",IF(ISNUMBER(SEARCH("IMPORTAR",AA303)),"IMPORTADO",IF(ISNUMBER(SEARCH("FABRICAR",AA303)),"LOCAL","OTRO")))</f>
        <v>IMPORTADO</v>
      </c>
      <c r="AQ303" t="str">
        <f>IF(AD303="Si","SI",IF(AD303="No","NO",""))</f>
        <v>NO</v>
      </c>
      <c r="AR303" t="str">
        <f>IF(ISNUMBER(SEARCH("®",N303)),"MARCA/INNOVADOR","GENERICO")</f>
        <v>GENERICO</v>
      </c>
      <c r="AS303">
        <f ca="1">IF(AE303&gt;100,RANDBETWEEN(500,5000),IF(AND(AE303&gt;=10,AE303&lt;=100),RANDBETWEEN(100,1000),RANDBETWEEN(10,200)))</f>
        <v>773</v>
      </c>
      <c r="AT303">
        <f t="shared" ca="1" si="22"/>
        <v>146</v>
      </c>
      <c r="AU303">
        <f ca="1">INT(AS303*RANDBETWEEN(120,200)/100)</f>
        <v>997</v>
      </c>
      <c r="AV303" s="2">
        <f ca="1">IF(LEFT(Y303,1)="L",RANDBETWEEN(500000,5000000),IF(LEFT(Y303,1)="C",RANDBETWEEN(5000,50000),IF(LEFT(Y303,1)="N",RANDBETWEEN(10000,150000),IF(LEFT(Y303,1)="J",RANDBETWEEN(8000,200000),RANDBETWEEN(5000,100000)))))</f>
        <v>95523</v>
      </c>
      <c r="AW303" s="2">
        <f ca="1">INT(AV303*RANDBETWEEN(30,60)/100)</f>
        <v>39164</v>
      </c>
      <c r="AX303">
        <f ca="1">IF(Z303="ORAL",RANDBETWEEN(1000,10000),IF(OR(Z303="INTRAVENOSA",Z303="INTRAMUSCULAR"),RANDBETWEEN(100,2000),IF(OR(Z303="OFTÁLMICA",Z303="TOPICA (EXTERNA)"),RANDBETWEEN(200,3000),RANDBETWEEN(100,1500))))</f>
        <v>8620</v>
      </c>
      <c r="AY303" s="2">
        <f ca="1">INT(AV303*RANDBETWEEN(90,130)/100)</f>
        <v>95523</v>
      </c>
      <c r="AZ303" t="str">
        <f t="shared" ca="1" si="23"/>
        <v>8.6%</v>
      </c>
      <c r="BA303" t="str">
        <f t="shared" ca="1" si="24"/>
        <v>BAJO</v>
      </c>
    </row>
    <row r="304" spans="4:53" x14ac:dyDescent="0.35">
      <c r="D304" t="s">
        <v>2350</v>
      </c>
      <c r="E304" s="1">
        <v>36161</v>
      </c>
      <c r="F304" t="s">
        <v>2351</v>
      </c>
      <c r="G304" t="s">
        <v>502</v>
      </c>
      <c r="H304" t="s">
        <v>2182</v>
      </c>
      <c r="I304">
        <v>32250</v>
      </c>
      <c r="J304" t="s">
        <v>28</v>
      </c>
      <c r="K304">
        <v>1</v>
      </c>
      <c r="L304" t="s">
        <v>27</v>
      </c>
      <c r="M304" t="s">
        <v>2352</v>
      </c>
      <c r="N304" t="s">
        <v>2353</v>
      </c>
      <c r="O304" t="s">
        <v>2354</v>
      </c>
      <c r="P304" t="s">
        <v>2355</v>
      </c>
      <c r="Q304" s="1">
        <v>39031</v>
      </c>
      <c r="R304" t="s">
        <v>50</v>
      </c>
      <c r="S304" t="s">
        <v>27</v>
      </c>
      <c r="T304" t="s">
        <v>2182</v>
      </c>
      <c r="U304" t="s">
        <v>2356</v>
      </c>
      <c r="V304" t="s">
        <v>2357</v>
      </c>
      <c r="W304" t="s">
        <v>2358</v>
      </c>
      <c r="X304">
        <v>32250</v>
      </c>
      <c r="Y304" t="s">
        <v>2359</v>
      </c>
      <c r="Z304" t="s">
        <v>260</v>
      </c>
      <c r="AA304" t="s">
        <v>24</v>
      </c>
      <c r="AB304" t="s">
        <v>120</v>
      </c>
      <c r="AC304" t="s">
        <v>25</v>
      </c>
      <c r="AD304" t="s">
        <v>121</v>
      </c>
      <c r="AE304">
        <v>1000</v>
      </c>
      <c r="AF304" t="s">
        <v>27</v>
      </c>
      <c r="AG304" t="s">
        <v>26</v>
      </c>
      <c r="AH304" t="s">
        <v>6776</v>
      </c>
      <c r="AI304" t="str">
        <f t="shared" si="20"/>
        <v>NO</v>
      </c>
      <c r="AJ304" t="str">
        <f t="shared" si="21"/>
        <v>LABORATORIOS RYAN DE COLOMBIA</v>
      </c>
      <c r="AK304" t="str">
        <f>IF(ISNUMBER(SEARCH("FABRICANTE",AC304)),"FABRICANTE",IF(ISNUMBER(SEARCH("IMPORTADOR",AC304)),"IMPORTADOR","OTRO"))</f>
        <v>FABRICANTE</v>
      </c>
      <c r="AL304" t="str">
        <f>IF(LEFT(Y304,1)="A","Sistema digestivo",IF(LEFT(Y304,1)="B","Sangre",IF(LEFT(Y304,1)="C","Cardiovascular",IF(LEFT(Y304,1)="D","Dermatológico",IF(LEFT(Y304,1)="G","Genitourinario",IF(LEFT(Y304,1)="H","Hormonal",IF(LEFT(Y304,1)="J","Antiinfecciosos",IF(LEFT(Y304,1)="L","Oncológicos",IF(LEFT(Y304,1)="M","Musculoesquelético",IF(LEFT(Y304,1)="N","Sistema nervioso",IF(LEFT(Y304,1)="R","Respiratorio",IF(LEFT(Y304,1)="S","Oftálmico",IF(LEFT(Y304,1)="V","Varios","OTRO")))))))))))))</f>
        <v>Sangre</v>
      </c>
      <c r="AM304" t="str">
        <f>IF(AG304="Vigente","ACTIVO",IF(ISNUMBER(SEARCH("Inactivo",J304)),"INACTIVO","REVISAR"))</f>
        <v>ACTIVO</v>
      </c>
      <c r="AN304" t="str">
        <f ca="1">IF(OR(AF304="",AF304="null"),"",ROUND((AF304-TODAY())/365.25,2))</f>
        <v/>
      </c>
      <c r="AO304" t="str">
        <f ca="1">IF(AND(AG304="Vigente",OR(AF304="",AF304="null",AF304&gt;TODAY())),"SI",IF(AND(NOT(OR(AF304="",AF304="null")),AF304&lt;=TODAY()),"NO",IF(AG304="Vigente","SI","DESCONOCIDO")))</f>
        <v>SI</v>
      </c>
      <c r="AP304" t="str">
        <f>IF(AND(ISNUMBER(SEARCH("IMPORTAR",AA304)),ISNUMBER(SEARCH("FABRICAR",AA304))),"MIXTO",IF(ISNUMBER(SEARCH("IMPORTAR",AA304)),"IMPORTADO",IF(ISNUMBER(SEARCH("FABRICAR",AA304)),"LOCAL","OTRO")))</f>
        <v>LOCAL</v>
      </c>
      <c r="AQ304" t="str">
        <f>IF(AD304="Si","SI",IF(AD304="No","NO",""))</f>
        <v>NO</v>
      </c>
      <c r="AR304" t="str">
        <f>IF(ISNUMBER(SEARCH("®",N304)),"MARCA/INNOVADOR","GENERICO")</f>
        <v>GENERICO</v>
      </c>
      <c r="AS304">
        <f ca="1">IF(AE304&gt;100,RANDBETWEEN(500,5000),IF(AND(AE304&gt;=10,AE304&lt;=100),RANDBETWEEN(100,1000),RANDBETWEEN(10,200)))</f>
        <v>4024</v>
      </c>
      <c r="AT304">
        <f t="shared" ca="1" si="22"/>
        <v>885</v>
      </c>
      <c r="AU304">
        <f ca="1">INT(AS304*RANDBETWEEN(120,200)/100)</f>
        <v>7243</v>
      </c>
      <c r="AV304" s="2">
        <f ca="1">IF(LEFT(Y304,1)="L",RANDBETWEEN(500000,5000000),IF(LEFT(Y304,1)="C",RANDBETWEEN(5000,50000),IF(LEFT(Y304,1)="N",RANDBETWEEN(10000,150000),IF(LEFT(Y304,1)="J",RANDBETWEEN(8000,200000),RANDBETWEEN(5000,100000)))))</f>
        <v>65143</v>
      </c>
      <c r="AW304" s="2">
        <f ca="1">INT(AV304*RANDBETWEEN(30,60)/100)</f>
        <v>37782</v>
      </c>
      <c r="AX304">
        <f ca="1">IF(Z304="ORAL",RANDBETWEEN(1000,10000),IF(OR(Z304="INTRAVENOSA",Z304="INTRAMUSCULAR"),RANDBETWEEN(100,2000),IF(OR(Z304="OFTÁLMICA",Z304="TOPICA (EXTERNA)"),RANDBETWEEN(200,3000),RANDBETWEEN(100,1500))))</f>
        <v>889</v>
      </c>
      <c r="AY304" s="2">
        <f ca="1">INT(AV304*RANDBETWEEN(90,130)/100)</f>
        <v>72308</v>
      </c>
      <c r="AZ304" t="str">
        <f t="shared" ca="1" si="23"/>
        <v>2.1%</v>
      </c>
      <c r="BA304" t="str">
        <f t="shared" ca="1" si="24"/>
        <v>BAJO</v>
      </c>
    </row>
    <row r="305" spans="4:53" x14ac:dyDescent="0.35">
      <c r="D305" t="s">
        <v>2360</v>
      </c>
      <c r="E305" s="1">
        <v>40863</v>
      </c>
      <c r="F305" t="s">
        <v>2361</v>
      </c>
      <c r="G305" t="s">
        <v>108</v>
      </c>
      <c r="H305" t="s">
        <v>454</v>
      </c>
      <c r="I305">
        <v>20038476</v>
      </c>
      <c r="J305" t="s">
        <v>28</v>
      </c>
      <c r="K305">
        <v>20</v>
      </c>
      <c r="L305" t="s">
        <v>27</v>
      </c>
      <c r="M305" t="s">
        <v>2362</v>
      </c>
      <c r="N305" t="s">
        <v>2363</v>
      </c>
      <c r="O305" t="s">
        <v>2364</v>
      </c>
      <c r="P305" t="s">
        <v>358</v>
      </c>
      <c r="Q305" s="1">
        <v>40844</v>
      </c>
      <c r="R305" t="s">
        <v>37</v>
      </c>
      <c r="S305" t="s">
        <v>27</v>
      </c>
      <c r="T305" t="s">
        <v>1784</v>
      </c>
      <c r="U305" t="s">
        <v>115</v>
      </c>
      <c r="V305" t="s">
        <v>2365</v>
      </c>
      <c r="W305" t="s">
        <v>2366</v>
      </c>
      <c r="X305">
        <v>20038476</v>
      </c>
      <c r="Y305" t="s">
        <v>2367</v>
      </c>
      <c r="Z305" t="s">
        <v>119</v>
      </c>
      <c r="AA305" t="s">
        <v>165</v>
      </c>
      <c r="AB305" t="s">
        <v>120</v>
      </c>
      <c r="AC305" t="s">
        <v>38</v>
      </c>
      <c r="AD305" t="s">
        <v>121</v>
      </c>
      <c r="AE305">
        <v>14</v>
      </c>
      <c r="AF305" t="s">
        <v>27</v>
      </c>
      <c r="AG305" t="s">
        <v>26</v>
      </c>
      <c r="AH305" t="s">
        <v>2365</v>
      </c>
      <c r="AI305" t="str">
        <f t="shared" si="20"/>
        <v>SI</v>
      </c>
      <c r="AJ305" t="str">
        <f t="shared" si="21"/>
        <v>COLMED</v>
      </c>
      <c r="AK305" t="str">
        <f>IF(ISNUMBER(SEARCH("FABRICANTE",AC305)),"FABRICANTE",IF(ISNUMBER(SEARCH("IMPORTADOR",AC305)),"IMPORTADOR","OTRO"))</f>
        <v>IMPORTADOR</v>
      </c>
      <c r="AL305" t="str">
        <f>IF(LEFT(Y305,1)="A","Sistema digestivo",IF(LEFT(Y305,1)="B","Sangre",IF(LEFT(Y305,1)="C","Cardiovascular",IF(LEFT(Y305,1)="D","Dermatológico",IF(LEFT(Y305,1)="G","Genitourinario",IF(LEFT(Y305,1)="H","Hormonal",IF(LEFT(Y305,1)="J","Antiinfecciosos",IF(LEFT(Y305,1)="L","Oncológicos",IF(LEFT(Y305,1)="M","Musculoesquelético",IF(LEFT(Y305,1)="N","Sistema nervioso",IF(LEFT(Y305,1)="R","Respiratorio",IF(LEFT(Y305,1)="S","Oftálmico",IF(LEFT(Y305,1)="V","Varios","OTRO")))))))))))))</f>
        <v>Sistema digestivo</v>
      </c>
      <c r="AM305" t="str">
        <f>IF(AG305="Vigente","ACTIVO",IF(ISNUMBER(SEARCH("Inactivo",J305)),"INACTIVO","REVISAR"))</f>
        <v>ACTIVO</v>
      </c>
      <c r="AN305" t="str">
        <f ca="1">IF(OR(AF305="",AF305="null"),"",ROUND((AF305-TODAY())/365.25,2))</f>
        <v/>
      </c>
      <c r="AO305" t="str">
        <f ca="1">IF(AND(AG305="Vigente",OR(AF305="",AF305="null",AF305&gt;TODAY())),"SI",IF(AND(NOT(OR(AF305="",AF305="null")),AF305&lt;=TODAY()),"NO",IF(AG305="Vigente","SI","DESCONOCIDO")))</f>
        <v>SI</v>
      </c>
      <c r="AP305" t="str">
        <f>IF(AND(ISNUMBER(SEARCH("IMPORTAR",AA305)),ISNUMBER(SEARCH("FABRICAR",AA305))),"MIXTO",IF(ISNUMBER(SEARCH("IMPORTAR",AA305)),"IMPORTADO",IF(ISNUMBER(SEARCH("FABRICAR",AA305)),"LOCAL","OTRO")))</f>
        <v>IMPORTADO</v>
      </c>
      <c r="AQ305" t="str">
        <f>IF(AD305="Si","SI",IF(AD305="No","NO",""))</f>
        <v>NO</v>
      </c>
      <c r="AR305" t="str">
        <f>IF(ISNUMBER(SEARCH("®",N305)),"MARCA/INNOVADOR","GENERICO")</f>
        <v>GENERICO</v>
      </c>
      <c r="AS305">
        <f ca="1">IF(AE305&gt;100,RANDBETWEEN(500,5000),IF(AND(AE305&gt;=10,AE305&lt;=100),RANDBETWEEN(100,1000),RANDBETWEEN(10,200)))</f>
        <v>954</v>
      </c>
      <c r="AT305">
        <f t="shared" ca="1" si="22"/>
        <v>200</v>
      </c>
      <c r="AU305">
        <f ca="1">INT(AS305*RANDBETWEEN(120,200)/100)</f>
        <v>1745</v>
      </c>
      <c r="AV305" s="2">
        <f ca="1">IF(LEFT(Y305,1)="L",RANDBETWEEN(500000,5000000),IF(LEFT(Y305,1)="C",RANDBETWEEN(5000,50000),IF(LEFT(Y305,1)="N",RANDBETWEEN(10000,150000),IF(LEFT(Y305,1)="J",RANDBETWEEN(8000,200000),RANDBETWEEN(5000,100000)))))</f>
        <v>5077</v>
      </c>
      <c r="AW305" s="2">
        <f ca="1">INT(AV305*RANDBETWEEN(30,60)/100)</f>
        <v>2589</v>
      </c>
      <c r="AX305">
        <f ca="1">IF(Z305="ORAL",RANDBETWEEN(1000,10000),IF(OR(Z305="INTRAVENOSA",Z305="INTRAMUSCULAR"),RANDBETWEEN(100,2000),IF(OR(Z305="OFTÁLMICA",Z305="TOPICA (EXTERNA)"),RANDBETWEEN(200,3000),RANDBETWEEN(100,1500))))</f>
        <v>5249</v>
      </c>
      <c r="AY305" s="2">
        <f ca="1">INT(AV305*RANDBETWEEN(90,130)/100)</f>
        <v>5838</v>
      </c>
      <c r="AZ305" t="str">
        <f t="shared" ca="1" si="23"/>
        <v>18.6%</v>
      </c>
      <c r="BA305" t="str">
        <f t="shared" ca="1" si="24"/>
        <v>BAJO</v>
      </c>
    </row>
    <row r="306" spans="4:53" x14ac:dyDescent="0.35">
      <c r="D306" t="s">
        <v>2368</v>
      </c>
      <c r="E306" s="1">
        <v>45727</v>
      </c>
      <c r="F306" t="s">
        <v>1175</v>
      </c>
      <c r="G306" t="s">
        <v>108</v>
      </c>
      <c r="H306" t="s">
        <v>2369</v>
      </c>
      <c r="I306">
        <v>20219961</v>
      </c>
      <c r="J306" t="s">
        <v>28</v>
      </c>
      <c r="K306">
        <v>3</v>
      </c>
      <c r="L306" t="s">
        <v>27</v>
      </c>
      <c r="M306" t="s">
        <v>1177</v>
      </c>
      <c r="N306" t="s">
        <v>1178</v>
      </c>
      <c r="O306" t="s">
        <v>2370</v>
      </c>
      <c r="P306" t="s">
        <v>1180</v>
      </c>
      <c r="Q306" s="1">
        <v>45640</v>
      </c>
      <c r="R306" t="s">
        <v>50</v>
      </c>
      <c r="S306" t="s">
        <v>27</v>
      </c>
      <c r="T306" t="s">
        <v>1176</v>
      </c>
      <c r="U306" t="s">
        <v>115</v>
      </c>
      <c r="V306" t="s">
        <v>1181</v>
      </c>
      <c r="W306">
        <v>612</v>
      </c>
      <c r="X306">
        <v>20219961</v>
      </c>
      <c r="Y306" t="s">
        <v>1182</v>
      </c>
      <c r="Z306" t="s">
        <v>1137</v>
      </c>
      <c r="AA306" t="s">
        <v>32</v>
      </c>
      <c r="AB306" t="s">
        <v>120</v>
      </c>
      <c r="AC306" t="s">
        <v>38</v>
      </c>
      <c r="AD306" t="s">
        <v>121</v>
      </c>
      <c r="AE306">
        <v>1</v>
      </c>
      <c r="AF306" s="1">
        <v>47568</v>
      </c>
      <c r="AG306" t="s">
        <v>26</v>
      </c>
      <c r="AH306" t="s">
        <v>6746</v>
      </c>
      <c r="AI306" t="str">
        <f t="shared" si="20"/>
        <v>NO</v>
      </c>
      <c r="AJ306" t="str">
        <f t="shared" si="21"/>
        <v>SANOCHEMIA PHARMAZEUTIKA</v>
      </c>
      <c r="AK306" t="str">
        <f>IF(ISNUMBER(SEARCH("FABRICANTE",AC306)),"FABRICANTE",IF(ISNUMBER(SEARCH("IMPORTADOR",AC306)),"IMPORTADOR","OTRO"))</f>
        <v>IMPORTADOR</v>
      </c>
      <c r="AL306" t="str">
        <f>IF(LEFT(Y306,1)="A","Sistema digestivo",IF(LEFT(Y306,1)="B","Sangre",IF(LEFT(Y306,1)="C","Cardiovascular",IF(LEFT(Y306,1)="D","Dermatológico",IF(LEFT(Y306,1)="G","Genitourinario",IF(LEFT(Y306,1)="H","Hormonal",IF(LEFT(Y306,1)="J","Antiinfecciosos",IF(LEFT(Y306,1)="L","Oncológicos",IF(LEFT(Y306,1)="M","Musculoesquelético",IF(LEFT(Y306,1)="N","Sistema nervioso",IF(LEFT(Y306,1)="R","Respiratorio",IF(LEFT(Y306,1)="S","Oftálmico",IF(LEFT(Y306,1)="V","Varios","OTRO")))))))))))))</f>
        <v>Varios</v>
      </c>
      <c r="AM306" t="str">
        <f>IF(AG306="Vigente","ACTIVO",IF(ISNUMBER(SEARCH("Inactivo",J306)),"INACTIVO","REVISAR"))</f>
        <v>ACTIVO</v>
      </c>
      <c r="AN306">
        <f ca="1">IF(OR(AF306="",AF306="null"),"",ROUND((AF306-TODAY())/365.25,2))</f>
        <v>3.83</v>
      </c>
      <c r="AO306" t="str">
        <f ca="1">IF(AND(AG306="Vigente",OR(AF306="",AF306="null",AF306&gt;TODAY())),"SI",IF(AND(NOT(OR(AF306="",AF306="null")),AF306&lt;=TODAY()),"NO",IF(AG306="Vigente","SI","DESCONOCIDO")))</f>
        <v>SI</v>
      </c>
      <c r="AP306" t="str">
        <f>IF(AND(ISNUMBER(SEARCH("IMPORTAR",AA306)),ISNUMBER(SEARCH("FABRICAR",AA306))),"MIXTO",IF(ISNUMBER(SEARCH("IMPORTAR",AA306)),"IMPORTADO",IF(ISNUMBER(SEARCH("FABRICAR",AA306)),"LOCAL","OTRO")))</f>
        <v>IMPORTADO</v>
      </c>
      <c r="AQ306" t="str">
        <f>IF(AD306="Si","SI",IF(AD306="No","NO",""))</f>
        <v>NO</v>
      </c>
      <c r="AR306" t="str">
        <f>IF(ISNUMBER(SEARCH("®",N306)),"MARCA/INNOVADOR","GENERICO")</f>
        <v>MARCA/INNOVADOR</v>
      </c>
      <c r="AS306">
        <f ca="1">IF(AE306&gt;100,RANDBETWEEN(500,5000),IF(AND(AE306&gt;=10,AE306&lt;=100),RANDBETWEEN(100,1000),RANDBETWEEN(10,200)))</f>
        <v>79</v>
      </c>
      <c r="AT306">
        <f t="shared" ca="1" si="22"/>
        <v>20</v>
      </c>
      <c r="AU306">
        <f ca="1">INT(AS306*RANDBETWEEN(120,200)/100)</f>
        <v>127</v>
      </c>
      <c r="AV306" s="2">
        <f ca="1">IF(LEFT(Y306,1)="L",RANDBETWEEN(500000,5000000),IF(LEFT(Y306,1)="C",RANDBETWEEN(5000,50000),IF(LEFT(Y306,1)="N",RANDBETWEEN(10000,150000),IF(LEFT(Y306,1)="J",RANDBETWEEN(8000,200000),RANDBETWEEN(5000,100000)))))</f>
        <v>98193</v>
      </c>
      <c r="AW306" s="2">
        <f ca="1">INT(AV306*RANDBETWEEN(30,60)/100)</f>
        <v>35349</v>
      </c>
      <c r="AX306">
        <f ca="1">IF(Z306="ORAL",RANDBETWEEN(1000,10000),IF(OR(Z306="INTRAVENOSA",Z306="INTRAMUSCULAR"),RANDBETWEEN(100,2000),IF(OR(Z306="OFTÁLMICA",Z306="TOPICA (EXTERNA)"),RANDBETWEEN(200,3000),RANDBETWEEN(100,1500))))</f>
        <v>157</v>
      </c>
      <c r="AY306" s="2">
        <f ca="1">INT(AV306*RANDBETWEEN(90,130)/100)</f>
        <v>103102</v>
      </c>
      <c r="AZ306" t="str">
        <f t="shared" ca="1" si="23"/>
        <v>7.2%</v>
      </c>
      <c r="BA306" t="str">
        <f t="shared" ca="1" si="24"/>
        <v>MEDIO</v>
      </c>
    </row>
    <row r="307" spans="4:53" x14ac:dyDescent="0.35">
      <c r="D307" t="s">
        <v>2371</v>
      </c>
      <c r="E307" s="1">
        <v>39840</v>
      </c>
      <c r="F307" t="s">
        <v>65</v>
      </c>
      <c r="G307" t="s">
        <v>108</v>
      </c>
      <c r="H307" t="s">
        <v>367</v>
      </c>
      <c r="I307">
        <v>19993863</v>
      </c>
      <c r="J307" t="s">
        <v>28</v>
      </c>
      <c r="K307">
        <v>50</v>
      </c>
      <c r="L307" t="s">
        <v>27</v>
      </c>
      <c r="M307" t="s">
        <v>363</v>
      </c>
      <c r="N307" t="s">
        <v>364</v>
      </c>
      <c r="O307" t="s">
        <v>2372</v>
      </c>
      <c r="P307" t="s">
        <v>366</v>
      </c>
      <c r="Q307" s="1">
        <v>44274</v>
      </c>
      <c r="R307" t="s">
        <v>67</v>
      </c>
      <c r="S307" t="s">
        <v>27</v>
      </c>
      <c r="T307" t="s">
        <v>367</v>
      </c>
      <c r="U307" t="s">
        <v>247</v>
      </c>
      <c r="V307" t="s">
        <v>248</v>
      </c>
      <c r="W307" t="s">
        <v>1101</v>
      </c>
      <c r="X307">
        <v>19993863</v>
      </c>
      <c r="Y307" t="s">
        <v>249</v>
      </c>
      <c r="Z307" t="s">
        <v>119</v>
      </c>
      <c r="AA307" t="s">
        <v>32</v>
      </c>
      <c r="AB307" t="s">
        <v>250</v>
      </c>
      <c r="AC307" t="s">
        <v>25</v>
      </c>
      <c r="AD307" t="s">
        <v>155</v>
      </c>
      <c r="AE307">
        <v>1</v>
      </c>
      <c r="AF307" s="1">
        <v>401769</v>
      </c>
      <c r="AG307" t="s">
        <v>26</v>
      </c>
      <c r="AH307" t="s">
        <v>6772</v>
      </c>
      <c r="AI307" t="str">
        <f t="shared" si="20"/>
        <v>NO</v>
      </c>
      <c r="AJ307" t="str">
        <f t="shared" si="21"/>
        <v>LABORATORIOS PISA</v>
      </c>
      <c r="AK307" t="str">
        <f>IF(ISNUMBER(SEARCH("FABRICANTE",AC307)),"FABRICANTE",IF(ISNUMBER(SEARCH("IMPORTADOR",AC307)),"IMPORTADOR","OTRO"))</f>
        <v>FABRICANTE</v>
      </c>
      <c r="AL307" t="str">
        <f>IF(LEFT(Y307,1)="A","Sistema digestivo",IF(LEFT(Y307,1)="B","Sangre",IF(LEFT(Y307,1)="C","Cardiovascular",IF(LEFT(Y307,1)="D","Dermatológico",IF(LEFT(Y307,1)="G","Genitourinario",IF(LEFT(Y307,1)="H","Hormonal",IF(LEFT(Y307,1)="J","Antiinfecciosos",IF(LEFT(Y307,1)="L","Oncológicos",IF(LEFT(Y307,1)="M","Musculoesquelético",IF(LEFT(Y307,1)="N","Sistema nervioso",IF(LEFT(Y307,1)="R","Respiratorio",IF(LEFT(Y307,1)="S","Oftálmico",IF(LEFT(Y307,1)="V","Varios","OTRO")))))))))))))</f>
        <v>Sistema digestivo</v>
      </c>
      <c r="AM307" t="str">
        <f>IF(AG307="Vigente","ACTIVO",IF(ISNUMBER(SEARCH("Inactivo",J307)),"INACTIVO","REVISAR"))</f>
        <v>ACTIVO</v>
      </c>
      <c r="AN307">
        <f ca="1">IF(OR(AF307="",AF307="null"),"",ROUND((AF307-TODAY())/365.25,2))</f>
        <v>973.58</v>
      </c>
      <c r="AO307" t="str">
        <f ca="1">IF(AND(AG307="Vigente",OR(AF307="",AF307="null",AF307&gt;TODAY())),"SI",IF(AND(NOT(OR(AF307="",AF307="null")),AF307&lt;=TODAY()),"NO",IF(AG307="Vigente","SI","DESCONOCIDO")))</f>
        <v>SI</v>
      </c>
      <c r="AP307" t="str">
        <f>IF(AND(ISNUMBER(SEARCH("IMPORTAR",AA307)),ISNUMBER(SEARCH("FABRICAR",AA307))),"MIXTO",IF(ISNUMBER(SEARCH("IMPORTAR",AA307)),"IMPORTADO",IF(ISNUMBER(SEARCH("FABRICAR",AA307)),"LOCAL","OTRO")))</f>
        <v>IMPORTADO</v>
      </c>
      <c r="AQ307" t="str">
        <f>IF(AD307="Si","SI",IF(AD307="No","NO",""))</f>
        <v>SI</v>
      </c>
      <c r="AR307" t="str">
        <f>IF(ISNUMBER(SEARCH("®",N307)),"MARCA/INNOVADOR","GENERICO")</f>
        <v>MARCA/INNOVADOR</v>
      </c>
      <c r="AS307">
        <f ca="1">IF(AE307&gt;100,RANDBETWEEN(500,5000),IF(AND(AE307&gt;=10,AE307&lt;=100),RANDBETWEEN(100,1000),RANDBETWEEN(10,200)))</f>
        <v>17</v>
      </c>
      <c r="AT307">
        <f t="shared" ca="1" si="22"/>
        <v>1</v>
      </c>
      <c r="AU307">
        <f ca="1">INT(AS307*RANDBETWEEN(120,200)/100)</f>
        <v>28</v>
      </c>
      <c r="AV307" s="2">
        <f ca="1">IF(LEFT(Y307,1)="L",RANDBETWEEN(500000,5000000),IF(LEFT(Y307,1)="C",RANDBETWEEN(5000,50000),IF(LEFT(Y307,1)="N",RANDBETWEEN(10000,150000),IF(LEFT(Y307,1)="J",RANDBETWEEN(8000,200000),RANDBETWEEN(5000,100000)))))</f>
        <v>30081</v>
      </c>
      <c r="AW307" s="2">
        <f ca="1">INT(AV307*RANDBETWEEN(30,60)/100)</f>
        <v>10528</v>
      </c>
      <c r="AX307">
        <f ca="1">IF(Z307="ORAL",RANDBETWEEN(1000,10000),IF(OR(Z307="INTRAVENOSA",Z307="INTRAMUSCULAR"),RANDBETWEEN(100,2000),IF(OR(Z307="OFTÁLMICA",Z307="TOPICA (EXTERNA)"),RANDBETWEEN(200,3000),RANDBETWEEN(100,1500))))</f>
        <v>8082</v>
      </c>
      <c r="AY307" s="2">
        <f ca="1">INT(AV307*RANDBETWEEN(90,130)/100)</f>
        <v>38202</v>
      </c>
      <c r="AZ307" t="str">
        <f t="shared" ca="1" si="23"/>
        <v>14.6%</v>
      </c>
      <c r="BA307" t="str">
        <f t="shared" ca="1" si="24"/>
        <v>BAJO</v>
      </c>
    </row>
    <row r="308" spans="4:53" x14ac:dyDescent="0.35">
      <c r="D308" t="s">
        <v>2373</v>
      </c>
      <c r="E308" s="1">
        <v>39902</v>
      </c>
      <c r="F308" t="s">
        <v>2374</v>
      </c>
      <c r="G308" t="s">
        <v>108</v>
      </c>
      <c r="H308" t="s">
        <v>114</v>
      </c>
      <c r="I308">
        <v>19999393</v>
      </c>
      <c r="J308" t="s">
        <v>28</v>
      </c>
      <c r="K308">
        <v>3</v>
      </c>
      <c r="L308" t="s">
        <v>27</v>
      </c>
      <c r="M308" t="s">
        <v>2375</v>
      </c>
      <c r="N308" t="s">
        <v>2376</v>
      </c>
      <c r="O308" t="s">
        <v>2377</v>
      </c>
      <c r="P308" t="s">
        <v>2378</v>
      </c>
      <c r="Q308" s="1">
        <v>40473</v>
      </c>
      <c r="R308" t="s">
        <v>62</v>
      </c>
      <c r="S308" t="s">
        <v>27</v>
      </c>
      <c r="T308" t="s">
        <v>1591</v>
      </c>
      <c r="U308" t="s">
        <v>2356</v>
      </c>
      <c r="V308" t="s">
        <v>64</v>
      </c>
      <c r="W308" s="2">
        <v>1816</v>
      </c>
      <c r="X308">
        <v>19999393</v>
      </c>
      <c r="Y308" t="s">
        <v>61</v>
      </c>
      <c r="Z308" t="s">
        <v>566</v>
      </c>
      <c r="AA308" t="s">
        <v>24</v>
      </c>
      <c r="AB308" t="s">
        <v>653</v>
      </c>
      <c r="AC308" t="s">
        <v>25</v>
      </c>
      <c r="AD308" t="s">
        <v>121</v>
      </c>
      <c r="AE308">
        <v>1</v>
      </c>
      <c r="AF308" t="s">
        <v>27</v>
      </c>
      <c r="AG308" t="s">
        <v>26</v>
      </c>
      <c r="AH308" t="s">
        <v>6648</v>
      </c>
      <c r="AI308" t="str">
        <f t="shared" si="20"/>
        <v>SI</v>
      </c>
      <c r="AJ308" t="str">
        <f t="shared" si="21"/>
        <v>LABORATORIO INTERNACIONAL DE COLOMBIA - LABINCO</v>
      </c>
      <c r="AK308" t="str">
        <f>IF(ISNUMBER(SEARCH("FABRICANTE",AC308)),"FABRICANTE",IF(ISNUMBER(SEARCH("IMPORTADOR",AC308)),"IMPORTADOR","OTRO"))</f>
        <v>FABRICANTE</v>
      </c>
      <c r="AL308" t="str">
        <f>IF(LEFT(Y308,1)="A","Sistema digestivo",IF(LEFT(Y308,1)="B","Sangre",IF(LEFT(Y308,1)="C","Cardiovascular",IF(LEFT(Y308,1)="D","Dermatológico",IF(LEFT(Y308,1)="G","Genitourinario",IF(LEFT(Y308,1)="H","Hormonal",IF(LEFT(Y308,1)="J","Antiinfecciosos",IF(LEFT(Y308,1)="L","Oncológicos",IF(LEFT(Y308,1)="M","Musculoesquelético",IF(LEFT(Y308,1)="N","Sistema nervioso",IF(LEFT(Y308,1)="R","Respiratorio",IF(LEFT(Y308,1)="S","Oftálmico",IF(LEFT(Y308,1)="V","Varios","OTRO")))))))))))))</f>
        <v>Dermatológico</v>
      </c>
      <c r="AM308" t="str">
        <f>IF(AG308="Vigente","ACTIVO",IF(ISNUMBER(SEARCH("Inactivo",J308)),"INACTIVO","REVISAR"))</f>
        <v>ACTIVO</v>
      </c>
      <c r="AN308" t="str">
        <f ca="1">IF(OR(AF308="",AF308="null"),"",ROUND((AF308-TODAY())/365.25,2))</f>
        <v/>
      </c>
      <c r="AO308" t="str">
        <f ca="1">IF(AND(AG308="Vigente",OR(AF308="",AF308="null",AF308&gt;TODAY())),"SI",IF(AND(NOT(OR(AF308="",AF308="null")),AF308&lt;=TODAY()),"NO",IF(AG308="Vigente","SI","DESCONOCIDO")))</f>
        <v>SI</v>
      </c>
      <c r="AP308" t="str">
        <f>IF(AND(ISNUMBER(SEARCH("IMPORTAR",AA308)),ISNUMBER(SEARCH("FABRICAR",AA308))),"MIXTO",IF(ISNUMBER(SEARCH("IMPORTAR",AA308)),"IMPORTADO",IF(ISNUMBER(SEARCH("FABRICAR",AA308)),"LOCAL","OTRO")))</f>
        <v>LOCAL</v>
      </c>
      <c r="AQ308" t="str">
        <f>IF(AD308="Si","SI",IF(AD308="No","NO",""))</f>
        <v>NO</v>
      </c>
      <c r="AR308" t="str">
        <f>IF(ISNUMBER(SEARCH("®",N308)),"MARCA/INNOVADOR","GENERICO")</f>
        <v>GENERICO</v>
      </c>
      <c r="AS308">
        <f ca="1">IF(AE308&gt;100,RANDBETWEEN(500,5000),IF(AND(AE308&gt;=10,AE308&lt;=100),RANDBETWEEN(100,1000),RANDBETWEEN(10,200)))</f>
        <v>160</v>
      </c>
      <c r="AT308">
        <f t="shared" ca="1" si="22"/>
        <v>44</v>
      </c>
      <c r="AU308">
        <f ca="1">INT(AS308*RANDBETWEEN(120,200)/100)</f>
        <v>307</v>
      </c>
      <c r="AV308" s="2">
        <f ca="1">IF(LEFT(Y308,1)="L",RANDBETWEEN(500000,5000000),IF(LEFT(Y308,1)="C",RANDBETWEEN(5000,50000),IF(LEFT(Y308,1)="N",RANDBETWEEN(10000,150000),IF(LEFT(Y308,1)="J",RANDBETWEEN(8000,200000),RANDBETWEEN(5000,100000)))))</f>
        <v>82005</v>
      </c>
      <c r="AW308" s="2">
        <f ca="1">INT(AV308*RANDBETWEEN(30,60)/100)</f>
        <v>42642</v>
      </c>
      <c r="AX308">
        <f ca="1">IF(Z308="ORAL",RANDBETWEEN(1000,10000),IF(OR(Z308="INTRAVENOSA",Z308="INTRAMUSCULAR"),RANDBETWEEN(100,2000),IF(OR(Z308="OFTÁLMICA",Z308="TOPICA (EXTERNA)"),RANDBETWEEN(200,3000),RANDBETWEEN(100,1500))))</f>
        <v>285</v>
      </c>
      <c r="AY308" s="2">
        <f ca="1">INT(AV308*RANDBETWEEN(90,130)/100)</f>
        <v>74624</v>
      </c>
      <c r="AZ308" t="str">
        <f t="shared" ca="1" si="23"/>
        <v>12%</v>
      </c>
      <c r="BA308" t="str">
        <f t="shared" ca="1" si="24"/>
        <v>BAJO</v>
      </c>
    </row>
    <row r="309" spans="4:53" x14ac:dyDescent="0.35">
      <c r="D309" t="s">
        <v>2379</v>
      </c>
      <c r="E309" s="1">
        <v>42401</v>
      </c>
      <c r="F309" t="s">
        <v>2380</v>
      </c>
      <c r="G309" t="s">
        <v>108</v>
      </c>
      <c r="H309" t="s">
        <v>168</v>
      </c>
      <c r="I309">
        <v>20064702</v>
      </c>
      <c r="J309" t="s">
        <v>28</v>
      </c>
      <c r="K309">
        <v>34</v>
      </c>
      <c r="L309" t="s">
        <v>27</v>
      </c>
      <c r="M309" t="s">
        <v>2381</v>
      </c>
      <c r="N309" t="s">
        <v>2382</v>
      </c>
      <c r="O309" t="s">
        <v>2383</v>
      </c>
      <c r="P309" t="s">
        <v>2384</v>
      </c>
      <c r="Q309" s="1">
        <v>43636</v>
      </c>
      <c r="R309" t="s">
        <v>780</v>
      </c>
      <c r="S309" t="s">
        <v>27</v>
      </c>
      <c r="T309" t="s">
        <v>172</v>
      </c>
      <c r="U309" t="s">
        <v>115</v>
      </c>
      <c r="V309" t="s">
        <v>2385</v>
      </c>
      <c r="W309" t="s">
        <v>2386</v>
      </c>
      <c r="X309">
        <v>20064702</v>
      </c>
      <c r="Y309" t="s">
        <v>2387</v>
      </c>
      <c r="Z309" t="s">
        <v>119</v>
      </c>
      <c r="AA309" t="s">
        <v>165</v>
      </c>
      <c r="AB309" t="s">
        <v>120</v>
      </c>
      <c r="AC309" t="s">
        <v>38</v>
      </c>
      <c r="AD309" t="s">
        <v>121</v>
      </c>
      <c r="AE309">
        <v>300</v>
      </c>
      <c r="AF309" t="s">
        <v>27</v>
      </c>
      <c r="AG309" t="s">
        <v>26</v>
      </c>
      <c r="AH309" t="s">
        <v>2380</v>
      </c>
      <c r="AI309" t="str">
        <f t="shared" si="20"/>
        <v>NO</v>
      </c>
      <c r="AJ309" t="str">
        <f t="shared" si="21"/>
        <v>NOVAMED</v>
      </c>
      <c r="AK309" t="str">
        <f>IF(ISNUMBER(SEARCH("FABRICANTE",AC309)),"FABRICANTE",IF(ISNUMBER(SEARCH("IMPORTADOR",AC309)),"IMPORTADOR","OTRO"))</f>
        <v>IMPORTADOR</v>
      </c>
      <c r="AL309" t="str">
        <f>IF(LEFT(Y309,1)="A","Sistema digestivo",IF(LEFT(Y309,1)="B","Sangre",IF(LEFT(Y309,1)="C","Cardiovascular",IF(LEFT(Y309,1)="D","Dermatológico",IF(LEFT(Y309,1)="G","Genitourinario",IF(LEFT(Y309,1)="H","Hormonal",IF(LEFT(Y309,1)="J","Antiinfecciosos",IF(LEFT(Y309,1)="L","Oncológicos",IF(LEFT(Y309,1)="M","Musculoesquelético",IF(LEFT(Y309,1)="N","Sistema nervioso",IF(LEFT(Y309,1)="R","Respiratorio",IF(LEFT(Y309,1)="S","Oftálmico",IF(LEFT(Y309,1)="V","Varios","OTRO")))))))))))))</f>
        <v>Genitourinario</v>
      </c>
      <c r="AM309" t="str">
        <f>IF(AG309="Vigente","ACTIVO",IF(ISNUMBER(SEARCH("Inactivo",J309)),"INACTIVO","REVISAR"))</f>
        <v>ACTIVO</v>
      </c>
      <c r="AN309" t="str">
        <f ca="1">IF(OR(AF309="",AF309="null"),"",ROUND((AF309-TODAY())/365.25,2))</f>
        <v/>
      </c>
      <c r="AO309" t="str">
        <f ca="1">IF(AND(AG309="Vigente",OR(AF309="",AF309="null",AF309&gt;TODAY())),"SI",IF(AND(NOT(OR(AF309="",AF309="null")),AF309&lt;=TODAY()),"NO",IF(AG309="Vigente","SI","DESCONOCIDO")))</f>
        <v>SI</v>
      </c>
      <c r="AP309" t="str">
        <f>IF(AND(ISNUMBER(SEARCH("IMPORTAR",AA309)),ISNUMBER(SEARCH("FABRICAR",AA309))),"MIXTO",IF(ISNUMBER(SEARCH("IMPORTAR",AA309)),"IMPORTADO",IF(ISNUMBER(SEARCH("FABRICAR",AA309)),"LOCAL","OTRO")))</f>
        <v>IMPORTADO</v>
      </c>
      <c r="AQ309" t="str">
        <f>IF(AD309="Si","SI",IF(AD309="No","NO",""))</f>
        <v>NO</v>
      </c>
      <c r="AR309" t="str">
        <f>IF(ISNUMBER(SEARCH("®",N309)),"MARCA/INNOVADOR","GENERICO")</f>
        <v>GENERICO</v>
      </c>
      <c r="AS309">
        <f ca="1">IF(AE309&gt;100,RANDBETWEEN(500,5000),IF(AND(AE309&gt;=10,AE309&lt;=100),RANDBETWEEN(100,1000),RANDBETWEEN(10,200)))</f>
        <v>2007</v>
      </c>
      <c r="AT309">
        <f t="shared" ca="1" si="22"/>
        <v>421</v>
      </c>
      <c r="AU309">
        <f ca="1">INT(AS309*RANDBETWEEN(120,200)/100)</f>
        <v>3572</v>
      </c>
      <c r="AV309" s="2">
        <f ca="1">IF(LEFT(Y309,1)="L",RANDBETWEEN(500000,5000000),IF(LEFT(Y309,1)="C",RANDBETWEEN(5000,50000),IF(LEFT(Y309,1)="N",RANDBETWEEN(10000,150000),IF(LEFT(Y309,1)="J",RANDBETWEEN(8000,200000),RANDBETWEEN(5000,100000)))))</f>
        <v>76159</v>
      </c>
      <c r="AW309" s="2">
        <f ca="1">INT(AV309*RANDBETWEEN(30,60)/100)</f>
        <v>44172</v>
      </c>
      <c r="AX309">
        <f ca="1">IF(Z309="ORAL",RANDBETWEEN(1000,10000),IF(OR(Z309="INTRAVENOSA",Z309="INTRAMUSCULAR"),RANDBETWEEN(100,2000),IF(OR(Z309="OFTÁLMICA",Z309="TOPICA (EXTERNA)"),RANDBETWEEN(200,3000),RANDBETWEEN(100,1500))))</f>
        <v>5124</v>
      </c>
      <c r="AY309" s="2">
        <f ca="1">INT(AV309*RANDBETWEEN(90,130)/100)</f>
        <v>73874</v>
      </c>
      <c r="AZ309" t="str">
        <f t="shared" ca="1" si="23"/>
        <v>13%</v>
      </c>
      <c r="BA309" t="str">
        <f t="shared" ca="1" si="24"/>
        <v>BAJO</v>
      </c>
    </row>
    <row r="310" spans="4:53" x14ac:dyDescent="0.35">
      <c r="D310" t="s">
        <v>2388</v>
      </c>
      <c r="E310" s="1">
        <v>42508</v>
      </c>
      <c r="F310" t="s">
        <v>2389</v>
      </c>
      <c r="G310" t="s">
        <v>108</v>
      </c>
      <c r="H310" t="s">
        <v>55</v>
      </c>
      <c r="I310">
        <v>20095993</v>
      </c>
      <c r="J310" t="s">
        <v>28</v>
      </c>
      <c r="K310">
        <v>23</v>
      </c>
      <c r="L310" t="s">
        <v>27</v>
      </c>
      <c r="M310" t="s">
        <v>2390</v>
      </c>
      <c r="N310" t="s">
        <v>2391</v>
      </c>
      <c r="O310" t="s">
        <v>2392</v>
      </c>
      <c r="P310" t="s">
        <v>33</v>
      </c>
      <c r="Q310" s="1">
        <v>42502</v>
      </c>
      <c r="R310" t="s">
        <v>33</v>
      </c>
      <c r="S310" t="s">
        <v>27</v>
      </c>
      <c r="T310" t="s">
        <v>2393</v>
      </c>
      <c r="U310" t="s">
        <v>115</v>
      </c>
      <c r="V310" t="s">
        <v>2389</v>
      </c>
      <c r="W310">
        <v>500</v>
      </c>
      <c r="X310">
        <v>20095993</v>
      </c>
      <c r="Y310" t="s">
        <v>2394</v>
      </c>
      <c r="Z310" t="s">
        <v>119</v>
      </c>
      <c r="AA310" t="s">
        <v>32</v>
      </c>
      <c r="AB310" t="s">
        <v>120</v>
      </c>
      <c r="AC310" t="s">
        <v>38</v>
      </c>
      <c r="AD310" t="s">
        <v>155</v>
      </c>
      <c r="AE310">
        <v>90</v>
      </c>
      <c r="AF310" s="1">
        <v>401769</v>
      </c>
      <c r="AG310" t="s">
        <v>26</v>
      </c>
      <c r="AH310" t="s">
        <v>2389</v>
      </c>
      <c r="AI310" t="str">
        <f t="shared" si="20"/>
        <v>NO</v>
      </c>
      <c r="AJ310" t="str">
        <f t="shared" si="21"/>
        <v>DR REDDY´S LABORATORIES</v>
      </c>
      <c r="AK310" t="str">
        <f>IF(ISNUMBER(SEARCH("FABRICANTE",AC310)),"FABRICANTE",IF(ISNUMBER(SEARCH("IMPORTADOR",AC310)),"IMPORTADOR","OTRO"))</f>
        <v>IMPORTADOR</v>
      </c>
      <c r="AL310" t="str">
        <f>IF(LEFT(Y310,1)="A","Sistema digestivo",IF(LEFT(Y310,1)="B","Sangre",IF(LEFT(Y310,1)="C","Cardiovascular",IF(LEFT(Y310,1)="D","Dermatológico",IF(LEFT(Y310,1)="G","Genitourinario",IF(LEFT(Y310,1)="H","Hormonal",IF(LEFT(Y310,1)="J","Antiinfecciosos",IF(LEFT(Y310,1)="L","Oncológicos",IF(LEFT(Y310,1)="M","Musculoesquelético",IF(LEFT(Y310,1)="N","Sistema nervioso",IF(LEFT(Y310,1)="R","Respiratorio",IF(LEFT(Y310,1)="S","Oftálmico",IF(LEFT(Y310,1)="V","Varios","OTRO")))))))))))))</f>
        <v>Oncológicos</v>
      </c>
      <c r="AM310" t="str">
        <f>IF(AG310="Vigente","ACTIVO",IF(ISNUMBER(SEARCH("Inactivo",J310)),"INACTIVO","REVISAR"))</f>
        <v>ACTIVO</v>
      </c>
      <c r="AN310">
        <f ca="1">IF(OR(AF310="",AF310="null"),"",ROUND((AF310-TODAY())/365.25,2))</f>
        <v>973.58</v>
      </c>
      <c r="AO310" t="str">
        <f ca="1">IF(AND(AG310="Vigente",OR(AF310="",AF310="null",AF310&gt;TODAY())),"SI",IF(AND(NOT(OR(AF310="",AF310="null")),AF310&lt;=TODAY()),"NO",IF(AG310="Vigente","SI","DESCONOCIDO")))</f>
        <v>SI</v>
      </c>
      <c r="AP310" t="str">
        <f>IF(AND(ISNUMBER(SEARCH("IMPORTAR",AA310)),ISNUMBER(SEARCH("FABRICAR",AA310))),"MIXTO",IF(ISNUMBER(SEARCH("IMPORTAR",AA310)),"IMPORTADO",IF(ISNUMBER(SEARCH("FABRICAR",AA310)),"LOCAL","OTRO")))</f>
        <v>IMPORTADO</v>
      </c>
      <c r="AQ310" t="str">
        <f>IF(AD310="Si","SI",IF(AD310="No","NO",""))</f>
        <v>SI</v>
      </c>
      <c r="AR310" t="str">
        <f>IF(ISNUMBER(SEARCH("®",N310)),"MARCA/INNOVADOR","GENERICO")</f>
        <v>GENERICO</v>
      </c>
      <c r="AS310">
        <f ca="1">IF(AE310&gt;100,RANDBETWEEN(500,5000),IF(AND(AE310&gt;=10,AE310&lt;=100),RANDBETWEEN(100,1000),RANDBETWEEN(10,200)))</f>
        <v>358</v>
      </c>
      <c r="AT310">
        <f t="shared" ca="1" si="22"/>
        <v>93</v>
      </c>
      <c r="AU310">
        <f ca="1">INT(AS310*RANDBETWEEN(120,200)/100)</f>
        <v>522</v>
      </c>
      <c r="AV310" s="2">
        <f ca="1">IF(LEFT(Y310,1)="L",RANDBETWEEN(500000,5000000),IF(LEFT(Y310,1)="C",RANDBETWEEN(5000,50000),IF(LEFT(Y310,1)="N",RANDBETWEEN(10000,150000),IF(LEFT(Y310,1)="J",RANDBETWEEN(8000,200000),RANDBETWEEN(5000,100000)))))</f>
        <v>2305898</v>
      </c>
      <c r="AW310" s="2">
        <f ca="1">INT(AV310*RANDBETWEEN(30,60)/100)</f>
        <v>760946</v>
      </c>
      <c r="AX310">
        <f ca="1">IF(Z310="ORAL",RANDBETWEEN(1000,10000),IF(OR(Z310="INTRAVENOSA",Z310="INTRAMUSCULAR"),RANDBETWEEN(100,2000),IF(OR(Z310="OFTÁLMICA",Z310="TOPICA (EXTERNA)"),RANDBETWEEN(200,3000),RANDBETWEEN(100,1500))))</f>
        <v>3972</v>
      </c>
      <c r="AY310" s="2">
        <f ca="1">INT(AV310*RANDBETWEEN(90,130)/100)</f>
        <v>2605664</v>
      </c>
      <c r="AZ310" t="str">
        <f t="shared" ca="1" si="23"/>
        <v>17.9%</v>
      </c>
      <c r="BA310" t="str">
        <f t="shared" ca="1" si="24"/>
        <v>BAJO</v>
      </c>
    </row>
    <row r="311" spans="4:53" x14ac:dyDescent="0.35">
      <c r="D311" t="s">
        <v>2395</v>
      </c>
      <c r="E311" s="1">
        <v>38124</v>
      </c>
      <c r="F311" t="s">
        <v>2396</v>
      </c>
      <c r="G311" t="s">
        <v>247</v>
      </c>
      <c r="H311" t="s">
        <v>454</v>
      </c>
      <c r="I311">
        <v>19942302</v>
      </c>
      <c r="J311" t="s">
        <v>28</v>
      </c>
      <c r="K311">
        <v>4</v>
      </c>
      <c r="L311" t="s">
        <v>27</v>
      </c>
      <c r="M311" t="s">
        <v>2397</v>
      </c>
      <c r="N311" t="s">
        <v>2398</v>
      </c>
      <c r="O311" t="s">
        <v>2399</v>
      </c>
      <c r="P311" t="s">
        <v>2400</v>
      </c>
      <c r="Q311" s="1">
        <v>41914</v>
      </c>
      <c r="R311" t="s">
        <v>867</v>
      </c>
      <c r="S311" t="s">
        <v>27</v>
      </c>
      <c r="T311" t="s">
        <v>454</v>
      </c>
      <c r="U311" t="s">
        <v>247</v>
      </c>
      <c r="V311" t="s">
        <v>2396</v>
      </c>
      <c r="W311" s="2">
        <v>41667</v>
      </c>
      <c r="X311">
        <v>19942302</v>
      </c>
      <c r="Y311" t="s">
        <v>2401</v>
      </c>
      <c r="Z311" t="s">
        <v>119</v>
      </c>
      <c r="AA311" t="s">
        <v>24</v>
      </c>
      <c r="AB311" t="s">
        <v>1095</v>
      </c>
      <c r="AC311" t="s">
        <v>25</v>
      </c>
      <c r="AD311" t="s">
        <v>155</v>
      </c>
      <c r="AE311" t="s">
        <v>2402</v>
      </c>
      <c r="AF311" t="s">
        <v>27</v>
      </c>
      <c r="AG311" t="s">
        <v>26</v>
      </c>
      <c r="AH311" t="s">
        <v>2396</v>
      </c>
      <c r="AI311" t="str">
        <f t="shared" si="20"/>
        <v>NO</v>
      </c>
      <c r="AJ311" t="str">
        <f t="shared" si="21"/>
        <v>PROCAPS</v>
      </c>
      <c r="AK311" t="str">
        <f>IF(ISNUMBER(SEARCH("FABRICANTE",AC311)),"FABRICANTE",IF(ISNUMBER(SEARCH("IMPORTADOR",AC311)),"IMPORTADOR","OTRO"))</f>
        <v>FABRICANTE</v>
      </c>
      <c r="AL311" t="str">
        <f>IF(LEFT(Y311,1)="A","Sistema digestivo",IF(LEFT(Y311,1)="B","Sangre",IF(LEFT(Y311,1)="C","Cardiovascular",IF(LEFT(Y311,1)="D","Dermatológico",IF(LEFT(Y311,1)="G","Genitourinario",IF(LEFT(Y311,1)="H","Hormonal",IF(LEFT(Y311,1)="J","Antiinfecciosos",IF(LEFT(Y311,1)="L","Oncológicos",IF(LEFT(Y311,1)="M","Musculoesquelético",IF(LEFT(Y311,1)="N","Sistema nervioso",IF(LEFT(Y311,1)="R","Respiratorio",IF(LEFT(Y311,1)="S","Oftálmico",IF(LEFT(Y311,1)="V","Varios","OTRO")))))))))))))</f>
        <v>OTRO</v>
      </c>
      <c r="AM311" t="str">
        <f>IF(AG311="Vigente","ACTIVO",IF(ISNUMBER(SEARCH("Inactivo",J311)),"INACTIVO","REVISAR"))</f>
        <v>ACTIVO</v>
      </c>
      <c r="AN311" t="str">
        <f ca="1">IF(OR(AF311="",AF311="null"),"",ROUND((AF311-TODAY())/365.25,2))</f>
        <v/>
      </c>
      <c r="AO311" t="str">
        <f ca="1">IF(AND(AG311="Vigente",OR(AF311="",AF311="null",AF311&gt;TODAY())),"SI",IF(AND(NOT(OR(AF311="",AF311="null")),AF311&lt;=TODAY()),"NO",IF(AG311="Vigente","SI","DESCONOCIDO")))</f>
        <v>SI</v>
      </c>
      <c r="AP311" t="str">
        <f>IF(AND(ISNUMBER(SEARCH("IMPORTAR",AA311)),ISNUMBER(SEARCH("FABRICAR",AA311))),"MIXTO",IF(ISNUMBER(SEARCH("IMPORTAR",AA311)),"IMPORTADO",IF(ISNUMBER(SEARCH("FABRICAR",AA311)),"LOCAL","OTRO")))</f>
        <v>LOCAL</v>
      </c>
      <c r="AQ311" t="str">
        <f>IF(AD311="Si","SI",IF(AD311="No","NO",""))</f>
        <v>SI</v>
      </c>
      <c r="AR311" t="str">
        <f>IF(ISNUMBER(SEARCH("®",N311)),"MARCA/INNOVADOR","GENERICO")</f>
        <v>MARCA/INNOVADOR</v>
      </c>
      <c r="AS311">
        <f ca="1">IF(AE311&gt;100,RANDBETWEEN(500,5000),IF(AND(AE311&gt;=10,AE311&lt;=100),RANDBETWEEN(100,1000),RANDBETWEEN(10,200)))</f>
        <v>878</v>
      </c>
      <c r="AT311">
        <f t="shared" ca="1" si="22"/>
        <v>175</v>
      </c>
      <c r="AU311">
        <f ca="1">INT(AS311*RANDBETWEEN(120,200)/100)</f>
        <v>1545</v>
      </c>
      <c r="AV311" s="2">
        <f ca="1">IF(LEFT(Y311,1)="L",RANDBETWEEN(500000,5000000),IF(LEFT(Y311,1)="C",RANDBETWEEN(5000,50000),IF(LEFT(Y311,1)="N",RANDBETWEEN(10000,150000),IF(LEFT(Y311,1)="J",RANDBETWEEN(8000,200000),RANDBETWEEN(5000,100000)))))</f>
        <v>31406</v>
      </c>
      <c r="AW311" s="2">
        <f ca="1">INT(AV311*RANDBETWEEN(30,60)/100)</f>
        <v>13190</v>
      </c>
      <c r="AX311">
        <f ca="1">IF(Z311="ORAL",RANDBETWEEN(1000,10000),IF(OR(Z311="INTRAVENOSA",Z311="INTRAMUSCULAR"),RANDBETWEEN(100,2000),IF(OR(Z311="OFTÁLMICA",Z311="TOPICA (EXTERNA)"),RANDBETWEEN(200,3000),RANDBETWEEN(100,1500))))</f>
        <v>1914</v>
      </c>
      <c r="AY311" s="2">
        <f ca="1">INT(AV311*RANDBETWEEN(90,130)/100)</f>
        <v>32348</v>
      </c>
      <c r="AZ311" t="str">
        <f t="shared" ca="1" si="23"/>
        <v>13.3%</v>
      </c>
      <c r="BA311" t="str">
        <f t="shared" ca="1" si="24"/>
        <v>BAJO</v>
      </c>
    </row>
    <row r="312" spans="4:53" x14ac:dyDescent="0.35">
      <c r="D312" t="s">
        <v>2403</v>
      </c>
      <c r="E312" s="1">
        <v>41577</v>
      </c>
      <c r="F312" t="s">
        <v>76</v>
      </c>
      <c r="G312" t="s">
        <v>502</v>
      </c>
      <c r="H312" t="s">
        <v>68</v>
      </c>
      <c r="I312">
        <v>20057155</v>
      </c>
      <c r="J312" t="s">
        <v>28</v>
      </c>
      <c r="K312">
        <v>7</v>
      </c>
      <c r="L312" t="s">
        <v>27</v>
      </c>
      <c r="M312" t="s">
        <v>2404</v>
      </c>
      <c r="N312" t="s">
        <v>2405</v>
      </c>
      <c r="O312" t="s">
        <v>2406</v>
      </c>
      <c r="P312" t="s">
        <v>2407</v>
      </c>
      <c r="Q312" s="1">
        <v>44063</v>
      </c>
      <c r="R312" t="s">
        <v>67</v>
      </c>
      <c r="S312" t="s">
        <v>27</v>
      </c>
      <c r="T312" t="s">
        <v>2408</v>
      </c>
      <c r="U312" t="s">
        <v>247</v>
      </c>
      <c r="V312" t="s">
        <v>248</v>
      </c>
      <c r="W312" t="s">
        <v>2409</v>
      </c>
      <c r="X312">
        <v>20057155</v>
      </c>
      <c r="Y312" t="s">
        <v>249</v>
      </c>
      <c r="Z312" t="s">
        <v>119</v>
      </c>
      <c r="AA312" t="s">
        <v>24</v>
      </c>
      <c r="AB312" t="s">
        <v>250</v>
      </c>
      <c r="AC312" t="s">
        <v>25</v>
      </c>
      <c r="AD312" t="s">
        <v>121</v>
      </c>
      <c r="AE312">
        <v>500</v>
      </c>
      <c r="AF312" s="1">
        <v>401769</v>
      </c>
      <c r="AG312" t="s">
        <v>26</v>
      </c>
      <c r="AH312" t="s">
        <v>6777</v>
      </c>
      <c r="AI312" t="str">
        <f t="shared" si="20"/>
        <v>NO</v>
      </c>
      <c r="AJ312" t="str">
        <f t="shared" si="21"/>
        <v>BIOFLUIDOS &amp; FARMA</v>
      </c>
      <c r="AK312" t="str">
        <f>IF(ISNUMBER(SEARCH("FABRICANTE",AC312)),"FABRICANTE",IF(ISNUMBER(SEARCH("IMPORTADOR",AC312)),"IMPORTADOR","OTRO"))</f>
        <v>FABRICANTE</v>
      </c>
      <c r="AL312" t="str">
        <f>IF(LEFT(Y312,1)="A","Sistema digestivo",IF(LEFT(Y312,1)="B","Sangre",IF(LEFT(Y312,1)="C","Cardiovascular",IF(LEFT(Y312,1)="D","Dermatológico",IF(LEFT(Y312,1)="G","Genitourinario",IF(LEFT(Y312,1)="H","Hormonal",IF(LEFT(Y312,1)="J","Antiinfecciosos",IF(LEFT(Y312,1)="L","Oncológicos",IF(LEFT(Y312,1)="M","Musculoesquelético",IF(LEFT(Y312,1)="N","Sistema nervioso",IF(LEFT(Y312,1)="R","Respiratorio",IF(LEFT(Y312,1)="S","Oftálmico",IF(LEFT(Y312,1)="V","Varios","OTRO")))))))))))))</f>
        <v>Sistema digestivo</v>
      </c>
      <c r="AM312" t="str">
        <f>IF(AG312="Vigente","ACTIVO",IF(ISNUMBER(SEARCH("Inactivo",J312)),"INACTIVO","REVISAR"))</f>
        <v>ACTIVO</v>
      </c>
      <c r="AN312">
        <f ca="1">IF(OR(AF312="",AF312="null"),"",ROUND((AF312-TODAY())/365.25,2))</f>
        <v>973.58</v>
      </c>
      <c r="AO312" t="str">
        <f ca="1">IF(AND(AG312="Vigente",OR(AF312="",AF312="null",AF312&gt;TODAY())),"SI",IF(AND(NOT(OR(AF312="",AF312="null")),AF312&lt;=TODAY()),"NO",IF(AG312="Vigente","SI","DESCONOCIDO")))</f>
        <v>SI</v>
      </c>
      <c r="AP312" t="str">
        <f>IF(AND(ISNUMBER(SEARCH("IMPORTAR",AA312)),ISNUMBER(SEARCH("FABRICAR",AA312))),"MIXTO",IF(ISNUMBER(SEARCH("IMPORTAR",AA312)),"IMPORTADO",IF(ISNUMBER(SEARCH("FABRICAR",AA312)),"LOCAL","OTRO")))</f>
        <v>LOCAL</v>
      </c>
      <c r="AQ312" t="str">
        <f>IF(AD312="Si","SI",IF(AD312="No","NO",""))</f>
        <v>NO</v>
      </c>
      <c r="AR312" t="str">
        <f>IF(ISNUMBER(SEARCH("®",N312)),"MARCA/INNOVADOR","GENERICO")</f>
        <v>MARCA/INNOVADOR</v>
      </c>
      <c r="AS312">
        <f ca="1">IF(AE312&gt;100,RANDBETWEEN(500,5000),IF(AND(AE312&gt;=10,AE312&lt;=100),RANDBETWEEN(100,1000),RANDBETWEEN(10,200)))</f>
        <v>4058</v>
      </c>
      <c r="AT312">
        <f t="shared" ca="1" si="22"/>
        <v>730</v>
      </c>
      <c r="AU312">
        <f ca="1">INT(AS312*RANDBETWEEN(120,200)/100)</f>
        <v>5762</v>
      </c>
      <c r="AV312" s="2">
        <f ca="1">IF(LEFT(Y312,1)="L",RANDBETWEEN(500000,5000000),IF(LEFT(Y312,1)="C",RANDBETWEEN(5000,50000),IF(LEFT(Y312,1)="N",RANDBETWEEN(10000,150000),IF(LEFT(Y312,1)="J",RANDBETWEEN(8000,200000),RANDBETWEEN(5000,100000)))))</f>
        <v>88616</v>
      </c>
      <c r="AW312" s="2">
        <f ca="1">INT(AV312*RANDBETWEEN(30,60)/100)</f>
        <v>39877</v>
      </c>
      <c r="AX312">
        <f ca="1">IF(Z312="ORAL",RANDBETWEEN(1000,10000),IF(OR(Z312="INTRAVENOSA",Z312="INTRAMUSCULAR"),RANDBETWEEN(100,2000),IF(OR(Z312="OFTÁLMICA",Z312="TOPICA (EXTERNA)"),RANDBETWEEN(200,3000),RANDBETWEEN(100,1500))))</f>
        <v>1944</v>
      </c>
      <c r="AY312" s="2">
        <f ca="1">INT(AV312*RANDBETWEEN(90,130)/100)</f>
        <v>107225</v>
      </c>
      <c r="AZ312" t="str">
        <f t="shared" ca="1" si="23"/>
        <v>9.6%</v>
      </c>
      <c r="BA312" t="str">
        <f t="shared" ca="1" si="24"/>
        <v>BAJO</v>
      </c>
    </row>
    <row r="313" spans="4:53" x14ac:dyDescent="0.35">
      <c r="D313" t="s">
        <v>2410</v>
      </c>
      <c r="E313" s="1">
        <v>41114</v>
      </c>
      <c r="F313" t="s">
        <v>35</v>
      </c>
      <c r="G313" t="s">
        <v>108</v>
      </c>
      <c r="H313" t="s">
        <v>1001</v>
      </c>
      <c r="I313">
        <v>20028918</v>
      </c>
      <c r="J313" t="s">
        <v>28</v>
      </c>
      <c r="K313">
        <v>18</v>
      </c>
      <c r="L313" t="s">
        <v>27</v>
      </c>
      <c r="M313" t="s">
        <v>2411</v>
      </c>
      <c r="N313" t="s">
        <v>2412</v>
      </c>
      <c r="O313" t="s">
        <v>2413</v>
      </c>
      <c r="P313" t="s">
        <v>659</v>
      </c>
      <c r="Q313" s="1">
        <v>41957</v>
      </c>
      <c r="R313" t="s">
        <v>37</v>
      </c>
      <c r="S313" t="s">
        <v>27</v>
      </c>
      <c r="T313" t="s">
        <v>2414</v>
      </c>
      <c r="U313" t="s">
        <v>115</v>
      </c>
      <c r="V313" t="s">
        <v>35</v>
      </c>
      <c r="W313">
        <v>25</v>
      </c>
      <c r="X313">
        <v>20028918</v>
      </c>
      <c r="Y313" t="s">
        <v>36</v>
      </c>
      <c r="Z313" t="s">
        <v>119</v>
      </c>
      <c r="AA313" t="s">
        <v>32</v>
      </c>
      <c r="AB313" t="s">
        <v>120</v>
      </c>
      <c r="AC313" t="s">
        <v>38</v>
      </c>
      <c r="AD313" t="s">
        <v>121</v>
      </c>
      <c r="AE313">
        <v>10</v>
      </c>
      <c r="AF313" t="s">
        <v>27</v>
      </c>
      <c r="AG313" t="s">
        <v>26</v>
      </c>
      <c r="AH313" t="s">
        <v>35</v>
      </c>
      <c r="AI313" t="str">
        <f t="shared" si="20"/>
        <v>NO</v>
      </c>
      <c r="AJ313" t="str">
        <f t="shared" si="21"/>
        <v>ASPEN COLOMBIANA</v>
      </c>
      <c r="AK313" t="str">
        <f>IF(ISNUMBER(SEARCH("FABRICANTE",AC313)),"FABRICANTE",IF(ISNUMBER(SEARCH("IMPORTADOR",AC313)),"IMPORTADOR","OTRO"))</f>
        <v>IMPORTADOR</v>
      </c>
      <c r="AL313" t="str">
        <f>IF(LEFT(Y313,1)="A","Sistema digestivo",IF(LEFT(Y313,1)="B","Sangre",IF(LEFT(Y313,1)="C","Cardiovascular",IF(LEFT(Y313,1)="D","Dermatológico",IF(LEFT(Y313,1)="G","Genitourinario",IF(LEFT(Y313,1)="H","Hormonal",IF(LEFT(Y313,1)="J","Antiinfecciosos",IF(LEFT(Y313,1)="L","Oncológicos",IF(LEFT(Y313,1)="M","Musculoesquelético",IF(LEFT(Y313,1)="N","Sistema nervioso",IF(LEFT(Y313,1)="R","Respiratorio",IF(LEFT(Y313,1)="S","Oftálmico",IF(LEFT(Y313,1)="V","Varios","OTRO")))))))))))))</f>
        <v>Sistema nervioso</v>
      </c>
      <c r="AM313" t="str">
        <f>IF(AG313="Vigente","ACTIVO",IF(ISNUMBER(SEARCH("Inactivo",J313)),"INACTIVO","REVISAR"))</f>
        <v>ACTIVO</v>
      </c>
      <c r="AN313" t="str">
        <f ca="1">IF(OR(AF313="",AF313="null"),"",ROUND((AF313-TODAY())/365.25,2))</f>
        <v/>
      </c>
      <c r="AO313" t="str">
        <f ca="1">IF(AND(AG313="Vigente",OR(AF313="",AF313="null",AF313&gt;TODAY())),"SI",IF(AND(NOT(OR(AF313="",AF313="null")),AF313&lt;=TODAY()),"NO",IF(AG313="Vigente","SI","DESCONOCIDO")))</f>
        <v>SI</v>
      </c>
      <c r="AP313" t="str">
        <f>IF(AND(ISNUMBER(SEARCH("IMPORTAR",AA313)),ISNUMBER(SEARCH("FABRICAR",AA313))),"MIXTO",IF(ISNUMBER(SEARCH("IMPORTAR",AA313)),"IMPORTADO",IF(ISNUMBER(SEARCH("FABRICAR",AA313)),"LOCAL","OTRO")))</f>
        <v>IMPORTADO</v>
      </c>
      <c r="AQ313" t="str">
        <f>IF(AD313="Si","SI",IF(AD313="No","NO",""))</f>
        <v>NO</v>
      </c>
      <c r="AR313" t="str">
        <f>IF(ISNUMBER(SEARCH("®",N313)),"MARCA/INNOVADOR","GENERICO")</f>
        <v>MARCA/INNOVADOR</v>
      </c>
      <c r="AS313">
        <f ca="1">IF(AE313&gt;100,RANDBETWEEN(500,5000),IF(AND(AE313&gt;=10,AE313&lt;=100),RANDBETWEEN(100,1000),RANDBETWEEN(10,200)))</f>
        <v>513</v>
      </c>
      <c r="AT313">
        <f t="shared" ca="1" si="22"/>
        <v>92</v>
      </c>
      <c r="AU313">
        <f ca="1">INT(AS313*RANDBETWEEN(120,200)/100)</f>
        <v>641</v>
      </c>
      <c r="AV313" s="2">
        <f ca="1">IF(LEFT(Y313,1)="L",RANDBETWEEN(500000,5000000),IF(LEFT(Y313,1)="C",RANDBETWEEN(5000,50000),IF(LEFT(Y313,1)="N",RANDBETWEEN(10000,150000),IF(LEFT(Y313,1)="J",RANDBETWEEN(8000,200000),RANDBETWEEN(5000,100000)))))</f>
        <v>120976</v>
      </c>
      <c r="AW313" s="2">
        <f ca="1">INT(AV313*RANDBETWEEN(30,60)/100)</f>
        <v>64117</v>
      </c>
      <c r="AX313">
        <f ca="1">IF(Z313="ORAL",RANDBETWEEN(1000,10000),IF(OR(Z313="INTRAVENOSA",Z313="INTRAMUSCULAR"),RANDBETWEEN(100,2000),IF(OR(Z313="OFTÁLMICA",Z313="TOPICA (EXTERNA)"),RANDBETWEEN(200,3000),RANDBETWEEN(100,1500))))</f>
        <v>6774</v>
      </c>
      <c r="AY313" s="2">
        <f ca="1">INT(AV313*RANDBETWEEN(90,130)/100)</f>
        <v>122185</v>
      </c>
      <c r="AZ313" t="str">
        <f t="shared" ca="1" si="23"/>
        <v>10%</v>
      </c>
      <c r="BA313" t="str">
        <f t="shared" ca="1" si="24"/>
        <v>BAJO</v>
      </c>
    </row>
    <row r="314" spans="4:53" x14ac:dyDescent="0.35">
      <c r="D314" t="s">
        <v>2415</v>
      </c>
      <c r="E314" s="1">
        <v>42384</v>
      </c>
      <c r="F314" t="s">
        <v>2416</v>
      </c>
      <c r="G314" t="s">
        <v>108</v>
      </c>
      <c r="H314" t="s">
        <v>40</v>
      </c>
      <c r="I314">
        <v>20092192</v>
      </c>
      <c r="J314" t="s">
        <v>28</v>
      </c>
      <c r="K314">
        <v>1</v>
      </c>
      <c r="L314" t="s">
        <v>27</v>
      </c>
      <c r="M314" t="s">
        <v>2417</v>
      </c>
      <c r="N314" t="s">
        <v>2418</v>
      </c>
      <c r="O314" t="s">
        <v>2419</v>
      </c>
      <c r="P314" t="s">
        <v>1239</v>
      </c>
      <c r="Q314" s="1">
        <v>42213</v>
      </c>
      <c r="R314" t="s">
        <v>33</v>
      </c>
      <c r="S314" t="s">
        <v>27</v>
      </c>
      <c r="T314" t="s">
        <v>40</v>
      </c>
      <c r="U314" t="s">
        <v>115</v>
      </c>
      <c r="V314" t="s">
        <v>2420</v>
      </c>
      <c r="W314">
        <v>500</v>
      </c>
      <c r="X314">
        <v>20092192</v>
      </c>
      <c r="Y314" t="s">
        <v>2421</v>
      </c>
      <c r="Z314" t="s">
        <v>119</v>
      </c>
      <c r="AA314" t="s">
        <v>32</v>
      </c>
      <c r="AB314" t="s">
        <v>120</v>
      </c>
      <c r="AC314" t="s">
        <v>25</v>
      </c>
      <c r="AD314" t="s">
        <v>121</v>
      </c>
      <c r="AE314">
        <v>30</v>
      </c>
      <c r="AF314" t="s">
        <v>27</v>
      </c>
      <c r="AG314" t="s">
        <v>26</v>
      </c>
      <c r="AH314" t="s">
        <v>2420</v>
      </c>
      <c r="AI314" t="str">
        <f t="shared" si="20"/>
        <v>NO</v>
      </c>
      <c r="AJ314" t="str">
        <f t="shared" si="21"/>
        <v>HETERO LABS</v>
      </c>
      <c r="AK314" t="str">
        <f>IF(ISNUMBER(SEARCH("FABRICANTE",AC314)),"FABRICANTE",IF(ISNUMBER(SEARCH("IMPORTADOR",AC314)),"IMPORTADOR","OTRO"))</f>
        <v>FABRICANTE</v>
      </c>
      <c r="AL314" t="str">
        <f>IF(LEFT(Y314,1)="A","Sistema digestivo",IF(LEFT(Y314,1)="B","Sangre",IF(LEFT(Y314,1)="C","Cardiovascular",IF(LEFT(Y314,1)="D","Dermatológico",IF(LEFT(Y314,1)="G","Genitourinario",IF(LEFT(Y314,1)="H","Hormonal",IF(LEFT(Y314,1)="J","Antiinfecciosos",IF(LEFT(Y314,1)="L","Oncológicos",IF(LEFT(Y314,1)="M","Musculoesquelético",IF(LEFT(Y314,1)="N","Sistema nervioso",IF(LEFT(Y314,1)="R","Respiratorio",IF(LEFT(Y314,1)="S","Oftálmico",IF(LEFT(Y314,1)="V","Varios","OTRO")))))))))))))</f>
        <v>Antiinfecciosos</v>
      </c>
      <c r="AM314" t="str">
        <f>IF(AG314="Vigente","ACTIVO",IF(ISNUMBER(SEARCH("Inactivo",J314)),"INACTIVO","REVISAR"))</f>
        <v>ACTIVO</v>
      </c>
      <c r="AN314" t="str">
        <f ca="1">IF(OR(AF314="",AF314="null"),"",ROUND((AF314-TODAY())/365.25,2))</f>
        <v/>
      </c>
      <c r="AO314" t="str">
        <f ca="1">IF(AND(AG314="Vigente",OR(AF314="",AF314="null",AF314&gt;TODAY())),"SI",IF(AND(NOT(OR(AF314="",AF314="null")),AF314&lt;=TODAY()),"NO",IF(AG314="Vigente","SI","DESCONOCIDO")))</f>
        <v>SI</v>
      </c>
      <c r="AP314" t="str">
        <f>IF(AND(ISNUMBER(SEARCH("IMPORTAR",AA314)),ISNUMBER(SEARCH("FABRICAR",AA314))),"MIXTO",IF(ISNUMBER(SEARCH("IMPORTAR",AA314)),"IMPORTADO",IF(ISNUMBER(SEARCH("FABRICAR",AA314)),"LOCAL","OTRO")))</f>
        <v>IMPORTADO</v>
      </c>
      <c r="AQ314" t="str">
        <f>IF(AD314="Si","SI",IF(AD314="No","NO",""))</f>
        <v>NO</v>
      </c>
      <c r="AR314" t="str">
        <f>IF(ISNUMBER(SEARCH("®",N314)),"MARCA/INNOVADOR","GENERICO")</f>
        <v>GENERICO</v>
      </c>
      <c r="AS314">
        <f ca="1">IF(AE314&gt;100,RANDBETWEEN(500,5000),IF(AND(AE314&gt;=10,AE314&lt;=100),RANDBETWEEN(100,1000),RANDBETWEEN(10,200)))</f>
        <v>204</v>
      </c>
      <c r="AT314">
        <f t="shared" ca="1" si="22"/>
        <v>44</v>
      </c>
      <c r="AU314">
        <f ca="1">INT(AS314*RANDBETWEEN(120,200)/100)</f>
        <v>369</v>
      </c>
      <c r="AV314" s="2">
        <f ca="1">IF(LEFT(Y314,1)="L",RANDBETWEEN(500000,5000000),IF(LEFT(Y314,1)="C",RANDBETWEEN(5000,50000),IF(LEFT(Y314,1)="N",RANDBETWEEN(10000,150000),IF(LEFT(Y314,1)="J",RANDBETWEEN(8000,200000),RANDBETWEEN(5000,100000)))))</f>
        <v>191908</v>
      </c>
      <c r="AW314" s="2">
        <f ca="1">INT(AV314*RANDBETWEEN(30,60)/100)</f>
        <v>113225</v>
      </c>
      <c r="AX314">
        <f ca="1">IF(Z314="ORAL",RANDBETWEEN(1000,10000),IF(OR(Z314="INTRAVENOSA",Z314="INTRAMUSCULAR"),RANDBETWEEN(100,2000),IF(OR(Z314="OFTÁLMICA",Z314="TOPICA (EXTERNA)"),RANDBETWEEN(200,3000),RANDBETWEEN(100,1500))))</f>
        <v>7335</v>
      </c>
      <c r="AY314" s="2">
        <f ca="1">INT(AV314*RANDBETWEEN(90,130)/100)</f>
        <v>226451</v>
      </c>
      <c r="AZ314" t="str">
        <f t="shared" ca="1" si="23"/>
        <v>16.4%</v>
      </c>
      <c r="BA314" t="str">
        <f t="shared" ca="1" si="24"/>
        <v>BAJO</v>
      </c>
    </row>
    <row r="315" spans="4:53" x14ac:dyDescent="0.35">
      <c r="D315" t="s">
        <v>2422</v>
      </c>
      <c r="E315" s="1">
        <v>39939</v>
      </c>
      <c r="F315" t="s">
        <v>2423</v>
      </c>
      <c r="G315" t="s">
        <v>108</v>
      </c>
      <c r="H315" t="s">
        <v>2424</v>
      </c>
      <c r="I315">
        <v>19987519</v>
      </c>
      <c r="J315" t="s">
        <v>28</v>
      </c>
      <c r="K315">
        <v>20</v>
      </c>
      <c r="L315" t="s">
        <v>27</v>
      </c>
      <c r="M315" t="s">
        <v>2425</v>
      </c>
      <c r="N315" t="s">
        <v>2426</v>
      </c>
      <c r="O315" t="s">
        <v>2427</v>
      </c>
      <c r="P315" t="s">
        <v>2428</v>
      </c>
      <c r="Q315" s="1">
        <v>45643</v>
      </c>
      <c r="R315" t="s">
        <v>50</v>
      </c>
      <c r="S315" t="s">
        <v>27</v>
      </c>
      <c r="T315" t="s">
        <v>2424</v>
      </c>
      <c r="U315" t="s">
        <v>115</v>
      </c>
      <c r="V315" t="s">
        <v>2429</v>
      </c>
      <c r="W315">
        <v>40</v>
      </c>
      <c r="X315">
        <v>19987519</v>
      </c>
      <c r="Y315" t="s">
        <v>2430</v>
      </c>
      <c r="Z315" t="s">
        <v>2431</v>
      </c>
      <c r="AA315" t="s">
        <v>24</v>
      </c>
      <c r="AB315" t="s">
        <v>120</v>
      </c>
      <c r="AC315" t="s">
        <v>25</v>
      </c>
      <c r="AD315" t="s">
        <v>155</v>
      </c>
      <c r="AE315">
        <v>2</v>
      </c>
      <c r="AF315" s="1">
        <v>402133</v>
      </c>
      <c r="AG315" t="s">
        <v>26</v>
      </c>
      <c r="AH315" t="s">
        <v>2423</v>
      </c>
      <c r="AI315" t="str">
        <f t="shared" si="20"/>
        <v>NO</v>
      </c>
      <c r="AJ315" t="str">
        <f t="shared" si="21"/>
        <v>PRODUCTORA Y COMERCIALIZADORA ODONTOLOGICANEW STETIC</v>
      </c>
      <c r="AK315" t="str">
        <f>IF(ISNUMBER(SEARCH("FABRICANTE",AC315)),"FABRICANTE",IF(ISNUMBER(SEARCH("IMPORTADOR",AC315)),"IMPORTADOR","OTRO"))</f>
        <v>FABRICANTE</v>
      </c>
      <c r="AL315" t="str">
        <f>IF(LEFT(Y315,1)="A","Sistema digestivo",IF(LEFT(Y315,1)="B","Sangre",IF(LEFT(Y315,1)="C","Cardiovascular",IF(LEFT(Y315,1)="D","Dermatológico",IF(LEFT(Y315,1)="G","Genitourinario",IF(LEFT(Y315,1)="H","Hormonal",IF(LEFT(Y315,1)="J","Antiinfecciosos",IF(LEFT(Y315,1)="L","Oncológicos",IF(LEFT(Y315,1)="M","Musculoesquelético",IF(LEFT(Y315,1)="N","Sistema nervioso",IF(LEFT(Y315,1)="R","Respiratorio",IF(LEFT(Y315,1)="S","Oftálmico",IF(LEFT(Y315,1)="V","Varios","OTRO")))))))))))))</f>
        <v>Sistema digestivo</v>
      </c>
      <c r="AM315" t="str">
        <f>IF(AG315="Vigente","ACTIVO",IF(ISNUMBER(SEARCH("Inactivo",J315)),"INACTIVO","REVISAR"))</f>
        <v>ACTIVO</v>
      </c>
      <c r="AN315">
        <f ca="1">IF(OR(AF315="",AF315="null"),"",ROUND((AF315-TODAY())/365.25,2))</f>
        <v>974.58</v>
      </c>
      <c r="AO315" t="str">
        <f ca="1">IF(AND(AG315="Vigente",OR(AF315="",AF315="null",AF315&gt;TODAY())),"SI",IF(AND(NOT(OR(AF315="",AF315="null")),AF315&lt;=TODAY()),"NO",IF(AG315="Vigente","SI","DESCONOCIDO")))</f>
        <v>SI</v>
      </c>
      <c r="AP315" t="str">
        <f>IF(AND(ISNUMBER(SEARCH("IMPORTAR",AA315)),ISNUMBER(SEARCH("FABRICAR",AA315))),"MIXTO",IF(ISNUMBER(SEARCH("IMPORTAR",AA315)),"IMPORTADO",IF(ISNUMBER(SEARCH("FABRICAR",AA315)),"LOCAL","OTRO")))</f>
        <v>LOCAL</v>
      </c>
      <c r="AQ315" t="str">
        <f>IF(AD315="Si","SI",IF(AD315="No","NO",""))</f>
        <v>SI</v>
      </c>
      <c r="AR315" t="str">
        <f>IF(ISNUMBER(SEARCH("®",N315)),"MARCA/INNOVADOR","GENERICO")</f>
        <v>GENERICO</v>
      </c>
      <c r="AS315">
        <f ca="1">IF(AE315&gt;100,RANDBETWEEN(500,5000),IF(AND(AE315&gt;=10,AE315&lt;=100),RANDBETWEEN(100,1000),RANDBETWEEN(10,200)))</f>
        <v>45</v>
      </c>
      <c r="AT315">
        <f t="shared" ca="1" si="22"/>
        <v>9</v>
      </c>
      <c r="AU315">
        <f ca="1">INT(AS315*RANDBETWEEN(120,200)/100)</f>
        <v>83</v>
      </c>
      <c r="AV315" s="2">
        <f ca="1">IF(LEFT(Y315,1)="L",RANDBETWEEN(500000,5000000),IF(LEFT(Y315,1)="C",RANDBETWEEN(5000,50000),IF(LEFT(Y315,1)="N",RANDBETWEEN(10000,150000),IF(LEFT(Y315,1)="J",RANDBETWEEN(8000,200000),RANDBETWEEN(5000,100000)))))</f>
        <v>26924</v>
      </c>
      <c r="AW315" s="2">
        <f ca="1">INT(AV315*RANDBETWEEN(30,60)/100)</f>
        <v>12654</v>
      </c>
      <c r="AX315">
        <f ca="1">IF(Z315="ORAL",RANDBETWEEN(1000,10000),IF(OR(Z315="INTRAVENOSA",Z315="INTRAMUSCULAR"),RANDBETWEEN(100,2000),IF(OR(Z315="OFTÁLMICA",Z315="TOPICA (EXTERNA)"),RANDBETWEEN(200,3000),RANDBETWEEN(100,1500))))</f>
        <v>1494</v>
      </c>
      <c r="AY315" s="2">
        <f ca="1">INT(AV315*RANDBETWEEN(90,130)/100)</f>
        <v>27193</v>
      </c>
      <c r="AZ315" t="str">
        <f t="shared" ca="1" si="23"/>
        <v>6.7%</v>
      </c>
      <c r="BA315" t="str">
        <f t="shared" ca="1" si="24"/>
        <v>BAJO</v>
      </c>
    </row>
    <row r="316" spans="4:53" x14ac:dyDescent="0.35">
      <c r="D316" t="s">
        <v>2432</v>
      </c>
      <c r="E316" s="1">
        <v>41033</v>
      </c>
      <c r="F316" t="s">
        <v>2433</v>
      </c>
      <c r="G316" t="s">
        <v>108</v>
      </c>
      <c r="H316" t="s">
        <v>454</v>
      </c>
      <c r="I316">
        <v>20043746</v>
      </c>
      <c r="J316" t="s">
        <v>28</v>
      </c>
      <c r="K316">
        <v>7</v>
      </c>
      <c r="L316" t="s">
        <v>27</v>
      </c>
      <c r="M316" t="s">
        <v>2434</v>
      </c>
      <c r="N316" t="s">
        <v>2435</v>
      </c>
      <c r="O316" t="s">
        <v>2436</v>
      </c>
      <c r="P316" t="s">
        <v>1061</v>
      </c>
      <c r="Q316" s="1">
        <v>41022</v>
      </c>
      <c r="R316" t="s">
        <v>527</v>
      </c>
      <c r="S316" t="s">
        <v>27</v>
      </c>
      <c r="T316" t="s">
        <v>454</v>
      </c>
      <c r="U316" t="s">
        <v>115</v>
      </c>
      <c r="V316" t="s">
        <v>2437</v>
      </c>
      <c r="W316">
        <v>10</v>
      </c>
      <c r="X316">
        <v>20043746</v>
      </c>
      <c r="Y316" t="s">
        <v>2438</v>
      </c>
      <c r="Z316" t="s">
        <v>119</v>
      </c>
      <c r="AA316" t="s">
        <v>24</v>
      </c>
      <c r="AB316" t="s">
        <v>120</v>
      </c>
      <c r="AC316" t="s">
        <v>25</v>
      </c>
      <c r="AD316" t="s">
        <v>155</v>
      </c>
      <c r="AE316">
        <v>2</v>
      </c>
      <c r="AF316" t="s">
        <v>27</v>
      </c>
      <c r="AG316" t="s">
        <v>26</v>
      </c>
      <c r="AH316" t="s">
        <v>6649</v>
      </c>
      <c r="AI316" t="str">
        <f t="shared" si="20"/>
        <v>SI</v>
      </c>
      <c r="AJ316" t="str">
        <f t="shared" si="21"/>
        <v>PROCAPS</v>
      </c>
      <c r="AK316" t="str">
        <f>IF(ISNUMBER(SEARCH("FABRICANTE",AC316)),"FABRICANTE",IF(ISNUMBER(SEARCH("IMPORTADOR",AC316)),"IMPORTADOR","OTRO"))</f>
        <v>FABRICANTE</v>
      </c>
      <c r="AL316" t="str">
        <f>IF(LEFT(Y316,1)="A","Sistema digestivo",IF(LEFT(Y316,1)="B","Sangre",IF(LEFT(Y316,1)="C","Cardiovascular",IF(LEFT(Y316,1)="D","Dermatológico",IF(LEFT(Y316,1)="G","Genitourinario",IF(LEFT(Y316,1)="H","Hormonal",IF(LEFT(Y316,1)="J","Antiinfecciosos",IF(LEFT(Y316,1)="L","Oncológicos",IF(LEFT(Y316,1)="M","Musculoesquelético",IF(LEFT(Y316,1)="N","Sistema nervioso",IF(LEFT(Y316,1)="R","Respiratorio",IF(LEFT(Y316,1)="S","Oftálmico",IF(LEFT(Y316,1)="V","Varios","OTRO")))))))))))))</f>
        <v>Cardiovascular</v>
      </c>
      <c r="AM316" t="str">
        <f>IF(AG316="Vigente","ACTIVO",IF(ISNUMBER(SEARCH("Inactivo",J316)),"INACTIVO","REVISAR"))</f>
        <v>ACTIVO</v>
      </c>
      <c r="AN316" t="str">
        <f ca="1">IF(OR(AF316="",AF316="null"),"",ROUND((AF316-TODAY())/365.25,2))</f>
        <v/>
      </c>
      <c r="AO316" t="str">
        <f ca="1">IF(AND(AG316="Vigente",OR(AF316="",AF316="null",AF316&gt;TODAY())),"SI",IF(AND(NOT(OR(AF316="",AF316="null")),AF316&lt;=TODAY()),"NO",IF(AG316="Vigente","SI","DESCONOCIDO")))</f>
        <v>SI</v>
      </c>
      <c r="AP316" t="str">
        <f>IF(AND(ISNUMBER(SEARCH("IMPORTAR",AA316)),ISNUMBER(SEARCH("FABRICAR",AA316))),"MIXTO",IF(ISNUMBER(SEARCH("IMPORTAR",AA316)),"IMPORTADO",IF(ISNUMBER(SEARCH("FABRICAR",AA316)),"LOCAL","OTRO")))</f>
        <v>LOCAL</v>
      </c>
      <c r="AQ316" t="str">
        <f>IF(AD316="Si","SI",IF(AD316="No","NO",""))</f>
        <v>SI</v>
      </c>
      <c r="AR316" t="str">
        <f>IF(ISNUMBER(SEARCH("®",N316)),"MARCA/INNOVADOR","GENERICO")</f>
        <v>MARCA/INNOVADOR</v>
      </c>
      <c r="AS316">
        <f ca="1">IF(AE316&gt;100,RANDBETWEEN(500,5000),IF(AND(AE316&gt;=10,AE316&lt;=100),RANDBETWEEN(100,1000),RANDBETWEEN(10,200)))</f>
        <v>176</v>
      </c>
      <c r="AT316">
        <f t="shared" ca="1" si="22"/>
        <v>21</v>
      </c>
      <c r="AU316">
        <f ca="1">INT(AS316*RANDBETWEEN(120,200)/100)</f>
        <v>288</v>
      </c>
      <c r="AV316" s="2">
        <f ca="1">IF(LEFT(Y316,1)="L",RANDBETWEEN(500000,5000000),IF(LEFT(Y316,1)="C",RANDBETWEEN(5000,50000),IF(LEFT(Y316,1)="N",RANDBETWEEN(10000,150000),IF(LEFT(Y316,1)="J",RANDBETWEEN(8000,200000),RANDBETWEEN(5000,100000)))))</f>
        <v>48402</v>
      </c>
      <c r="AW316" s="2">
        <f ca="1">INT(AV316*RANDBETWEEN(30,60)/100)</f>
        <v>22264</v>
      </c>
      <c r="AX316">
        <f ca="1">IF(Z316="ORAL",RANDBETWEEN(1000,10000),IF(OR(Z316="INTRAVENOSA",Z316="INTRAMUSCULAR"),RANDBETWEEN(100,2000),IF(OR(Z316="OFTÁLMICA",Z316="TOPICA (EXTERNA)"),RANDBETWEEN(200,3000),RANDBETWEEN(100,1500))))</f>
        <v>1303</v>
      </c>
      <c r="AY316" s="2">
        <f ca="1">INT(AV316*RANDBETWEEN(90,130)/100)</f>
        <v>44529</v>
      </c>
      <c r="AZ316" t="str">
        <f t="shared" ca="1" si="23"/>
        <v>23.1%</v>
      </c>
      <c r="BA316" t="str">
        <f t="shared" ca="1" si="24"/>
        <v>BAJO</v>
      </c>
    </row>
    <row r="317" spans="4:53" x14ac:dyDescent="0.35">
      <c r="D317" t="s">
        <v>2439</v>
      </c>
      <c r="E317" s="1">
        <v>36161</v>
      </c>
      <c r="F317" t="s">
        <v>2440</v>
      </c>
      <c r="G317" t="s">
        <v>108</v>
      </c>
      <c r="H317" t="s">
        <v>334</v>
      </c>
      <c r="I317">
        <v>19902915</v>
      </c>
      <c r="J317" t="s">
        <v>28</v>
      </c>
      <c r="K317">
        <v>7</v>
      </c>
      <c r="L317" t="s">
        <v>27</v>
      </c>
      <c r="M317" t="s">
        <v>2441</v>
      </c>
      <c r="N317" t="s">
        <v>2442</v>
      </c>
      <c r="O317" t="s">
        <v>2443</v>
      </c>
      <c r="P317" t="s">
        <v>29</v>
      </c>
      <c r="Q317" s="1">
        <v>41781</v>
      </c>
      <c r="R317" t="s">
        <v>29</v>
      </c>
      <c r="S317" t="s">
        <v>27</v>
      </c>
      <c r="T317" t="s">
        <v>320</v>
      </c>
      <c r="U317" t="s">
        <v>115</v>
      </c>
      <c r="V317" t="s">
        <v>2444</v>
      </c>
      <c r="W317" s="2">
        <v>757577</v>
      </c>
      <c r="X317">
        <v>19902915</v>
      </c>
      <c r="Y317" t="s">
        <v>2445</v>
      </c>
      <c r="Z317" t="s">
        <v>119</v>
      </c>
      <c r="AA317" t="s">
        <v>24</v>
      </c>
      <c r="AB317" t="s">
        <v>120</v>
      </c>
      <c r="AC317" t="s">
        <v>25</v>
      </c>
      <c r="AD317" t="s">
        <v>121</v>
      </c>
      <c r="AE317">
        <v>600</v>
      </c>
      <c r="AF317" t="s">
        <v>27</v>
      </c>
      <c r="AG317" t="s">
        <v>26</v>
      </c>
      <c r="AH317" t="s">
        <v>6778</v>
      </c>
      <c r="AI317" t="str">
        <f t="shared" si="20"/>
        <v>NO</v>
      </c>
      <c r="AJ317" t="str">
        <f t="shared" si="21"/>
        <v>GENFAR</v>
      </c>
      <c r="AK317" t="str">
        <f>IF(ISNUMBER(SEARCH("FABRICANTE",AC317)),"FABRICANTE",IF(ISNUMBER(SEARCH("IMPORTADOR",AC317)),"IMPORTADOR","OTRO"))</f>
        <v>FABRICANTE</v>
      </c>
      <c r="AL317" t="str">
        <f>IF(LEFT(Y317,1)="A","Sistema digestivo",IF(LEFT(Y317,1)="B","Sangre",IF(LEFT(Y317,1)="C","Cardiovascular",IF(LEFT(Y317,1)="D","Dermatológico",IF(LEFT(Y317,1)="G","Genitourinario",IF(LEFT(Y317,1)="H","Hormonal",IF(LEFT(Y317,1)="J","Antiinfecciosos",IF(LEFT(Y317,1)="L","Oncológicos",IF(LEFT(Y317,1)="M","Musculoesquelético",IF(LEFT(Y317,1)="N","Sistema nervioso",IF(LEFT(Y317,1)="R","Respiratorio",IF(LEFT(Y317,1)="S","Oftálmico",IF(LEFT(Y317,1)="V","Varios","OTRO")))))))))))))</f>
        <v>OTRO</v>
      </c>
      <c r="AM317" t="str">
        <f>IF(AG317="Vigente","ACTIVO",IF(ISNUMBER(SEARCH("Inactivo",J317)),"INACTIVO","REVISAR"))</f>
        <v>ACTIVO</v>
      </c>
      <c r="AN317" t="str">
        <f ca="1">IF(OR(AF317="",AF317="null"),"",ROUND((AF317-TODAY())/365.25,2))</f>
        <v/>
      </c>
      <c r="AO317" t="str">
        <f ca="1">IF(AND(AG317="Vigente",OR(AF317="",AF317="null",AF317&gt;TODAY())),"SI",IF(AND(NOT(OR(AF317="",AF317="null")),AF317&lt;=TODAY()),"NO",IF(AG317="Vigente","SI","DESCONOCIDO")))</f>
        <v>SI</v>
      </c>
      <c r="AP317" t="str">
        <f>IF(AND(ISNUMBER(SEARCH("IMPORTAR",AA317)),ISNUMBER(SEARCH("FABRICAR",AA317))),"MIXTO",IF(ISNUMBER(SEARCH("IMPORTAR",AA317)),"IMPORTADO",IF(ISNUMBER(SEARCH("FABRICAR",AA317)),"LOCAL","OTRO")))</f>
        <v>LOCAL</v>
      </c>
      <c r="AQ317" t="str">
        <f>IF(AD317="Si","SI",IF(AD317="No","NO",""))</f>
        <v>NO</v>
      </c>
      <c r="AR317" t="str">
        <f>IF(ISNUMBER(SEARCH("®",N317)),"MARCA/INNOVADOR","GENERICO")</f>
        <v>GENERICO</v>
      </c>
      <c r="AS317">
        <f ca="1">IF(AE317&gt;100,RANDBETWEEN(500,5000),IF(AND(AE317&gt;=10,AE317&lt;=100),RANDBETWEEN(100,1000),RANDBETWEEN(10,200)))</f>
        <v>2421</v>
      </c>
      <c r="AT317">
        <f t="shared" ca="1" si="22"/>
        <v>532</v>
      </c>
      <c r="AU317">
        <f ca="1">INT(AS317*RANDBETWEEN(120,200)/100)</f>
        <v>3002</v>
      </c>
      <c r="AV317" s="2">
        <f ca="1">IF(LEFT(Y317,1)="L",RANDBETWEEN(500000,5000000),IF(LEFT(Y317,1)="C",RANDBETWEEN(5000,50000),IF(LEFT(Y317,1)="N",RANDBETWEEN(10000,150000),IF(LEFT(Y317,1)="J",RANDBETWEEN(8000,200000),RANDBETWEEN(5000,100000)))))</f>
        <v>26007</v>
      </c>
      <c r="AW317" s="2">
        <f ca="1">INT(AV317*RANDBETWEEN(30,60)/100)</f>
        <v>12483</v>
      </c>
      <c r="AX317">
        <f ca="1">IF(Z317="ORAL",RANDBETWEEN(1000,10000),IF(OR(Z317="INTRAVENOSA",Z317="INTRAMUSCULAR"),RANDBETWEEN(100,2000),IF(OR(Z317="OFTÁLMICA",Z317="TOPICA (EXTERNA)"),RANDBETWEEN(200,3000),RANDBETWEEN(100,1500))))</f>
        <v>8610</v>
      </c>
      <c r="AY317" s="2">
        <f ca="1">INT(AV317*RANDBETWEEN(90,130)/100)</f>
        <v>31988</v>
      </c>
      <c r="AZ317" t="str">
        <f t="shared" ca="1" si="23"/>
        <v>9.4%</v>
      </c>
      <c r="BA317" t="str">
        <f t="shared" ca="1" si="24"/>
        <v>BAJO</v>
      </c>
    </row>
    <row r="318" spans="4:53" x14ac:dyDescent="0.35">
      <c r="D318" t="s">
        <v>2446</v>
      </c>
      <c r="E318" s="1">
        <v>45357</v>
      </c>
      <c r="F318" t="s">
        <v>2447</v>
      </c>
      <c r="G318" t="s">
        <v>108</v>
      </c>
      <c r="H318" t="s">
        <v>2448</v>
      </c>
      <c r="I318">
        <v>20140596</v>
      </c>
      <c r="J318" t="s">
        <v>28</v>
      </c>
      <c r="K318">
        <v>3</v>
      </c>
      <c r="L318" t="s">
        <v>2449</v>
      </c>
      <c r="M318" t="s">
        <v>2450</v>
      </c>
      <c r="N318" t="s">
        <v>2451</v>
      </c>
      <c r="O318" t="s">
        <v>2452</v>
      </c>
      <c r="P318" t="s">
        <v>29</v>
      </c>
      <c r="Q318" s="1">
        <v>45229</v>
      </c>
      <c r="R318" t="s">
        <v>33</v>
      </c>
      <c r="S318" t="s">
        <v>27</v>
      </c>
      <c r="T318" t="s">
        <v>2453</v>
      </c>
      <c r="U318" t="s">
        <v>115</v>
      </c>
      <c r="V318" t="s">
        <v>2454</v>
      </c>
      <c r="W318">
        <v>10</v>
      </c>
      <c r="X318">
        <v>20140596</v>
      </c>
      <c r="Y318" t="s">
        <v>2455</v>
      </c>
      <c r="Z318" t="s">
        <v>119</v>
      </c>
      <c r="AA318" t="s">
        <v>32</v>
      </c>
      <c r="AB318" t="s">
        <v>120</v>
      </c>
      <c r="AC318" t="s">
        <v>38</v>
      </c>
      <c r="AD318" t="s">
        <v>121</v>
      </c>
      <c r="AE318">
        <v>30</v>
      </c>
      <c r="AF318" s="1">
        <v>401769</v>
      </c>
      <c r="AG318" t="s">
        <v>26</v>
      </c>
      <c r="AH318" t="s">
        <v>2447</v>
      </c>
      <c r="AI318" t="str">
        <f t="shared" si="20"/>
        <v>NO</v>
      </c>
      <c r="AJ318" t="str">
        <f t="shared" si="21"/>
        <v>CIPLA</v>
      </c>
      <c r="AK318" t="str">
        <f>IF(ISNUMBER(SEARCH("FABRICANTE",AC318)),"FABRICANTE",IF(ISNUMBER(SEARCH("IMPORTADOR",AC318)),"IMPORTADOR","OTRO"))</f>
        <v>IMPORTADOR</v>
      </c>
      <c r="AL318" t="str">
        <f>IF(LEFT(Y318,1)="A","Sistema digestivo",IF(LEFT(Y318,1)="B","Sangre",IF(LEFT(Y318,1)="C","Cardiovascular",IF(LEFT(Y318,1)="D","Dermatológico",IF(LEFT(Y318,1)="G","Genitourinario",IF(LEFT(Y318,1)="H","Hormonal",IF(LEFT(Y318,1)="J","Antiinfecciosos",IF(LEFT(Y318,1)="L","Oncológicos",IF(LEFT(Y318,1)="M","Musculoesquelético",IF(LEFT(Y318,1)="N","Sistema nervioso",IF(LEFT(Y318,1)="R","Respiratorio",IF(LEFT(Y318,1)="S","Oftálmico",IF(LEFT(Y318,1)="V","Varios","OTRO")))))))))))))</f>
        <v>Genitourinario</v>
      </c>
      <c r="AM318" t="str">
        <f>IF(AG318="Vigente","ACTIVO",IF(ISNUMBER(SEARCH("Inactivo",J318)),"INACTIVO","REVISAR"))</f>
        <v>ACTIVO</v>
      </c>
      <c r="AN318">
        <f ca="1">IF(OR(AF318="",AF318="null"),"",ROUND((AF318-TODAY())/365.25,2))</f>
        <v>973.58</v>
      </c>
      <c r="AO318" t="str">
        <f ca="1">IF(AND(AG318="Vigente",OR(AF318="",AF318="null",AF318&gt;TODAY())),"SI",IF(AND(NOT(OR(AF318="",AF318="null")),AF318&lt;=TODAY()),"NO",IF(AG318="Vigente","SI","DESCONOCIDO")))</f>
        <v>SI</v>
      </c>
      <c r="AP318" t="str">
        <f>IF(AND(ISNUMBER(SEARCH("IMPORTAR",AA318)),ISNUMBER(SEARCH("FABRICAR",AA318))),"MIXTO",IF(ISNUMBER(SEARCH("IMPORTAR",AA318)),"IMPORTADO",IF(ISNUMBER(SEARCH("FABRICAR",AA318)),"LOCAL","OTRO")))</f>
        <v>IMPORTADO</v>
      </c>
      <c r="AQ318" t="str">
        <f>IF(AD318="Si","SI",IF(AD318="No","NO",""))</f>
        <v>NO</v>
      </c>
      <c r="AR318" t="str">
        <f>IF(ISNUMBER(SEARCH("®",N318)),"MARCA/INNOVADOR","GENERICO")</f>
        <v>MARCA/INNOVADOR</v>
      </c>
      <c r="AS318">
        <f ca="1">IF(AE318&gt;100,RANDBETWEEN(500,5000),IF(AND(AE318&gt;=10,AE318&lt;=100),RANDBETWEEN(100,1000),RANDBETWEEN(10,200)))</f>
        <v>152</v>
      </c>
      <c r="AT318">
        <f t="shared" ca="1" si="22"/>
        <v>45</v>
      </c>
      <c r="AU318">
        <f ca="1">INT(AS318*RANDBETWEEN(120,200)/100)</f>
        <v>261</v>
      </c>
      <c r="AV318" s="2">
        <f ca="1">IF(LEFT(Y318,1)="L",RANDBETWEEN(500000,5000000),IF(LEFT(Y318,1)="C",RANDBETWEEN(5000,50000),IF(LEFT(Y318,1)="N",RANDBETWEEN(10000,150000),IF(LEFT(Y318,1)="J",RANDBETWEEN(8000,200000),RANDBETWEEN(5000,100000)))))</f>
        <v>67689</v>
      </c>
      <c r="AW318" s="2">
        <f ca="1">INT(AV318*RANDBETWEEN(30,60)/100)</f>
        <v>36552</v>
      </c>
      <c r="AX318">
        <f ca="1">IF(Z318="ORAL",RANDBETWEEN(1000,10000),IF(OR(Z318="INTRAVENOSA",Z318="INTRAMUSCULAR"),RANDBETWEEN(100,2000),IF(OR(Z318="OFTÁLMICA",Z318="TOPICA (EXTERNA)"),RANDBETWEEN(200,3000),RANDBETWEEN(100,1500))))</f>
        <v>6140</v>
      </c>
      <c r="AY318" s="2">
        <f ca="1">INT(AV318*RANDBETWEEN(90,130)/100)</f>
        <v>73104</v>
      </c>
      <c r="AZ318" t="str">
        <f t="shared" ca="1" si="23"/>
        <v>8.3%</v>
      </c>
      <c r="BA318" t="str">
        <f t="shared" ca="1" si="24"/>
        <v>BAJO</v>
      </c>
    </row>
    <row r="319" spans="4:53" x14ac:dyDescent="0.35">
      <c r="D319" t="s">
        <v>2456</v>
      </c>
      <c r="E319" s="1">
        <v>45342</v>
      </c>
      <c r="F319" t="s">
        <v>2457</v>
      </c>
      <c r="G319" t="s">
        <v>108</v>
      </c>
      <c r="H319" t="s">
        <v>39</v>
      </c>
      <c r="I319">
        <v>20188200</v>
      </c>
      <c r="J319" t="s">
        <v>28</v>
      </c>
      <c r="K319">
        <v>4</v>
      </c>
      <c r="L319" t="s">
        <v>27</v>
      </c>
      <c r="M319" t="s">
        <v>2458</v>
      </c>
      <c r="N319" t="s">
        <v>2459</v>
      </c>
      <c r="O319" t="s">
        <v>2460</v>
      </c>
      <c r="P319" t="s">
        <v>37</v>
      </c>
      <c r="Q319" s="1">
        <v>44368</v>
      </c>
      <c r="R319" t="s">
        <v>37</v>
      </c>
      <c r="S319" t="s">
        <v>27</v>
      </c>
      <c r="T319" t="s">
        <v>40</v>
      </c>
      <c r="U319" t="s">
        <v>115</v>
      </c>
      <c r="V319" t="s">
        <v>1031</v>
      </c>
      <c r="W319">
        <v>150</v>
      </c>
      <c r="X319">
        <v>20188200</v>
      </c>
      <c r="Y319" t="s">
        <v>1032</v>
      </c>
      <c r="Z319" t="s">
        <v>119</v>
      </c>
      <c r="AA319" t="s">
        <v>32</v>
      </c>
      <c r="AB319" t="s">
        <v>120</v>
      </c>
      <c r="AC319" t="s">
        <v>38</v>
      </c>
      <c r="AD319" t="s">
        <v>121</v>
      </c>
      <c r="AE319">
        <v>60</v>
      </c>
      <c r="AF319" s="1">
        <v>401769</v>
      </c>
      <c r="AG319" t="s">
        <v>26</v>
      </c>
      <c r="AH319" t="s">
        <v>6650</v>
      </c>
      <c r="AI319" t="str">
        <f t="shared" si="20"/>
        <v>SI</v>
      </c>
      <c r="AJ319" t="str">
        <f t="shared" si="21"/>
        <v>HETERO LABS</v>
      </c>
      <c r="AK319" t="str">
        <f>IF(ISNUMBER(SEARCH("FABRICANTE",AC319)),"FABRICANTE",IF(ISNUMBER(SEARCH("IMPORTADOR",AC319)),"IMPORTADOR","OTRO"))</f>
        <v>IMPORTADOR</v>
      </c>
      <c r="AL319" t="str">
        <f>IF(LEFT(Y319,1)="A","Sistema digestivo",IF(LEFT(Y319,1)="B","Sangre",IF(LEFT(Y319,1)="C","Cardiovascular",IF(LEFT(Y319,1)="D","Dermatológico",IF(LEFT(Y319,1)="G","Genitourinario",IF(LEFT(Y319,1)="H","Hormonal",IF(LEFT(Y319,1)="J","Antiinfecciosos",IF(LEFT(Y319,1)="L","Oncológicos",IF(LEFT(Y319,1)="M","Musculoesquelético",IF(LEFT(Y319,1)="N","Sistema nervioso",IF(LEFT(Y319,1)="R","Respiratorio",IF(LEFT(Y319,1)="S","Oftálmico",IF(LEFT(Y319,1)="V","Varios","OTRO")))))))))))))</f>
        <v>Sangre</v>
      </c>
      <c r="AM319" t="str">
        <f>IF(AG319="Vigente","ACTIVO",IF(ISNUMBER(SEARCH("Inactivo",J319)),"INACTIVO","REVISAR"))</f>
        <v>ACTIVO</v>
      </c>
      <c r="AN319">
        <f ca="1">IF(OR(AF319="",AF319="null"),"",ROUND((AF319-TODAY())/365.25,2))</f>
        <v>973.58</v>
      </c>
      <c r="AO319" t="str">
        <f ca="1">IF(AND(AG319="Vigente",OR(AF319="",AF319="null",AF319&gt;TODAY())),"SI",IF(AND(NOT(OR(AF319="",AF319="null")),AF319&lt;=TODAY()),"NO",IF(AG319="Vigente","SI","DESCONOCIDO")))</f>
        <v>SI</v>
      </c>
      <c r="AP319" t="str">
        <f>IF(AND(ISNUMBER(SEARCH("IMPORTAR",AA319)),ISNUMBER(SEARCH("FABRICAR",AA319))),"MIXTO",IF(ISNUMBER(SEARCH("IMPORTAR",AA319)),"IMPORTADO",IF(ISNUMBER(SEARCH("FABRICAR",AA319)),"LOCAL","OTRO")))</f>
        <v>IMPORTADO</v>
      </c>
      <c r="AQ319" t="str">
        <f>IF(AD319="Si","SI",IF(AD319="No","NO",""))</f>
        <v>NO</v>
      </c>
      <c r="AR319" t="str">
        <f>IF(ISNUMBER(SEARCH("®",N319)),"MARCA/INNOVADOR","GENERICO")</f>
        <v>MARCA/INNOVADOR</v>
      </c>
      <c r="AS319">
        <f ca="1">IF(AE319&gt;100,RANDBETWEEN(500,5000),IF(AND(AE319&gt;=10,AE319&lt;=100),RANDBETWEEN(100,1000),RANDBETWEEN(10,200)))</f>
        <v>926</v>
      </c>
      <c r="AT319">
        <f t="shared" ca="1" si="22"/>
        <v>148</v>
      </c>
      <c r="AU319">
        <f ca="1">INT(AS319*RANDBETWEEN(120,200)/100)</f>
        <v>1657</v>
      </c>
      <c r="AV319" s="2">
        <f ca="1">IF(LEFT(Y319,1)="L",RANDBETWEEN(500000,5000000),IF(LEFT(Y319,1)="C",RANDBETWEEN(5000,50000),IF(LEFT(Y319,1)="N",RANDBETWEEN(10000,150000),IF(LEFT(Y319,1)="J",RANDBETWEEN(8000,200000),RANDBETWEEN(5000,100000)))))</f>
        <v>40368</v>
      </c>
      <c r="AW319" s="2">
        <f ca="1">INT(AV319*RANDBETWEEN(30,60)/100)</f>
        <v>14128</v>
      </c>
      <c r="AX319">
        <f ca="1">IF(Z319="ORAL",RANDBETWEEN(1000,10000),IF(OR(Z319="INTRAVENOSA",Z319="INTRAMUSCULAR"),RANDBETWEEN(100,2000),IF(OR(Z319="OFTÁLMICA",Z319="TOPICA (EXTERNA)"),RANDBETWEEN(200,3000),RANDBETWEEN(100,1500))))</f>
        <v>6638</v>
      </c>
      <c r="AY319" s="2">
        <f ca="1">INT(AV319*RANDBETWEEN(90,130)/100)</f>
        <v>41982</v>
      </c>
      <c r="AZ319" t="str">
        <f t="shared" ca="1" si="23"/>
        <v>6.3%</v>
      </c>
      <c r="BA319" t="str">
        <f t="shared" ca="1" si="24"/>
        <v>BAJO</v>
      </c>
    </row>
    <row r="320" spans="4:53" x14ac:dyDescent="0.35">
      <c r="D320" t="s">
        <v>2461</v>
      </c>
      <c r="E320" s="1">
        <v>41253</v>
      </c>
      <c r="F320" t="s">
        <v>286</v>
      </c>
      <c r="G320" t="s">
        <v>108</v>
      </c>
      <c r="H320" t="s">
        <v>325</v>
      </c>
      <c r="I320">
        <v>20050550</v>
      </c>
      <c r="J320" t="s">
        <v>28</v>
      </c>
      <c r="K320">
        <v>7</v>
      </c>
      <c r="L320" t="s">
        <v>2462</v>
      </c>
      <c r="M320" t="s">
        <v>2463</v>
      </c>
      <c r="N320" t="s">
        <v>2464</v>
      </c>
      <c r="O320" t="s">
        <v>2465</v>
      </c>
      <c r="P320" t="s">
        <v>29</v>
      </c>
      <c r="Q320" s="1">
        <v>42500</v>
      </c>
      <c r="R320" t="s">
        <v>29</v>
      </c>
      <c r="S320" s="1">
        <v>45324</v>
      </c>
      <c r="T320" t="s">
        <v>325</v>
      </c>
      <c r="U320" t="s">
        <v>115</v>
      </c>
      <c r="V320" t="s">
        <v>291</v>
      </c>
      <c r="W320" t="s">
        <v>2386</v>
      </c>
      <c r="X320">
        <v>20050550</v>
      </c>
      <c r="Y320" t="s">
        <v>292</v>
      </c>
      <c r="Z320" t="s">
        <v>119</v>
      </c>
      <c r="AA320" t="s">
        <v>24</v>
      </c>
      <c r="AB320" t="s">
        <v>120</v>
      </c>
      <c r="AC320" t="s">
        <v>25</v>
      </c>
      <c r="AD320" t="s">
        <v>155</v>
      </c>
      <c r="AE320">
        <v>30</v>
      </c>
      <c r="AF320" s="1">
        <v>401769</v>
      </c>
      <c r="AG320" t="s">
        <v>26</v>
      </c>
      <c r="AH320" t="s">
        <v>286</v>
      </c>
      <c r="AI320" t="str">
        <f t="shared" si="20"/>
        <v>NO</v>
      </c>
      <c r="AJ320" t="str">
        <f t="shared" si="21"/>
        <v>LABORATORIO PROFESIONAL FARMACEUTICO - LABORATORIOS LAPROFF</v>
      </c>
      <c r="AK320" t="str">
        <f>IF(ISNUMBER(SEARCH("FABRICANTE",AC320)),"FABRICANTE",IF(ISNUMBER(SEARCH("IMPORTADOR",AC320)),"IMPORTADOR","OTRO"))</f>
        <v>FABRICANTE</v>
      </c>
      <c r="AL320" t="str">
        <f>IF(LEFT(Y320,1)="A","Sistema digestivo",IF(LEFT(Y320,1)="B","Sangre",IF(LEFT(Y320,1)="C","Cardiovascular",IF(LEFT(Y320,1)="D","Dermatológico",IF(LEFT(Y320,1)="G","Genitourinario",IF(LEFT(Y320,1)="H","Hormonal",IF(LEFT(Y320,1)="J","Antiinfecciosos",IF(LEFT(Y320,1)="L","Oncológicos",IF(LEFT(Y320,1)="M","Musculoesquelético",IF(LEFT(Y320,1)="N","Sistema nervioso",IF(LEFT(Y320,1)="R","Respiratorio",IF(LEFT(Y320,1)="S","Oftálmico",IF(LEFT(Y320,1)="V","Varios","OTRO")))))))))))))</f>
        <v>Sangre</v>
      </c>
      <c r="AM320" t="str">
        <f>IF(AG320="Vigente","ACTIVO",IF(ISNUMBER(SEARCH("Inactivo",J320)),"INACTIVO","REVISAR"))</f>
        <v>ACTIVO</v>
      </c>
      <c r="AN320">
        <f ca="1">IF(OR(AF320="",AF320="null"),"",ROUND((AF320-TODAY())/365.25,2))</f>
        <v>973.58</v>
      </c>
      <c r="AO320" t="str">
        <f ca="1">IF(AND(AG320="Vigente",OR(AF320="",AF320="null",AF320&gt;TODAY())),"SI",IF(AND(NOT(OR(AF320="",AF320="null")),AF320&lt;=TODAY()),"NO",IF(AG320="Vigente","SI","DESCONOCIDO")))</f>
        <v>SI</v>
      </c>
      <c r="AP320" t="str">
        <f>IF(AND(ISNUMBER(SEARCH("IMPORTAR",AA320)),ISNUMBER(SEARCH("FABRICAR",AA320))),"MIXTO",IF(ISNUMBER(SEARCH("IMPORTAR",AA320)),"IMPORTADO",IF(ISNUMBER(SEARCH("FABRICAR",AA320)),"LOCAL","OTRO")))</f>
        <v>LOCAL</v>
      </c>
      <c r="AQ320" t="str">
        <f>IF(AD320="Si","SI",IF(AD320="No","NO",""))</f>
        <v>SI</v>
      </c>
      <c r="AR320" t="str">
        <f>IF(ISNUMBER(SEARCH("®",N320)),"MARCA/INNOVADOR","GENERICO")</f>
        <v>GENERICO</v>
      </c>
      <c r="AS320">
        <f ca="1">IF(AE320&gt;100,RANDBETWEEN(500,5000),IF(AND(AE320&gt;=10,AE320&lt;=100),RANDBETWEEN(100,1000),RANDBETWEEN(10,200)))</f>
        <v>920</v>
      </c>
      <c r="AT320">
        <f t="shared" ca="1" si="22"/>
        <v>165</v>
      </c>
      <c r="AU320">
        <f ca="1">INT(AS320*RANDBETWEEN(120,200)/100)</f>
        <v>1361</v>
      </c>
      <c r="AV320" s="2">
        <f ca="1">IF(LEFT(Y320,1)="L",RANDBETWEEN(500000,5000000),IF(LEFT(Y320,1)="C",RANDBETWEEN(5000,50000),IF(LEFT(Y320,1)="N",RANDBETWEEN(10000,150000),IF(LEFT(Y320,1)="J",RANDBETWEEN(8000,200000),RANDBETWEEN(5000,100000)))))</f>
        <v>68606</v>
      </c>
      <c r="AW320" s="2">
        <f ca="1">INT(AV320*RANDBETWEEN(30,60)/100)</f>
        <v>29500</v>
      </c>
      <c r="AX320">
        <f ca="1">IF(Z320="ORAL",RANDBETWEEN(1000,10000),IF(OR(Z320="INTRAVENOSA",Z320="INTRAMUSCULAR"),RANDBETWEEN(100,2000),IF(OR(Z320="OFTÁLMICA",Z320="TOPICA (EXTERNA)"),RANDBETWEEN(200,3000),RANDBETWEEN(100,1500))))</f>
        <v>2707</v>
      </c>
      <c r="AY320" s="2">
        <f ca="1">INT(AV320*RANDBETWEEN(90,130)/100)</f>
        <v>80269</v>
      </c>
      <c r="AZ320" t="str">
        <f t="shared" ca="1" si="23"/>
        <v>18.3%</v>
      </c>
      <c r="BA320" t="str">
        <f t="shared" ca="1" si="24"/>
        <v>BAJO</v>
      </c>
    </row>
    <row r="321" spans="4:53" x14ac:dyDescent="0.35">
      <c r="D321" t="s">
        <v>2466</v>
      </c>
      <c r="E321" s="1">
        <v>42825</v>
      </c>
      <c r="F321" t="s">
        <v>2467</v>
      </c>
      <c r="G321" t="s">
        <v>502</v>
      </c>
      <c r="H321" t="s">
        <v>2468</v>
      </c>
      <c r="I321">
        <v>20106375</v>
      </c>
      <c r="J321" t="s">
        <v>28</v>
      </c>
      <c r="K321">
        <v>1</v>
      </c>
      <c r="L321" t="s">
        <v>2469</v>
      </c>
      <c r="M321" t="s">
        <v>2470</v>
      </c>
      <c r="N321" t="s">
        <v>2471</v>
      </c>
      <c r="O321" t="s">
        <v>2472</v>
      </c>
      <c r="P321" t="s">
        <v>2473</v>
      </c>
      <c r="Q321" s="1">
        <v>42653</v>
      </c>
      <c r="R321" t="s">
        <v>151</v>
      </c>
      <c r="S321" t="s">
        <v>27</v>
      </c>
      <c r="T321" t="s">
        <v>2474</v>
      </c>
      <c r="U321" t="s">
        <v>115</v>
      </c>
      <c r="V321" t="s">
        <v>2475</v>
      </c>
      <c r="W321">
        <v>2</v>
      </c>
      <c r="X321">
        <v>20106375</v>
      </c>
      <c r="Y321" t="s">
        <v>2476</v>
      </c>
      <c r="Z321" t="s">
        <v>154</v>
      </c>
      <c r="AA321" t="s">
        <v>24</v>
      </c>
      <c r="AB321" t="s">
        <v>133</v>
      </c>
      <c r="AC321" t="s">
        <v>25</v>
      </c>
      <c r="AD321" t="s">
        <v>121</v>
      </c>
      <c r="AE321">
        <v>5</v>
      </c>
      <c r="AF321" t="s">
        <v>27</v>
      </c>
      <c r="AG321" t="s">
        <v>26</v>
      </c>
      <c r="AH321" t="s">
        <v>2475</v>
      </c>
      <c r="AI321" t="str">
        <f t="shared" si="20"/>
        <v>SI</v>
      </c>
      <c r="AJ321" t="str">
        <f t="shared" si="21"/>
        <v>ESPECIALIDADES OFTALMOLOGICAS</v>
      </c>
      <c r="AK321" t="str">
        <f>IF(ISNUMBER(SEARCH("FABRICANTE",AC321)),"FABRICANTE",IF(ISNUMBER(SEARCH("IMPORTADOR",AC321)),"IMPORTADOR","OTRO"))</f>
        <v>FABRICANTE</v>
      </c>
      <c r="AL321" t="str">
        <f>IF(LEFT(Y321,1)="A","Sistema digestivo",IF(LEFT(Y321,1)="B","Sangre",IF(LEFT(Y321,1)="C","Cardiovascular",IF(LEFT(Y321,1)="D","Dermatológico",IF(LEFT(Y321,1)="G","Genitourinario",IF(LEFT(Y321,1)="H","Hormonal",IF(LEFT(Y321,1)="J","Antiinfecciosos",IF(LEFT(Y321,1)="L","Oncológicos",IF(LEFT(Y321,1)="M","Musculoesquelético",IF(LEFT(Y321,1)="N","Sistema nervioso",IF(LEFT(Y321,1)="R","Respiratorio",IF(LEFT(Y321,1)="S","Oftálmico",IF(LEFT(Y321,1)="V","Varios","OTRO")))))))))))))</f>
        <v>Oftálmico</v>
      </c>
      <c r="AM321" t="str">
        <f>IF(AG321="Vigente","ACTIVO",IF(ISNUMBER(SEARCH("Inactivo",J321)),"INACTIVO","REVISAR"))</f>
        <v>ACTIVO</v>
      </c>
      <c r="AN321" t="str">
        <f ca="1">IF(OR(AF321="",AF321="null"),"",ROUND((AF321-TODAY())/365.25,2))</f>
        <v/>
      </c>
      <c r="AO321" t="str">
        <f ca="1">IF(AND(AG321="Vigente",OR(AF321="",AF321="null",AF321&gt;TODAY())),"SI",IF(AND(NOT(OR(AF321="",AF321="null")),AF321&lt;=TODAY()),"NO",IF(AG321="Vigente","SI","DESCONOCIDO")))</f>
        <v>SI</v>
      </c>
      <c r="AP321" t="str">
        <f>IF(AND(ISNUMBER(SEARCH("IMPORTAR",AA321)),ISNUMBER(SEARCH("FABRICAR",AA321))),"MIXTO",IF(ISNUMBER(SEARCH("IMPORTAR",AA321)),"IMPORTADO",IF(ISNUMBER(SEARCH("FABRICAR",AA321)),"LOCAL","OTRO")))</f>
        <v>LOCAL</v>
      </c>
      <c r="AQ321" t="str">
        <f>IF(AD321="Si","SI",IF(AD321="No","NO",""))</f>
        <v>NO</v>
      </c>
      <c r="AR321" t="str">
        <f>IF(ISNUMBER(SEARCH("®",N321)),"MARCA/INNOVADOR","GENERICO")</f>
        <v>MARCA/INNOVADOR</v>
      </c>
      <c r="AS321">
        <f ca="1">IF(AE321&gt;100,RANDBETWEEN(500,5000),IF(AND(AE321&gt;=10,AE321&lt;=100),RANDBETWEEN(100,1000),RANDBETWEEN(10,200)))</f>
        <v>98</v>
      </c>
      <c r="AT321">
        <f t="shared" ca="1" si="22"/>
        <v>17</v>
      </c>
      <c r="AU321">
        <f ca="1">INT(AS321*RANDBETWEEN(120,200)/100)</f>
        <v>167</v>
      </c>
      <c r="AV321" s="2">
        <f ca="1">IF(LEFT(Y321,1)="L",RANDBETWEEN(500000,5000000),IF(LEFT(Y321,1)="C",RANDBETWEEN(5000,50000),IF(LEFT(Y321,1)="N",RANDBETWEEN(10000,150000),IF(LEFT(Y321,1)="J",RANDBETWEEN(8000,200000),RANDBETWEEN(5000,100000)))))</f>
        <v>30250</v>
      </c>
      <c r="AW321" s="2">
        <f ca="1">INT(AV321*RANDBETWEEN(30,60)/100)</f>
        <v>9377</v>
      </c>
      <c r="AX321">
        <f ca="1">IF(Z321="ORAL",RANDBETWEEN(1000,10000),IF(OR(Z321="INTRAVENOSA",Z321="INTRAMUSCULAR"),RANDBETWEEN(100,2000),IF(OR(Z321="OFTÁLMICA",Z321="TOPICA (EXTERNA)"),RANDBETWEEN(200,3000),RANDBETWEEN(100,1500))))</f>
        <v>765</v>
      </c>
      <c r="AY321" s="2">
        <f ca="1">INT(AV321*RANDBETWEEN(90,130)/100)</f>
        <v>36602</v>
      </c>
      <c r="AZ321" t="str">
        <f t="shared" ca="1" si="23"/>
        <v>12.7%</v>
      </c>
      <c r="BA321" t="str">
        <f t="shared" ca="1" si="24"/>
        <v>BAJO</v>
      </c>
    </row>
    <row r="322" spans="4:53" x14ac:dyDescent="0.35">
      <c r="D322" t="s">
        <v>2477</v>
      </c>
      <c r="E322" s="1">
        <v>45777</v>
      </c>
      <c r="F322" t="s">
        <v>2478</v>
      </c>
      <c r="G322" t="s">
        <v>108</v>
      </c>
      <c r="H322" t="s">
        <v>454</v>
      </c>
      <c r="I322">
        <v>20236481</v>
      </c>
      <c r="J322" t="s">
        <v>28</v>
      </c>
      <c r="K322">
        <v>1</v>
      </c>
      <c r="L322" t="s">
        <v>27</v>
      </c>
      <c r="M322" t="s">
        <v>2479</v>
      </c>
      <c r="N322" t="s">
        <v>2480</v>
      </c>
      <c r="O322" t="s">
        <v>2481</v>
      </c>
      <c r="P322" t="s">
        <v>2482</v>
      </c>
      <c r="Q322" s="1">
        <v>45061</v>
      </c>
      <c r="R322" t="s">
        <v>527</v>
      </c>
      <c r="S322" t="s">
        <v>27</v>
      </c>
      <c r="T322" t="s">
        <v>454</v>
      </c>
      <c r="U322" t="s">
        <v>807</v>
      </c>
      <c r="V322" t="s">
        <v>30</v>
      </c>
      <c r="W322">
        <v>75</v>
      </c>
      <c r="X322">
        <v>20236481</v>
      </c>
      <c r="Y322" t="s">
        <v>23</v>
      </c>
      <c r="Z322" t="s">
        <v>119</v>
      </c>
      <c r="AA322" t="s">
        <v>2200</v>
      </c>
      <c r="AB322" t="s">
        <v>120</v>
      </c>
      <c r="AC322" t="s">
        <v>25</v>
      </c>
      <c r="AD322" t="s">
        <v>121</v>
      </c>
      <c r="AE322">
        <v>1</v>
      </c>
      <c r="AF322" s="1">
        <v>47618</v>
      </c>
      <c r="AG322" t="s">
        <v>26</v>
      </c>
      <c r="AH322" t="s">
        <v>22</v>
      </c>
      <c r="AI322" t="str">
        <f t="shared" si="20"/>
        <v>SI</v>
      </c>
      <c r="AJ322" t="str">
        <f t="shared" si="21"/>
        <v>PROCAPS</v>
      </c>
      <c r="AK322" t="str">
        <f>IF(ISNUMBER(SEARCH("FABRICANTE",AC322)),"FABRICANTE",IF(ISNUMBER(SEARCH("IMPORTADOR",AC322)),"IMPORTADOR","OTRO"))</f>
        <v>FABRICANTE</v>
      </c>
      <c r="AL322" t="str">
        <f>IF(LEFT(Y322,1)="A","Sistema digestivo",IF(LEFT(Y322,1)="B","Sangre",IF(LEFT(Y322,1)="C","Cardiovascular",IF(LEFT(Y322,1)="D","Dermatológico",IF(LEFT(Y322,1)="G","Genitourinario",IF(LEFT(Y322,1)="H","Hormonal",IF(LEFT(Y322,1)="J","Antiinfecciosos",IF(LEFT(Y322,1)="L","Oncológicos",IF(LEFT(Y322,1)="M","Musculoesquelético",IF(LEFT(Y322,1)="N","Sistema nervioso",IF(LEFT(Y322,1)="R","Respiratorio",IF(LEFT(Y322,1)="S","Oftálmico",IF(LEFT(Y322,1)="V","Varios","OTRO")))))))))))))</f>
        <v>Hormonal</v>
      </c>
      <c r="AM322" t="str">
        <f>IF(AG322="Vigente","ACTIVO",IF(ISNUMBER(SEARCH("Inactivo",J322)),"INACTIVO","REVISAR"))</f>
        <v>ACTIVO</v>
      </c>
      <c r="AN322">
        <f ca="1">IF(OR(AF322="",AF322="null"),"",ROUND((AF322-TODAY())/365.25,2))</f>
        <v>3.97</v>
      </c>
      <c r="AO322" t="str">
        <f ca="1">IF(AND(AG322="Vigente",OR(AF322="",AF322="null",AF322&gt;TODAY())),"SI",IF(AND(NOT(OR(AF322="",AF322="null")),AF322&lt;=TODAY()),"NO",IF(AG322="Vigente","SI","DESCONOCIDO")))</f>
        <v>SI</v>
      </c>
      <c r="AP322" t="str">
        <f>IF(AND(ISNUMBER(SEARCH("IMPORTAR",AA322)),ISNUMBER(SEARCH("FABRICAR",AA322))),"MIXTO",IF(ISNUMBER(SEARCH("IMPORTAR",AA322)),"IMPORTADO",IF(ISNUMBER(SEARCH("FABRICAR",AA322)),"LOCAL","OTRO")))</f>
        <v>LOCAL</v>
      </c>
      <c r="AQ322" t="str">
        <f>IF(AD322="Si","SI",IF(AD322="No","NO",""))</f>
        <v>NO</v>
      </c>
      <c r="AR322" t="str">
        <f>IF(ISNUMBER(SEARCH("®",N322)),"MARCA/INNOVADOR","GENERICO")</f>
        <v>GENERICO</v>
      </c>
      <c r="AS322">
        <f ca="1">IF(AE322&gt;100,RANDBETWEEN(500,5000),IF(AND(AE322&gt;=10,AE322&lt;=100),RANDBETWEEN(100,1000),RANDBETWEEN(10,200)))</f>
        <v>21</v>
      </c>
      <c r="AT322">
        <f t="shared" ca="1" si="22"/>
        <v>5</v>
      </c>
      <c r="AU322">
        <f ca="1">INT(AS322*RANDBETWEEN(120,200)/100)</f>
        <v>38</v>
      </c>
      <c r="AV322" s="2">
        <f ca="1">IF(LEFT(Y322,1)="L",RANDBETWEEN(500000,5000000),IF(LEFT(Y322,1)="C",RANDBETWEEN(5000,50000),IF(LEFT(Y322,1)="N",RANDBETWEEN(10000,150000),IF(LEFT(Y322,1)="J",RANDBETWEEN(8000,200000),RANDBETWEEN(5000,100000)))))</f>
        <v>76857</v>
      </c>
      <c r="AW322" s="2">
        <f ca="1">INT(AV322*RANDBETWEEN(30,60)/100)</f>
        <v>26131</v>
      </c>
      <c r="AX322">
        <f ca="1">IF(Z322="ORAL",RANDBETWEEN(1000,10000),IF(OR(Z322="INTRAVENOSA",Z322="INTRAMUSCULAR"),RANDBETWEEN(100,2000),IF(OR(Z322="OFTÁLMICA",Z322="TOPICA (EXTERNA)"),RANDBETWEEN(200,3000),RANDBETWEEN(100,1500))))</f>
        <v>3504</v>
      </c>
      <c r="AY322" s="2">
        <f ca="1">INT(AV322*RANDBETWEEN(90,130)/100)</f>
        <v>94534</v>
      </c>
      <c r="AZ322" t="str">
        <f t="shared" ca="1" si="23"/>
        <v>7.2%</v>
      </c>
      <c r="BA322" t="str">
        <f t="shared" ca="1" si="24"/>
        <v>MEDIO</v>
      </c>
    </row>
    <row r="323" spans="4:53" x14ac:dyDescent="0.35">
      <c r="D323" t="s">
        <v>2483</v>
      </c>
      <c r="E323" s="1">
        <v>37881</v>
      </c>
      <c r="F323" t="s">
        <v>2484</v>
      </c>
      <c r="G323" t="s">
        <v>108</v>
      </c>
      <c r="H323" t="s">
        <v>2485</v>
      </c>
      <c r="I323">
        <v>19940078</v>
      </c>
      <c r="J323" t="s">
        <v>110</v>
      </c>
      <c r="K323">
        <v>69</v>
      </c>
      <c r="L323" t="s">
        <v>27</v>
      </c>
      <c r="M323" t="s">
        <v>2486</v>
      </c>
      <c r="N323" t="s">
        <v>2487</v>
      </c>
      <c r="O323" t="s">
        <v>2488</v>
      </c>
      <c r="P323" t="s">
        <v>2489</v>
      </c>
      <c r="Q323" s="1">
        <v>42058</v>
      </c>
      <c r="R323" t="s">
        <v>37</v>
      </c>
      <c r="S323" s="1">
        <v>43608</v>
      </c>
      <c r="T323" t="s">
        <v>114</v>
      </c>
      <c r="U323" t="s">
        <v>115</v>
      </c>
      <c r="V323" t="s">
        <v>585</v>
      </c>
      <c r="W323">
        <v>20</v>
      </c>
      <c r="X323">
        <v>19940078</v>
      </c>
      <c r="Y323" t="s">
        <v>586</v>
      </c>
      <c r="Z323" t="s">
        <v>119</v>
      </c>
      <c r="AA323" t="s">
        <v>165</v>
      </c>
      <c r="AB323" t="s">
        <v>120</v>
      </c>
      <c r="AC323" t="s">
        <v>25</v>
      </c>
      <c r="AD323" t="s">
        <v>121</v>
      </c>
      <c r="AE323">
        <v>266</v>
      </c>
      <c r="AF323" t="s">
        <v>27</v>
      </c>
      <c r="AG323" t="s">
        <v>26</v>
      </c>
      <c r="AH323" t="s">
        <v>6779</v>
      </c>
      <c r="AI323" t="str">
        <f t="shared" ref="AI323:AI386" si="25">IF(OR(ISNUMBER(SEARCH("+",F323)),ISNUMBER(SEARCH(".",F323))),"SI","NO")</f>
        <v>NO</v>
      </c>
      <c r="AJ323" t="str">
        <f t="shared" ref="AJ323:AJ386" si="2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323)," S.A.S.",""),"S.A.S.","")," S.A.S",""),"S.A.S","")," S.A.C.I.","")," S.A.C.I","")," SAS","")," S.A.","")," S.A","")," LTDA.","")," LTDA","")," LIMITED","")," LTD.","")," LTD","")," INC.","")," INC","")," GMBH &amp; CO. KG.","")," GMBH","")," LLC","")," A.G.","")," A.G","")," A/S","")," S.R.L.","")," S.R.L","")," S.P.A.","")," DE C.V.","")," AG",""),"  "," "))</f>
        <v>LABORATORIOS LEGRAND</v>
      </c>
      <c r="AK323" t="str">
        <f>IF(ISNUMBER(SEARCH("FABRICANTE",AC323)),"FABRICANTE",IF(ISNUMBER(SEARCH("IMPORTADOR",AC323)),"IMPORTADOR","OTRO"))</f>
        <v>FABRICANTE</v>
      </c>
      <c r="AL323" t="str">
        <f>IF(LEFT(Y323,1)="A","Sistema digestivo",IF(LEFT(Y323,1)="B","Sangre",IF(LEFT(Y323,1)="C","Cardiovascular",IF(LEFT(Y323,1)="D","Dermatológico",IF(LEFT(Y323,1)="G","Genitourinario",IF(LEFT(Y323,1)="H","Hormonal",IF(LEFT(Y323,1)="J","Antiinfecciosos",IF(LEFT(Y323,1)="L","Oncológicos",IF(LEFT(Y323,1)="M","Musculoesquelético",IF(LEFT(Y323,1)="N","Sistema nervioso",IF(LEFT(Y323,1)="R","Respiratorio",IF(LEFT(Y323,1)="S","Oftálmico",IF(LEFT(Y323,1)="V","Varios","OTRO")))))))))))))</f>
        <v>Sistema digestivo</v>
      </c>
      <c r="AM323" t="str">
        <f>IF(AG323="Vigente","ACTIVO",IF(ISNUMBER(SEARCH("Inactivo",J323)),"INACTIVO","REVISAR"))</f>
        <v>ACTIVO</v>
      </c>
      <c r="AN323" t="str">
        <f ca="1">IF(OR(AF323="",AF323="null"),"",ROUND((AF323-TODAY())/365.25,2))</f>
        <v/>
      </c>
      <c r="AO323" t="str">
        <f ca="1">IF(AND(AG323="Vigente",OR(AF323="",AF323="null",AF323&gt;TODAY())),"SI",IF(AND(NOT(OR(AF323="",AF323="null")),AF323&lt;=TODAY()),"NO",IF(AG323="Vigente","SI","DESCONOCIDO")))</f>
        <v>SI</v>
      </c>
      <c r="AP323" t="str">
        <f>IF(AND(ISNUMBER(SEARCH("IMPORTAR",AA323)),ISNUMBER(SEARCH("FABRICAR",AA323))),"MIXTO",IF(ISNUMBER(SEARCH("IMPORTAR",AA323)),"IMPORTADO",IF(ISNUMBER(SEARCH("FABRICAR",AA323)),"LOCAL","OTRO")))</f>
        <v>IMPORTADO</v>
      </c>
      <c r="AQ323" t="str">
        <f>IF(AD323="Si","SI",IF(AD323="No","NO",""))</f>
        <v>NO</v>
      </c>
      <c r="AR323" t="str">
        <f>IF(ISNUMBER(SEARCH("®",N323)),"MARCA/INNOVADOR","GENERICO")</f>
        <v>MARCA/INNOVADOR</v>
      </c>
      <c r="AS323">
        <f ca="1">IF(AE323&gt;100,RANDBETWEEN(500,5000),IF(AND(AE323&gt;=10,AE323&lt;=100),RANDBETWEEN(100,1000),RANDBETWEEN(10,200)))</f>
        <v>4008</v>
      </c>
      <c r="AT323">
        <f t="shared" ref="AT323:AT386" ca="1" si="27">INT(AS323*RANDBETWEEN(10,30)/100)</f>
        <v>400</v>
      </c>
      <c r="AU323">
        <f ca="1">INT(AS323*RANDBETWEEN(120,200)/100)</f>
        <v>6012</v>
      </c>
      <c r="AV323" s="2">
        <f ca="1">IF(LEFT(Y323,1)="L",RANDBETWEEN(500000,5000000),IF(LEFT(Y323,1)="C",RANDBETWEEN(5000,50000),IF(LEFT(Y323,1)="N",RANDBETWEEN(10000,150000),IF(LEFT(Y323,1)="J",RANDBETWEEN(8000,200000),RANDBETWEEN(5000,100000)))))</f>
        <v>80541</v>
      </c>
      <c r="AW323" s="2">
        <f ca="1">INT(AV323*RANDBETWEEN(30,60)/100)</f>
        <v>41881</v>
      </c>
      <c r="AX323">
        <f ca="1">IF(Z323="ORAL",RANDBETWEEN(1000,10000),IF(OR(Z323="INTRAVENOSA",Z323="INTRAMUSCULAR"),RANDBETWEEN(100,2000),IF(OR(Z323="OFTÁLMICA",Z323="TOPICA (EXTERNA)"),RANDBETWEEN(200,3000),RANDBETWEEN(100,1500))))</f>
        <v>7099</v>
      </c>
      <c r="AY323" s="2">
        <f ca="1">INT(AV323*RANDBETWEEN(90,130)/100)</f>
        <v>78124</v>
      </c>
      <c r="AZ323" t="str">
        <f t="shared" ref="AZ323:AZ386" ca="1" si="28">IF(Z323="ORAL",RANDBETWEEN(50,250)/10,IF(OR(Z323="TOPICA (EXTERNA)",Z323="OFTÁLMICA"),RANDBETWEEN(20,150)/10,IF(OR(Z323="SUBCUTANEA",Z323="INTRAMUSCULAR"),RANDBETWEEN(10,100)/10,IF(Z323="INTRAVENOSA",RANDBETWEEN(1,50)/10,RANDBETWEEN(5,80)/10))))&amp;"%"</f>
        <v>23.8%</v>
      </c>
      <c r="BA323" t="str">
        <f t="shared" ref="BA323:BA386" ca="1" si="29">IF(OR(AG323&lt;&gt;"Vigente",AND(ISNUMBER(AF323),AF323&lt;TODAY()),AND(J323="Inactivo",NOT(ISNUMBER(AF323)))),"ALTO",IF(OR(AND(J323="Inactivo",ISNUMBER(AF323)),AND(ISNUMBER(AF323),AF323&gt;TODAY(),AF323&lt;=TODAY()+1825)),"MEDIO","BAJO"))</f>
        <v>ALTO</v>
      </c>
    </row>
    <row r="324" spans="4:53" x14ac:dyDescent="0.35">
      <c r="D324" t="s">
        <v>2490</v>
      </c>
      <c r="E324" s="1">
        <v>41029</v>
      </c>
      <c r="F324" t="s">
        <v>2491</v>
      </c>
      <c r="G324" t="s">
        <v>108</v>
      </c>
      <c r="H324" t="s">
        <v>2492</v>
      </c>
      <c r="I324">
        <v>20038383</v>
      </c>
      <c r="J324" t="s">
        <v>28</v>
      </c>
      <c r="K324">
        <v>19</v>
      </c>
      <c r="L324" t="s">
        <v>27</v>
      </c>
      <c r="M324" t="s">
        <v>2493</v>
      </c>
      <c r="N324" t="s">
        <v>2494</v>
      </c>
      <c r="O324" t="s">
        <v>2495</v>
      </c>
      <c r="P324" t="s">
        <v>29</v>
      </c>
      <c r="Q324" s="1">
        <v>41025</v>
      </c>
      <c r="R324" t="s">
        <v>33</v>
      </c>
      <c r="S324" t="s">
        <v>27</v>
      </c>
      <c r="T324" t="s">
        <v>1574</v>
      </c>
      <c r="U324" t="s">
        <v>115</v>
      </c>
      <c r="V324" t="s">
        <v>1575</v>
      </c>
      <c r="W324">
        <v>10</v>
      </c>
      <c r="X324">
        <v>20038383</v>
      </c>
      <c r="Y324" t="s">
        <v>1576</v>
      </c>
      <c r="Z324" t="s">
        <v>119</v>
      </c>
      <c r="AA324" t="s">
        <v>32</v>
      </c>
      <c r="AB324" t="s">
        <v>120</v>
      </c>
      <c r="AC324" t="s">
        <v>25</v>
      </c>
      <c r="AD324" t="s">
        <v>155</v>
      </c>
      <c r="AE324">
        <v>10</v>
      </c>
      <c r="AF324" t="s">
        <v>27</v>
      </c>
      <c r="AG324" t="s">
        <v>26</v>
      </c>
      <c r="AH324" t="s">
        <v>1575</v>
      </c>
      <c r="AI324" t="str">
        <f t="shared" si="25"/>
        <v>SI</v>
      </c>
      <c r="AJ324" t="str">
        <f t="shared" si="26"/>
        <v>SANDOZ</v>
      </c>
      <c r="AK324" t="str">
        <f>IF(ISNUMBER(SEARCH("FABRICANTE",AC324)),"FABRICANTE",IF(ISNUMBER(SEARCH("IMPORTADOR",AC324)),"IMPORTADOR","OTRO"))</f>
        <v>FABRICANTE</v>
      </c>
      <c r="AL324" t="str">
        <f>IF(LEFT(Y324,1)="A","Sistema digestivo",IF(LEFT(Y324,1)="B","Sangre",IF(LEFT(Y324,1)="C","Cardiovascular",IF(LEFT(Y324,1)="D","Dermatológico",IF(LEFT(Y324,1)="G","Genitourinario",IF(LEFT(Y324,1)="H","Hormonal",IF(LEFT(Y324,1)="J","Antiinfecciosos",IF(LEFT(Y324,1)="L","Oncológicos",IF(LEFT(Y324,1)="M","Musculoesquelético",IF(LEFT(Y324,1)="N","Sistema nervioso",IF(LEFT(Y324,1)="R","Respiratorio",IF(LEFT(Y324,1)="S","Oftálmico",IF(LEFT(Y324,1)="V","Varios","OTRO")))))))))))))</f>
        <v>Respiratorio</v>
      </c>
      <c r="AM324" t="str">
        <f>IF(AG324="Vigente","ACTIVO",IF(ISNUMBER(SEARCH("Inactivo",J324)),"INACTIVO","REVISAR"))</f>
        <v>ACTIVO</v>
      </c>
      <c r="AN324" t="str">
        <f ca="1">IF(OR(AF324="",AF324="null"),"",ROUND((AF324-TODAY())/365.25,2))</f>
        <v/>
      </c>
      <c r="AO324" t="str">
        <f ca="1">IF(AND(AG324="Vigente",OR(AF324="",AF324="null",AF324&gt;TODAY())),"SI",IF(AND(NOT(OR(AF324="",AF324="null")),AF324&lt;=TODAY()),"NO",IF(AG324="Vigente","SI","DESCONOCIDO")))</f>
        <v>SI</v>
      </c>
      <c r="AP324" t="str">
        <f>IF(AND(ISNUMBER(SEARCH("IMPORTAR",AA324)),ISNUMBER(SEARCH("FABRICAR",AA324))),"MIXTO",IF(ISNUMBER(SEARCH("IMPORTAR",AA324)),"IMPORTADO",IF(ISNUMBER(SEARCH("FABRICAR",AA324)),"LOCAL","OTRO")))</f>
        <v>IMPORTADO</v>
      </c>
      <c r="AQ324" t="str">
        <f>IF(AD324="Si","SI",IF(AD324="No","NO",""))</f>
        <v>SI</v>
      </c>
      <c r="AR324" t="str">
        <f>IF(ISNUMBER(SEARCH("®",N324)),"MARCA/INNOVADOR","GENERICO")</f>
        <v>GENERICO</v>
      </c>
      <c r="AS324">
        <f ca="1">IF(AE324&gt;100,RANDBETWEEN(500,5000),IF(AND(AE324&gt;=10,AE324&lt;=100),RANDBETWEEN(100,1000),RANDBETWEEN(10,200)))</f>
        <v>684</v>
      </c>
      <c r="AT324">
        <f t="shared" ca="1" si="27"/>
        <v>191</v>
      </c>
      <c r="AU324">
        <f ca="1">INT(AS324*RANDBETWEEN(120,200)/100)</f>
        <v>1231</v>
      </c>
      <c r="AV324" s="2">
        <f ca="1">IF(LEFT(Y324,1)="L",RANDBETWEEN(500000,5000000),IF(LEFT(Y324,1)="C",RANDBETWEEN(5000,50000),IF(LEFT(Y324,1)="N",RANDBETWEEN(10000,150000),IF(LEFT(Y324,1)="J",RANDBETWEEN(8000,200000),RANDBETWEEN(5000,100000)))))</f>
        <v>55601</v>
      </c>
      <c r="AW324" s="2">
        <f ca="1">INT(AV324*RANDBETWEEN(30,60)/100)</f>
        <v>25576</v>
      </c>
      <c r="AX324">
        <f ca="1">IF(Z324="ORAL",RANDBETWEEN(1000,10000),IF(OR(Z324="INTRAVENOSA",Z324="INTRAMUSCULAR"),RANDBETWEEN(100,2000),IF(OR(Z324="OFTÁLMICA",Z324="TOPICA (EXTERNA)"),RANDBETWEEN(200,3000),RANDBETWEEN(100,1500))))</f>
        <v>2499</v>
      </c>
      <c r="AY324" s="2">
        <f ca="1">INT(AV324*RANDBETWEEN(90,130)/100)</f>
        <v>62273</v>
      </c>
      <c r="AZ324" t="str">
        <f t="shared" ca="1" si="28"/>
        <v>15.1%</v>
      </c>
      <c r="BA324" t="str">
        <f t="shared" ca="1" si="29"/>
        <v>BAJO</v>
      </c>
    </row>
    <row r="325" spans="4:53" x14ac:dyDescent="0.35">
      <c r="D325" t="s">
        <v>2496</v>
      </c>
      <c r="E325" s="1">
        <v>41620</v>
      </c>
      <c r="F325" t="s">
        <v>2497</v>
      </c>
      <c r="G325" t="s">
        <v>108</v>
      </c>
      <c r="H325" t="s">
        <v>710</v>
      </c>
      <c r="I325">
        <v>20057197</v>
      </c>
      <c r="J325" t="s">
        <v>28</v>
      </c>
      <c r="K325">
        <v>9</v>
      </c>
      <c r="L325" t="s">
        <v>27</v>
      </c>
      <c r="M325" t="s">
        <v>1427</v>
      </c>
      <c r="N325" t="s">
        <v>1428</v>
      </c>
      <c r="O325" t="s">
        <v>2498</v>
      </c>
      <c r="P325" t="s">
        <v>33</v>
      </c>
      <c r="Q325" s="1">
        <v>41512</v>
      </c>
      <c r="R325" t="s">
        <v>33</v>
      </c>
      <c r="S325" t="s">
        <v>27</v>
      </c>
      <c r="T325" t="s">
        <v>947</v>
      </c>
      <c r="U325" t="s">
        <v>115</v>
      </c>
      <c r="V325" t="s">
        <v>162</v>
      </c>
      <c r="W325">
        <v>200</v>
      </c>
      <c r="X325">
        <v>20057197</v>
      </c>
      <c r="Y325" t="s">
        <v>164</v>
      </c>
      <c r="Z325" t="s">
        <v>119</v>
      </c>
      <c r="AA325" t="s">
        <v>24</v>
      </c>
      <c r="AB325" t="s">
        <v>120</v>
      </c>
      <c r="AC325" t="s">
        <v>25</v>
      </c>
      <c r="AD325" t="s">
        <v>121</v>
      </c>
      <c r="AE325">
        <v>100</v>
      </c>
      <c r="AF325" t="s">
        <v>27</v>
      </c>
      <c r="AG325" t="s">
        <v>26</v>
      </c>
      <c r="AH325" t="s">
        <v>2497</v>
      </c>
      <c r="AI325" t="str">
        <f t="shared" si="25"/>
        <v>NO</v>
      </c>
      <c r="AJ325" t="str">
        <f t="shared" si="26"/>
        <v>CLOSTER PHARMA</v>
      </c>
      <c r="AK325" t="str">
        <f>IF(ISNUMBER(SEARCH("FABRICANTE",AC325)),"FABRICANTE",IF(ISNUMBER(SEARCH("IMPORTADOR",AC325)),"IMPORTADOR","OTRO"))</f>
        <v>FABRICANTE</v>
      </c>
      <c r="AL325" t="str">
        <f>IF(LEFT(Y325,1)="A","Sistema digestivo",IF(LEFT(Y325,1)="B","Sangre",IF(LEFT(Y325,1)="C","Cardiovascular",IF(LEFT(Y325,1)="D","Dermatológico",IF(LEFT(Y325,1)="G","Genitourinario",IF(LEFT(Y325,1)="H","Hormonal",IF(LEFT(Y325,1)="J","Antiinfecciosos",IF(LEFT(Y325,1)="L","Oncológicos",IF(LEFT(Y325,1)="M","Musculoesquelético",IF(LEFT(Y325,1)="N","Sistema nervioso",IF(LEFT(Y325,1)="R","Respiratorio",IF(LEFT(Y325,1)="S","Oftálmico",IF(LEFT(Y325,1)="V","Varios","OTRO")))))))))))))</f>
        <v>Musculoesquelético</v>
      </c>
      <c r="AM325" t="str">
        <f>IF(AG325="Vigente","ACTIVO",IF(ISNUMBER(SEARCH("Inactivo",J325)),"INACTIVO","REVISAR"))</f>
        <v>ACTIVO</v>
      </c>
      <c r="AN325" t="str">
        <f ca="1">IF(OR(AF325="",AF325="null"),"",ROUND((AF325-TODAY())/365.25,2))</f>
        <v/>
      </c>
      <c r="AO325" t="str">
        <f ca="1">IF(AND(AG325="Vigente",OR(AF325="",AF325="null",AF325&gt;TODAY())),"SI",IF(AND(NOT(OR(AF325="",AF325="null")),AF325&lt;=TODAY()),"NO",IF(AG325="Vigente","SI","DESCONOCIDO")))</f>
        <v>SI</v>
      </c>
      <c r="AP325" t="str">
        <f>IF(AND(ISNUMBER(SEARCH("IMPORTAR",AA325)),ISNUMBER(SEARCH("FABRICAR",AA325))),"MIXTO",IF(ISNUMBER(SEARCH("IMPORTAR",AA325)),"IMPORTADO",IF(ISNUMBER(SEARCH("FABRICAR",AA325)),"LOCAL","OTRO")))</f>
        <v>LOCAL</v>
      </c>
      <c r="AQ325" t="str">
        <f>IF(AD325="Si","SI",IF(AD325="No","NO",""))</f>
        <v>NO</v>
      </c>
      <c r="AR325" t="str">
        <f>IF(ISNUMBER(SEARCH("®",N325)),"MARCA/INNOVADOR","GENERICO")</f>
        <v>MARCA/INNOVADOR</v>
      </c>
      <c r="AS325">
        <f ca="1">IF(AE325&gt;100,RANDBETWEEN(500,5000),IF(AND(AE325&gt;=10,AE325&lt;=100),RANDBETWEEN(100,1000),RANDBETWEEN(10,200)))</f>
        <v>620</v>
      </c>
      <c r="AT325">
        <f t="shared" ca="1" si="27"/>
        <v>142</v>
      </c>
      <c r="AU325">
        <f ca="1">INT(AS325*RANDBETWEEN(120,200)/100)</f>
        <v>768</v>
      </c>
      <c r="AV325" s="2">
        <f ca="1">IF(LEFT(Y325,1)="L",RANDBETWEEN(500000,5000000),IF(LEFT(Y325,1)="C",RANDBETWEEN(5000,50000),IF(LEFT(Y325,1)="N",RANDBETWEEN(10000,150000),IF(LEFT(Y325,1)="J",RANDBETWEEN(8000,200000),RANDBETWEEN(5000,100000)))))</f>
        <v>62512</v>
      </c>
      <c r="AW325" s="2">
        <f ca="1">INT(AV325*RANDBETWEEN(30,60)/100)</f>
        <v>33131</v>
      </c>
      <c r="AX325">
        <f ca="1">IF(Z325="ORAL",RANDBETWEEN(1000,10000),IF(OR(Z325="INTRAVENOSA",Z325="INTRAMUSCULAR"),RANDBETWEEN(100,2000),IF(OR(Z325="OFTÁLMICA",Z325="TOPICA (EXTERNA)"),RANDBETWEEN(200,3000),RANDBETWEEN(100,1500))))</f>
        <v>4097</v>
      </c>
      <c r="AY325" s="2">
        <f ca="1">INT(AV325*RANDBETWEEN(90,130)/100)</f>
        <v>81265</v>
      </c>
      <c r="AZ325" t="str">
        <f t="shared" ca="1" si="28"/>
        <v>24.1%</v>
      </c>
      <c r="BA325" t="str">
        <f t="shared" ca="1" si="29"/>
        <v>BAJO</v>
      </c>
    </row>
    <row r="326" spans="4:53" x14ac:dyDescent="0.35">
      <c r="D326" t="s">
        <v>2499</v>
      </c>
      <c r="E326" s="1">
        <v>45460</v>
      </c>
      <c r="F326" t="s">
        <v>2500</v>
      </c>
      <c r="G326" t="s">
        <v>108</v>
      </c>
      <c r="H326" t="s">
        <v>2501</v>
      </c>
      <c r="I326">
        <v>20212428</v>
      </c>
      <c r="J326" t="s">
        <v>28</v>
      </c>
      <c r="K326">
        <v>8</v>
      </c>
      <c r="L326" t="s">
        <v>27</v>
      </c>
      <c r="M326" t="s">
        <v>2502</v>
      </c>
      <c r="N326" t="s">
        <v>2503</v>
      </c>
      <c r="O326" t="s">
        <v>2504</v>
      </c>
      <c r="P326" t="s">
        <v>50</v>
      </c>
      <c r="Q326" s="1">
        <v>45813</v>
      </c>
      <c r="R326" t="s">
        <v>50</v>
      </c>
      <c r="S326" t="s">
        <v>27</v>
      </c>
      <c r="T326" t="s">
        <v>2501</v>
      </c>
      <c r="U326" t="s">
        <v>115</v>
      </c>
      <c r="V326" t="s">
        <v>2505</v>
      </c>
      <c r="W326">
        <v>10</v>
      </c>
      <c r="X326">
        <v>20212428</v>
      </c>
      <c r="Y326" t="s">
        <v>2506</v>
      </c>
      <c r="Z326" t="s">
        <v>260</v>
      </c>
      <c r="AA326" t="s">
        <v>32</v>
      </c>
      <c r="AB326" t="s">
        <v>133</v>
      </c>
      <c r="AC326" t="s">
        <v>25</v>
      </c>
      <c r="AD326" t="s">
        <v>121</v>
      </c>
      <c r="AE326">
        <v>20</v>
      </c>
      <c r="AF326" s="1">
        <v>47301</v>
      </c>
      <c r="AG326" t="s">
        <v>26</v>
      </c>
      <c r="AH326" t="s">
        <v>6780</v>
      </c>
      <c r="AI326" t="str">
        <f t="shared" si="25"/>
        <v>NO</v>
      </c>
      <c r="AJ326" t="str">
        <f t="shared" si="26"/>
        <v>ASPIRO PHARMA</v>
      </c>
      <c r="AK326" t="str">
        <f>IF(ISNUMBER(SEARCH("FABRICANTE",AC326)),"FABRICANTE",IF(ISNUMBER(SEARCH("IMPORTADOR",AC326)),"IMPORTADOR","OTRO"))</f>
        <v>FABRICANTE</v>
      </c>
      <c r="AL326" t="str">
        <f>IF(LEFT(Y326,1)="A","Sistema digestivo",IF(LEFT(Y326,1)="B","Sangre",IF(LEFT(Y326,1)="C","Cardiovascular",IF(LEFT(Y326,1)="D","Dermatológico",IF(LEFT(Y326,1)="G","Genitourinario",IF(LEFT(Y326,1)="H","Hormonal",IF(LEFT(Y326,1)="J","Antiinfecciosos",IF(LEFT(Y326,1)="L","Oncológicos",IF(LEFT(Y326,1)="M","Musculoesquelético",IF(LEFT(Y326,1)="N","Sistema nervioso",IF(LEFT(Y326,1)="R","Respiratorio",IF(LEFT(Y326,1)="S","Oftálmico",IF(LEFT(Y326,1)="V","Varios","OTRO")))))))))))))</f>
        <v>Musculoesquelético</v>
      </c>
      <c r="AM326" t="str">
        <f>IF(AG326="Vigente","ACTIVO",IF(ISNUMBER(SEARCH("Inactivo",J326)),"INACTIVO","REVISAR"))</f>
        <v>ACTIVO</v>
      </c>
      <c r="AN326">
        <f ca="1">IF(OR(AF326="",AF326="null"),"",ROUND((AF326-TODAY())/365.25,2))</f>
        <v>3.1</v>
      </c>
      <c r="AO326" t="str">
        <f ca="1">IF(AND(AG326="Vigente",OR(AF326="",AF326="null",AF326&gt;TODAY())),"SI",IF(AND(NOT(OR(AF326="",AF326="null")),AF326&lt;=TODAY()),"NO",IF(AG326="Vigente","SI","DESCONOCIDO")))</f>
        <v>SI</v>
      </c>
      <c r="AP326" t="str">
        <f>IF(AND(ISNUMBER(SEARCH("IMPORTAR",AA326)),ISNUMBER(SEARCH("FABRICAR",AA326))),"MIXTO",IF(ISNUMBER(SEARCH("IMPORTAR",AA326)),"IMPORTADO",IF(ISNUMBER(SEARCH("FABRICAR",AA326)),"LOCAL","OTRO")))</f>
        <v>IMPORTADO</v>
      </c>
      <c r="AQ326" t="str">
        <f>IF(AD326="Si","SI",IF(AD326="No","NO",""))</f>
        <v>NO</v>
      </c>
      <c r="AR326" t="str">
        <f>IF(ISNUMBER(SEARCH("®",N326)),"MARCA/INNOVADOR","GENERICO")</f>
        <v>MARCA/INNOVADOR</v>
      </c>
      <c r="AS326">
        <f ca="1">IF(AE326&gt;100,RANDBETWEEN(500,5000),IF(AND(AE326&gt;=10,AE326&lt;=100),RANDBETWEEN(100,1000),RANDBETWEEN(10,200)))</f>
        <v>605</v>
      </c>
      <c r="AT326">
        <f t="shared" ca="1" si="27"/>
        <v>108</v>
      </c>
      <c r="AU326">
        <f ca="1">INT(AS326*RANDBETWEEN(120,200)/100)</f>
        <v>774</v>
      </c>
      <c r="AV326" s="2">
        <f ca="1">IF(LEFT(Y326,1)="L",RANDBETWEEN(500000,5000000),IF(LEFT(Y326,1)="C",RANDBETWEEN(5000,50000),IF(LEFT(Y326,1)="N",RANDBETWEEN(10000,150000),IF(LEFT(Y326,1)="J",RANDBETWEEN(8000,200000),RANDBETWEEN(5000,100000)))))</f>
        <v>20327</v>
      </c>
      <c r="AW326" s="2">
        <f ca="1">INT(AV326*RANDBETWEEN(30,60)/100)</f>
        <v>6707</v>
      </c>
      <c r="AX326">
        <f ca="1">IF(Z326="ORAL",RANDBETWEEN(1000,10000),IF(OR(Z326="INTRAVENOSA",Z326="INTRAMUSCULAR"),RANDBETWEEN(100,2000),IF(OR(Z326="OFTÁLMICA",Z326="TOPICA (EXTERNA)"),RANDBETWEEN(200,3000),RANDBETWEEN(100,1500))))</f>
        <v>1480</v>
      </c>
      <c r="AY326" s="2">
        <f ca="1">INT(AV326*RANDBETWEEN(90,130)/100)</f>
        <v>19920</v>
      </c>
      <c r="AZ326" t="str">
        <f t="shared" ca="1" si="28"/>
        <v>4.3%</v>
      </c>
      <c r="BA326" t="str">
        <f t="shared" ca="1" si="29"/>
        <v>MEDIO</v>
      </c>
    </row>
    <row r="327" spans="4:53" x14ac:dyDescent="0.35">
      <c r="D327" t="s">
        <v>2507</v>
      </c>
      <c r="E327" s="1">
        <v>43158</v>
      </c>
      <c r="F327" t="s">
        <v>2508</v>
      </c>
      <c r="G327" t="s">
        <v>108</v>
      </c>
      <c r="H327" t="s">
        <v>821</v>
      </c>
      <c r="I327">
        <v>20131730</v>
      </c>
      <c r="J327" t="s">
        <v>28</v>
      </c>
      <c r="K327">
        <v>18</v>
      </c>
      <c r="L327" t="s">
        <v>2509</v>
      </c>
      <c r="M327" t="s">
        <v>2510</v>
      </c>
      <c r="N327" t="s">
        <v>2511</v>
      </c>
      <c r="O327" t="s">
        <v>2512</v>
      </c>
      <c r="P327" t="s">
        <v>2513</v>
      </c>
      <c r="Q327" s="1">
        <v>43610</v>
      </c>
      <c r="R327" t="s">
        <v>29</v>
      </c>
      <c r="S327" t="s">
        <v>27</v>
      </c>
      <c r="T327" t="s">
        <v>821</v>
      </c>
      <c r="U327" t="s">
        <v>115</v>
      </c>
      <c r="V327" t="s">
        <v>846</v>
      </c>
      <c r="W327" t="s">
        <v>2402</v>
      </c>
      <c r="X327">
        <v>20131730</v>
      </c>
      <c r="Y327" t="s">
        <v>847</v>
      </c>
      <c r="Z327" t="s">
        <v>119</v>
      </c>
      <c r="AA327" t="s">
        <v>848</v>
      </c>
      <c r="AB327" t="s">
        <v>120</v>
      </c>
      <c r="AC327" t="s">
        <v>38</v>
      </c>
      <c r="AD327" t="s">
        <v>155</v>
      </c>
      <c r="AE327">
        <v>10</v>
      </c>
      <c r="AF327" t="s">
        <v>27</v>
      </c>
      <c r="AG327" t="s">
        <v>26</v>
      </c>
      <c r="AH327" t="s">
        <v>2508</v>
      </c>
      <c r="AI327" t="str">
        <f t="shared" si="25"/>
        <v>NO</v>
      </c>
      <c r="AJ327" t="str">
        <f t="shared" si="26"/>
        <v>GRÜNENTHAL COLOMBIANA</v>
      </c>
      <c r="AK327" t="str">
        <f>IF(ISNUMBER(SEARCH("FABRICANTE",AC327)),"FABRICANTE",IF(ISNUMBER(SEARCH("IMPORTADOR",AC327)),"IMPORTADOR","OTRO"))</f>
        <v>IMPORTADOR</v>
      </c>
      <c r="AL327" t="str">
        <f>IF(LEFT(Y327,1)="A","Sistema digestivo",IF(LEFT(Y327,1)="B","Sangre",IF(LEFT(Y327,1)="C","Cardiovascular",IF(LEFT(Y327,1)="D","Dermatológico",IF(LEFT(Y327,1)="G","Genitourinario",IF(LEFT(Y327,1)="H","Hormonal",IF(LEFT(Y327,1)="J","Antiinfecciosos",IF(LEFT(Y327,1)="L","Oncológicos",IF(LEFT(Y327,1)="M","Musculoesquelético",IF(LEFT(Y327,1)="N","Sistema nervioso",IF(LEFT(Y327,1)="R","Respiratorio",IF(LEFT(Y327,1)="S","Oftálmico",IF(LEFT(Y327,1)="V","Varios","OTRO")))))))))))))</f>
        <v>Sistema nervioso</v>
      </c>
      <c r="AM327" t="str">
        <f>IF(AG327="Vigente","ACTIVO",IF(ISNUMBER(SEARCH("Inactivo",J327)),"INACTIVO","REVISAR"))</f>
        <v>ACTIVO</v>
      </c>
      <c r="AN327" t="str">
        <f ca="1">IF(OR(AF327="",AF327="null"),"",ROUND((AF327-TODAY())/365.25,2))</f>
        <v/>
      </c>
      <c r="AO327" t="str">
        <f ca="1">IF(AND(AG327="Vigente",OR(AF327="",AF327="null",AF327&gt;TODAY())),"SI",IF(AND(NOT(OR(AF327="",AF327="null")),AF327&lt;=TODAY()),"NO",IF(AG327="Vigente","SI","DESCONOCIDO")))</f>
        <v>SI</v>
      </c>
      <c r="AP327" t="str">
        <f>IF(AND(ISNUMBER(SEARCH("IMPORTAR",AA327)),ISNUMBER(SEARCH("FABRICAR",AA327))),"MIXTO",IF(ISNUMBER(SEARCH("IMPORTAR",AA327)),"IMPORTADO",IF(ISNUMBER(SEARCH("FABRICAR",AA327)),"LOCAL","OTRO")))</f>
        <v>IMPORTADO</v>
      </c>
      <c r="AQ327" t="str">
        <f>IF(AD327="Si","SI",IF(AD327="No","NO",""))</f>
        <v>SI</v>
      </c>
      <c r="AR327" t="str">
        <f>IF(ISNUMBER(SEARCH("®",N327)),"MARCA/INNOVADOR","GENERICO")</f>
        <v>MARCA/INNOVADOR</v>
      </c>
      <c r="AS327">
        <f ca="1">IF(AE327&gt;100,RANDBETWEEN(500,5000),IF(AND(AE327&gt;=10,AE327&lt;=100),RANDBETWEEN(100,1000),RANDBETWEEN(10,200)))</f>
        <v>802</v>
      </c>
      <c r="AT327">
        <f t="shared" ca="1" si="27"/>
        <v>152</v>
      </c>
      <c r="AU327">
        <f ca="1">INT(AS327*RANDBETWEEN(120,200)/100)</f>
        <v>1475</v>
      </c>
      <c r="AV327" s="2">
        <f ca="1">IF(LEFT(Y327,1)="L",RANDBETWEEN(500000,5000000),IF(LEFT(Y327,1)="C",RANDBETWEEN(5000,50000),IF(LEFT(Y327,1)="N",RANDBETWEEN(10000,150000),IF(LEFT(Y327,1)="J",RANDBETWEEN(8000,200000),RANDBETWEEN(5000,100000)))))</f>
        <v>144038</v>
      </c>
      <c r="AW327" s="2">
        <f ca="1">INT(AV327*RANDBETWEEN(30,60)/100)</f>
        <v>54734</v>
      </c>
      <c r="AX327">
        <f ca="1">IF(Z327="ORAL",RANDBETWEEN(1000,10000),IF(OR(Z327="INTRAVENOSA",Z327="INTRAMUSCULAR"),RANDBETWEEN(100,2000),IF(OR(Z327="OFTÁLMICA",Z327="TOPICA (EXTERNA)"),RANDBETWEEN(200,3000),RANDBETWEEN(100,1500))))</f>
        <v>3914</v>
      </c>
      <c r="AY327" s="2">
        <f ca="1">INT(AV327*RANDBETWEEN(90,130)/100)</f>
        <v>159882</v>
      </c>
      <c r="AZ327" t="str">
        <f t="shared" ca="1" si="28"/>
        <v>13.6%</v>
      </c>
      <c r="BA327" t="str">
        <f t="shared" ca="1" si="29"/>
        <v>BAJO</v>
      </c>
    </row>
    <row r="328" spans="4:53" x14ac:dyDescent="0.35">
      <c r="D328" t="s">
        <v>2514</v>
      </c>
      <c r="E328" s="1">
        <v>40966</v>
      </c>
      <c r="F328" t="s">
        <v>2515</v>
      </c>
      <c r="G328" t="s">
        <v>108</v>
      </c>
      <c r="H328" t="s">
        <v>253</v>
      </c>
      <c r="I328">
        <v>20030605</v>
      </c>
      <c r="J328" t="s">
        <v>110</v>
      </c>
      <c r="K328">
        <v>4</v>
      </c>
      <c r="L328" t="s">
        <v>27</v>
      </c>
      <c r="M328" t="s">
        <v>254</v>
      </c>
      <c r="N328" t="s">
        <v>255</v>
      </c>
      <c r="O328" t="s">
        <v>313</v>
      </c>
      <c r="P328" t="s">
        <v>257</v>
      </c>
      <c r="Q328" s="1">
        <v>40847</v>
      </c>
      <c r="R328" t="s">
        <v>258</v>
      </c>
      <c r="S328" s="1">
        <v>45642</v>
      </c>
      <c r="T328" t="s">
        <v>253</v>
      </c>
      <c r="U328" t="s">
        <v>247</v>
      </c>
      <c r="V328" t="s">
        <v>64</v>
      </c>
      <c r="W328" s="2">
        <v>3184</v>
      </c>
      <c r="X328">
        <v>20030605</v>
      </c>
      <c r="Y328" t="s">
        <v>259</v>
      </c>
      <c r="Z328" t="s">
        <v>260</v>
      </c>
      <c r="AA328" t="s">
        <v>32</v>
      </c>
      <c r="AB328" t="s">
        <v>120</v>
      </c>
      <c r="AC328" t="s">
        <v>25</v>
      </c>
      <c r="AD328" t="s">
        <v>121</v>
      </c>
      <c r="AE328">
        <v>5</v>
      </c>
      <c r="AF328" t="s">
        <v>27</v>
      </c>
      <c r="AG328" t="s">
        <v>26</v>
      </c>
      <c r="AH328" t="s">
        <v>6781</v>
      </c>
      <c r="AI328" t="str">
        <f t="shared" si="25"/>
        <v>SI</v>
      </c>
      <c r="AJ328" t="str">
        <f t="shared" si="26"/>
        <v>B. BRAUN MELSUNGEN</v>
      </c>
      <c r="AK328" t="str">
        <f>IF(ISNUMBER(SEARCH("FABRICANTE",AC328)),"FABRICANTE",IF(ISNUMBER(SEARCH("IMPORTADOR",AC328)),"IMPORTADOR","OTRO"))</f>
        <v>FABRICANTE</v>
      </c>
      <c r="AL328" t="str">
        <f>IF(LEFT(Y328,1)="A","Sistema digestivo",IF(LEFT(Y328,1)="B","Sangre",IF(LEFT(Y328,1)="C","Cardiovascular",IF(LEFT(Y328,1)="D","Dermatológico",IF(LEFT(Y328,1)="G","Genitourinario",IF(LEFT(Y328,1)="H","Hormonal",IF(LEFT(Y328,1)="J","Antiinfecciosos",IF(LEFT(Y328,1)="L","Oncológicos",IF(LEFT(Y328,1)="M","Musculoesquelético",IF(LEFT(Y328,1)="N","Sistema nervioso",IF(LEFT(Y328,1)="R","Respiratorio",IF(LEFT(Y328,1)="S","Oftálmico",IF(LEFT(Y328,1)="V","Varios","OTRO")))))))))))))</f>
        <v>Sangre</v>
      </c>
      <c r="AM328" t="str">
        <f>IF(AG328="Vigente","ACTIVO",IF(ISNUMBER(SEARCH("Inactivo",J328)),"INACTIVO","REVISAR"))</f>
        <v>ACTIVO</v>
      </c>
      <c r="AN328" t="str">
        <f ca="1">IF(OR(AF328="",AF328="null"),"",ROUND((AF328-TODAY())/365.25,2))</f>
        <v/>
      </c>
      <c r="AO328" t="str">
        <f ca="1">IF(AND(AG328="Vigente",OR(AF328="",AF328="null",AF328&gt;TODAY())),"SI",IF(AND(NOT(OR(AF328="",AF328="null")),AF328&lt;=TODAY()),"NO",IF(AG328="Vigente","SI","DESCONOCIDO")))</f>
        <v>SI</v>
      </c>
      <c r="AP328" t="str">
        <f>IF(AND(ISNUMBER(SEARCH("IMPORTAR",AA328)),ISNUMBER(SEARCH("FABRICAR",AA328))),"MIXTO",IF(ISNUMBER(SEARCH("IMPORTAR",AA328)),"IMPORTADO",IF(ISNUMBER(SEARCH("FABRICAR",AA328)),"LOCAL","OTRO")))</f>
        <v>IMPORTADO</v>
      </c>
      <c r="AQ328" t="str">
        <f>IF(AD328="Si","SI",IF(AD328="No","NO",""))</f>
        <v>NO</v>
      </c>
      <c r="AR328" t="str">
        <f>IF(ISNUMBER(SEARCH("®",N328)),"MARCA/INNOVADOR","GENERICO")</f>
        <v>MARCA/INNOVADOR</v>
      </c>
      <c r="AS328">
        <f ca="1">IF(AE328&gt;100,RANDBETWEEN(500,5000),IF(AND(AE328&gt;=10,AE328&lt;=100),RANDBETWEEN(100,1000),RANDBETWEEN(10,200)))</f>
        <v>46</v>
      </c>
      <c r="AT328">
        <f t="shared" ca="1" si="27"/>
        <v>11</v>
      </c>
      <c r="AU328">
        <f ca="1">INT(AS328*RANDBETWEEN(120,200)/100)</f>
        <v>90</v>
      </c>
      <c r="AV328" s="2">
        <f ca="1">IF(LEFT(Y328,1)="L",RANDBETWEEN(500000,5000000),IF(LEFT(Y328,1)="C",RANDBETWEEN(5000,50000),IF(LEFT(Y328,1)="N",RANDBETWEEN(10000,150000),IF(LEFT(Y328,1)="J",RANDBETWEEN(8000,200000),RANDBETWEEN(5000,100000)))))</f>
        <v>12395</v>
      </c>
      <c r="AW328" s="2">
        <f ca="1">INT(AV328*RANDBETWEEN(30,60)/100)</f>
        <v>4462</v>
      </c>
      <c r="AX328">
        <f ca="1">IF(Z328="ORAL",RANDBETWEEN(1000,10000),IF(OR(Z328="INTRAVENOSA",Z328="INTRAMUSCULAR"),RANDBETWEEN(100,2000),IF(OR(Z328="OFTÁLMICA",Z328="TOPICA (EXTERNA)"),RANDBETWEEN(200,3000),RANDBETWEEN(100,1500))))</f>
        <v>1934</v>
      </c>
      <c r="AY328" s="2">
        <f ca="1">INT(AV328*RANDBETWEEN(90,130)/100)</f>
        <v>11155</v>
      </c>
      <c r="AZ328" t="str">
        <f t="shared" ca="1" si="28"/>
        <v>0.6%</v>
      </c>
      <c r="BA328" t="str">
        <f t="shared" ca="1" si="29"/>
        <v>ALTO</v>
      </c>
    </row>
    <row r="329" spans="4:53" x14ac:dyDescent="0.35">
      <c r="D329" t="s">
        <v>2516</v>
      </c>
      <c r="E329" s="1">
        <v>36231</v>
      </c>
      <c r="F329" t="s">
        <v>2517</v>
      </c>
      <c r="G329" t="s">
        <v>108</v>
      </c>
      <c r="H329" t="s">
        <v>2518</v>
      </c>
      <c r="I329">
        <v>33232</v>
      </c>
      <c r="J329" t="s">
        <v>28</v>
      </c>
      <c r="K329">
        <v>8</v>
      </c>
      <c r="L329" t="s">
        <v>2519</v>
      </c>
      <c r="M329" t="s">
        <v>2520</v>
      </c>
      <c r="N329" t="s">
        <v>2521</v>
      </c>
      <c r="O329" t="s">
        <v>2522</v>
      </c>
      <c r="P329" t="s">
        <v>29</v>
      </c>
      <c r="Q329" s="1">
        <v>42710</v>
      </c>
      <c r="R329" t="s">
        <v>29</v>
      </c>
      <c r="S329" t="s">
        <v>27</v>
      </c>
      <c r="T329" t="s">
        <v>2523</v>
      </c>
      <c r="U329" t="s">
        <v>115</v>
      </c>
      <c r="V329" t="s">
        <v>1116</v>
      </c>
      <c r="W329">
        <v>500</v>
      </c>
      <c r="X329">
        <v>33232</v>
      </c>
      <c r="Y329" t="s">
        <v>1118</v>
      </c>
      <c r="Z329" t="s">
        <v>119</v>
      </c>
      <c r="AA329" t="s">
        <v>32</v>
      </c>
      <c r="AB329" t="s">
        <v>120</v>
      </c>
      <c r="AC329" t="s">
        <v>25</v>
      </c>
      <c r="AD329" t="s">
        <v>155</v>
      </c>
      <c r="AE329">
        <v>10</v>
      </c>
      <c r="AF329" t="s">
        <v>27</v>
      </c>
      <c r="AG329" t="s">
        <v>26</v>
      </c>
      <c r="AH329" t="s">
        <v>343</v>
      </c>
      <c r="AI329" t="str">
        <f t="shared" si="25"/>
        <v>NO</v>
      </c>
      <c r="AJ329" t="str">
        <f t="shared" si="26"/>
        <v>OPELLA HEALTHCARE COLOMBIA</v>
      </c>
      <c r="AK329" t="str">
        <f>IF(ISNUMBER(SEARCH("FABRICANTE",AC329)),"FABRICANTE",IF(ISNUMBER(SEARCH("IMPORTADOR",AC329)),"IMPORTADOR","OTRO"))</f>
        <v>FABRICANTE</v>
      </c>
      <c r="AL329" t="str">
        <f>IF(LEFT(Y329,1)="A","Sistema digestivo",IF(LEFT(Y329,1)="B","Sangre",IF(LEFT(Y329,1)="C","Cardiovascular",IF(LEFT(Y329,1)="D","Dermatológico",IF(LEFT(Y329,1)="G","Genitourinario",IF(LEFT(Y329,1)="H","Hormonal",IF(LEFT(Y329,1)="J","Antiinfecciosos",IF(LEFT(Y329,1)="L","Oncológicos",IF(LEFT(Y329,1)="M","Musculoesquelético",IF(LEFT(Y329,1)="N","Sistema nervioso",IF(LEFT(Y329,1)="R","Respiratorio",IF(LEFT(Y329,1)="S","Oftálmico",IF(LEFT(Y329,1)="V","Varios","OTRO")))))))))))))</f>
        <v>Sistema nervioso</v>
      </c>
      <c r="AM329" t="str">
        <f>IF(AG329="Vigente","ACTIVO",IF(ISNUMBER(SEARCH("Inactivo",J329)),"INACTIVO","REVISAR"))</f>
        <v>ACTIVO</v>
      </c>
      <c r="AN329" t="str">
        <f ca="1">IF(OR(AF329="",AF329="null"),"",ROUND((AF329-TODAY())/365.25,2))</f>
        <v/>
      </c>
      <c r="AO329" t="str">
        <f ca="1">IF(AND(AG329="Vigente",OR(AF329="",AF329="null",AF329&gt;TODAY())),"SI",IF(AND(NOT(OR(AF329="",AF329="null")),AF329&lt;=TODAY()),"NO",IF(AG329="Vigente","SI","DESCONOCIDO")))</f>
        <v>SI</v>
      </c>
      <c r="AP329" t="str">
        <f>IF(AND(ISNUMBER(SEARCH("IMPORTAR",AA329)),ISNUMBER(SEARCH("FABRICAR",AA329))),"MIXTO",IF(ISNUMBER(SEARCH("IMPORTAR",AA329)),"IMPORTADO",IF(ISNUMBER(SEARCH("FABRICAR",AA329)),"LOCAL","OTRO")))</f>
        <v>IMPORTADO</v>
      </c>
      <c r="AQ329" t="str">
        <f>IF(AD329="Si","SI",IF(AD329="No","NO",""))</f>
        <v>SI</v>
      </c>
      <c r="AR329" t="str">
        <f>IF(ISNUMBER(SEARCH("®",N329)),"MARCA/INNOVADOR","GENERICO")</f>
        <v>GENERICO</v>
      </c>
      <c r="AS329">
        <f ca="1">IF(AE329&gt;100,RANDBETWEEN(500,5000),IF(AND(AE329&gt;=10,AE329&lt;=100),RANDBETWEEN(100,1000),RANDBETWEEN(10,200)))</f>
        <v>307</v>
      </c>
      <c r="AT329">
        <f t="shared" ca="1" si="27"/>
        <v>30</v>
      </c>
      <c r="AU329">
        <f ca="1">INT(AS329*RANDBETWEEN(120,200)/100)</f>
        <v>439</v>
      </c>
      <c r="AV329" s="2">
        <f ca="1">IF(LEFT(Y329,1)="L",RANDBETWEEN(500000,5000000),IF(LEFT(Y329,1)="C",RANDBETWEEN(5000,50000),IF(LEFT(Y329,1)="N",RANDBETWEEN(10000,150000),IF(LEFT(Y329,1)="J",RANDBETWEEN(8000,200000),RANDBETWEEN(5000,100000)))))</f>
        <v>142860</v>
      </c>
      <c r="AW329" s="2">
        <f ca="1">INT(AV329*RANDBETWEEN(30,60)/100)</f>
        <v>85716</v>
      </c>
      <c r="AX329">
        <f ca="1">IF(Z329="ORAL",RANDBETWEEN(1000,10000),IF(OR(Z329="INTRAVENOSA",Z329="INTRAMUSCULAR"),RANDBETWEEN(100,2000),IF(OR(Z329="OFTÁLMICA",Z329="TOPICA (EXTERNA)"),RANDBETWEEN(200,3000),RANDBETWEEN(100,1500))))</f>
        <v>4934</v>
      </c>
      <c r="AY329" s="2">
        <f ca="1">INT(AV329*RANDBETWEEN(90,130)/100)</f>
        <v>177146</v>
      </c>
      <c r="AZ329" t="str">
        <f t="shared" ca="1" si="28"/>
        <v>10.8%</v>
      </c>
      <c r="BA329" t="str">
        <f t="shared" ca="1" si="29"/>
        <v>BAJO</v>
      </c>
    </row>
    <row r="330" spans="4:53" x14ac:dyDescent="0.35">
      <c r="D330" t="s">
        <v>2524</v>
      </c>
      <c r="E330" s="1">
        <v>37460</v>
      </c>
      <c r="F330" t="s">
        <v>2525</v>
      </c>
      <c r="G330" t="s">
        <v>108</v>
      </c>
      <c r="H330" t="s">
        <v>1205</v>
      </c>
      <c r="I330">
        <v>19925167</v>
      </c>
      <c r="J330" t="s">
        <v>28</v>
      </c>
      <c r="K330">
        <v>24</v>
      </c>
      <c r="L330" t="s">
        <v>27</v>
      </c>
      <c r="M330" t="s">
        <v>2526</v>
      </c>
      <c r="N330" t="s">
        <v>2527</v>
      </c>
      <c r="O330" t="s">
        <v>2528</v>
      </c>
      <c r="P330" t="s">
        <v>1731</v>
      </c>
      <c r="Q330" s="1">
        <v>41667</v>
      </c>
      <c r="R330" t="s">
        <v>78</v>
      </c>
      <c r="S330" t="s">
        <v>27</v>
      </c>
      <c r="T330" t="s">
        <v>991</v>
      </c>
      <c r="U330" t="s">
        <v>247</v>
      </c>
      <c r="V330" t="s">
        <v>1362</v>
      </c>
      <c r="W330">
        <v>15</v>
      </c>
      <c r="X330">
        <v>19925167</v>
      </c>
      <c r="Y330" t="s">
        <v>1363</v>
      </c>
      <c r="Z330" t="s">
        <v>119</v>
      </c>
      <c r="AA330" t="s">
        <v>24</v>
      </c>
      <c r="AB330" t="s">
        <v>250</v>
      </c>
      <c r="AC330" t="s">
        <v>25</v>
      </c>
      <c r="AD330" t="s">
        <v>155</v>
      </c>
      <c r="AE330">
        <v>1</v>
      </c>
      <c r="AF330" t="s">
        <v>27</v>
      </c>
      <c r="AG330" t="s">
        <v>26</v>
      </c>
      <c r="AH330" t="s">
        <v>6782</v>
      </c>
      <c r="AI330" t="str">
        <f t="shared" si="25"/>
        <v>SI</v>
      </c>
      <c r="AJ330" t="str">
        <f t="shared" si="26"/>
        <v>FARMA DE COLOMBIA</v>
      </c>
      <c r="AK330" t="str">
        <f>IF(ISNUMBER(SEARCH("FABRICANTE",AC330)),"FABRICANTE",IF(ISNUMBER(SEARCH("IMPORTADOR",AC330)),"IMPORTADOR","OTRO"))</f>
        <v>FABRICANTE</v>
      </c>
      <c r="AL330" t="str">
        <f>IF(LEFT(Y330,1)="A","Sistema digestivo",IF(LEFT(Y330,1)="B","Sangre",IF(LEFT(Y330,1)="C","Cardiovascular",IF(LEFT(Y330,1)="D","Dermatológico",IF(LEFT(Y330,1)="G","Genitourinario",IF(LEFT(Y330,1)="H","Hormonal",IF(LEFT(Y330,1)="J","Antiinfecciosos",IF(LEFT(Y330,1)="L","Oncológicos",IF(LEFT(Y330,1)="M","Musculoesquelético",IF(LEFT(Y330,1)="N","Sistema nervioso",IF(LEFT(Y330,1)="R","Respiratorio",IF(LEFT(Y330,1)="S","Oftálmico",IF(LEFT(Y330,1)="V","Varios","OTRO")))))))))))))</f>
        <v>Sistema digestivo</v>
      </c>
      <c r="AM330" t="str">
        <f>IF(AG330="Vigente","ACTIVO",IF(ISNUMBER(SEARCH("Inactivo",J330)),"INACTIVO","REVISAR"))</f>
        <v>ACTIVO</v>
      </c>
      <c r="AN330" t="str">
        <f ca="1">IF(OR(AF330="",AF330="null"),"",ROUND((AF330-TODAY())/365.25,2))</f>
        <v/>
      </c>
      <c r="AO330" t="str">
        <f ca="1">IF(AND(AG330="Vigente",OR(AF330="",AF330="null",AF330&gt;TODAY())),"SI",IF(AND(NOT(OR(AF330="",AF330="null")),AF330&lt;=TODAY()),"NO",IF(AG330="Vigente","SI","DESCONOCIDO")))</f>
        <v>SI</v>
      </c>
      <c r="AP330" t="str">
        <f>IF(AND(ISNUMBER(SEARCH("IMPORTAR",AA330)),ISNUMBER(SEARCH("FABRICAR",AA330))),"MIXTO",IF(ISNUMBER(SEARCH("IMPORTAR",AA330)),"IMPORTADO",IF(ISNUMBER(SEARCH("FABRICAR",AA330)),"LOCAL","OTRO")))</f>
        <v>LOCAL</v>
      </c>
      <c r="AQ330" t="str">
        <f>IF(AD330="Si","SI",IF(AD330="No","NO",""))</f>
        <v>SI</v>
      </c>
      <c r="AR330" t="str">
        <f>IF(ISNUMBER(SEARCH("®",N330)),"MARCA/INNOVADOR","GENERICO")</f>
        <v>MARCA/INNOVADOR</v>
      </c>
      <c r="AS330">
        <f ca="1">IF(AE330&gt;100,RANDBETWEEN(500,5000),IF(AND(AE330&gt;=10,AE330&lt;=100),RANDBETWEEN(100,1000),RANDBETWEEN(10,200)))</f>
        <v>173</v>
      </c>
      <c r="AT330">
        <f t="shared" ca="1" si="27"/>
        <v>51</v>
      </c>
      <c r="AU330">
        <f ca="1">INT(AS330*RANDBETWEEN(120,200)/100)</f>
        <v>278</v>
      </c>
      <c r="AV330" s="2">
        <f ca="1">IF(LEFT(Y330,1)="L",RANDBETWEEN(500000,5000000),IF(LEFT(Y330,1)="C",RANDBETWEEN(5000,50000),IF(LEFT(Y330,1)="N",RANDBETWEEN(10000,150000),IF(LEFT(Y330,1)="J",RANDBETWEEN(8000,200000),RANDBETWEEN(5000,100000)))))</f>
        <v>82769</v>
      </c>
      <c r="AW330" s="2">
        <f ca="1">INT(AV330*RANDBETWEEN(30,60)/100)</f>
        <v>44695</v>
      </c>
      <c r="AX330">
        <f ca="1">IF(Z330="ORAL",RANDBETWEEN(1000,10000),IF(OR(Z330="INTRAVENOSA",Z330="INTRAMUSCULAR"),RANDBETWEEN(100,2000),IF(OR(Z330="OFTÁLMICA",Z330="TOPICA (EXTERNA)"),RANDBETWEEN(200,3000),RANDBETWEEN(100,1500))))</f>
        <v>7782</v>
      </c>
      <c r="AY330" s="2">
        <f ca="1">INT(AV330*RANDBETWEEN(90,130)/100)</f>
        <v>76147</v>
      </c>
      <c r="AZ330" t="str">
        <f t="shared" ca="1" si="28"/>
        <v>6.2%</v>
      </c>
      <c r="BA330" t="str">
        <f t="shared" ca="1" si="29"/>
        <v>BAJO</v>
      </c>
    </row>
    <row r="331" spans="4:53" x14ac:dyDescent="0.35">
      <c r="D331" t="s">
        <v>2529</v>
      </c>
      <c r="E331" s="1">
        <v>37040</v>
      </c>
      <c r="F331" t="s">
        <v>2530</v>
      </c>
      <c r="G331" t="s">
        <v>108</v>
      </c>
      <c r="H331" t="s">
        <v>2531</v>
      </c>
      <c r="I331">
        <v>19908307</v>
      </c>
      <c r="J331" t="s">
        <v>28</v>
      </c>
      <c r="K331">
        <v>3</v>
      </c>
      <c r="L331" t="s">
        <v>27</v>
      </c>
      <c r="M331" t="s">
        <v>2532</v>
      </c>
      <c r="N331" t="s">
        <v>2533</v>
      </c>
      <c r="O331" t="s">
        <v>2534</v>
      </c>
      <c r="P331" t="s">
        <v>659</v>
      </c>
      <c r="Q331" s="1">
        <v>40577</v>
      </c>
      <c r="R331" t="s">
        <v>37</v>
      </c>
      <c r="S331" t="s">
        <v>27</v>
      </c>
      <c r="T331" t="s">
        <v>1646</v>
      </c>
      <c r="U331" t="s">
        <v>115</v>
      </c>
      <c r="V331" t="s">
        <v>2365</v>
      </c>
      <c r="W331">
        <v>20</v>
      </c>
      <c r="X331">
        <v>19908307</v>
      </c>
      <c r="Y331" t="s">
        <v>2367</v>
      </c>
      <c r="Z331" t="s">
        <v>119</v>
      </c>
      <c r="AA331" t="s">
        <v>165</v>
      </c>
      <c r="AB331" t="s">
        <v>120</v>
      </c>
      <c r="AC331" t="s">
        <v>25</v>
      </c>
      <c r="AD331" t="s">
        <v>121</v>
      </c>
      <c r="AE331">
        <v>30</v>
      </c>
      <c r="AF331" t="s">
        <v>27</v>
      </c>
      <c r="AG331" t="s">
        <v>26</v>
      </c>
      <c r="AH331" t="s">
        <v>2365</v>
      </c>
      <c r="AI331" t="str">
        <f t="shared" si="25"/>
        <v>SI</v>
      </c>
      <c r="AJ331" t="str">
        <f t="shared" si="26"/>
        <v>BIOQUIFAR PHARMACEUTICA</v>
      </c>
      <c r="AK331" t="str">
        <f>IF(ISNUMBER(SEARCH("FABRICANTE",AC331)),"FABRICANTE",IF(ISNUMBER(SEARCH("IMPORTADOR",AC331)),"IMPORTADOR","OTRO"))</f>
        <v>FABRICANTE</v>
      </c>
      <c r="AL331" t="str">
        <f>IF(LEFT(Y331,1)="A","Sistema digestivo",IF(LEFT(Y331,1)="B","Sangre",IF(LEFT(Y331,1)="C","Cardiovascular",IF(LEFT(Y331,1)="D","Dermatológico",IF(LEFT(Y331,1)="G","Genitourinario",IF(LEFT(Y331,1)="H","Hormonal",IF(LEFT(Y331,1)="J","Antiinfecciosos",IF(LEFT(Y331,1)="L","Oncológicos",IF(LEFT(Y331,1)="M","Musculoesquelético",IF(LEFT(Y331,1)="N","Sistema nervioso",IF(LEFT(Y331,1)="R","Respiratorio",IF(LEFT(Y331,1)="S","Oftálmico",IF(LEFT(Y331,1)="V","Varios","OTRO")))))))))))))</f>
        <v>Sistema digestivo</v>
      </c>
      <c r="AM331" t="str">
        <f>IF(AG331="Vigente","ACTIVO",IF(ISNUMBER(SEARCH("Inactivo",J331)),"INACTIVO","REVISAR"))</f>
        <v>ACTIVO</v>
      </c>
      <c r="AN331" t="str">
        <f ca="1">IF(OR(AF331="",AF331="null"),"",ROUND((AF331-TODAY())/365.25,2))</f>
        <v/>
      </c>
      <c r="AO331" t="str">
        <f ca="1">IF(AND(AG331="Vigente",OR(AF331="",AF331="null",AF331&gt;TODAY())),"SI",IF(AND(NOT(OR(AF331="",AF331="null")),AF331&lt;=TODAY()),"NO",IF(AG331="Vigente","SI","DESCONOCIDO")))</f>
        <v>SI</v>
      </c>
      <c r="AP331" t="str">
        <f>IF(AND(ISNUMBER(SEARCH("IMPORTAR",AA331)),ISNUMBER(SEARCH("FABRICAR",AA331))),"MIXTO",IF(ISNUMBER(SEARCH("IMPORTAR",AA331)),"IMPORTADO",IF(ISNUMBER(SEARCH("FABRICAR",AA331)),"LOCAL","OTRO")))</f>
        <v>IMPORTADO</v>
      </c>
      <c r="AQ331" t="str">
        <f>IF(AD331="Si","SI",IF(AD331="No","NO",""))</f>
        <v>NO</v>
      </c>
      <c r="AR331" t="str">
        <f>IF(ISNUMBER(SEARCH("®",N331)),"MARCA/INNOVADOR","GENERICO")</f>
        <v>GENERICO</v>
      </c>
      <c r="AS331">
        <f ca="1">IF(AE331&gt;100,RANDBETWEEN(500,5000),IF(AND(AE331&gt;=10,AE331&lt;=100),RANDBETWEEN(100,1000),RANDBETWEEN(10,200)))</f>
        <v>622</v>
      </c>
      <c r="AT331">
        <f t="shared" ca="1" si="27"/>
        <v>180</v>
      </c>
      <c r="AU331">
        <f ca="1">INT(AS331*RANDBETWEEN(120,200)/100)</f>
        <v>858</v>
      </c>
      <c r="AV331" s="2">
        <f ca="1">IF(LEFT(Y331,1)="L",RANDBETWEEN(500000,5000000),IF(LEFT(Y331,1)="C",RANDBETWEEN(5000,50000),IF(LEFT(Y331,1)="N",RANDBETWEEN(10000,150000),IF(LEFT(Y331,1)="J",RANDBETWEEN(8000,200000),RANDBETWEEN(5000,100000)))))</f>
        <v>7460</v>
      </c>
      <c r="AW331" s="2">
        <f ca="1">INT(AV331*RANDBETWEEN(30,60)/100)</f>
        <v>3804</v>
      </c>
      <c r="AX331">
        <f ca="1">IF(Z331="ORAL",RANDBETWEEN(1000,10000),IF(OR(Z331="INTRAVENOSA",Z331="INTRAMUSCULAR"),RANDBETWEEN(100,2000),IF(OR(Z331="OFTÁLMICA",Z331="TOPICA (EXTERNA)"),RANDBETWEEN(200,3000),RANDBETWEEN(100,1500))))</f>
        <v>4133</v>
      </c>
      <c r="AY331" s="2">
        <f ca="1">INT(AV331*RANDBETWEEN(90,130)/100)</f>
        <v>7385</v>
      </c>
      <c r="AZ331" t="str">
        <f t="shared" ca="1" si="28"/>
        <v>9.3%</v>
      </c>
      <c r="BA331" t="str">
        <f t="shared" ca="1" si="29"/>
        <v>BAJO</v>
      </c>
    </row>
    <row r="332" spans="4:53" x14ac:dyDescent="0.35">
      <c r="D332" t="s">
        <v>2535</v>
      </c>
      <c r="E332" s="1">
        <v>42354</v>
      </c>
      <c r="F332" t="s">
        <v>2536</v>
      </c>
      <c r="G332" t="s">
        <v>108</v>
      </c>
      <c r="H332" t="s">
        <v>2537</v>
      </c>
      <c r="I332">
        <v>20082633</v>
      </c>
      <c r="J332" t="s">
        <v>28</v>
      </c>
      <c r="K332">
        <v>3</v>
      </c>
      <c r="L332" t="s">
        <v>27</v>
      </c>
      <c r="M332" t="s">
        <v>2538</v>
      </c>
      <c r="N332" t="s">
        <v>2539</v>
      </c>
      <c r="O332" t="s">
        <v>2540</v>
      </c>
      <c r="P332" t="s">
        <v>2541</v>
      </c>
      <c r="Q332" s="1">
        <v>42339</v>
      </c>
      <c r="R332" t="s">
        <v>50</v>
      </c>
      <c r="S332" t="s">
        <v>27</v>
      </c>
      <c r="T332" t="s">
        <v>870</v>
      </c>
      <c r="U332" t="s">
        <v>108</v>
      </c>
      <c r="V332" t="s">
        <v>2542</v>
      </c>
      <c r="W332">
        <v>300</v>
      </c>
      <c r="X332">
        <v>20082633</v>
      </c>
      <c r="Y332" t="s">
        <v>2543</v>
      </c>
      <c r="Z332" t="s">
        <v>132</v>
      </c>
      <c r="AA332" t="s">
        <v>32</v>
      </c>
      <c r="AB332" t="s">
        <v>239</v>
      </c>
      <c r="AC332" t="s">
        <v>25</v>
      </c>
      <c r="AD332" t="s">
        <v>121</v>
      </c>
      <c r="AE332">
        <v>450</v>
      </c>
      <c r="AF332" s="1">
        <v>401769</v>
      </c>
      <c r="AG332" t="s">
        <v>26</v>
      </c>
      <c r="AH332" t="s">
        <v>6783</v>
      </c>
      <c r="AI332" t="str">
        <f t="shared" si="25"/>
        <v>SI</v>
      </c>
      <c r="AJ332" t="str">
        <f t="shared" si="26"/>
        <v>SANOFI-AVENTIS DE COLOMBIA</v>
      </c>
      <c r="AK332" t="str">
        <f>IF(ISNUMBER(SEARCH("FABRICANTE",AC332)),"FABRICANTE",IF(ISNUMBER(SEARCH("IMPORTADOR",AC332)),"IMPORTADOR","OTRO"))</f>
        <v>FABRICANTE</v>
      </c>
      <c r="AL332" t="str">
        <f>IF(LEFT(Y332,1)="A","Sistema digestivo",IF(LEFT(Y332,1)="B","Sangre",IF(LEFT(Y332,1)="C","Cardiovascular",IF(LEFT(Y332,1)="D","Dermatológico",IF(LEFT(Y332,1)="G","Genitourinario",IF(LEFT(Y332,1)="H","Hormonal",IF(LEFT(Y332,1)="J","Antiinfecciosos",IF(LEFT(Y332,1)="L","Oncológicos",IF(LEFT(Y332,1)="M","Musculoesquelético",IF(LEFT(Y332,1)="N","Sistema nervioso",IF(LEFT(Y332,1)="R","Respiratorio",IF(LEFT(Y332,1)="S","Oftálmico",IF(LEFT(Y332,1)="V","Varios","OTRO")))))))))))))</f>
        <v>Sistema digestivo</v>
      </c>
      <c r="AM332" t="str">
        <f>IF(AG332="Vigente","ACTIVO",IF(ISNUMBER(SEARCH("Inactivo",J332)),"INACTIVO","REVISAR"))</f>
        <v>ACTIVO</v>
      </c>
      <c r="AN332">
        <f ca="1">IF(OR(AF332="",AF332="null"),"",ROUND((AF332-TODAY())/365.25,2))</f>
        <v>973.58</v>
      </c>
      <c r="AO332" t="str">
        <f ca="1">IF(AND(AG332="Vigente",OR(AF332="",AF332="null",AF332&gt;TODAY())),"SI",IF(AND(NOT(OR(AF332="",AF332="null")),AF332&lt;=TODAY()),"NO",IF(AG332="Vigente","SI","DESCONOCIDO")))</f>
        <v>SI</v>
      </c>
      <c r="AP332" t="str">
        <f>IF(AND(ISNUMBER(SEARCH("IMPORTAR",AA332)),ISNUMBER(SEARCH("FABRICAR",AA332))),"MIXTO",IF(ISNUMBER(SEARCH("IMPORTAR",AA332)),"IMPORTADO",IF(ISNUMBER(SEARCH("FABRICAR",AA332)),"LOCAL","OTRO")))</f>
        <v>IMPORTADO</v>
      </c>
      <c r="AQ332" t="str">
        <f>IF(AD332="Si","SI",IF(AD332="No","NO",""))</f>
        <v>NO</v>
      </c>
      <c r="AR332" t="str">
        <f>IF(ISNUMBER(SEARCH("®",N332)),"MARCA/INNOVADOR","GENERICO")</f>
        <v>MARCA/INNOVADOR</v>
      </c>
      <c r="AS332">
        <f ca="1">IF(AE332&gt;100,RANDBETWEEN(500,5000),IF(AND(AE332&gt;=10,AE332&lt;=100),RANDBETWEEN(100,1000),RANDBETWEEN(10,200)))</f>
        <v>2003</v>
      </c>
      <c r="AT332">
        <f t="shared" ca="1" si="27"/>
        <v>440</v>
      </c>
      <c r="AU332">
        <f ca="1">INT(AS332*RANDBETWEEN(120,200)/100)</f>
        <v>3565</v>
      </c>
      <c r="AV332" s="2">
        <f ca="1">IF(LEFT(Y332,1)="L",RANDBETWEEN(500000,5000000),IF(LEFT(Y332,1)="C",RANDBETWEEN(5000,50000),IF(LEFT(Y332,1)="N",RANDBETWEEN(10000,150000),IF(LEFT(Y332,1)="J",RANDBETWEEN(8000,200000),RANDBETWEEN(5000,100000)))))</f>
        <v>45284</v>
      </c>
      <c r="AW332" s="2">
        <f ca="1">INT(AV332*RANDBETWEEN(30,60)/100)</f>
        <v>18113</v>
      </c>
      <c r="AX332">
        <f ca="1">IF(Z332="ORAL",RANDBETWEEN(1000,10000),IF(OR(Z332="INTRAVENOSA",Z332="INTRAMUSCULAR"),RANDBETWEEN(100,2000),IF(OR(Z332="OFTÁLMICA",Z332="TOPICA (EXTERNA)"),RANDBETWEEN(200,3000),RANDBETWEEN(100,1500))))</f>
        <v>725</v>
      </c>
      <c r="AY332" s="2">
        <f ca="1">INT(AV332*RANDBETWEEN(90,130)/100)</f>
        <v>40755</v>
      </c>
      <c r="AZ332" t="str">
        <f t="shared" ca="1" si="28"/>
        <v>8.1%</v>
      </c>
      <c r="BA332" t="str">
        <f t="shared" ca="1" si="29"/>
        <v>BAJO</v>
      </c>
    </row>
    <row r="333" spans="4:53" x14ac:dyDescent="0.35">
      <c r="D333" t="s">
        <v>2544</v>
      </c>
      <c r="E333" s="1">
        <v>36336</v>
      </c>
      <c r="F333" t="s">
        <v>2545</v>
      </c>
      <c r="G333" t="s">
        <v>502</v>
      </c>
      <c r="H333" t="s">
        <v>2546</v>
      </c>
      <c r="I333">
        <v>47773</v>
      </c>
      <c r="J333" t="s">
        <v>28</v>
      </c>
      <c r="K333">
        <v>2</v>
      </c>
      <c r="L333" t="s">
        <v>27</v>
      </c>
      <c r="M333" t="s">
        <v>2547</v>
      </c>
      <c r="N333" t="s">
        <v>2548</v>
      </c>
      <c r="O333" t="s">
        <v>2549</v>
      </c>
      <c r="P333" t="s">
        <v>2550</v>
      </c>
      <c r="Q333" s="1">
        <v>39031</v>
      </c>
      <c r="R333" t="s">
        <v>50</v>
      </c>
      <c r="S333" t="s">
        <v>27</v>
      </c>
      <c r="T333" t="s">
        <v>2551</v>
      </c>
      <c r="U333" t="s">
        <v>115</v>
      </c>
      <c r="V333" t="s">
        <v>1376</v>
      </c>
      <c r="W333">
        <v>600</v>
      </c>
      <c r="X333">
        <v>47773</v>
      </c>
      <c r="Y333" t="s">
        <v>1377</v>
      </c>
      <c r="Z333" t="s">
        <v>260</v>
      </c>
      <c r="AA333" t="s">
        <v>24</v>
      </c>
      <c r="AB333" t="s">
        <v>120</v>
      </c>
      <c r="AC333" t="s">
        <v>25</v>
      </c>
      <c r="AD333" t="s">
        <v>121</v>
      </c>
      <c r="AE333">
        <v>2</v>
      </c>
      <c r="AF333" t="s">
        <v>27</v>
      </c>
      <c r="AG333" t="s">
        <v>26</v>
      </c>
      <c r="AH333" t="s">
        <v>1376</v>
      </c>
      <c r="AI333" t="str">
        <f t="shared" si="25"/>
        <v>NO</v>
      </c>
      <c r="AJ333" t="str">
        <f t="shared" si="26"/>
        <v>TECNOQUÍMICAS</v>
      </c>
      <c r="AK333" t="str">
        <f>IF(ISNUMBER(SEARCH("FABRICANTE",AC333)),"FABRICANTE",IF(ISNUMBER(SEARCH("IMPORTADOR",AC333)),"IMPORTADOR","OTRO"))</f>
        <v>FABRICANTE</v>
      </c>
      <c r="AL333" t="str">
        <f>IF(LEFT(Y333,1)="A","Sistema digestivo",IF(LEFT(Y333,1)="B","Sangre",IF(LEFT(Y333,1)="C","Cardiovascular",IF(LEFT(Y333,1)="D","Dermatológico",IF(LEFT(Y333,1)="G","Genitourinario",IF(LEFT(Y333,1)="H","Hormonal",IF(LEFT(Y333,1)="J","Antiinfecciosos",IF(LEFT(Y333,1)="L","Oncológicos",IF(LEFT(Y333,1)="M","Musculoesquelético",IF(LEFT(Y333,1)="N","Sistema nervioso",IF(LEFT(Y333,1)="R","Respiratorio",IF(LEFT(Y333,1)="S","Oftálmico",IF(LEFT(Y333,1)="V","Varios","OTRO")))))))))))))</f>
        <v>Antiinfecciosos</v>
      </c>
      <c r="AM333" t="str">
        <f>IF(AG333="Vigente","ACTIVO",IF(ISNUMBER(SEARCH("Inactivo",J333)),"INACTIVO","REVISAR"))</f>
        <v>ACTIVO</v>
      </c>
      <c r="AN333" t="str">
        <f ca="1">IF(OR(AF333="",AF333="null"),"",ROUND((AF333-TODAY())/365.25,2))</f>
        <v/>
      </c>
      <c r="AO333" t="str">
        <f ca="1">IF(AND(AG333="Vigente",OR(AF333="",AF333="null",AF333&gt;TODAY())),"SI",IF(AND(NOT(OR(AF333="",AF333="null")),AF333&lt;=TODAY()),"NO",IF(AG333="Vigente","SI","DESCONOCIDO")))</f>
        <v>SI</v>
      </c>
      <c r="AP333" t="str">
        <f>IF(AND(ISNUMBER(SEARCH("IMPORTAR",AA333)),ISNUMBER(SEARCH("FABRICAR",AA333))),"MIXTO",IF(ISNUMBER(SEARCH("IMPORTAR",AA333)),"IMPORTADO",IF(ISNUMBER(SEARCH("FABRICAR",AA333)),"LOCAL","OTRO")))</f>
        <v>LOCAL</v>
      </c>
      <c r="AQ333" t="str">
        <f>IF(AD333="Si","SI",IF(AD333="No","NO",""))</f>
        <v>NO</v>
      </c>
      <c r="AR333" t="str">
        <f>IF(ISNUMBER(SEARCH("®",N333)),"MARCA/INNOVADOR","GENERICO")</f>
        <v>GENERICO</v>
      </c>
      <c r="AS333">
        <f ca="1">IF(AE333&gt;100,RANDBETWEEN(500,5000),IF(AND(AE333&gt;=10,AE333&lt;=100),RANDBETWEEN(100,1000),RANDBETWEEN(10,200)))</f>
        <v>92</v>
      </c>
      <c r="AT333">
        <f t="shared" ca="1" si="27"/>
        <v>13</v>
      </c>
      <c r="AU333">
        <f ca="1">INT(AS333*RANDBETWEEN(120,200)/100)</f>
        <v>134</v>
      </c>
      <c r="AV333" s="2">
        <f ca="1">IF(LEFT(Y333,1)="L",RANDBETWEEN(500000,5000000),IF(LEFT(Y333,1)="C",RANDBETWEEN(5000,50000),IF(LEFT(Y333,1)="N",RANDBETWEEN(10000,150000),IF(LEFT(Y333,1)="J",RANDBETWEEN(8000,200000),RANDBETWEEN(5000,100000)))))</f>
        <v>69155</v>
      </c>
      <c r="AW333" s="2">
        <f ca="1">INT(AV333*RANDBETWEEN(30,60)/100)</f>
        <v>29045</v>
      </c>
      <c r="AX333">
        <f ca="1">IF(Z333="ORAL",RANDBETWEEN(1000,10000),IF(OR(Z333="INTRAVENOSA",Z333="INTRAMUSCULAR"),RANDBETWEEN(100,2000),IF(OR(Z333="OFTÁLMICA",Z333="TOPICA (EXTERNA)"),RANDBETWEEN(200,3000),RANDBETWEEN(100,1500))))</f>
        <v>173</v>
      </c>
      <c r="AY333" s="2">
        <f ca="1">INT(AV333*RANDBETWEEN(90,130)/100)</f>
        <v>71229</v>
      </c>
      <c r="AZ333" t="str">
        <f t="shared" ca="1" si="28"/>
        <v>4.5%</v>
      </c>
      <c r="BA333" t="str">
        <f t="shared" ca="1" si="29"/>
        <v>BAJO</v>
      </c>
    </row>
    <row r="334" spans="4:53" x14ac:dyDescent="0.35">
      <c r="D334" t="s">
        <v>2552</v>
      </c>
      <c r="E334" s="1">
        <v>39568</v>
      </c>
      <c r="F334" t="s">
        <v>2553</v>
      </c>
      <c r="G334" t="s">
        <v>108</v>
      </c>
      <c r="H334" t="s">
        <v>801</v>
      </c>
      <c r="I334">
        <v>19983100</v>
      </c>
      <c r="J334" t="s">
        <v>28</v>
      </c>
      <c r="K334">
        <v>3</v>
      </c>
      <c r="L334" t="s">
        <v>27</v>
      </c>
      <c r="M334" t="s">
        <v>802</v>
      </c>
      <c r="N334" t="s">
        <v>803</v>
      </c>
      <c r="O334" t="s">
        <v>2554</v>
      </c>
      <c r="P334" t="s">
        <v>805</v>
      </c>
      <c r="Q334" s="1">
        <v>40318</v>
      </c>
      <c r="R334" t="s">
        <v>50</v>
      </c>
      <c r="S334" t="s">
        <v>27</v>
      </c>
      <c r="T334" t="s">
        <v>806</v>
      </c>
      <c r="U334" t="s">
        <v>807</v>
      </c>
      <c r="V334" t="s">
        <v>808</v>
      </c>
      <c r="W334">
        <v>25</v>
      </c>
      <c r="X334">
        <v>19983100</v>
      </c>
      <c r="Y334" t="s">
        <v>809</v>
      </c>
      <c r="Z334" t="s">
        <v>213</v>
      </c>
      <c r="AA334" t="s">
        <v>32</v>
      </c>
      <c r="AB334" t="s">
        <v>239</v>
      </c>
      <c r="AC334" t="s">
        <v>38</v>
      </c>
      <c r="AD334" t="s">
        <v>121</v>
      </c>
      <c r="AE334">
        <v>10</v>
      </c>
      <c r="AF334" s="1">
        <v>401769</v>
      </c>
      <c r="AG334" t="s">
        <v>26</v>
      </c>
      <c r="AH334" t="s">
        <v>6784</v>
      </c>
      <c r="AI334" t="str">
        <f t="shared" si="25"/>
        <v>NO</v>
      </c>
      <c r="AJ334" t="str">
        <f t="shared" si="26"/>
        <v>MERCK SHARP &amp; DOHME</v>
      </c>
      <c r="AK334" t="str">
        <f>IF(ISNUMBER(SEARCH("FABRICANTE",AC334)),"FABRICANTE",IF(ISNUMBER(SEARCH("IMPORTADOR",AC334)),"IMPORTADOR","OTRO"))</f>
        <v>IMPORTADOR</v>
      </c>
      <c r="AL334" t="str">
        <f>IF(LEFT(Y334,1)="A","Sistema digestivo",IF(LEFT(Y334,1)="B","Sangre",IF(LEFT(Y334,1)="C","Cardiovascular",IF(LEFT(Y334,1)="D","Dermatológico",IF(LEFT(Y334,1)="G","Genitourinario",IF(LEFT(Y334,1)="H","Hormonal",IF(LEFT(Y334,1)="J","Antiinfecciosos",IF(LEFT(Y334,1)="L","Oncológicos",IF(LEFT(Y334,1)="M","Musculoesquelético",IF(LEFT(Y334,1)="N","Sistema nervioso",IF(LEFT(Y334,1)="R","Respiratorio",IF(LEFT(Y334,1)="S","Oftálmico",IF(LEFT(Y334,1)="V","Varios","OTRO")))))))))))))</f>
        <v>Antiinfecciosos</v>
      </c>
      <c r="AM334" t="str">
        <f>IF(AG334="Vigente","ACTIVO",IF(ISNUMBER(SEARCH("Inactivo",J334)),"INACTIVO","REVISAR"))</f>
        <v>ACTIVO</v>
      </c>
      <c r="AN334">
        <f ca="1">IF(OR(AF334="",AF334="null"),"",ROUND((AF334-TODAY())/365.25,2))</f>
        <v>973.58</v>
      </c>
      <c r="AO334" t="str">
        <f ca="1">IF(AND(AG334="Vigente",OR(AF334="",AF334="null",AF334&gt;TODAY())),"SI",IF(AND(NOT(OR(AF334="",AF334="null")),AF334&lt;=TODAY()),"NO",IF(AG334="Vigente","SI","DESCONOCIDO")))</f>
        <v>SI</v>
      </c>
      <c r="AP334" t="str">
        <f>IF(AND(ISNUMBER(SEARCH("IMPORTAR",AA334)),ISNUMBER(SEARCH("FABRICAR",AA334))),"MIXTO",IF(ISNUMBER(SEARCH("IMPORTAR",AA334)),"IMPORTADO",IF(ISNUMBER(SEARCH("FABRICAR",AA334)),"LOCAL","OTRO")))</f>
        <v>IMPORTADO</v>
      </c>
      <c r="AQ334" t="str">
        <f>IF(AD334="Si","SI",IF(AD334="No","NO",""))</f>
        <v>NO</v>
      </c>
      <c r="AR334" t="str">
        <f>IF(ISNUMBER(SEARCH("®",N334)),"MARCA/INNOVADOR","GENERICO")</f>
        <v>MARCA/INNOVADOR</v>
      </c>
      <c r="AS334">
        <f ca="1">IF(AE334&gt;100,RANDBETWEEN(500,5000),IF(AND(AE334&gt;=10,AE334&lt;=100),RANDBETWEEN(100,1000),RANDBETWEEN(10,200)))</f>
        <v>552</v>
      </c>
      <c r="AT334">
        <f t="shared" ca="1" si="27"/>
        <v>154</v>
      </c>
      <c r="AU334">
        <f ca="1">INT(AS334*RANDBETWEEN(120,200)/100)</f>
        <v>717</v>
      </c>
      <c r="AV334" s="2">
        <f ca="1">IF(LEFT(Y334,1)="L",RANDBETWEEN(500000,5000000),IF(LEFT(Y334,1)="C",RANDBETWEEN(5000,50000),IF(LEFT(Y334,1)="N",RANDBETWEEN(10000,150000),IF(LEFT(Y334,1)="J",RANDBETWEEN(8000,200000),RANDBETWEEN(5000,100000)))))</f>
        <v>174632</v>
      </c>
      <c r="AW334" s="2">
        <f ca="1">INT(AV334*RANDBETWEEN(30,60)/100)</f>
        <v>66360</v>
      </c>
      <c r="AX334">
        <f ca="1">IF(Z334="ORAL",RANDBETWEEN(1000,10000),IF(OR(Z334="INTRAVENOSA",Z334="INTRAMUSCULAR"),RANDBETWEEN(100,2000),IF(OR(Z334="OFTÁLMICA",Z334="TOPICA (EXTERNA)"),RANDBETWEEN(200,3000),RANDBETWEEN(100,1500))))</f>
        <v>438</v>
      </c>
      <c r="AY334" s="2">
        <f ca="1">INT(AV334*RANDBETWEEN(90,130)/100)</f>
        <v>178124</v>
      </c>
      <c r="AZ334" t="str">
        <f t="shared" ca="1" si="28"/>
        <v>3.3%</v>
      </c>
      <c r="BA334" t="str">
        <f t="shared" ca="1" si="29"/>
        <v>BAJO</v>
      </c>
    </row>
    <row r="335" spans="4:53" x14ac:dyDescent="0.35">
      <c r="D335" t="s">
        <v>2555</v>
      </c>
      <c r="E335" s="1">
        <v>41144</v>
      </c>
      <c r="F335" t="s">
        <v>1303</v>
      </c>
      <c r="G335" t="s">
        <v>108</v>
      </c>
      <c r="H335" t="s">
        <v>454</v>
      </c>
      <c r="I335">
        <v>20048136</v>
      </c>
      <c r="J335" t="s">
        <v>28</v>
      </c>
      <c r="K335">
        <v>5</v>
      </c>
      <c r="L335" t="s">
        <v>27</v>
      </c>
      <c r="M335" t="s">
        <v>2556</v>
      </c>
      <c r="N335" t="s">
        <v>2557</v>
      </c>
      <c r="O335" t="s">
        <v>2558</v>
      </c>
      <c r="P335" t="s">
        <v>1302</v>
      </c>
      <c r="Q335" s="1">
        <v>41134</v>
      </c>
      <c r="R335" t="s">
        <v>1302</v>
      </c>
      <c r="S335" t="s">
        <v>27</v>
      </c>
      <c r="T335" t="s">
        <v>991</v>
      </c>
      <c r="U335" t="s">
        <v>115</v>
      </c>
      <c r="V335" t="s">
        <v>1522</v>
      </c>
      <c r="W335">
        <v>100</v>
      </c>
      <c r="X335">
        <v>20048136</v>
      </c>
      <c r="Y335" t="s">
        <v>1523</v>
      </c>
      <c r="Z335" t="s">
        <v>1305</v>
      </c>
      <c r="AA335" t="s">
        <v>24</v>
      </c>
      <c r="AB335" t="s">
        <v>120</v>
      </c>
      <c r="AC335" t="s">
        <v>25</v>
      </c>
      <c r="AD335" t="s">
        <v>155</v>
      </c>
      <c r="AE335">
        <v>3</v>
      </c>
      <c r="AF335" s="1">
        <v>401769</v>
      </c>
      <c r="AG335" t="s">
        <v>26</v>
      </c>
      <c r="AH335" t="s">
        <v>1303</v>
      </c>
      <c r="AI335" t="str">
        <f t="shared" si="25"/>
        <v>NO</v>
      </c>
      <c r="AJ335" t="str">
        <f t="shared" si="26"/>
        <v>FARMA DE COLOMBIA</v>
      </c>
      <c r="AK335" t="str">
        <f>IF(ISNUMBER(SEARCH("FABRICANTE",AC335)),"FABRICANTE",IF(ISNUMBER(SEARCH("IMPORTADOR",AC335)),"IMPORTADOR","OTRO"))</f>
        <v>FABRICANTE</v>
      </c>
      <c r="AL335" t="str">
        <f>IF(LEFT(Y335,1)="A","Sistema digestivo",IF(LEFT(Y335,1)="B","Sangre",IF(LEFT(Y335,1)="C","Cardiovascular",IF(LEFT(Y335,1)="D","Dermatológico",IF(LEFT(Y335,1)="G","Genitourinario",IF(LEFT(Y335,1)="H","Hormonal",IF(LEFT(Y335,1)="J","Antiinfecciosos",IF(LEFT(Y335,1)="L","Oncológicos",IF(LEFT(Y335,1)="M","Musculoesquelético",IF(LEFT(Y335,1)="N","Sistema nervioso",IF(LEFT(Y335,1)="R","Respiratorio",IF(LEFT(Y335,1)="S","Oftálmico",IF(LEFT(Y335,1)="V","Varios","OTRO")))))))))))))</f>
        <v>Genitourinario</v>
      </c>
      <c r="AM335" t="str">
        <f>IF(AG335="Vigente","ACTIVO",IF(ISNUMBER(SEARCH("Inactivo",J335)),"INACTIVO","REVISAR"))</f>
        <v>ACTIVO</v>
      </c>
      <c r="AN335">
        <f ca="1">IF(OR(AF335="",AF335="null"),"",ROUND((AF335-TODAY())/365.25,2))</f>
        <v>973.58</v>
      </c>
      <c r="AO335" t="str">
        <f ca="1">IF(AND(AG335="Vigente",OR(AF335="",AF335="null",AF335&gt;TODAY())),"SI",IF(AND(NOT(OR(AF335="",AF335="null")),AF335&lt;=TODAY()),"NO",IF(AG335="Vigente","SI","DESCONOCIDO")))</f>
        <v>SI</v>
      </c>
      <c r="AP335" t="str">
        <f>IF(AND(ISNUMBER(SEARCH("IMPORTAR",AA335)),ISNUMBER(SEARCH("FABRICAR",AA335))),"MIXTO",IF(ISNUMBER(SEARCH("IMPORTAR",AA335)),"IMPORTADO",IF(ISNUMBER(SEARCH("FABRICAR",AA335)),"LOCAL","OTRO")))</f>
        <v>LOCAL</v>
      </c>
      <c r="AQ335" t="str">
        <f>IF(AD335="Si","SI",IF(AD335="No","NO",""))</f>
        <v>SI</v>
      </c>
      <c r="AR335" t="str">
        <f>IF(ISNUMBER(SEARCH("®",N335)),"MARCA/INNOVADOR","GENERICO")</f>
        <v>GENERICO</v>
      </c>
      <c r="AS335">
        <f ca="1">IF(AE335&gt;100,RANDBETWEEN(500,5000),IF(AND(AE335&gt;=10,AE335&lt;=100),RANDBETWEEN(100,1000),RANDBETWEEN(10,200)))</f>
        <v>175</v>
      </c>
      <c r="AT335">
        <f t="shared" ca="1" si="27"/>
        <v>42</v>
      </c>
      <c r="AU335">
        <f ca="1">INT(AS335*RANDBETWEEN(120,200)/100)</f>
        <v>285</v>
      </c>
      <c r="AV335" s="2">
        <f ca="1">IF(LEFT(Y335,1)="L",RANDBETWEEN(500000,5000000),IF(LEFT(Y335,1)="C",RANDBETWEEN(5000,50000),IF(LEFT(Y335,1)="N",RANDBETWEEN(10000,150000),IF(LEFT(Y335,1)="J",RANDBETWEEN(8000,200000),RANDBETWEEN(5000,100000)))))</f>
        <v>11419</v>
      </c>
      <c r="AW335" s="2">
        <f ca="1">INT(AV335*RANDBETWEEN(30,60)/100)</f>
        <v>5366</v>
      </c>
      <c r="AX335">
        <f ca="1">IF(Z335="ORAL",RANDBETWEEN(1000,10000),IF(OR(Z335="INTRAVENOSA",Z335="INTRAMUSCULAR"),RANDBETWEEN(100,2000),IF(OR(Z335="OFTÁLMICA",Z335="TOPICA (EXTERNA)"),RANDBETWEEN(200,3000),RANDBETWEEN(100,1500))))</f>
        <v>588</v>
      </c>
      <c r="AY335" s="2">
        <f ca="1">INT(AV335*RANDBETWEEN(90,130)/100)</f>
        <v>12675</v>
      </c>
      <c r="AZ335" t="str">
        <f t="shared" ca="1" si="28"/>
        <v>3%</v>
      </c>
      <c r="BA335" t="str">
        <f t="shared" ca="1" si="29"/>
        <v>BAJO</v>
      </c>
    </row>
    <row r="336" spans="4:53" x14ac:dyDescent="0.35">
      <c r="D336" t="s">
        <v>2559</v>
      </c>
      <c r="E336" s="1">
        <v>36531</v>
      </c>
      <c r="F336" t="s">
        <v>2560</v>
      </c>
      <c r="G336" t="s">
        <v>247</v>
      </c>
      <c r="H336" t="s">
        <v>74</v>
      </c>
      <c r="I336">
        <v>210465</v>
      </c>
      <c r="J336" t="s">
        <v>28</v>
      </c>
      <c r="K336">
        <v>2</v>
      </c>
      <c r="L336" t="s">
        <v>27</v>
      </c>
      <c r="M336" t="s">
        <v>2561</v>
      </c>
      <c r="N336" t="s">
        <v>2562</v>
      </c>
      <c r="O336" t="s">
        <v>2563</v>
      </c>
      <c r="P336" t="s">
        <v>2564</v>
      </c>
      <c r="Q336" s="1">
        <v>39031</v>
      </c>
      <c r="R336" t="s">
        <v>73</v>
      </c>
      <c r="S336" t="s">
        <v>27</v>
      </c>
      <c r="T336" t="s">
        <v>320</v>
      </c>
      <c r="U336" t="s">
        <v>247</v>
      </c>
      <c r="V336" t="s">
        <v>2565</v>
      </c>
      <c r="W336">
        <v>5</v>
      </c>
      <c r="X336">
        <v>210465</v>
      </c>
      <c r="Y336" t="s">
        <v>2566</v>
      </c>
      <c r="Z336" t="s">
        <v>119</v>
      </c>
      <c r="AA336" t="s">
        <v>24</v>
      </c>
      <c r="AB336" t="s">
        <v>1095</v>
      </c>
      <c r="AC336" t="s">
        <v>25</v>
      </c>
      <c r="AD336" t="s">
        <v>121</v>
      </c>
      <c r="AE336" t="s">
        <v>2567</v>
      </c>
      <c r="AF336" t="s">
        <v>27</v>
      </c>
      <c r="AG336" t="s">
        <v>26</v>
      </c>
      <c r="AH336" t="s">
        <v>2565</v>
      </c>
      <c r="AI336" t="str">
        <f t="shared" si="25"/>
        <v>NO</v>
      </c>
      <c r="AJ336" t="str">
        <f t="shared" si="26"/>
        <v>GENFAR</v>
      </c>
      <c r="AK336" t="str">
        <f>IF(ISNUMBER(SEARCH("FABRICANTE",AC336)),"FABRICANTE",IF(ISNUMBER(SEARCH("IMPORTADOR",AC336)),"IMPORTADOR","OTRO"))</f>
        <v>FABRICANTE</v>
      </c>
      <c r="AL336" t="str">
        <f>IF(LEFT(Y336,1)="A","Sistema digestivo",IF(LEFT(Y336,1)="B","Sangre",IF(LEFT(Y336,1)="C","Cardiovascular",IF(LEFT(Y336,1)="D","Dermatológico",IF(LEFT(Y336,1)="G","Genitourinario",IF(LEFT(Y336,1)="H","Hormonal",IF(LEFT(Y336,1)="J","Antiinfecciosos",IF(LEFT(Y336,1)="L","Oncológicos",IF(LEFT(Y336,1)="M","Musculoesquelético",IF(LEFT(Y336,1)="N","Sistema nervioso",IF(LEFT(Y336,1)="R","Respiratorio",IF(LEFT(Y336,1)="S","Oftálmico",IF(LEFT(Y336,1)="V","Varios","OTRO")))))))))))))</f>
        <v>Antiinfecciosos</v>
      </c>
      <c r="AM336" t="str">
        <f>IF(AG336="Vigente","ACTIVO",IF(ISNUMBER(SEARCH("Inactivo",J336)),"INACTIVO","REVISAR"))</f>
        <v>ACTIVO</v>
      </c>
      <c r="AN336" t="str">
        <f ca="1">IF(OR(AF336="",AF336="null"),"",ROUND((AF336-TODAY())/365.25,2))</f>
        <v/>
      </c>
      <c r="AO336" t="str">
        <f ca="1">IF(AND(AG336="Vigente",OR(AF336="",AF336="null",AF336&gt;TODAY())),"SI",IF(AND(NOT(OR(AF336="",AF336="null")),AF336&lt;=TODAY()),"NO",IF(AG336="Vigente","SI","DESCONOCIDO")))</f>
        <v>SI</v>
      </c>
      <c r="AP336" t="str">
        <f>IF(AND(ISNUMBER(SEARCH("IMPORTAR",AA336)),ISNUMBER(SEARCH("FABRICAR",AA336))),"MIXTO",IF(ISNUMBER(SEARCH("IMPORTAR",AA336)),"IMPORTADO",IF(ISNUMBER(SEARCH("FABRICAR",AA336)),"LOCAL","OTRO")))</f>
        <v>LOCAL</v>
      </c>
      <c r="AQ336" t="str">
        <f>IF(AD336="Si","SI",IF(AD336="No","NO",""))</f>
        <v>NO</v>
      </c>
      <c r="AR336" t="str">
        <f>IF(ISNUMBER(SEARCH("®",N336)),"MARCA/INNOVADOR","GENERICO")</f>
        <v>GENERICO</v>
      </c>
      <c r="AS336">
        <f ca="1">IF(AE336&gt;100,RANDBETWEEN(500,5000),IF(AND(AE336&gt;=10,AE336&lt;=100),RANDBETWEEN(100,1000),RANDBETWEEN(10,200)))</f>
        <v>2939</v>
      </c>
      <c r="AT336">
        <f t="shared" ca="1" si="27"/>
        <v>734</v>
      </c>
      <c r="AU336">
        <f ca="1">INT(AS336*RANDBETWEEN(120,200)/100)</f>
        <v>4996</v>
      </c>
      <c r="AV336" s="2">
        <f ca="1">IF(LEFT(Y336,1)="L",RANDBETWEEN(500000,5000000),IF(LEFT(Y336,1)="C",RANDBETWEEN(5000,50000),IF(LEFT(Y336,1)="N",RANDBETWEEN(10000,150000),IF(LEFT(Y336,1)="J",RANDBETWEEN(8000,200000),RANDBETWEEN(5000,100000)))))</f>
        <v>142419</v>
      </c>
      <c r="AW336" s="2">
        <f ca="1">INT(AV336*RANDBETWEEN(30,60)/100)</f>
        <v>78330</v>
      </c>
      <c r="AX336">
        <f ca="1">IF(Z336="ORAL",RANDBETWEEN(1000,10000),IF(OR(Z336="INTRAVENOSA",Z336="INTRAMUSCULAR"),RANDBETWEEN(100,2000),IF(OR(Z336="OFTÁLMICA",Z336="TOPICA (EXTERNA)"),RANDBETWEEN(200,3000),RANDBETWEEN(100,1500))))</f>
        <v>5717</v>
      </c>
      <c r="AY336" s="2">
        <f ca="1">INT(AV336*RANDBETWEEN(90,130)/100)</f>
        <v>175175</v>
      </c>
      <c r="AZ336" t="str">
        <f t="shared" ca="1" si="28"/>
        <v>20.4%</v>
      </c>
      <c r="BA336" t="str">
        <f t="shared" ca="1" si="29"/>
        <v>BAJO</v>
      </c>
    </row>
    <row r="337" spans="4:53" x14ac:dyDescent="0.35">
      <c r="D337" t="s">
        <v>2568</v>
      </c>
      <c r="E337" s="1">
        <v>44973</v>
      </c>
      <c r="F337" t="s">
        <v>1056</v>
      </c>
      <c r="G337" t="s">
        <v>108</v>
      </c>
      <c r="H337" t="s">
        <v>928</v>
      </c>
      <c r="I337">
        <v>20212605</v>
      </c>
      <c r="J337" t="s">
        <v>28</v>
      </c>
      <c r="K337">
        <v>10</v>
      </c>
      <c r="L337" t="s">
        <v>2569</v>
      </c>
      <c r="M337" t="s">
        <v>2570</v>
      </c>
      <c r="N337" t="s">
        <v>2571</v>
      </c>
      <c r="O337" t="s">
        <v>2572</v>
      </c>
      <c r="P337" t="s">
        <v>33</v>
      </c>
      <c r="Q337" s="1">
        <v>44966</v>
      </c>
      <c r="R337" t="s">
        <v>33</v>
      </c>
      <c r="S337" t="s">
        <v>27</v>
      </c>
      <c r="T337" t="s">
        <v>928</v>
      </c>
      <c r="U337" t="s">
        <v>115</v>
      </c>
      <c r="V337" t="s">
        <v>1056</v>
      </c>
      <c r="W337">
        <v>200</v>
      </c>
      <c r="X337">
        <v>20212605</v>
      </c>
      <c r="Y337" t="s">
        <v>1062</v>
      </c>
      <c r="Z337" t="s">
        <v>119</v>
      </c>
      <c r="AA337" t="s">
        <v>24</v>
      </c>
      <c r="AB337" t="s">
        <v>120</v>
      </c>
      <c r="AC337" t="s">
        <v>25</v>
      </c>
      <c r="AD337" t="s">
        <v>121</v>
      </c>
      <c r="AE337">
        <v>84</v>
      </c>
      <c r="AF337" t="s">
        <v>27</v>
      </c>
      <c r="AG337" t="s">
        <v>26</v>
      </c>
      <c r="AH337" t="s">
        <v>1056</v>
      </c>
      <c r="AI337" t="str">
        <f t="shared" si="25"/>
        <v>NO</v>
      </c>
      <c r="AJ337" t="str">
        <f t="shared" si="26"/>
        <v>LABORATORIOS ECAR</v>
      </c>
      <c r="AK337" t="str">
        <f>IF(ISNUMBER(SEARCH("FABRICANTE",AC337)),"FABRICANTE",IF(ISNUMBER(SEARCH("IMPORTADOR",AC337)),"IMPORTADOR","OTRO"))</f>
        <v>FABRICANTE</v>
      </c>
      <c r="AL337" t="str">
        <f>IF(LEFT(Y337,1)="A","Sistema digestivo",IF(LEFT(Y337,1)="B","Sangre",IF(LEFT(Y337,1)="C","Cardiovascular",IF(LEFT(Y337,1)="D","Dermatológico",IF(LEFT(Y337,1)="G","Genitourinario",IF(LEFT(Y337,1)="H","Hormonal",IF(LEFT(Y337,1)="J","Antiinfecciosos",IF(LEFT(Y337,1)="L","Oncológicos",IF(LEFT(Y337,1)="M","Musculoesquelético",IF(LEFT(Y337,1)="N","Sistema nervioso",IF(LEFT(Y337,1)="R","Respiratorio",IF(LEFT(Y337,1)="S","Oftálmico",IF(LEFT(Y337,1)="V","Varios","OTRO")))))))))))))</f>
        <v>Sistema digestivo</v>
      </c>
      <c r="AM337" t="str">
        <f>IF(AG337="Vigente","ACTIVO",IF(ISNUMBER(SEARCH("Inactivo",J337)),"INACTIVO","REVISAR"))</f>
        <v>ACTIVO</v>
      </c>
      <c r="AN337" t="str">
        <f ca="1">IF(OR(AF337="",AF337="null"),"",ROUND((AF337-TODAY())/365.25,2))</f>
        <v/>
      </c>
      <c r="AO337" t="str">
        <f ca="1">IF(AND(AG337="Vigente",OR(AF337="",AF337="null",AF337&gt;TODAY())),"SI",IF(AND(NOT(OR(AF337="",AF337="null")),AF337&lt;=TODAY()),"NO",IF(AG337="Vigente","SI","DESCONOCIDO")))</f>
        <v>SI</v>
      </c>
      <c r="AP337" t="str">
        <f>IF(AND(ISNUMBER(SEARCH("IMPORTAR",AA337)),ISNUMBER(SEARCH("FABRICAR",AA337))),"MIXTO",IF(ISNUMBER(SEARCH("IMPORTAR",AA337)),"IMPORTADO",IF(ISNUMBER(SEARCH("FABRICAR",AA337)),"LOCAL","OTRO")))</f>
        <v>LOCAL</v>
      </c>
      <c r="AQ337" t="str">
        <f>IF(AD337="Si","SI",IF(AD337="No","NO",""))</f>
        <v>NO</v>
      </c>
      <c r="AR337" t="str">
        <f>IF(ISNUMBER(SEARCH("®",N337)),"MARCA/INNOVADOR","GENERICO")</f>
        <v>GENERICO</v>
      </c>
      <c r="AS337">
        <f ca="1">IF(AE337&gt;100,RANDBETWEEN(500,5000),IF(AND(AE337&gt;=10,AE337&lt;=100),RANDBETWEEN(100,1000),RANDBETWEEN(10,200)))</f>
        <v>792</v>
      </c>
      <c r="AT337">
        <f t="shared" ca="1" si="27"/>
        <v>221</v>
      </c>
      <c r="AU337">
        <f ca="1">INT(AS337*RANDBETWEEN(120,200)/100)</f>
        <v>1433</v>
      </c>
      <c r="AV337" s="2">
        <f ca="1">IF(LEFT(Y337,1)="L",RANDBETWEEN(500000,5000000),IF(LEFT(Y337,1)="C",RANDBETWEEN(5000,50000),IF(LEFT(Y337,1)="N",RANDBETWEEN(10000,150000),IF(LEFT(Y337,1)="J",RANDBETWEEN(8000,200000),RANDBETWEEN(5000,100000)))))</f>
        <v>98281</v>
      </c>
      <c r="AW337" s="2">
        <f ca="1">INT(AV337*RANDBETWEEN(30,60)/100)</f>
        <v>52088</v>
      </c>
      <c r="AX337">
        <f ca="1">IF(Z337="ORAL",RANDBETWEEN(1000,10000),IF(OR(Z337="INTRAVENOSA",Z337="INTRAMUSCULAR"),RANDBETWEEN(100,2000),IF(OR(Z337="OFTÁLMICA",Z337="TOPICA (EXTERNA)"),RANDBETWEEN(200,3000),RANDBETWEEN(100,1500))))</f>
        <v>3940</v>
      </c>
      <c r="AY337" s="2">
        <f ca="1">INT(AV337*RANDBETWEEN(90,130)/100)</f>
        <v>100246</v>
      </c>
      <c r="AZ337" t="str">
        <f t="shared" ca="1" si="28"/>
        <v>8.1%</v>
      </c>
      <c r="BA337" t="str">
        <f t="shared" ca="1" si="29"/>
        <v>BAJO</v>
      </c>
    </row>
    <row r="338" spans="4:53" x14ac:dyDescent="0.35">
      <c r="D338" t="s">
        <v>2573</v>
      </c>
      <c r="E338" s="1">
        <v>34922</v>
      </c>
      <c r="F338" t="s">
        <v>2574</v>
      </c>
      <c r="G338" t="s">
        <v>108</v>
      </c>
      <c r="H338" t="s">
        <v>1205</v>
      </c>
      <c r="I338">
        <v>4098</v>
      </c>
      <c r="J338" t="s">
        <v>28</v>
      </c>
      <c r="K338">
        <v>14</v>
      </c>
      <c r="L338" t="s">
        <v>27</v>
      </c>
      <c r="M338" t="s">
        <v>2575</v>
      </c>
      <c r="N338" t="s">
        <v>2576</v>
      </c>
      <c r="O338" t="s">
        <v>2577</v>
      </c>
      <c r="P338" t="s">
        <v>932</v>
      </c>
      <c r="Q338" s="1">
        <v>39343</v>
      </c>
      <c r="R338" t="s">
        <v>932</v>
      </c>
      <c r="S338" t="s">
        <v>27</v>
      </c>
      <c r="T338" t="s">
        <v>1863</v>
      </c>
      <c r="U338" t="s">
        <v>115</v>
      </c>
      <c r="V338" t="s">
        <v>933</v>
      </c>
      <c r="W338">
        <v>500</v>
      </c>
      <c r="X338">
        <v>4098</v>
      </c>
      <c r="Y338" t="s">
        <v>934</v>
      </c>
      <c r="Z338" t="s">
        <v>119</v>
      </c>
      <c r="AA338" t="s">
        <v>24</v>
      </c>
      <c r="AB338" t="s">
        <v>120</v>
      </c>
      <c r="AC338" t="s">
        <v>25</v>
      </c>
      <c r="AD338" t="s">
        <v>121</v>
      </c>
      <c r="AE338">
        <v>24</v>
      </c>
      <c r="AF338" t="s">
        <v>27</v>
      </c>
      <c r="AG338" t="s">
        <v>26</v>
      </c>
      <c r="AH338" t="s">
        <v>133</v>
      </c>
      <c r="AI338" t="str">
        <f t="shared" si="25"/>
        <v>SI</v>
      </c>
      <c r="AJ338" t="str">
        <f t="shared" si="26"/>
        <v>PROCTER &amp; GAMBLE COLOMBIA</v>
      </c>
      <c r="AK338" t="str">
        <f>IF(ISNUMBER(SEARCH("FABRICANTE",AC338)),"FABRICANTE",IF(ISNUMBER(SEARCH("IMPORTADOR",AC338)),"IMPORTADOR","OTRO"))</f>
        <v>FABRICANTE</v>
      </c>
      <c r="AL338" t="str">
        <f>IF(LEFT(Y338,1)="A","Sistema digestivo",IF(LEFT(Y338,1)="B","Sangre",IF(LEFT(Y338,1)="C","Cardiovascular",IF(LEFT(Y338,1)="D","Dermatológico",IF(LEFT(Y338,1)="G","Genitourinario",IF(LEFT(Y338,1)="H","Hormonal",IF(LEFT(Y338,1)="J","Antiinfecciosos",IF(LEFT(Y338,1)="L","Oncológicos",IF(LEFT(Y338,1)="M","Musculoesquelético",IF(LEFT(Y338,1)="N","Sistema nervioso",IF(LEFT(Y338,1)="R","Respiratorio",IF(LEFT(Y338,1)="S","Oftálmico",IF(LEFT(Y338,1)="V","Varios","OTRO")))))))))))))</f>
        <v>Sistema digestivo</v>
      </c>
      <c r="AM338" t="str">
        <f>IF(AG338="Vigente","ACTIVO",IF(ISNUMBER(SEARCH("Inactivo",J338)),"INACTIVO","REVISAR"))</f>
        <v>ACTIVO</v>
      </c>
      <c r="AN338" t="str">
        <f ca="1">IF(OR(AF338="",AF338="null"),"",ROUND((AF338-TODAY())/365.25,2))</f>
        <v/>
      </c>
      <c r="AO338" t="str">
        <f ca="1">IF(AND(AG338="Vigente",OR(AF338="",AF338="null",AF338&gt;TODAY())),"SI",IF(AND(NOT(OR(AF338="",AF338="null")),AF338&lt;=TODAY()),"NO",IF(AG338="Vigente","SI","DESCONOCIDO")))</f>
        <v>SI</v>
      </c>
      <c r="AP338" t="str">
        <f>IF(AND(ISNUMBER(SEARCH("IMPORTAR",AA338)),ISNUMBER(SEARCH("FABRICAR",AA338))),"MIXTO",IF(ISNUMBER(SEARCH("IMPORTAR",AA338)),"IMPORTADO",IF(ISNUMBER(SEARCH("FABRICAR",AA338)),"LOCAL","OTRO")))</f>
        <v>LOCAL</v>
      </c>
      <c r="AQ338" t="str">
        <f>IF(AD338="Si","SI",IF(AD338="No","NO",""))</f>
        <v>NO</v>
      </c>
      <c r="AR338" t="str">
        <f>IF(ISNUMBER(SEARCH("®",N338)),"MARCA/INNOVADOR","GENERICO")</f>
        <v>MARCA/INNOVADOR</v>
      </c>
      <c r="AS338">
        <f ca="1">IF(AE338&gt;100,RANDBETWEEN(500,5000),IF(AND(AE338&gt;=10,AE338&lt;=100),RANDBETWEEN(100,1000),RANDBETWEEN(10,200)))</f>
        <v>877</v>
      </c>
      <c r="AT338">
        <f t="shared" ca="1" si="27"/>
        <v>219</v>
      </c>
      <c r="AU338">
        <f ca="1">INT(AS338*RANDBETWEEN(120,200)/100)</f>
        <v>1166</v>
      </c>
      <c r="AV338" s="2">
        <f ca="1">IF(LEFT(Y338,1)="L",RANDBETWEEN(500000,5000000),IF(LEFT(Y338,1)="C",RANDBETWEEN(5000,50000),IF(LEFT(Y338,1)="N",RANDBETWEEN(10000,150000),IF(LEFT(Y338,1)="J",RANDBETWEEN(8000,200000),RANDBETWEEN(5000,100000)))))</f>
        <v>19602</v>
      </c>
      <c r="AW338" s="2">
        <f ca="1">INT(AV338*RANDBETWEEN(30,60)/100)</f>
        <v>7056</v>
      </c>
      <c r="AX338">
        <f ca="1">IF(Z338="ORAL",RANDBETWEEN(1000,10000),IF(OR(Z338="INTRAVENOSA",Z338="INTRAMUSCULAR"),RANDBETWEEN(100,2000),IF(OR(Z338="OFTÁLMICA",Z338="TOPICA (EXTERNA)"),RANDBETWEEN(200,3000),RANDBETWEEN(100,1500))))</f>
        <v>4492</v>
      </c>
      <c r="AY338" s="2">
        <f ca="1">INT(AV338*RANDBETWEEN(90,130)/100)</f>
        <v>21758</v>
      </c>
      <c r="AZ338" t="str">
        <f t="shared" ca="1" si="28"/>
        <v>6.4%</v>
      </c>
      <c r="BA338" t="str">
        <f t="shared" ca="1" si="29"/>
        <v>BAJO</v>
      </c>
    </row>
    <row r="339" spans="4:53" x14ac:dyDescent="0.35">
      <c r="D339" t="s">
        <v>2578</v>
      </c>
      <c r="E339" s="1">
        <v>36161</v>
      </c>
      <c r="F339" t="s">
        <v>1303</v>
      </c>
      <c r="G339" t="s">
        <v>502</v>
      </c>
      <c r="H339" t="s">
        <v>2579</v>
      </c>
      <c r="I339">
        <v>57343</v>
      </c>
      <c r="J339" t="s">
        <v>110</v>
      </c>
      <c r="K339">
        <v>1</v>
      </c>
      <c r="L339" t="s">
        <v>27</v>
      </c>
      <c r="M339" t="s">
        <v>2580</v>
      </c>
      <c r="N339" t="s">
        <v>2581</v>
      </c>
      <c r="O339" t="s">
        <v>2582</v>
      </c>
      <c r="P339" t="s">
        <v>2583</v>
      </c>
      <c r="Q339" s="1">
        <v>39031</v>
      </c>
      <c r="R339" t="s">
        <v>564</v>
      </c>
      <c r="S339" s="1">
        <v>42353</v>
      </c>
      <c r="T339" t="s">
        <v>2584</v>
      </c>
      <c r="U339" t="s">
        <v>247</v>
      </c>
      <c r="V339" t="s">
        <v>1303</v>
      </c>
      <c r="W339">
        <v>1</v>
      </c>
      <c r="X339">
        <v>57343</v>
      </c>
      <c r="Y339" t="s">
        <v>2585</v>
      </c>
      <c r="Z339" t="s">
        <v>566</v>
      </c>
      <c r="AA339" t="s">
        <v>32</v>
      </c>
      <c r="AB339" t="s">
        <v>250</v>
      </c>
      <c r="AC339" t="s">
        <v>25</v>
      </c>
      <c r="AD339" t="s">
        <v>121</v>
      </c>
      <c r="AE339">
        <v>30</v>
      </c>
      <c r="AF339" t="s">
        <v>27</v>
      </c>
      <c r="AG339" t="s">
        <v>26</v>
      </c>
      <c r="AH339" t="s">
        <v>1303</v>
      </c>
      <c r="AI339" t="str">
        <f t="shared" si="25"/>
        <v>NO</v>
      </c>
      <c r="AJ339" t="str">
        <f t="shared" si="26"/>
        <v>BAYER</v>
      </c>
      <c r="AK339" t="str">
        <f>IF(ISNUMBER(SEARCH("FABRICANTE",AC339)),"FABRICANTE",IF(ISNUMBER(SEARCH("IMPORTADOR",AC339)),"IMPORTADOR","OTRO"))</f>
        <v>FABRICANTE</v>
      </c>
      <c r="AL339" t="str">
        <f>IF(LEFT(Y339,1)="A","Sistema digestivo",IF(LEFT(Y339,1)="B","Sangre",IF(LEFT(Y339,1)="C","Cardiovascular",IF(LEFT(Y339,1)="D","Dermatológico",IF(LEFT(Y339,1)="G","Genitourinario",IF(LEFT(Y339,1)="H","Hormonal",IF(LEFT(Y339,1)="J","Antiinfecciosos",IF(LEFT(Y339,1)="L","Oncológicos",IF(LEFT(Y339,1)="M","Musculoesquelético",IF(LEFT(Y339,1)="N","Sistema nervioso",IF(LEFT(Y339,1)="R","Respiratorio",IF(LEFT(Y339,1)="S","Oftálmico",IF(LEFT(Y339,1)="V","Varios","OTRO")))))))))))))</f>
        <v>Dermatológico</v>
      </c>
      <c r="AM339" t="str">
        <f>IF(AG339="Vigente","ACTIVO",IF(ISNUMBER(SEARCH("Inactivo",J339)),"INACTIVO","REVISAR"))</f>
        <v>ACTIVO</v>
      </c>
      <c r="AN339" t="str">
        <f ca="1">IF(OR(AF339="",AF339="null"),"",ROUND((AF339-TODAY())/365.25,2))</f>
        <v/>
      </c>
      <c r="AO339" t="str">
        <f ca="1">IF(AND(AG339="Vigente",OR(AF339="",AF339="null",AF339&gt;TODAY())),"SI",IF(AND(NOT(OR(AF339="",AF339="null")),AF339&lt;=TODAY()),"NO",IF(AG339="Vigente","SI","DESCONOCIDO")))</f>
        <v>SI</v>
      </c>
      <c r="AP339" t="str">
        <f>IF(AND(ISNUMBER(SEARCH("IMPORTAR",AA339)),ISNUMBER(SEARCH("FABRICAR",AA339))),"MIXTO",IF(ISNUMBER(SEARCH("IMPORTAR",AA339)),"IMPORTADO",IF(ISNUMBER(SEARCH("FABRICAR",AA339)),"LOCAL","OTRO")))</f>
        <v>IMPORTADO</v>
      </c>
      <c r="AQ339" t="str">
        <f>IF(AD339="Si","SI",IF(AD339="No","NO",""))</f>
        <v>NO</v>
      </c>
      <c r="AR339" t="str">
        <f>IF(ISNUMBER(SEARCH("®",N339)),"MARCA/INNOVADOR","GENERICO")</f>
        <v>GENERICO</v>
      </c>
      <c r="AS339">
        <f ca="1">IF(AE339&gt;100,RANDBETWEEN(500,5000),IF(AND(AE339&gt;=10,AE339&lt;=100),RANDBETWEEN(100,1000),RANDBETWEEN(10,200)))</f>
        <v>242</v>
      </c>
      <c r="AT339">
        <f t="shared" ca="1" si="27"/>
        <v>65</v>
      </c>
      <c r="AU339">
        <f ca="1">INT(AS339*RANDBETWEEN(120,200)/100)</f>
        <v>396</v>
      </c>
      <c r="AV339" s="2">
        <f ca="1">IF(LEFT(Y339,1)="L",RANDBETWEEN(500000,5000000),IF(LEFT(Y339,1)="C",RANDBETWEEN(5000,50000),IF(LEFT(Y339,1)="N",RANDBETWEEN(10000,150000),IF(LEFT(Y339,1)="J",RANDBETWEEN(8000,200000),RANDBETWEEN(5000,100000)))))</f>
        <v>81678</v>
      </c>
      <c r="AW339" s="2">
        <f ca="1">INT(AV339*RANDBETWEEN(30,60)/100)</f>
        <v>32671</v>
      </c>
      <c r="AX339">
        <f ca="1">IF(Z339="ORAL",RANDBETWEEN(1000,10000),IF(OR(Z339="INTRAVENOSA",Z339="INTRAMUSCULAR"),RANDBETWEEN(100,2000),IF(OR(Z339="OFTÁLMICA",Z339="TOPICA (EXTERNA)"),RANDBETWEEN(200,3000),RANDBETWEEN(100,1500))))</f>
        <v>1336</v>
      </c>
      <c r="AY339" s="2">
        <f ca="1">INT(AV339*RANDBETWEEN(90,130)/100)</f>
        <v>87395</v>
      </c>
      <c r="AZ339" t="str">
        <f t="shared" ca="1" si="28"/>
        <v>3.5%</v>
      </c>
      <c r="BA339" t="str">
        <f t="shared" ca="1" si="29"/>
        <v>ALTO</v>
      </c>
    </row>
    <row r="340" spans="4:53" x14ac:dyDescent="0.35">
      <c r="D340" t="s">
        <v>2586</v>
      </c>
      <c r="E340" s="1">
        <v>41155</v>
      </c>
      <c r="F340" t="s">
        <v>2587</v>
      </c>
      <c r="G340" t="s">
        <v>108</v>
      </c>
      <c r="H340" t="s">
        <v>769</v>
      </c>
      <c r="I340">
        <v>20038991</v>
      </c>
      <c r="J340" t="s">
        <v>28</v>
      </c>
      <c r="K340">
        <v>6</v>
      </c>
      <c r="L340" t="s">
        <v>2588</v>
      </c>
      <c r="M340" t="s">
        <v>2589</v>
      </c>
      <c r="N340" t="s">
        <v>2590</v>
      </c>
      <c r="O340" t="s">
        <v>2591</v>
      </c>
      <c r="P340" t="s">
        <v>1543</v>
      </c>
      <c r="Q340" s="1">
        <v>45679</v>
      </c>
      <c r="R340" t="s">
        <v>2592</v>
      </c>
      <c r="S340" t="s">
        <v>27</v>
      </c>
      <c r="T340" t="s">
        <v>769</v>
      </c>
      <c r="U340" t="s">
        <v>115</v>
      </c>
      <c r="V340" t="s">
        <v>2593</v>
      </c>
      <c r="W340">
        <v>30</v>
      </c>
      <c r="X340">
        <v>20038991</v>
      </c>
      <c r="Y340" t="s">
        <v>2594</v>
      </c>
      <c r="Z340" t="s">
        <v>119</v>
      </c>
      <c r="AA340" t="s">
        <v>165</v>
      </c>
      <c r="AB340" t="s">
        <v>120</v>
      </c>
      <c r="AC340" t="s">
        <v>25</v>
      </c>
      <c r="AD340" t="s">
        <v>121</v>
      </c>
      <c r="AE340">
        <v>15</v>
      </c>
      <c r="AF340" t="s">
        <v>27</v>
      </c>
      <c r="AG340" t="s">
        <v>26</v>
      </c>
      <c r="AH340" t="s">
        <v>2593</v>
      </c>
      <c r="AI340" t="str">
        <f t="shared" si="25"/>
        <v>NO</v>
      </c>
      <c r="AJ340" t="str">
        <f t="shared" si="26"/>
        <v>LABORATORIOS BUSSIÉ</v>
      </c>
      <c r="AK340" t="str">
        <f>IF(ISNUMBER(SEARCH("FABRICANTE",AC340)),"FABRICANTE",IF(ISNUMBER(SEARCH("IMPORTADOR",AC340)),"IMPORTADOR","OTRO"))</f>
        <v>FABRICANTE</v>
      </c>
      <c r="AL340" t="str">
        <f>IF(LEFT(Y340,1)="A","Sistema digestivo",IF(LEFT(Y340,1)="B","Sangre",IF(LEFT(Y340,1)="C","Cardiovascular",IF(LEFT(Y340,1)="D","Dermatológico",IF(LEFT(Y340,1)="G","Genitourinario",IF(LEFT(Y340,1)="H","Hormonal",IF(LEFT(Y340,1)="J","Antiinfecciosos",IF(LEFT(Y340,1)="L","Oncológicos",IF(LEFT(Y340,1)="M","Musculoesquelético",IF(LEFT(Y340,1)="N","Sistema nervioso",IF(LEFT(Y340,1)="R","Respiratorio",IF(LEFT(Y340,1)="S","Oftálmico",IF(LEFT(Y340,1)="V","Varios","OTRO")))))))))))))</f>
        <v>Sistema nervioso</v>
      </c>
      <c r="AM340" t="str">
        <f>IF(AG340="Vigente","ACTIVO",IF(ISNUMBER(SEARCH("Inactivo",J340)),"INACTIVO","REVISAR"))</f>
        <v>ACTIVO</v>
      </c>
      <c r="AN340" t="str">
        <f ca="1">IF(OR(AF340="",AF340="null"),"",ROUND((AF340-TODAY())/365.25,2))</f>
        <v/>
      </c>
      <c r="AO340" t="str">
        <f ca="1">IF(AND(AG340="Vigente",OR(AF340="",AF340="null",AF340&gt;TODAY())),"SI",IF(AND(NOT(OR(AF340="",AF340="null")),AF340&lt;=TODAY()),"NO",IF(AG340="Vigente","SI","DESCONOCIDO")))</f>
        <v>SI</v>
      </c>
      <c r="AP340" t="str">
        <f>IF(AND(ISNUMBER(SEARCH("IMPORTAR",AA340)),ISNUMBER(SEARCH("FABRICAR",AA340))),"MIXTO",IF(ISNUMBER(SEARCH("IMPORTAR",AA340)),"IMPORTADO",IF(ISNUMBER(SEARCH("FABRICAR",AA340)),"LOCAL","OTRO")))</f>
        <v>IMPORTADO</v>
      </c>
      <c r="AQ340" t="str">
        <f>IF(AD340="Si","SI",IF(AD340="No","NO",""))</f>
        <v>NO</v>
      </c>
      <c r="AR340" t="str">
        <f>IF(ISNUMBER(SEARCH("®",N340)),"MARCA/INNOVADOR","GENERICO")</f>
        <v>MARCA/INNOVADOR</v>
      </c>
      <c r="AS340">
        <f ca="1">IF(AE340&gt;100,RANDBETWEEN(500,5000),IF(AND(AE340&gt;=10,AE340&lt;=100),RANDBETWEEN(100,1000),RANDBETWEEN(10,200)))</f>
        <v>873</v>
      </c>
      <c r="AT340">
        <f t="shared" ca="1" si="27"/>
        <v>96</v>
      </c>
      <c r="AU340">
        <f ca="1">INT(AS340*RANDBETWEEN(120,200)/100)</f>
        <v>1396</v>
      </c>
      <c r="AV340" s="2">
        <f ca="1">IF(LEFT(Y340,1)="L",RANDBETWEEN(500000,5000000),IF(LEFT(Y340,1)="C",RANDBETWEEN(5000,50000),IF(LEFT(Y340,1)="N",RANDBETWEEN(10000,150000),IF(LEFT(Y340,1)="J",RANDBETWEEN(8000,200000),RANDBETWEEN(5000,100000)))))</f>
        <v>46845</v>
      </c>
      <c r="AW340" s="2">
        <f ca="1">INT(AV340*RANDBETWEEN(30,60)/100)</f>
        <v>16395</v>
      </c>
      <c r="AX340">
        <f ca="1">IF(Z340="ORAL",RANDBETWEEN(1000,10000),IF(OR(Z340="INTRAVENOSA",Z340="INTRAMUSCULAR"),RANDBETWEEN(100,2000),IF(OR(Z340="OFTÁLMICA",Z340="TOPICA (EXTERNA)"),RANDBETWEEN(200,3000),RANDBETWEEN(100,1500))))</f>
        <v>3540</v>
      </c>
      <c r="AY340" s="2">
        <f ca="1">INT(AV340*RANDBETWEEN(90,130)/100)</f>
        <v>59961</v>
      </c>
      <c r="AZ340" t="str">
        <f t="shared" ca="1" si="28"/>
        <v>23.3%</v>
      </c>
      <c r="BA340" t="str">
        <f t="shared" ca="1" si="29"/>
        <v>BAJO</v>
      </c>
    </row>
    <row r="341" spans="4:53" x14ac:dyDescent="0.35">
      <c r="D341" t="s">
        <v>2595</v>
      </c>
      <c r="E341" s="1">
        <v>41144</v>
      </c>
      <c r="F341" t="s">
        <v>186</v>
      </c>
      <c r="G341" t="s">
        <v>108</v>
      </c>
      <c r="H341" t="s">
        <v>114</v>
      </c>
      <c r="I341">
        <v>20043342</v>
      </c>
      <c r="J341" t="s">
        <v>110</v>
      </c>
      <c r="K341">
        <v>72</v>
      </c>
      <c r="L341" t="s">
        <v>27</v>
      </c>
      <c r="M341" t="s">
        <v>1236</v>
      </c>
      <c r="N341" t="s">
        <v>1237</v>
      </c>
      <c r="O341" t="s">
        <v>2596</v>
      </c>
      <c r="P341" t="s">
        <v>1239</v>
      </c>
      <c r="Q341" s="1">
        <v>42311</v>
      </c>
      <c r="R341" t="s">
        <v>33</v>
      </c>
      <c r="S341" s="1">
        <v>43395</v>
      </c>
      <c r="T341" t="s">
        <v>114</v>
      </c>
      <c r="U341" t="s">
        <v>115</v>
      </c>
      <c r="V341" t="s">
        <v>954</v>
      </c>
      <c r="W341">
        <v>10</v>
      </c>
      <c r="X341">
        <v>20043342</v>
      </c>
      <c r="Y341" t="s">
        <v>955</v>
      </c>
      <c r="Z341" t="s">
        <v>119</v>
      </c>
      <c r="AA341" t="s">
        <v>24</v>
      </c>
      <c r="AB341" t="s">
        <v>120</v>
      </c>
      <c r="AC341" t="s">
        <v>25</v>
      </c>
      <c r="AD341" t="s">
        <v>121</v>
      </c>
      <c r="AE341">
        <v>329</v>
      </c>
      <c r="AF341" t="s">
        <v>27</v>
      </c>
      <c r="AG341" t="s">
        <v>26</v>
      </c>
      <c r="AH341" t="s">
        <v>186</v>
      </c>
      <c r="AI341" t="str">
        <f t="shared" si="25"/>
        <v>NO</v>
      </c>
      <c r="AJ341" t="str">
        <f t="shared" si="26"/>
        <v>LABORATORIOS LEGRAND</v>
      </c>
      <c r="AK341" t="str">
        <f>IF(ISNUMBER(SEARCH("FABRICANTE",AC341)),"FABRICANTE",IF(ISNUMBER(SEARCH("IMPORTADOR",AC341)),"IMPORTADOR","OTRO"))</f>
        <v>FABRICANTE</v>
      </c>
      <c r="AL341" t="str">
        <f>IF(LEFT(Y341,1)="A","Sistema digestivo",IF(LEFT(Y341,1)="B","Sangre",IF(LEFT(Y341,1)="C","Cardiovascular",IF(LEFT(Y341,1)="D","Dermatológico",IF(LEFT(Y341,1)="G","Genitourinario",IF(LEFT(Y341,1)="H","Hormonal",IF(LEFT(Y341,1)="J","Antiinfecciosos",IF(LEFT(Y341,1)="L","Oncológicos",IF(LEFT(Y341,1)="M","Musculoesquelético",IF(LEFT(Y341,1)="N","Sistema nervioso",IF(LEFT(Y341,1)="R","Respiratorio",IF(LEFT(Y341,1)="S","Oftálmico",IF(LEFT(Y341,1)="V","Varios","OTRO")))))))))))))</f>
        <v>Cardiovascular</v>
      </c>
      <c r="AM341" t="str">
        <f>IF(AG341="Vigente","ACTIVO",IF(ISNUMBER(SEARCH("Inactivo",J341)),"INACTIVO","REVISAR"))</f>
        <v>ACTIVO</v>
      </c>
      <c r="AN341" t="str">
        <f ca="1">IF(OR(AF341="",AF341="null"),"",ROUND((AF341-TODAY())/365.25,2))</f>
        <v/>
      </c>
      <c r="AO341" t="str">
        <f ca="1">IF(AND(AG341="Vigente",OR(AF341="",AF341="null",AF341&gt;TODAY())),"SI",IF(AND(NOT(OR(AF341="",AF341="null")),AF341&lt;=TODAY()),"NO",IF(AG341="Vigente","SI","DESCONOCIDO")))</f>
        <v>SI</v>
      </c>
      <c r="AP341" t="str">
        <f>IF(AND(ISNUMBER(SEARCH("IMPORTAR",AA341)),ISNUMBER(SEARCH("FABRICAR",AA341))),"MIXTO",IF(ISNUMBER(SEARCH("IMPORTAR",AA341)),"IMPORTADO",IF(ISNUMBER(SEARCH("FABRICAR",AA341)),"LOCAL","OTRO")))</f>
        <v>LOCAL</v>
      </c>
      <c r="AQ341" t="str">
        <f>IF(AD341="Si","SI",IF(AD341="No","NO",""))</f>
        <v>NO</v>
      </c>
      <c r="AR341" t="str">
        <f>IF(ISNUMBER(SEARCH("®",N341)),"MARCA/INNOVADOR","GENERICO")</f>
        <v>MARCA/INNOVADOR</v>
      </c>
      <c r="AS341">
        <f ca="1">IF(AE341&gt;100,RANDBETWEEN(500,5000),IF(AND(AE341&gt;=10,AE341&lt;=100),RANDBETWEEN(100,1000),RANDBETWEEN(10,200)))</f>
        <v>1539</v>
      </c>
      <c r="AT341">
        <f t="shared" ca="1" si="27"/>
        <v>461</v>
      </c>
      <c r="AU341">
        <f ca="1">INT(AS341*RANDBETWEEN(120,200)/100)</f>
        <v>2508</v>
      </c>
      <c r="AV341" s="2">
        <f ca="1">IF(LEFT(Y341,1)="L",RANDBETWEEN(500000,5000000),IF(LEFT(Y341,1)="C",RANDBETWEEN(5000,50000),IF(LEFT(Y341,1)="N",RANDBETWEEN(10000,150000),IF(LEFT(Y341,1)="J",RANDBETWEEN(8000,200000),RANDBETWEEN(5000,100000)))))</f>
        <v>48978</v>
      </c>
      <c r="AW341" s="2">
        <f ca="1">INT(AV341*RANDBETWEEN(30,60)/100)</f>
        <v>17632</v>
      </c>
      <c r="AX341">
        <f ca="1">IF(Z341="ORAL",RANDBETWEEN(1000,10000),IF(OR(Z341="INTRAVENOSA",Z341="INTRAMUSCULAR"),RANDBETWEEN(100,2000),IF(OR(Z341="OFTÁLMICA",Z341="TOPICA (EXTERNA)"),RANDBETWEEN(200,3000),RANDBETWEEN(100,1500))))</f>
        <v>7421</v>
      </c>
      <c r="AY341" s="2">
        <f ca="1">INT(AV341*RANDBETWEEN(90,130)/100)</f>
        <v>48488</v>
      </c>
      <c r="AZ341" t="str">
        <f t="shared" ca="1" si="28"/>
        <v>13.2%</v>
      </c>
      <c r="BA341" t="str">
        <f t="shared" ca="1" si="29"/>
        <v>ALTO</v>
      </c>
    </row>
    <row r="342" spans="4:53" x14ac:dyDescent="0.35">
      <c r="D342" t="s">
        <v>2597</v>
      </c>
      <c r="E342" s="1">
        <v>37573</v>
      </c>
      <c r="F342" t="s">
        <v>1258</v>
      </c>
      <c r="G342" t="s">
        <v>108</v>
      </c>
      <c r="H342" t="s">
        <v>928</v>
      </c>
      <c r="I342">
        <v>19933064</v>
      </c>
      <c r="J342" t="s">
        <v>28</v>
      </c>
      <c r="K342">
        <v>5</v>
      </c>
      <c r="L342" t="s">
        <v>27</v>
      </c>
      <c r="M342" t="s">
        <v>1260</v>
      </c>
      <c r="N342" t="s">
        <v>1261</v>
      </c>
      <c r="O342" t="s">
        <v>2598</v>
      </c>
      <c r="P342" t="s">
        <v>1263</v>
      </c>
      <c r="Q342" s="1">
        <v>39521</v>
      </c>
      <c r="R342" t="s">
        <v>50</v>
      </c>
      <c r="S342" t="s">
        <v>27</v>
      </c>
      <c r="T342" t="s">
        <v>928</v>
      </c>
      <c r="U342" t="s">
        <v>115</v>
      </c>
      <c r="V342" t="s">
        <v>1264</v>
      </c>
      <c r="W342">
        <v>10</v>
      </c>
      <c r="X342">
        <v>19933064</v>
      </c>
      <c r="Y342" t="s">
        <v>1265</v>
      </c>
      <c r="Z342" t="s">
        <v>132</v>
      </c>
      <c r="AA342" t="s">
        <v>24</v>
      </c>
      <c r="AB342" t="s">
        <v>120</v>
      </c>
      <c r="AC342" t="s">
        <v>25</v>
      </c>
      <c r="AD342" t="s">
        <v>121</v>
      </c>
      <c r="AE342">
        <v>20</v>
      </c>
      <c r="AF342" t="s">
        <v>27</v>
      </c>
      <c r="AG342" t="s">
        <v>26</v>
      </c>
      <c r="AH342" t="s">
        <v>6625</v>
      </c>
      <c r="AI342" t="str">
        <f t="shared" si="25"/>
        <v>NO</v>
      </c>
      <c r="AJ342" t="str">
        <f t="shared" si="26"/>
        <v>LABORATORIOS ECAR</v>
      </c>
      <c r="AK342" t="str">
        <f>IF(ISNUMBER(SEARCH("FABRICANTE",AC342)),"FABRICANTE",IF(ISNUMBER(SEARCH("IMPORTADOR",AC342)),"IMPORTADOR","OTRO"))</f>
        <v>FABRICANTE</v>
      </c>
      <c r="AL342" t="str">
        <f>IF(LEFT(Y342,1)="A","Sistema digestivo",IF(LEFT(Y342,1)="B","Sangre",IF(LEFT(Y342,1)="C","Cardiovascular",IF(LEFT(Y342,1)="D","Dermatológico",IF(LEFT(Y342,1)="G","Genitourinario",IF(LEFT(Y342,1)="H","Hormonal",IF(LEFT(Y342,1)="J","Antiinfecciosos",IF(LEFT(Y342,1)="L","Oncológicos",IF(LEFT(Y342,1)="M","Musculoesquelético",IF(LEFT(Y342,1)="N","Sistema nervioso",IF(LEFT(Y342,1)="R","Respiratorio",IF(LEFT(Y342,1)="S","Oftálmico",IF(LEFT(Y342,1)="V","Varios","OTRO")))))))))))))</f>
        <v>Sangre</v>
      </c>
      <c r="AM342" t="str">
        <f>IF(AG342="Vigente","ACTIVO",IF(ISNUMBER(SEARCH("Inactivo",J342)),"INACTIVO","REVISAR"))</f>
        <v>ACTIVO</v>
      </c>
      <c r="AN342" t="str">
        <f ca="1">IF(OR(AF342="",AF342="null"),"",ROUND((AF342-TODAY())/365.25,2))</f>
        <v/>
      </c>
      <c r="AO342" t="str">
        <f ca="1">IF(AND(AG342="Vigente",OR(AF342="",AF342="null",AF342&gt;TODAY())),"SI",IF(AND(NOT(OR(AF342="",AF342="null")),AF342&lt;=TODAY()),"NO",IF(AG342="Vigente","SI","DESCONOCIDO")))</f>
        <v>SI</v>
      </c>
      <c r="AP342" t="str">
        <f>IF(AND(ISNUMBER(SEARCH("IMPORTAR",AA342)),ISNUMBER(SEARCH("FABRICAR",AA342))),"MIXTO",IF(ISNUMBER(SEARCH("IMPORTAR",AA342)),"IMPORTADO",IF(ISNUMBER(SEARCH("FABRICAR",AA342)),"LOCAL","OTRO")))</f>
        <v>LOCAL</v>
      </c>
      <c r="AQ342" t="str">
        <f>IF(AD342="Si","SI",IF(AD342="No","NO",""))</f>
        <v>NO</v>
      </c>
      <c r="AR342" t="str">
        <f>IF(ISNUMBER(SEARCH("®",N342)),"MARCA/INNOVADOR","GENERICO")</f>
        <v>GENERICO</v>
      </c>
      <c r="AS342">
        <f ca="1">IF(AE342&gt;100,RANDBETWEEN(500,5000),IF(AND(AE342&gt;=10,AE342&lt;=100),RANDBETWEEN(100,1000),RANDBETWEEN(10,200)))</f>
        <v>901</v>
      </c>
      <c r="AT342">
        <f t="shared" ca="1" si="27"/>
        <v>243</v>
      </c>
      <c r="AU342">
        <f ca="1">INT(AS342*RANDBETWEEN(120,200)/100)</f>
        <v>1531</v>
      </c>
      <c r="AV342" s="2">
        <f ca="1">IF(LEFT(Y342,1)="L",RANDBETWEEN(500000,5000000),IF(LEFT(Y342,1)="C",RANDBETWEEN(5000,50000),IF(LEFT(Y342,1)="N",RANDBETWEEN(10000,150000),IF(LEFT(Y342,1)="J",RANDBETWEEN(8000,200000),RANDBETWEEN(5000,100000)))))</f>
        <v>48562</v>
      </c>
      <c r="AW342" s="2">
        <f ca="1">INT(AV342*RANDBETWEEN(30,60)/100)</f>
        <v>19910</v>
      </c>
      <c r="AX342">
        <f ca="1">IF(Z342="ORAL",RANDBETWEEN(1000,10000),IF(OR(Z342="INTRAVENOSA",Z342="INTRAMUSCULAR"),RANDBETWEEN(100,2000),IF(OR(Z342="OFTÁLMICA",Z342="TOPICA (EXTERNA)"),RANDBETWEEN(200,3000),RANDBETWEEN(100,1500))))</f>
        <v>1028</v>
      </c>
      <c r="AY342" s="2">
        <f ca="1">INT(AV342*RANDBETWEEN(90,130)/100)</f>
        <v>55846</v>
      </c>
      <c r="AZ342" t="str">
        <f t="shared" ca="1" si="28"/>
        <v>3.3%</v>
      </c>
      <c r="BA342" t="str">
        <f t="shared" ca="1" si="29"/>
        <v>BAJO</v>
      </c>
    </row>
    <row r="343" spans="4:53" x14ac:dyDescent="0.35">
      <c r="D343" t="s">
        <v>2599</v>
      </c>
      <c r="E343" s="1">
        <v>39889</v>
      </c>
      <c r="F343" t="s">
        <v>2600</v>
      </c>
      <c r="G343" t="s">
        <v>108</v>
      </c>
      <c r="H343" t="s">
        <v>158</v>
      </c>
      <c r="I343">
        <v>19991864</v>
      </c>
      <c r="J343" t="s">
        <v>28</v>
      </c>
      <c r="K343">
        <v>2</v>
      </c>
      <c r="L343" t="s">
        <v>27</v>
      </c>
      <c r="M343" t="s">
        <v>2601</v>
      </c>
      <c r="N343" t="s">
        <v>2602</v>
      </c>
      <c r="O343" t="s">
        <v>2603</v>
      </c>
      <c r="P343" t="s">
        <v>2604</v>
      </c>
      <c r="Q343" s="1">
        <v>39689</v>
      </c>
      <c r="R343" t="s">
        <v>867</v>
      </c>
      <c r="S343" t="s">
        <v>27</v>
      </c>
      <c r="T343" t="s">
        <v>80</v>
      </c>
      <c r="U343" t="s">
        <v>115</v>
      </c>
      <c r="V343" t="s">
        <v>1233</v>
      </c>
      <c r="W343">
        <v>1200</v>
      </c>
      <c r="X343">
        <v>19991864</v>
      </c>
      <c r="Y343" t="s">
        <v>1234</v>
      </c>
      <c r="Z343" t="s">
        <v>119</v>
      </c>
      <c r="AA343" t="s">
        <v>24</v>
      </c>
      <c r="AB343" t="s">
        <v>120</v>
      </c>
      <c r="AC343" t="s">
        <v>25</v>
      </c>
      <c r="AD343" t="s">
        <v>121</v>
      </c>
      <c r="AE343">
        <v>4</v>
      </c>
      <c r="AF343" t="s">
        <v>27</v>
      </c>
      <c r="AG343" t="s">
        <v>26</v>
      </c>
      <c r="AH343" t="s">
        <v>5480</v>
      </c>
      <c r="AI343" t="str">
        <f t="shared" si="25"/>
        <v>NO</v>
      </c>
      <c r="AJ343" t="str">
        <f t="shared" si="26"/>
        <v>TECNOQUIMICAS</v>
      </c>
      <c r="AK343" t="str">
        <f>IF(ISNUMBER(SEARCH("FABRICANTE",AC343)),"FABRICANTE",IF(ISNUMBER(SEARCH("IMPORTADOR",AC343)),"IMPORTADOR","OTRO"))</f>
        <v>FABRICANTE</v>
      </c>
      <c r="AL343" t="str">
        <f>IF(LEFT(Y343,1)="A","Sistema digestivo",IF(LEFT(Y343,1)="B","Sangre",IF(LEFT(Y343,1)="C","Cardiovascular",IF(LEFT(Y343,1)="D","Dermatológico",IF(LEFT(Y343,1)="G","Genitourinario",IF(LEFT(Y343,1)="H","Hormonal",IF(LEFT(Y343,1)="J","Antiinfecciosos",IF(LEFT(Y343,1)="L","Oncológicos",IF(LEFT(Y343,1)="M","Musculoesquelético",IF(LEFT(Y343,1)="N","Sistema nervioso",IF(LEFT(Y343,1)="R","Respiratorio",IF(LEFT(Y343,1)="S","Oftálmico",IF(LEFT(Y343,1)="V","Varios","OTRO")))))))))))))</f>
        <v>Musculoesquelético</v>
      </c>
      <c r="AM343" t="str">
        <f>IF(AG343="Vigente","ACTIVO",IF(ISNUMBER(SEARCH("Inactivo",J343)),"INACTIVO","REVISAR"))</f>
        <v>ACTIVO</v>
      </c>
      <c r="AN343" t="str">
        <f ca="1">IF(OR(AF343="",AF343="null"),"",ROUND((AF343-TODAY())/365.25,2))</f>
        <v/>
      </c>
      <c r="AO343" t="str">
        <f ca="1">IF(AND(AG343="Vigente",OR(AF343="",AF343="null",AF343&gt;TODAY())),"SI",IF(AND(NOT(OR(AF343="",AF343="null")),AF343&lt;=TODAY()),"NO",IF(AG343="Vigente","SI","DESCONOCIDO")))</f>
        <v>SI</v>
      </c>
      <c r="AP343" t="str">
        <f>IF(AND(ISNUMBER(SEARCH("IMPORTAR",AA343)),ISNUMBER(SEARCH("FABRICAR",AA343))),"MIXTO",IF(ISNUMBER(SEARCH("IMPORTAR",AA343)),"IMPORTADO",IF(ISNUMBER(SEARCH("FABRICAR",AA343)),"LOCAL","OTRO")))</f>
        <v>LOCAL</v>
      </c>
      <c r="AQ343" t="str">
        <f>IF(AD343="Si","SI",IF(AD343="No","NO",""))</f>
        <v>NO</v>
      </c>
      <c r="AR343" t="str">
        <f>IF(ISNUMBER(SEARCH("®",N343)),"MARCA/INNOVADOR","GENERICO")</f>
        <v>GENERICO</v>
      </c>
      <c r="AS343">
        <f ca="1">IF(AE343&gt;100,RANDBETWEEN(500,5000),IF(AND(AE343&gt;=10,AE343&lt;=100),RANDBETWEEN(100,1000),RANDBETWEEN(10,200)))</f>
        <v>176</v>
      </c>
      <c r="AT343">
        <f t="shared" ca="1" si="27"/>
        <v>49</v>
      </c>
      <c r="AU343">
        <f ca="1">INT(AS343*RANDBETWEEN(120,200)/100)</f>
        <v>332</v>
      </c>
      <c r="AV343" s="2">
        <f ca="1">IF(LEFT(Y343,1)="L",RANDBETWEEN(500000,5000000),IF(LEFT(Y343,1)="C",RANDBETWEEN(5000,50000),IF(LEFT(Y343,1)="N",RANDBETWEEN(10000,150000),IF(LEFT(Y343,1)="J",RANDBETWEEN(8000,200000),RANDBETWEEN(5000,100000)))))</f>
        <v>19621</v>
      </c>
      <c r="AW343" s="2">
        <f ca="1">INT(AV343*RANDBETWEEN(30,60)/100)</f>
        <v>6474</v>
      </c>
      <c r="AX343">
        <f ca="1">IF(Z343="ORAL",RANDBETWEEN(1000,10000),IF(OR(Z343="INTRAVENOSA",Z343="INTRAMUSCULAR"),RANDBETWEEN(100,2000),IF(OR(Z343="OFTÁLMICA",Z343="TOPICA (EXTERNA)"),RANDBETWEEN(200,3000),RANDBETWEEN(100,1500))))</f>
        <v>1021</v>
      </c>
      <c r="AY343" s="2">
        <f ca="1">INT(AV343*RANDBETWEEN(90,130)/100)</f>
        <v>22171</v>
      </c>
      <c r="AZ343" t="str">
        <f t="shared" ca="1" si="28"/>
        <v>22.3%</v>
      </c>
      <c r="BA343" t="str">
        <f t="shared" ca="1" si="29"/>
        <v>BAJO</v>
      </c>
    </row>
    <row r="344" spans="4:53" x14ac:dyDescent="0.35">
      <c r="D344" t="s">
        <v>2605</v>
      </c>
      <c r="E344" s="1">
        <v>36200</v>
      </c>
      <c r="F344" t="s">
        <v>2606</v>
      </c>
      <c r="G344" t="s">
        <v>108</v>
      </c>
      <c r="H344" t="s">
        <v>2607</v>
      </c>
      <c r="I344">
        <v>230225</v>
      </c>
      <c r="J344" t="s">
        <v>28</v>
      </c>
      <c r="K344">
        <v>1</v>
      </c>
      <c r="L344" t="s">
        <v>27</v>
      </c>
      <c r="M344" t="s">
        <v>2608</v>
      </c>
      <c r="N344" t="s">
        <v>2606</v>
      </c>
      <c r="O344" t="s">
        <v>2609</v>
      </c>
      <c r="P344" t="s">
        <v>234</v>
      </c>
      <c r="Q344" s="1">
        <v>39031</v>
      </c>
      <c r="R344" t="s">
        <v>50</v>
      </c>
      <c r="S344" t="s">
        <v>27</v>
      </c>
      <c r="T344" t="s">
        <v>129</v>
      </c>
      <c r="U344" t="s">
        <v>502</v>
      </c>
      <c r="V344" t="s">
        <v>2610</v>
      </c>
      <c r="W344">
        <v>1</v>
      </c>
      <c r="X344">
        <v>230225</v>
      </c>
      <c r="Y344" t="s">
        <v>2611</v>
      </c>
      <c r="Z344" t="s">
        <v>213</v>
      </c>
      <c r="AA344" t="s">
        <v>24</v>
      </c>
      <c r="AB344" t="s">
        <v>133</v>
      </c>
      <c r="AC344" t="s">
        <v>25</v>
      </c>
      <c r="AD344" t="s">
        <v>121</v>
      </c>
      <c r="AE344">
        <v>1</v>
      </c>
      <c r="AF344" t="s">
        <v>27</v>
      </c>
      <c r="AG344" t="s">
        <v>26</v>
      </c>
      <c r="AH344" t="s">
        <v>5403</v>
      </c>
      <c r="AI344" t="str">
        <f t="shared" si="25"/>
        <v>NO</v>
      </c>
      <c r="AJ344" t="str">
        <f t="shared" si="26"/>
        <v>VITALIS</v>
      </c>
      <c r="AK344" t="str">
        <f>IF(ISNUMBER(SEARCH("FABRICANTE",AC344)),"FABRICANTE",IF(ISNUMBER(SEARCH("IMPORTADOR",AC344)),"IMPORTADOR","OTRO"))</f>
        <v>FABRICANTE</v>
      </c>
      <c r="AL344" t="str">
        <f>IF(LEFT(Y344,1)="A","Sistema digestivo",IF(LEFT(Y344,1)="B","Sangre",IF(LEFT(Y344,1)="C","Cardiovascular",IF(LEFT(Y344,1)="D","Dermatológico",IF(LEFT(Y344,1)="G","Genitourinario",IF(LEFT(Y344,1)="H","Hormonal",IF(LEFT(Y344,1)="J","Antiinfecciosos",IF(LEFT(Y344,1)="L","Oncológicos",IF(LEFT(Y344,1)="M","Musculoesquelético",IF(LEFT(Y344,1)="N","Sistema nervioso",IF(LEFT(Y344,1)="R","Respiratorio",IF(LEFT(Y344,1)="S","Oftálmico",IF(LEFT(Y344,1)="V","Varios","OTRO")))))))))))))</f>
        <v>Varios</v>
      </c>
      <c r="AM344" t="str">
        <f>IF(AG344="Vigente","ACTIVO",IF(ISNUMBER(SEARCH("Inactivo",J344)),"INACTIVO","REVISAR"))</f>
        <v>ACTIVO</v>
      </c>
      <c r="AN344" t="str">
        <f ca="1">IF(OR(AF344="",AF344="null"),"",ROUND((AF344-TODAY())/365.25,2))</f>
        <v/>
      </c>
      <c r="AO344" t="str">
        <f ca="1">IF(AND(AG344="Vigente",OR(AF344="",AF344="null",AF344&gt;TODAY())),"SI",IF(AND(NOT(OR(AF344="",AF344="null")),AF344&lt;=TODAY()),"NO",IF(AG344="Vigente","SI","DESCONOCIDO")))</f>
        <v>SI</v>
      </c>
      <c r="AP344" t="str">
        <f>IF(AND(ISNUMBER(SEARCH("IMPORTAR",AA344)),ISNUMBER(SEARCH("FABRICAR",AA344))),"MIXTO",IF(ISNUMBER(SEARCH("IMPORTAR",AA344)),"IMPORTADO",IF(ISNUMBER(SEARCH("FABRICAR",AA344)),"LOCAL","OTRO")))</f>
        <v>LOCAL</v>
      </c>
      <c r="AQ344" t="str">
        <f>IF(AD344="Si","SI",IF(AD344="No","NO",""))</f>
        <v>NO</v>
      </c>
      <c r="AR344" t="str">
        <f>IF(ISNUMBER(SEARCH("®",N344)),"MARCA/INNOVADOR","GENERICO")</f>
        <v>GENERICO</v>
      </c>
      <c r="AS344">
        <f ca="1">IF(AE344&gt;100,RANDBETWEEN(500,5000),IF(AND(AE344&gt;=10,AE344&lt;=100),RANDBETWEEN(100,1000),RANDBETWEEN(10,200)))</f>
        <v>166</v>
      </c>
      <c r="AT344">
        <f t="shared" ca="1" si="27"/>
        <v>29</v>
      </c>
      <c r="AU344">
        <f ca="1">INT(AS344*RANDBETWEEN(120,200)/100)</f>
        <v>253</v>
      </c>
      <c r="AV344" s="2">
        <f ca="1">IF(LEFT(Y344,1)="L",RANDBETWEEN(500000,5000000),IF(LEFT(Y344,1)="C",RANDBETWEEN(5000,50000),IF(LEFT(Y344,1)="N",RANDBETWEEN(10000,150000),IF(LEFT(Y344,1)="J",RANDBETWEEN(8000,200000),RANDBETWEEN(5000,100000)))))</f>
        <v>30358</v>
      </c>
      <c r="AW344" s="2">
        <f ca="1">INT(AV344*RANDBETWEEN(30,60)/100)</f>
        <v>17304</v>
      </c>
      <c r="AX344">
        <f ca="1">IF(Z344="ORAL",RANDBETWEEN(1000,10000),IF(OR(Z344="INTRAVENOSA",Z344="INTRAMUSCULAR"),RANDBETWEEN(100,2000),IF(OR(Z344="OFTÁLMICA",Z344="TOPICA (EXTERNA)"),RANDBETWEEN(200,3000),RANDBETWEEN(100,1500))))</f>
        <v>1497</v>
      </c>
      <c r="AY344" s="2">
        <f ca="1">INT(AV344*RANDBETWEEN(90,130)/100)</f>
        <v>29447</v>
      </c>
      <c r="AZ344" t="str">
        <f t="shared" ca="1" si="28"/>
        <v>7.8%</v>
      </c>
      <c r="BA344" t="str">
        <f t="shared" ca="1" si="29"/>
        <v>BAJO</v>
      </c>
    </row>
    <row r="345" spans="4:53" x14ac:dyDescent="0.35">
      <c r="D345" t="s">
        <v>2612</v>
      </c>
      <c r="E345" s="1">
        <v>37573</v>
      </c>
      <c r="F345" t="s">
        <v>1258</v>
      </c>
      <c r="G345" t="s">
        <v>108</v>
      </c>
      <c r="H345" t="s">
        <v>1259</v>
      </c>
      <c r="I345">
        <v>19933064</v>
      </c>
      <c r="J345" t="s">
        <v>28</v>
      </c>
      <c r="K345">
        <v>6</v>
      </c>
      <c r="L345" t="s">
        <v>27</v>
      </c>
      <c r="M345" t="s">
        <v>1260</v>
      </c>
      <c r="N345" t="s">
        <v>1261</v>
      </c>
      <c r="O345" t="s">
        <v>2613</v>
      </c>
      <c r="P345" t="s">
        <v>1263</v>
      </c>
      <c r="Q345" s="1">
        <v>39521</v>
      </c>
      <c r="R345" t="s">
        <v>50</v>
      </c>
      <c r="S345" s="1">
        <v>40624</v>
      </c>
      <c r="T345" t="s">
        <v>928</v>
      </c>
      <c r="U345" t="s">
        <v>115</v>
      </c>
      <c r="V345" t="s">
        <v>1264</v>
      </c>
      <c r="W345">
        <v>10</v>
      </c>
      <c r="X345">
        <v>19933064</v>
      </c>
      <c r="Y345" t="s">
        <v>1265</v>
      </c>
      <c r="Z345" t="s">
        <v>260</v>
      </c>
      <c r="AA345" t="s">
        <v>24</v>
      </c>
      <c r="AB345" t="s">
        <v>120</v>
      </c>
      <c r="AC345" t="s">
        <v>25</v>
      </c>
      <c r="AD345" t="s">
        <v>121</v>
      </c>
      <c r="AE345">
        <v>25</v>
      </c>
      <c r="AF345" t="s">
        <v>27</v>
      </c>
      <c r="AG345" t="s">
        <v>26</v>
      </c>
      <c r="AH345" t="s">
        <v>6625</v>
      </c>
      <c r="AI345" t="str">
        <f t="shared" si="25"/>
        <v>NO</v>
      </c>
      <c r="AJ345" t="str">
        <f t="shared" si="26"/>
        <v>LABORATORIOS ECAR</v>
      </c>
      <c r="AK345" t="str">
        <f>IF(ISNUMBER(SEARCH("FABRICANTE",AC345)),"FABRICANTE",IF(ISNUMBER(SEARCH("IMPORTADOR",AC345)),"IMPORTADOR","OTRO"))</f>
        <v>FABRICANTE</v>
      </c>
      <c r="AL345" t="str">
        <f>IF(LEFT(Y345,1)="A","Sistema digestivo",IF(LEFT(Y345,1)="B","Sangre",IF(LEFT(Y345,1)="C","Cardiovascular",IF(LEFT(Y345,1)="D","Dermatológico",IF(LEFT(Y345,1)="G","Genitourinario",IF(LEFT(Y345,1)="H","Hormonal",IF(LEFT(Y345,1)="J","Antiinfecciosos",IF(LEFT(Y345,1)="L","Oncológicos",IF(LEFT(Y345,1)="M","Musculoesquelético",IF(LEFT(Y345,1)="N","Sistema nervioso",IF(LEFT(Y345,1)="R","Respiratorio",IF(LEFT(Y345,1)="S","Oftálmico",IF(LEFT(Y345,1)="V","Varios","OTRO")))))))))))))</f>
        <v>Sangre</v>
      </c>
      <c r="AM345" t="str">
        <f>IF(AG345="Vigente","ACTIVO",IF(ISNUMBER(SEARCH("Inactivo",J345)),"INACTIVO","REVISAR"))</f>
        <v>ACTIVO</v>
      </c>
      <c r="AN345" t="str">
        <f ca="1">IF(OR(AF345="",AF345="null"),"",ROUND((AF345-TODAY())/365.25,2))</f>
        <v/>
      </c>
      <c r="AO345" t="str">
        <f ca="1">IF(AND(AG345="Vigente",OR(AF345="",AF345="null",AF345&gt;TODAY())),"SI",IF(AND(NOT(OR(AF345="",AF345="null")),AF345&lt;=TODAY()),"NO",IF(AG345="Vigente","SI","DESCONOCIDO")))</f>
        <v>SI</v>
      </c>
      <c r="AP345" t="str">
        <f>IF(AND(ISNUMBER(SEARCH("IMPORTAR",AA345)),ISNUMBER(SEARCH("FABRICAR",AA345))),"MIXTO",IF(ISNUMBER(SEARCH("IMPORTAR",AA345)),"IMPORTADO",IF(ISNUMBER(SEARCH("FABRICAR",AA345)),"LOCAL","OTRO")))</f>
        <v>LOCAL</v>
      </c>
      <c r="AQ345" t="str">
        <f>IF(AD345="Si","SI",IF(AD345="No","NO",""))</f>
        <v>NO</v>
      </c>
      <c r="AR345" t="str">
        <f>IF(ISNUMBER(SEARCH("®",N345)),"MARCA/INNOVADOR","GENERICO")</f>
        <v>GENERICO</v>
      </c>
      <c r="AS345">
        <f ca="1">IF(AE345&gt;100,RANDBETWEEN(500,5000),IF(AND(AE345&gt;=10,AE345&lt;=100),RANDBETWEEN(100,1000),RANDBETWEEN(10,200)))</f>
        <v>374</v>
      </c>
      <c r="AT345">
        <f t="shared" ca="1" si="27"/>
        <v>59</v>
      </c>
      <c r="AU345">
        <f ca="1">INT(AS345*RANDBETWEEN(120,200)/100)</f>
        <v>452</v>
      </c>
      <c r="AV345" s="2">
        <f ca="1">IF(LEFT(Y345,1)="L",RANDBETWEEN(500000,5000000),IF(LEFT(Y345,1)="C",RANDBETWEEN(5000,50000),IF(LEFT(Y345,1)="N",RANDBETWEEN(10000,150000),IF(LEFT(Y345,1)="J",RANDBETWEEN(8000,200000),RANDBETWEEN(5000,100000)))))</f>
        <v>82940</v>
      </c>
      <c r="AW345" s="2">
        <f ca="1">INT(AV345*RANDBETWEEN(30,60)/100)</f>
        <v>45617</v>
      </c>
      <c r="AX345">
        <f ca="1">IF(Z345="ORAL",RANDBETWEEN(1000,10000),IF(OR(Z345="INTRAVENOSA",Z345="INTRAMUSCULAR"),RANDBETWEEN(100,2000),IF(OR(Z345="OFTÁLMICA",Z345="TOPICA (EXTERNA)"),RANDBETWEEN(200,3000),RANDBETWEEN(100,1500))))</f>
        <v>541</v>
      </c>
      <c r="AY345" s="2">
        <f ca="1">INT(AV345*RANDBETWEEN(90,130)/100)</f>
        <v>88745</v>
      </c>
      <c r="AZ345" t="str">
        <f t="shared" ca="1" si="28"/>
        <v>4.9%</v>
      </c>
      <c r="BA345" t="str">
        <f t="shared" ca="1" si="29"/>
        <v>BAJO</v>
      </c>
    </row>
    <row r="346" spans="4:53" x14ac:dyDescent="0.35">
      <c r="D346" t="s">
        <v>2614</v>
      </c>
      <c r="E346" s="1">
        <v>41964</v>
      </c>
      <c r="F346" t="s">
        <v>2615</v>
      </c>
      <c r="G346" t="s">
        <v>108</v>
      </c>
      <c r="H346" t="s">
        <v>39</v>
      </c>
      <c r="I346">
        <v>20064440</v>
      </c>
      <c r="J346" t="s">
        <v>28</v>
      </c>
      <c r="K346">
        <v>2</v>
      </c>
      <c r="L346" t="s">
        <v>27</v>
      </c>
      <c r="M346" t="s">
        <v>2616</v>
      </c>
      <c r="N346" t="s">
        <v>2617</v>
      </c>
      <c r="O346" t="s">
        <v>2618</v>
      </c>
      <c r="P346" t="s">
        <v>33</v>
      </c>
      <c r="Q346" s="1">
        <v>44393</v>
      </c>
      <c r="R346" t="s">
        <v>200</v>
      </c>
      <c r="S346" s="1">
        <v>43821</v>
      </c>
      <c r="T346" t="s">
        <v>40</v>
      </c>
      <c r="U346" t="s">
        <v>115</v>
      </c>
      <c r="V346" t="s">
        <v>2619</v>
      </c>
      <c r="W346">
        <v>400</v>
      </c>
      <c r="X346">
        <v>20064440</v>
      </c>
      <c r="Y346" t="s">
        <v>2620</v>
      </c>
      <c r="Z346" t="s">
        <v>119</v>
      </c>
      <c r="AA346" t="s">
        <v>32</v>
      </c>
      <c r="AB346" t="s">
        <v>120</v>
      </c>
      <c r="AC346" t="s">
        <v>38</v>
      </c>
      <c r="AD346" t="s">
        <v>121</v>
      </c>
      <c r="AE346">
        <v>30</v>
      </c>
      <c r="AF346" s="1">
        <v>401769</v>
      </c>
      <c r="AG346" t="s">
        <v>26</v>
      </c>
      <c r="AH346" t="s">
        <v>6651</v>
      </c>
      <c r="AI346" t="str">
        <f t="shared" si="25"/>
        <v>NO</v>
      </c>
      <c r="AJ346" t="str">
        <f t="shared" si="26"/>
        <v>HETERO LABS</v>
      </c>
      <c r="AK346" t="str">
        <f>IF(ISNUMBER(SEARCH("FABRICANTE",AC346)),"FABRICANTE",IF(ISNUMBER(SEARCH("IMPORTADOR",AC346)),"IMPORTADOR","OTRO"))</f>
        <v>IMPORTADOR</v>
      </c>
      <c r="AL346" t="str">
        <f>IF(LEFT(Y346,1)="A","Sistema digestivo",IF(LEFT(Y346,1)="B","Sangre",IF(LEFT(Y346,1)="C","Cardiovascular",IF(LEFT(Y346,1)="D","Dermatológico",IF(LEFT(Y346,1)="G","Genitourinario",IF(LEFT(Y346,1)="H","Hormonal",IF(LEFT(Y346,1)="J","Antiinfecciosos",IF(LEFT(Y346,1)="L","Oncológicos",IF(LEFT(Y346,1)="M","Musculoesquelético",IF(LEFT(Y346,1)="N","Sistema nervioso",IF(LEFT(Y346,1)="R","Respiratorio",IF(LEFT(Y346,1)="S","Oftálmico",IF(LEFT(Y346,1)="V","Varios","OTRO")))))))))))))</f>
        <v>Oncológicos</v>
      </c>
      <c r="AM346" t="str">
        <f>IF(AG346="Vigente","ACTIVO",IF(ISNUMBER(SEARCH("Inactivo",J346)),"INACTIVO","REVISAR"))</f>
        <v>ACTIVO</v>
      </c>
      <c r="AN346">
        <f ca="1">IF(OR(AF346="",AF346="null"),"",ROUND((AF346-TODAY())/365.25,2))</f>
        <v>973.58</v>
      </c>
      <c r="AO346" t="str">
        <f ca="1">IF(AND(AG346="Vigente",OR(AF346="",AF346="null",AF346&gt;TODAY())),"SI",IF(AND(NOT(OR(AF346="",AF346="null")),AF346&lt;=TODAY()),"NO",IF(AG346="Vigente","SI","DESCONOCIDO")))</f>
        <v>SI</v>
      </c>
      <c r="AP346" t="str">
        <f>IF(AND(ISNUMBER(SEARCH("IMPORTAR",AA346)),ISNUMBER(SEARCH("FABRICAR",AA346))),"MIXTO",IF(ISNUMBER(SEARCH("IMPORTAR",AA346)),"IMPORTADO",IF(ISNUMBER(SEARCH("FABRICAR",AA346)),"LOCAL","OTRO")))</f>
        <v>IMPORTADO</v>
      </c>
      <c r="AQ346" t="str">
        <f>IF(AD346="Si","SI",IF(AD346="No","NO",""))</f>
        <v>NO</v>
      </c>
      <c r="AR346" t="str">
        <f>IF(ISNUMBER(SEARCH("®",N346)),"MARCA/INNOVADOR","GENERICO")</f>
        <v>MARCA/INNOVADOR</v>
      </c>
      <c r="AS346">
        <f ca="1">IF(AE346&gt;100,RANDBETWEEN(500,5000),IF(AND(AE346&gt;=10,AE346&lt;=100),RANDBETWEEN(100,1000),RANDBETWEEN(10,200)))</f>
        <v>897</v>
      </c>
      <c r="AT346">
        <f t="shared" ca="1" si="27"/>
        <v>143</v>
      </c>
      <c r="AU346">
        <f ca="1">INT(AS346*RANDBETWEEN(120,200)/100)</f>
        <v>1085</v>
      </c>
      <c r="AV346" s="2">
        <f ca="1">IF(LEFT(Y346,1)="L",RANDBETWEEN(500000,5000000),IF(LEFT(Y346,1)="C",RANDBETWEEN(5000,50000),IF(LEFT(Y346,1)="N",RANDBETWEEN(10000,150000),IF(LEFT(Y346,1)="J",RANDBETWEEN(8000,200000),RANDBETWEEN(5000,100000)))))</f>
        <v>4136791</v>
      </c>
      <c r="AW346" s="2">
        <f ca="1">INT(AV346*RANDBETWEEN(30,60)/100)</f>
        <v>1902923</v>
      </c>
      <c r="AX346">
        <f ca="1">IF(Z346="ORAL",RANDBETWEEN(1000,10000),IF(OR(Z346="INTRAVENOSA",Z346="INTRAMUSCULAR"),RANDBETWEEN(100,2000),IF(OR(Z346="OFTÁLMICA",Z346="TOPICA (EXTERNA)"),RANDBETWEEN(200,3000),RANDBETWEEN(100,1500))))</f>
        <v>9480</v>
      </c>
      <c r="AY346" s="2">
        <f ca="1">INT(AV346*RANDBETWEEN(90,130)/100)</f>
        <v>4633205</v>
      </c>
      <c r="AZ346" t="str">
        <f t="shared" ca="1" si="28"/>
        <v>11.1%</v>
      </c>
      <c r="BA346" t="str">
        <f t="shared" ca="1" si="29"/>
        <v>BAJO</v>
      </c>
    </row>
    <row r="347" spans="4:53" x14ac:dyDescent="0.35">
      <c r="D347" t="s">
        <v>2621</v>
      </c>
      <c r="E347" s="1">
        <v>39767</v>
      </c>
      <c r="F347" t="s">
        <v>2622</v>
      </c>
      <c r="G347" t="s">
        <v>108</v>
      </c>
      <c r="H347" t="s">
        <v>2623</v>
      </c>
      <c r="I347">
        <v>19994003</v>
      </c>
      <c r="J347" t="s">
        <v>28</v>
      </c>
      <c r="K347">
        <v>1</v>
      </c>
      <c r="L347" t="s">
        <v>27</v>
      </c>
      <c r="M347" t="s">
        <v>2624</v>
      </c>
      <c r="N347" t="s">
        <v>2625</v>
      </c>
      <c r="O347" t="s">
        <v>2626</v>
      </c>
      <c r="P347" t="s">
        <v>37</v>
      </c>
      <c r="Q347" s="1">
        <v>39743</v>
      </c>
      <c r="R347" t="s">
        <v>37</v>
      </c>
      <c r="S347" t="s">
        <v>27</v>
      </c>
      <c r="T347" t="s">
        <v>508</v>
      </c>
      <c r="U347" t="s">
        <v>115</v>
      </c>
      <c r="V347" t="s">
        <v>2627</v>
      </c>
      <c r="W347" t="s">
        <v>2628</v>
      </c>
      <c r="X347">
        <v>19994003</v>
      </c>
      <c r="Y347" t="s">
        <v>2629</v>
      </c>
      <c r="Z347" t="s">
        <v>119</v>
      </c>
      <c r="AA347" t="s">
        <v>165</v>
      </c>
      <c r="AB347" t="s">
        <v>120</v>
      </c>
      <c r="AC347" t="s">
        <v>25</v>
      </c>
      <c r="AD347" t="s">
        <v>121</v>
      </c>
      <c r="AE347">
        <v>2</v>
      </c>
      <c r="AF347" s="1">
        <v>402133</v>
      </c>
      <c r="AG347" t="s">
        <v>26</v>
      </c>
      <c r="AH347" t="s">
        <v>453</v>
      </c>
      <c r="AI347" t="str">
        <f t="shared" si="25"/>
        <v>SI</v>
      </c>
      <c r="AJ347" t="str">
        <f t="shared" si="26"/>
        <v>PRODUCTORA DE CAPSULAS DE GELATINA. PROCAPS</v>
      </c>
      <c r="AK347" t="str">
        <f>IF(ISNUMBER(SEARCH("FABRICANTE",AC347)),"FABRICANTE",IF(ISNUMBER(SEARCH("IMPORTADOR",AC347)),"IMPORTADOR","OTRO"))</f>
        <v>FABRICANTE</v>
      </c>
      <c r="AL347" t="str">
        <f>IF(LEFT(Y347,1)="A","Sistema digestivo",IF(LEFT(Y347,1)="B","Sangre",IF(LEFT(Y347,1)="C","Cardiovascular",IF(LEFT(Y347,1)="D","Dermatológico",IF(LEFT(Y347,1)="G","Genitourinario",IF(LEFT(Y347,1)="H","Hormonal",IF(LEFT(Y347,1)="J","Antiinfecciosos",IF(LEFT(Y347,1)="L","Oncológicos",IF(LEFT(Y347,1)="M","Musculoesquelético",IF(LEFT(Y347,1)="N","Sistema nervioso",IF(LEFT(Y347,1)="R","Respiratorio",IF(LEFT(Y347,1)="S","Oftálmico",IF(LEFT(Y347,1)="V","Varios","OTRO")))))))))))))</f>
        <v>Cardiovascular</v>
      </c>
      <c r="AM347" t="str">
        <f>IF(AG347="Vigente","ACTIVO",IF(ISNUMBER(SEARCH("Inactivo",J347)),"INACTIVO","REVISAR"))</f>
        <v>ACTIVO</v>
      </c>
      <c r="AN347">
        <f ca="1">IF(OR(AF347="",AF347="null"),"",ROUND((AF347-TODAY())/365.25,2))</f>
        <v>974.58</v>
      </c>
      <c r="AO347" t="str">
        <f ca="1">IF(AND(AG347="Vigente",OR(AF347="",AF347="null",AF347&gt;TODAY())),"SI",IF(AND(NOT(OR(AF347="",AF347="null")),AF347&lt;=TODAY()),"NO",IF(AG347="Vigente","SI","DESCONOCIDO")))</f>
        <v>SI</v>
      </c>
      <c r="AP347" t="str">
        <f>IF(AND(ISNUMBER(SEARCH("IMPORTAR",AA347)),ISNUMBER(SEARCH("FABRICAR",AA347))),"MIXTO",IF(ISNUMBER(SEARCH("IMPORTAR",AA347)),"IMPORTADO",IF(ISNUMBER(SEARCH("FABRICAR",AA347)),"LOCAL","OTRO")))</f>
        <v>IMPORTADO</v>
      </c>
      <c r="AQ347" t="str">
        <f>IF(AD347="Si","SI",IF(AD347="No","NO",""))</f>
        <v>NO</v>
      </c>
      <c r="AR347" t="str">
        <f>IF(ISNUMBER(SEARCH("®",N347)),"MARCA/INNOVADOR","GENERICO")</f>
        <v>GENERICO</v>
      </c>
      <c r="AS347">
        <f ca="1">IF(AE347&gt;100,RANDBETWEEN(500,5000),IF(AND(AE347&gt;=10,AE347&lt;=100),RANDBETWEEN(100,1000),RANDBETWEEN(10,200)))</f>
        <v>62</v>
      </c>
      <c r="AT347">
        <f t="shared" ca="1" si="27"/>
        <v>14</v>
      </c>
      <c r="AU347">
        <f ca="1">INT(AS347*RANDBETWEEN(120,200)/100)</f>
        <v>80</v>
      </c>
      <c r="AV347" s="2">
        <f ca="1">IF(LEFT(Y347,1)="L",RANDBETWEEN(500000,5000000),IF(LEFT(Y347,1)="C",RANDBETWEEN(5000,50000),IF(LEFT(Y347,1)="N",RANDBETWEEN(10000,150000),IF(LEFT(Y347,1)="J",RANDBETWEEN(8000,200000),RANDBETWEEN(5000,100000)))))</f>
        <v>16242</v>
      </c>
      <c r="AW347" s="2">
        <f ca="1">INT(AV347*RANDBETWEEN(30,60)/100)</f>
        <v>7633</v>
      </c>
      <c r="AX347">
        <f ca="1">IF(Z347="ORAL",RANDBETWEEN(1000,10000),IF(OR(Z347="INTRAVENOSA",Z347="INTRAMUSCULAR"),RANDBETWEEN(100,2000),IF(OR(Z347="OFTÁLMICA",Z347="TOPICA (EXTERNA)"),RANDBETWEEN(200,3000),RANDBETWEEN(100,1500))))</f>
        <v>3072</v>
      </c>
      <c r="AY347" s="2">
        <f ca="1">INT(AV347*RANDBETWEEN(90,130)/100)</f>
        <v>20302</v>
      </c>
      <c r="AZ347" t="str">
        <f t="shared" ca="1" si="28"/>
        <v>14.1%</v>
      </c>
      <c r="BA347" t="str">
        <f t="shared" ca="1" si="29"/>
        <v>BAJO</v>
      </c>
    </row>
    <row r="348" spans="4:53" x14ac:dyDescent="0.35">
      <c r="D348" t="s">
        <v>2630</v>
      </c>
      <c r="E348" s="1">
        <v>41975</v>
      </c>
      <c r="F348" t="s">
        <v>2631</v>
      </c>
      <c r="G348" t="s">
        <v>108</v>
      </c>
      <c r="H348" t="s">
        <v>1329</v>
      </c>
      <c r="I348">
        <v>20061746</v>
      </c>
      <c r="J348" t="s">
        <v>110</v>
      </c>
      <c r="K348">
        <v>6</v>
      </c>
      <c r="L348" t="s">
        <v>27</v>
      </c>
      <c r="M348" t="s">
        <v>1326</v>
      </c>
      <c r="N348" t="s">
        <v>1327</v>
      </c>
      <c r="O348" t="s">
        <v>2632</v>
      </c>
      <c r="P348" t="s">
        <v>234</v>
      </c>
      <c r="Q348" s="1">
        <v>43236</v>
      </c>
      <c r="R348" t="s">
        <v>258</v>
      </c>
      <c r="S348" t="s">
        <v>27</v>
      </c>
      <c r="T348" t="s">
        <v>1329</v>
      </c>
      <c r="U348" t="s">
        <v>115</v>
      </c>
      <c r="V348" t="s">
        <v>64</v>
      </c>
      <c r="W348" t="s">
        <v>2633</v>
      </c>
      <c r="X348">
        <v>20061746</v>
      </c>
      <c r="Y348" t="s">
        <v>259</v>
      </c>
      <c r="Z348" t="s">
        <v>260</v>
      </c>
      <c r="AA348" t="s">
        <v>32</v>
      </c>
      <c r="AB348" t="s">
        <v>133</v>
      </c>
      <c r="AC348" t="s">
        <v>25</v>
      </c>
      <c r="AD348" t="s">
        <v>155</v>
      </c>
      <c r="AE348">
        <v>1</v>
      </c>
      <c r="AF348" s="1">
        <v>401769</v>
      </c>
      <c r="AG348" t="s">
        <v>26</v>
      </c>
      <c r="AH348" t="s">
        <v>6652</v>
      </c>
      <c r="AI348" t="str">
        <f t="shared" si="25"/>
        <v>NO</v>
      </c>
      <c r="AJ348" t="str">
        <f t="shared" si="26"/>
        <v>FRESENIUS KABI AB</v>
      </c>
      <c r="AK348" t="str">
        <f>IF(ISNUMBER(SEARCH("FABRICANTE",AC348)),"FABRICANTE",IF(ISNUMBER(SEARCH("IMPORTADOR",AC348)),"IMPORTADOR","OTRO"))</f>
        <v>FABRICANTE</v>
      </c>
      <c r="AL348" t="str">
        <f>IF(LEFT(Y348,1)="A","Sistema digestivo",IF(LEFT(Y348,1)="B","Sangre",IF(LEFT(Y348,1)="C","Cardiovascular",IF(LEFT(Y348,1)="D","Dermatológico",IF(LEFT(Y348,1)="G","Genitourinario",IF(LEFT(Y348,1)="H","Hormonal",IF(LEFT(Y348,1)="J","Antiinfecciosos",IF(LEFT(Y348,1)="L","Oncológicos",IF(LEFT(Y348,1)="M","Musculoesquelético",IF(LEFT(Y348,1)="N","Sistema nervioso",IF(LEFT(Y348,1)="R","Respiratorio",IF(LEFT(Y348,1)="S","Oftálmico",IF(LEFT(Y348,1)="V","Varios","OTRO")))))))))))))</f>
        <v>Sangre</v>
      </c>
      <c r="AM348" t="str">
        <f>IF(AG348="Vigente","ACTIVO",IF(ISNUMBER(SEARCH("Inactivo",J348)),"INACTIVO","REVISAR"))</f>
        <v>ACTIVO</v>
      </c>
      <c r="AN348">
        <f ca="1">IF(OR(AF348="",AF348="null"),"",ROUND((AF348-TODAY())/365.25,2))</f>
        <v>973.58</v>
      </c>
      <c r="AO348" t="str">
        <f ca="1">IF(AND(AG348="Vigente",OR(AF348="",AF348="null",AF348&gt;TODAY())),"SI",IF(AND(NOT(OR(AF348="",AF348="null")),AF348&lt;=TODAY()),"NO",IF(AG348="Vigente","SI","DESCONOCIDO")))</f>
        <v>SI</v>
      </c>
      <c r="AP348" t="str">
        <f>IF(AND(ISNUMBER(SEARCH("IMPORTAR",AA348)),ISNUMBER(SEARCH("FABRICAR",AA348))),"MIXTO",IF(ISNUMBER(SEARCH("IMPORTAR",AA348)),"IMPORTADO",IF(ISNUMBER(SEARCH("FABRICAR",AA348)),"LOCAL","OTRO")))</f>
        <v>IMPORTADO</v>
      </c>
      <c r="AQ348" t="str">
        <f>IF(AD348="Si","SI",IF(AD348="No","NO",""))</f>
        <v>SI</v>
      </c>
      <c r="AR348" t="str">
        <f>IF(ISNUMBER(SEARCH("®",N348)),"MARCA/INNOVADOR","GENERICO")</f>
        <v>MARCA/INNOVADOR</v>
      </c>
      <c r="AS348">
        <f ca="1">IF(AE348&gt;100,RANDBETWEEN(500,5000),IF(AND(AE348&gt;=10,AE348&lt;=100),RANDBETWEEN(100,1000),RANDBETWEEN(10,200)))</f>
        <v>168</v>
      </c>
      <c r="AT348">
        <f t="shared" ca="1" si="27"/>
        <v>26</v>
      </c>
      <c r="AU348">
        <f ca="1">INT(AS348*RANDBETWEEN(120,200)/100)</f>
        <v>208</v>
      </c>
      <c r="AV348" s="2">
        <f ca="1">IF(LEFT(Y348,1)="L",RANDBETWEEN(500000,5000000),IF(LEFT(Y348,1)="C",RANDBETWEEN(5000,50000),IF(LEFT(Y348,1)="N",RANDBETWEEN(10000,150000),IF(LEFT(Y348,1)="J",RANDBETWEEN(8000,200000),RANDBETWEEN(5000,100000)))))</f>
        <v>13005</v>
      </c>
      <c r="AW348" s="2">
        <f ca="1">INT(AV348*RANDBETWEEN(30,60)/100)</f>
        <v>6372</v>
      </c>
      <c r="AX348">
        <f ca="1">IF(Z348="ORAL",RANDBETWEEN(1000,10000),IF(OR(Z348="INTRAVENOSA",Z348="INTRAMUSCULAR"),RANDBETWEEN(100,2000),IF(OR(Z348="OFTÁLMICA",Z348="TOPICA (EXTERNA)"),RANDBETWEEN(200,3000),RANDBETWEEN(100,1500))))</f>
        <v>1156</v>
      </c>
      <c r="AY348" s="2">
        <f ca="1">INT(AV348*RANDBETWEEN(90,130)/100)</f>
        <v>14045</v>
      </c>
      <c r="AZ348" t="str">
        <f t="shared" ca="1" si="28"/>
        <v>1.5%</v>
      </c>
      <c r="BA348" t="str">
        <f t="shared" ca="1" si="29"/>
        <v>MEDIO</v>
      </c>
    </row>
    <row r="349" spans="4:53" x14ac:dyDescent="0.35">
      <c r="D349" t="s">
        <v>2634</v>
      </c>
      <c r="E349" s="1">
        <v>36161</v>
      </c>
      <c r="F349" t="s">
        <v>2635</v>
      </c>
      <c r="G349" t="s">
        <v>247</v>
      </c>
      <c r="H349" t="s">
        <v>1776</v>
      </c>
      <c r="I349">
        <v>35256</v>
      </c>
      <c r="J349" t="s">
        <v>110</v>
      </c>
      <c r="K349">
        <v>9</v>
      </c>
      <c r="L349" t="s">
        <v>27</v>
      </c>
      <c r="M349" t="s">
        <v>1771</v>
      </c>
      <c r="N349" t="s">
        <v>1772</v>
      </c>
      <c r="O349" t="s">
        <v>2636</v>
      </c>
      <c r="P349" t="s">
        <v>1774</v>
      </c>
      <c r="Q349" s="1">
        <v>40472</v>
      </c>
      <c r="R349" t="s">
        <v>1775</v>
      </c>
      <c r="S349" s="1">
        <v>42559</v>
      </c>
      <c r="T349" t="s">
        <v>1776</v>
      </c>
      <c r="U349" t="s">
        <v>247</v>
      </c>
      <c r="V349" t="s">
        <v>1777</v>
      </c>
      <c r="W349" t="s">
        <v>2637</v>
      </c>
      <c r="X349">
        <v>35256</v>
      </c>
      <c r="Y349" t="s">
        <v>1779</v>
      </c>
      <c r="Z349" t="s">
        <v>566</v>
      </c>
      <c r="AA349" t="s">
        <v>24</v>
      </c>
      <c r="AB349" t="s">
        <v>653</v>
      </c>
      <c r="AC349" t="s">
        <v>25</v>
      </c>
      <c r="AD349" t="s">
        <v>121</v>
      </c>
      <c r="AE349">
        <v>10</v>
      </c>
      <c r="AF349" t="s">
        <v>27</v>
      </c>
      <c r="AG349" t="s">
        <v>26</v>
      </c>
      <c r="AH349" t="s">
        <v>6785</v>
      </c>
      <c r="AI349" t="str">
        <f t="shared" si="25"/>
        <v>NO</v>
      </c>
      <c r="AJ349" t="str">
        <f t="shared" si="26"/>
        <v>LABORATORIOS REMO</v>
      </c>
      <c r="AK349" t="str">
        <f>IF(ISNUMBER(SEARCH("FABRICANTE",AC349)),"FABRICANTE",IF(ISNUMBER(SEARCH("IMPORTADOR",AC349)),"IMPORTADOR","OTRO"))</f>
        <v>FABRICANTE</v>
      </c>
      <c r="AL349" t="str">
        <f>IF(LEFT(Y349,1)="A","Sistema digestivo",IF(LEFT(Y349,1)="B","Sangre",IF(LEFT(Y349,1)="C","Cardiovascular",IF(LEFT(Y349,1)="D","Dermatológico",IF(LEFT(Y349,1)="G","Genitourinario",IF(LEFT(Y349,1)="H","Hormonal",IF(LEFT(Y349,1)="J","Antiinfecciosos",IF(LEFT(Y349,1)="L","Oncológicos",IF(LEFT(Y349,1)="M","Musculoesquelético",IF(LEFT(Y349,1)="N","Sistema nervioso",IF(LEFT(Y349,1)="R","Respiratorio",IF(LEFT(Y349,1)="S","Oftálmico",IF(LEFT(Y349,1)="V","Varios","OTRO")))))))))))))</f>
        <v>Dermatológico</v>
      </c>
      <c r="AM349" t="str">
        <f>IF(AG349="Vigente","ACTIVO",IF(ISNUMBER(SEARCH("Inactivo",J349)),"INACTIVO","REVISAR"))</f>
        <v>ACTIVO</v>
      </c>
      <c r="AN349" t="str">
        <f ca="1">IF(OR(AF349="",AF349="null"),"",ROUND((AF349-TODAY())/365.25,2))</f>
        <v/>
      </c>
      <c r="AO349" t="str">
        <f ca="1">IF(AND(AG349="Vigente",OR(AF349="",AF349="null",AF349&gt;TODAY())),"SI",IF(AND(NOT(OR(AF349="",AF349="null")),AF349&lt;=TODAY()),"NO",IF(AG349="Vigente","SI","DESCONOCIDO")))</f>
        <v>SI</v>
      </c>
      <c r="AP349" t="str">
        <f>IF(AND(ISNUMBER(SEARCH("IMPORTAR",AA349)),ISNUMBER(SEARCH("FABRICAR",AA349))),"MIXTO",IF(ISNUMBER(SEARCH("IMPORTAR",AA349)),"IMPORTADO",IF(ISNUMBER(SEARCH("FABRICAR",AA349)),"LOCAL","OTRO")))</f>
        <v>LOCAL</v>
      </c>
      <c r="AQ349" t="str">
        <f>IF(AD349="Si","SI",IF(AD349="No","NO",""))</f>
        <v>NO</v>
      </c>
      <c r="AR349" t="str">
        <f>IF(ISNUMBER(SEARCH("®",N349)),"MARCA/INNOVADOR","GENERICO")</f>
        <v>MARCA/INNOVADOR</v>
      </c>
      <c r="AS349">
        <f ca="1">IF(AE349&gt;100,RANDBETWEEN(500,5000),IF(AND(AE349&gt;=10,AE349&lt;=100),RANDBETWEEN(100,1000),RANDBETWEEN(10,200)))</f>
        <v>972</v>
      </c>
      <c r="AT349">
        <f t="shared" ca="1" si="27"/>
        <v>126</v>
      </c>
      <c r="AU349">
        <f ca="1">INT(AS349*RANDBETWEEN(120,200)/100)</f>
        <v>1399</v>
      </c>
      <c r="AV349" s="2">
        <f ca="1">IF(LEFT(Y349,1)="L",RANDBETWEEN(500000,5000000),IF(LEFT(Y349,1)="C",RANDBETWEEN(5000,50000),IF(LEFT(Y349,1)="N",RANDBETWEEN(10000,150000),IF(LEFT(Y349,1)="J",RANDBETWEEN(8000,200000),RANDBETWEEN(5000,100000)))))</f>
        <v>92652</v>
      </c>
      <c r="AW349" s="2">
        <f ca="1">INT(AV349*RANDBETWEEN(30,60)/100)</f>
        <v>39840</v>
      </c>
      <c r="AX349">
        <f ca="1">IF(Z349="ORAL",RANDBETWEEN(1000,10000),IF(OR(Z349="INTRAVENOSA",Z349="INTRAMUSCULAR"),RANDBETWEEN(100,2000),IF(OR(Z349="OFTÁLMICA",Z349="TOPICA (EXTERNA)"),RANDBETWEEN(200,3000),RANDBETWEEN(100,1500))))</f>
        <v>659</v>
      </c>
      <c r="AY349" s="2">
        <f ca="1">INT(AV349*RANDBETWEEN(90,130)/100)</f>
        <v>100990</v>
      </c>
      <c r="AZ349" t="str">
        <f t="shared" ca="1" si="28"/>
        <v>4.2%</v>
      </c>
      <c r="BA349" t="str">
        <f t="shared" ca="1" si="29"/>
        <v>ALTO</v>
      </c>
    </row>
    <row r="350" spans="4:53" x14ac:dyDescent="0.35">
      <c r="D350" t="s">
        <v>2638</v>
      </c>
      <c r="E350" s="1">
        <v>45743</v>
      </c>
      <c r="F350" t="s">
        <v>2639</v>
      </c>
      <c r="G350" t="s">
        <v>108</v>
      </c>
      <c r="H350" t="s">
        <v>1317</v>
      </c>
      <c r="I350">
        <v>20263856</v>
      </c>
      <c r="J350" t="s">
        <v>28</v>
      </c>
      <c r="K350">
        <v>5</v>
      </c>
      <c r="L350" t="s">
        <v>27</v>
      </c>
      <c r="M350" t="s">
        <v>2640</v>
      </c>
      <c r="N350" t="s">
        <v>2641</v>
      </c>
      <c r="O350" t="s">
        <v>2642</v>
      </c>
      <c r="P350" t="s">
        <v>2643</v>
      </c>
      <c r="Q350" s="1">
        <v>45233</v>
      </c>
      <c r="R350" t="s">
        <v>47</v>
      </c>
      <c r="S350" t="s">
        <v>27</v>
      </c>
      <c r="T350" t="s">
        <v>81</v>
      </c>
      <c r="U350" t="s">
        <v>115</v>
      </c>
      <c r="V350" t="s">
        <v>817</v>
      </c>
      <c r="W350">
        <v>50</v>
      </c>
      <c r="X350">
        <v>20263856</v>
      </c>
      <c r="Y350" t="s">
        <v>818</v>
      </c>
      <c r="Z350" t="s">
        <v>119</v>
      </c>
      <c r="AA350" t="s">
        <v>24</v>
      </c>
      <c r="AB350" t="s">
        <v>120</v>
      </c>
      <c r="AC350" t="s">
        <v>25</v>
      </c>
      <c r="AD350" t="s">
        <v>155</v>
      </c>
      <c r="AE350">
        <v>10</v>
      </c>
      <c r="AF350" s="1">
        <v>47584</v>
      </c>
      <c r="AG350" t="s">
        <v>26</v>
      </c>
      <c r="AH350" t="s">
        <v>6653</v>
      </c>
      <c r="AI350" t="str">
        <f t="shared" si="25"/>
        <v>SI</v>
      </c>
      <c r="AJ350" t="str">
        <f t="shared" si="26"/>
        <v>LABORATORIOS MK</v>
      </c>
      <c r="AK350" t="str">
        <f>IF(ISNUMBER(SEARCH("FABRICANTE",AC350)),"FABRICANTE",IF(ISNUMBER(SEARCH("IMPORTADOR",AC350)),"IMPORTADOR","OTRO"))</f>
        <v>FABRICANTE</v>
      </c>
      <c r="AL350" t="str">
        <f>IF(LEFT(Y350,1)="A","Sistema digestivo",IF(LEFT(Y350,1)="B","Sangre",IF(LEFT(Y350,1)="C","Cardiovascular",IF(LEFT(Y350,1)="D","Dermatológico",IF(LEFT(Y350,1)="G","Genitourinario",IF(LEFT(Y350,1)="H","Hormonal",IF(LEFT(Y350,1)="J","Antiinfecciosos",IF(LEFT(Y350,1)="L","Oncológicos",IF(LEFT(Y350,1)="M","Musculoesquelético",IF(LEFT(Y350,1)="N","Sistema nervioso",IF(LEFT(Y350,1)="R","Respiratorio",IF(LEFT(Y350,1)="S","Oftálmico",IF(LEFT(Y350,1)="V","Varios","OTRO")))))))))))))</f>
        <v>Cardiovascular</v>
      </c>
      <c r="AM350" t="str">
        <f>IF(AG350="Vigente","ACTIVO",IF(ISNUMBER(SEARCH("Inactivo",J350)),"INACTIVO","REVISAR"))</f>
        <v>ACTIVO</v>
      </c>
      <c r="AN350">
        <f ca="1">IF(OR(AF350="",AF350="null"),"",ROUND((AF350-TODAY())/365.25,2))</f>
        <v>3.88</v>
      </c>
      <c r="AO350" t="str">
        <f ca="1">IF(AND(AG350="Vigente",OR(AF350="",AF350="null",AF350&gt;TODAY())),"SI",IF(AND(NOT(OR(AF350="",AF350="null")),AF350&lt;=TODAY()),"NO",IF(AG350="Vigente","SI","DESCONOCIDO")))</f>
        <v>SI</v>
      </c>
      <c r="AP350" t="str">
        <f>IF(AND(ISNUMBER(SEARCH("IMPORTAR",AA350)),ISNUMBER(SEARCH("FABRICAR",AA350))),"MIXTO",IF(ISNUMBER(SEARCH("IMPORTAR",AA350)),"IMPORTADO",IF(ISNUMBER(SEARCH("FABRICAR",AA350)),"LOCAL","OTRO")))</f>
        <v>LOCAL</v>
      </c>
      <c r="AQ350" t="str">
        <f>IF(AD350="Si","SI",IF(AD350="No","NO",""))</f>
        <v>SI</v>
      </c>
      <c r="AR350" t="str">
        <f>IF(ISNUMBER(SEARCH("®",N350)),"MARCA/INNOVADOR","GENERICO")</f>
        <v>GENERICO</v>
      </c>
      <c r="AS350">
        <f ca="1">IF(AE350&gt;100,RANDBETWEEN(500,5000),IF(AND(AE350&gt;=10,AE350&lt;=100),RANDBETWEEN(100,1000),RANDBETWEEN(10,200)))</f>
        <v>395</v>
      </c>
      <c r="AT350">
        <f t="shared" ca="1" si="27"/>
        <v>51</v>
      </c>
      <c r="AU350">
        <f ca="1">INT(AS350*RANDBETWEEN(120,200)/100)</f>
        <v>639</v>
      </c>
      <c r="AV350" s="2">
        <f ca="1">IF(LEFT(Y350,1)="L",RANDBETWEEN(500000,5000000),IF(LEFT(Y350,1)="C",RANDBETWEEN(5000,50000),IF(LEFT(Y350,1)="N",RANDBETWEEN(10000,150000),IF(LEFT(Y350,1)="J",RANDBETWEEN(8000,200000),RANDBETWEEN(5000,100000)))))</f>
        <v>24836</v>
      </c>
      <c r="AW350" s="2">
        <f ca="1">INT(AV350*RANDBETWEEN(30,60)/100)</f>
        <v>9189</v>
      </c>
      <c r="AX350">
        <f ca="1">IF(Z350="ORAL",RANDBETWEEN(1000,10000),IF(OR(Z350="INTRAVENOSA",Z350="INTRAMUSCULAR"),RANDBETWEEN(100,2000),IF(OR(Z350="OFTÁLMICA",Z350="TOPICA (EXTERNA)"),RANDBETWEEN(200,3000),RANDBETWEEN(100,1500))))</f>
        <v>6562</v>
      </c>
      <c r="AY350" s="2">
        <f ca="1">INT(AV350*RANDBETWEEN(90,130)/100)</f>
        <v>25581</v>
      </c>
      <c r="AZ350" t="str">
        <f t="shared" ca="1" si="28"/>
        <v>19.6%</v>
      </c>
      <c r="BA350" t="str">
        <f t="shared" ca="1" si="29"/>
        <v>MEDIO</v>
      </c>
    </row>
    <row r="351" spans="4:53" x14ac:dyDescent="0.35">
      <c r="D351" t="s">
        <v>2644</v>
      </c>
      <c r="E351" s="1">
        <v>43535</v>
      </c>
      <c r="F351" t="s">
        <v>2645</v>
      </c>
      <c r="G351" t="s">
        <v>108</v>
      </c>
      <c r="H351" t="s">
        <v>55</v>
      </c>
      <c r="I351">
        <v>20142890</v>
      </c>
      <c r="J351" t="s">
        <v>28</v>
      </c>
      <c r="K351">
        <v>1</v>
      </c>
      <c r="L351" t="s">
        <v>2646</v>
      </c>
      <c r="M351" t="s">
        <v>2647</v>
      </c>
      <c r="N351" t="s">
        <v>2648</v>
      </c>
      <c r="O351" t="s">
        <v>2649</v>
      </c>
      <c r="P351" t="s">
        <v>2650</v>
      </c>
      <c r="Q351" s="1">
        <v>43298</v>
      </c>
      <c r="R351" t="s">
        <v>1312</v>
      </c>
      <c r="S351" t="s">
        <v>27</v>
      </c>
      <c r="T351" t="s">
        <v>55</v>
      </c>
      <c r="U351" t="s">
        <v>115</v>
      </c>
      <c r="V351" t="s">
        <v>2651</v>
      </c>
      <c r="W351">
        <v>150</v>
      </c>
      <c r="X351">
        <v>20142890</v>
      </c>
      <c r="Y351" t="s">
        <v>2652</v>
      </c>
      <c r="Z351" t="s">
        <v>1423</v>
      </c>
      <c r="AA351" t="s">
        <v>32</v>
      </c>
      <c r="AB351" t="s">
        <v>120</v>
      </c>
      <c r="AC351" t="s">
        <v>38</v>
      </c>
      <c r="AD351" t="s">
        <v>121</v>
      </c>
      <c r="AE351">
        <v>1</v>
      </c>
      <c r="AF351" t="s">
        <v>27</v>
      </c>
      <c r="AG351" t="s">
        <v>26</v>
      </c>
      <c r="AH351" t="s">
        <v>6786</v>
      </c>
      <c r="AI351" t="str">
        <f t="shared" si="25"/>
        <v>SI</v>
      </c>
      <c r="AJ351" t="str">
        <f t="shared" si="26"/>
        <v>DR. REDDY´S LABORATORIES</v>
      </c>
      <c r="AK351" t="str">
        <f>IF(ISNUMBER(SEARCH("FABRICANTE",AC351)),"FABRICANTE",IF(ISNUMBER(SEARCH("IMPORTADOR",AC351)),"IMPORTADOR","OTRO"))</f>
        <v>IMPORTADOR</v>
      </c>
      <c r="AL351" t="str">
        <f>IF(LEFT(Y351,1)="A","Sistema digestivo",IF(LEFT(Y351,1)="B","Sangre",IF(LEFT(Y351,1)="C","Cardiovascular",IF(LEFT(Y351,1)="D","Dermatológico",IF(LEFT(Y351,1)="G","Genitourinario",IF(LEFT(Y351,1)="H","Hormonal",IF(LEFT(Y351,1)="J","Antiinfecciosos",IF(LEFT(Y351,1)="L","Oncológicos",IF(LEFT(Y351,1)="M","Musculoesquelético",IF(LEFT(Y351,1)="N","Sistema nervioso",IF(LEFT(Y351,1)="R","Respiratorio",IF(LEFT(Y351,1)="S","Oftálmico",IF(LEFT(Y351,1)="V","Varios","OTRO")))))))))))))</f>
        <v>Sistema digestivo</v>
      </c>
      <c r="AM351" t="str">
        <f>IF(AG351="Vigente","ACTIVO",IF(ISNUMBER(SEARCH("Inactivo",J351)),"INACTIVO","REVISAR"))</f>
        <v>ACTIVO</v>
      </c>
      <c r="AN351" t="str">
        <f ca="1">IF(OR(AF351="",AF351="null"),"",ROUND((AF351-TODAY())/365.25,2))</f>
        <v/>
      </c>
      <c r="AO351" t="str">
        <f ca="1">IF(AND(AG351="Vigente",OR(AF351="",AF351="null",AF351&gt;TODAY())),"SI",IF(AND(NOT(OR(AF351="",AF351="null")),AF351&lt;=TODAY()),"NO",IF(AG351="Vigente","SI","DESCONOCIDO")))</f>
        <v>SI</v>
      </c>
      <c r="AP351" t="str">
        <f>IF(AND(ISNUMBER(SEARCH("IMPORTAR",AA351)),ISNUMBER(SEARCH("FABRICAR",AA351))),"MIXTO",IF(ISNUMBER(SEARCH("IMPORTAR",AA351)),"IMPORTADO",IF(ISNUMBER(SEARCH("FABRICAR",AA351)),"LOCAL","OTRO")))</f>
        <v>IMPORTADO</v>
      </c>
      <c r="AQ351" t="str">
        <f>IF(AD351="Si","SI",IF(AD351="No","NO",""))</f>
        <v>NO</v>
      </c>
      <c r="AR351" t="str">
        <f>IF(ISNUMBER(SEARCH("®",N351)),"MARCA/INNOVADOR","GENERICO")</f>
        <v>GENERICO</v>
      </c>
      <c r="AS351">
        <f ca="1">IF(AE351&gt;100,RANDBETWEEN(500,5000),IF(AND(AE351&gt;=10,AE351&lt;=100),RANDBETWEEN(100,1000),RANDBETWEEN(10,200)))</f>
        <v>76</v>
      </c>
      <c r="AT351">
        <f t="shared" ca="1" si="27"/>
        <v>8</v>
      </c>
      <c r="AU351">
        <f ca="1">INT(AS351*RANDBETWEEN(120,200)/100)</f>
        <v>126</v>
      </c>
      <c r="AV351" s="2">
        <f ca="1">IF(LEFT(Y351,1)="L",RANDBETWEEN(500000,5000000),IF(LEFT(Y351,1)="C",RANDBETWEEN(5000,50000),IF(LEFT(Y351,1)="N",RANDBETWEEN(10000,150000),IF(LEFT(Y351,1)="J",RANDBETWEEN(8000,200000),RANDBETWEEN(5000,100000)))))</f>
        <v>28975</v>
      </c>
      <c r="AW351" s="2">
        <f ca="1">INT(AV351*RANDBETWEEN(30,60)/100)</f>
        <v>11590</v>
      </c>
      <c r="AX351">
        <f ca="1">IF(Z351="ORAL",RANDBETWEEN(1000,10000),IF(OR(Z351="INTRAVENOSA",Z351="INTRAMUSCULAR"),RANDBETWEEN(100,2000),IF(OR(Z351="OFTÁLMICA",Z351="TOPICA (EXTERNA)"),RANDBETWEEN(200,3000),RANDBETWEEN(100,1500))))</f>
        <v>503</v>
      </c>
      <c r="AY351" s="2">
        <f ca="1">INT(AV351*RANDBETWEEN(90,130)/100)</f>
        <v>27236</v>
      </c>
      <c r="AZ351" t="str">
        <f t="shared" ca="1" si="28"/>
        <v>3.7%</v>
      </c>
      <c r="BA351" t="str">
        <f t="shared" ca="1" si="29"/>
        <v>BAJO</v>
      </c>
    </row>
    <row r="352" spans="4:53" x14ac:dyDescent="0.35">
      <c r="D352" t="s">
        <v>2653</v>
      </c>
      <c r="E352" s="1">
        <v>38653</v>
      </c>
      <c r="F352" t="s">
        <v>2654</v>
      </c>
      <c r="G352" t="s">
        <v>108</v>
      </c>
      <c r="H352" t="s">
        <v>2655</v>
      </c>
      <c r="I352">
        <v>19955885</v>
      </c>
      <c r="J352" t="s">
        <v>28</v>
      </c>
      <c r="K352">
        <v>3</v>
      </c>
      <c r="L352" t="s">
        <v>2656</v>
      </c>
      <c r="M352" t="s">
        <v>2657</v>
      </c>
      <c r="N352" t="s">
        <v>2658</v>
      </c>
      <c r="O352" t="s">
        <v>2659</v>
      </c>
      <c r="P352" t="s">
        <v>574</v>
      </c>
      <c r="Q352" s="1">
        <v>39031</v>
      </c>
      <c r="R352" t="s">
        <v>29</v>
      </c>
      <c r="S352" s="1">
        <v>44470</v>
      </c>
      <c r="T352" t="s">
        <v>2655</v>
      </c>
      <c r="U352" t="s">
        <v>115</v>
      </c>
      <c r="V352" t="s">
        <v>321</v>
      </c>
      <c r="W352">
        <v>325</v>
      </c>
      <c r="X352">
        <v>19955885</v>
      </c>
      <c r="Y352" t="s">
        <v>322</v>
      </c>
      <c r="Z352" t="s">
        <v>119</v>
      </c>
      <c r="AA352" t="s">
        <v>32</v>
      </c>
      <c r="AB352" t="s">
        <v>120</v>
      </c>
      <c r="AC352" t="s">
        <v>25</v>
      </c>
      <c r="AD352" t="s">
        <v>121</v>
      </c>
      <c r="AE352">
        <v>20</v>
      </c>
      <c r="AF352" t="s">
        <v>27</v>
      </c>
      <c r="AG352" t="s">
        <v>26</v>
      </c>
      <c r="AH352" t="s">
        <v>6787</v>
      </c>
      <c r="AI352" t="str">
        <f t="shared" si="25"/>
        <v>SI</v>
      </c>
      <c r="AJ352" t="str">
        <f t="shared" si="26"/>
        <v>FARMACÉUTICA PARAGUAYA</v>
      </c>
      <c r="AK352" t="str">
        <f>IF(ISNUMBER(SEARCH("FABRICANTE",AC352)),"FABRICANTE",IF(ISNUMBER(SEARCH("IMPORTADOR",AC352)),"IMPORTADOR","OTRO"))</f>
        <v>FABRICANTE</v>
      </c>
      <c r="AL352" t="str">
        <f>IF(LEFT(Y352,1)="A","Sistema digestivo",IF(LEFT(Y352,1)="B","Sangre",IF(LEFT(Y352,1)="C","Cardiovascular",IF(LEFT(Y352,1)="D","Dermatológico",IF(LEFT(Y352,1)="G","Genitourinario",IF(LEFT(Y352,1)="H","Hormonal",IF(LEFT(Y352,1)="J","Antiinfecciosos",IF(LEFT(Y352,1)="L","Oncológicos",IF(LEFT(Y352,1)="M","Musculoesquelético",IF(LEFT(Y352,1)="N","Sistema nervioso",IF(LEFT(Y352,1)="R","Respiratorio",IF(LEFT(Y352,1)="S","Oftálmico",IF(LEFT(Y352,1)="V","Varios","OTRO")))))))))))))</f>
        <v>Sistema nervioso</v>
      </c>
      <c r="AM352" t="str">
        <f>IF(AG352="Vigente","ACTIVO",IF(ISNUMBER(SEARCH("Inactivo",J352)),"INACTIVO","REVISAR"))</f>
        <v>ACTIVO</v>
      </c>
      <c r="AN352" t="str">
        <f ca="1">IF(OR(AF352="",AF352="null"),"",ROUND((AF352-TODAY())/365.25,2))</f>
        <v/>
      </c>
      <c r="AO352" t="str">
        <f ca="1">IF(AND(AG352="Vigente",OR(AF352="",AF352="null",AF352&gt;TODAY())),"SI",IF(AND(NOT(OR(AF352="",AF352="null")),AF352&lt;=TODAY()),"NO",IF(AG352="Vigente","SI","DESCONOCIDO")))</f>
        <v>SI</v>
      </c>
      <c r="AP352" t="str">
        <f>IF(AND(ISNUMBER(SEARCH("IMPORTAR",AA352)),ISNUMBER(SEARCH("FABRICAR",AA352))),"MIXTO",IF(ISNUMBER(SEARCH("IMPORTAR",AA352)),"IMPORTADO",IF(ISNUMBER(SEARCH("FABRICAR",AA352)),"LOCAL","OTRO")))</f>
        <v>IMPORTADO</v>
      </c>
      <c r="AQ352" t="str">
        <f>IF(AD352="Si","SI",IF(AD352="No","NO",""))</f>
        <v>NO</v>
      </c>
      <c r="AR352" t="str">
        <f>IF(ISNUMBER(SEARCH("®",N352)),"MARCA/INNOVADOR","GENERICO")</f>
        <v>MARCA/INNOVADOR</v>
      </c>
      <c r="AS352">
        <f ca="1">IF(AE352&gt;100,RANDBETWEEN(500,5000),IF(AND(AE352&gt;=10,AE352&lt;=100),RANDBETWEEN(100,1000),RANDBETWEEN(10,200)))</f>
        <v>593</v>
      </c>
      <c r="AT352">
        <f t="shared" ca="1" si="27"/>
        <v>118</v>
      </c>
      <c r="AU352">
        <f ca="1">INT(AS352*RANDBETWEEN(120,200)/100)</f>
        <v>1031</v>
      </c>
      <c r="AV352" s="2">
        <f ca="1">IF(LEFT(Y352,1)="L",RANDBETWEEN(500000,5000000),IF(LEFT(Y352,1)="C",RANDBETWEEN(5000,50000),IF(LEFT(Y352,1)="N",RANDBETWEEN(10000,150000),IF(LEFT(Y352,1)="J",RANDBETWEEN(8000,200000),RANDBETWEEN(5000,100000)))))</f>
        <v>96100</v>
      </c>
      <c r="AW352" s="2">
        <f ca="1">INT(AV352*RANDBETWEEN(30,60)/100)</f>
        <v>44206</v>
      </c>
      <c r="AX352">
        <f ca="1">IF(Z352="ORAL",RANDBETWEEN(1000,10000),IF(OR(Z352="INTRAVENOSA",Z352="INTRAMUSCULAR"),RANDBETWEEN(100,2000),IF(OR(Z352="OFTÁLMICA",Z352="TOPICA (EXTERNA)"),RANDBETWEEN(200,3000),RANDBETWEEN(100,1500))))</f>
        <v>9096</v>
      </c>
      <c r="AY352" s="2">
        <f ca="1">INT(AV352*RANDBETWEEN(90,130)/100)</f>
        <v>122047</v>
      </c>
      <c r="AZ352" t="str">
        <f t="shared" ca="1" si="28"/>
        <v>15.2%</v>
      </c>
      <c r="BA352" t="str">
        <f t="shared" ca="1" si="29"/>
        <v>BAJO</v>
      </c>
    </row>
    <row r="353" spans="4:53" x14ac:dyDescent="0.35">
      <c r="D353" t="s">
        <v>2660</v>
      </c>
      <c r="E353" s="1">
        <v>39147</v>
      </c>
      <c r="F353" t="s">
        <v>2661</v>
      </c>
      <c r="G353" t="s">
        <v>108</v>
      </c>
      <c r="H353" t="s">
        <v>2662</v>
      </c>
      <c r="I353">
        <v>19972152</v>
      </c>
      <c r="J353" t="s">
        <v>28</v>
      </c>
      <c r="K353">
        <v>7</v>
      </c>
      <c r="L353" t="s">
        <v>27</v>
      </c>
      <c r="M353" t="s">
        <v>2663</v>
      </c>
      <c r="N353" t="s">
        <v>2664</v>
      </c>
      <c r="O353" t="s">
        <v>2665</v>
      </c>
      <c r="P353" t="s">
        <v>29</v>
      </c>
      <c r="Q353" s="1">
        <v>42067</v>
      </c>
      <c r="R353" t="s">
        <v>29</v>
      </c>
      <c r="S353" t="s">
        <v>27</v>
      </c>
      <c r="T353" t="s">
        <v>48</v>
      </c>
      <c r="U353" t="s">
        <v>115</v>
      </c>
      <c r="V353" t="s">
        <v>2661</v>
      </c>
      <c r="W353">
        <v>25</v>
      </c>
      <c r="X353">
        <v>19972152</v>
      </c>
      <c r="Y353" t="s">
        <v>2666</v>
      </c>
      <c r="Z353" t="s">
        <v>119</v>
      </c>
      <c r="AA353" t="s">
        <v>24</v>
      </c>
      <c r="AB353" t="s">
        <v>120</v>
      </c>
      <c r="AC353" t="s">
        <v>25</v>
      </c>
      <c r="AD353" t="s">
        <v>121</v>
      </c>
      <c r="AE353">
        <v>500</v>
      </c>
      <c r="AF353" t="s">
        <v>27</v>
      </c>
      <c r="AG353" t="s">
        <v>26</v>
      </c>
      <c r="AH353" t="s">
        <v>2661</v>
      </c>
      <c r="AI353" t="str">
        <f t="shared" si="25"/>
        <v>NO</v>
      </c>
      <c r="AJ353" t="str">
        <f t="shared" si="26"/>
        <v>GENFAR</v>
      </c>
      <c r="AK353" t="str">
        <f>IF(ISNUMBER(SEARCH("FABRICANTE",AC353)),"FABRICANTE",IF(ISNUMBER(SEARCH("IMPORTADOR",AC353)),"IMPORTADOR","OTRO"))</f>
        <v>FABRICANTE</v>
      </c>
      <c r="AL353" t="str">
        <f>IF(LEFT(Y353,1)="A","Sistema digestivo",IF(LEFT(Y353,1)="B","Sangre",IF(LEFT(Y353,1)="C","Cardiovascular",IF(LEFT(Y353,1)="D","Dermatológico",IF(LEFT(Y353,1)="G","Genitourinario",IF(LEFT(Y353,1)="H","Hormonal",IF(LEFT(Y353,1)="J","Antiinfecciosos",IF(LEFT(Y353,1)="L","Oncológicos",IF(LEFT(Y353,1)="M","Musculoesquelético",IF(LEFT(Y353,1)="N","Sistema nervioso",IF(LEFT(Y353,1)="R","Respiratorio",IF(LEFT(Y353,1)="S","Oftálmico",IF(LEFT(Y353,1)="V","Varios","OTRO")))))))))))))</f>
        <v>Cardiovascular</v>
      </c>
      <c r="AM353" t="str">
        <f>IF(AG353="Vigente","ACTIVO",IF(ISNUMBER(SEARCH("Inactivo",J353)),"INACTIVO","REVISAR"))</f>
        <v>ACTIVO</v>
      </c>
      <c r="AN353" t="str">
        <f ca="1">IF(OR(AF353="",AF353="null"),"",ROUND((AF353-TODAY())/365.25,2))</f>
        <v/>
      </c>
      <c r="AO353" t="str">
        <f ca="1">IF(AND(AG353="Vigente",OR(AF353="",AF353="null",AF353&gt;TODAY())),"SI",IF(AND(NOT(OR(AF353="",AF353="null")),AF353&lt;=TODAY()),"NO",IF(AG353="Vigente","SI","DESCONOCIDO")))</f>
        <v>SI</v>
      </c>
      <c r="AP353" t="str">
        <f>IF(AND(ISNUMBER(SEARCH("IMPORTAR",AA353)),ISNUMBER(SEARCH("FABRICAR",AA353))),"MIXTO",IF(ISNUMBER(SEARCH("IMPORTAR",AA353)),"IMPORTADO",IF(ISNUMBER(SEARCH("FABRICAR",AA353)),"LOCAL","OTRO")))</f>
        <v>LOCAL</v>
      </c>
      <c r="AQ353" t="str">
        <f>IF(AD353="Si","SI",IF(AD353="No","NO",""))</f>
        <v>NO</v>
      </c>
      <c r="AR353" t="str">
        <f>IF(ISNUMBER(SEARCH("®",N353)),"MARCA/INNOVADOR","GENERICO")</f>
        <v>GENERICO</v>
      </c>
      <c r="AS353">
        <f ca="1">IF(AE353&gt;100,RANDBETWEEN(500,5000),IF(AND(AE353&gt;=10,AE353&lt;=100),RANDBETWEEN(100,1000),RANDBETWEEN(10,200)))</f>
        <v>1075</v>
      </c>
      <c r="AT353">
        <f t="shared" ca="1" si="27"/>
        <v>150</v>
      </c>
      <c r="AU353">
        <f ca="1">INT(AS353*RANDBETWEEN(120,200)/100)</f>
        <v>1343</v>
      </c>
      <c r="AV353" s="2">
        <f ca="1">IF(LEFT(Y353,1)="L",RANDBETWEEN(500000,5000000),IF(LEFT(Y353,1)="C",RANDBETWEEN(5000,50000),IF(LEFT(Y353,1)="N",RANDBETWEEN(10000,150000),IF(LEFT(Y353,1)="J",RANDBETWEEN(8000,200000),RANDBETWEEN(5000,100000)))))</f>
        <v>20411</v>
      </c>
      <c r="AW353" s="2">
        <f ca="1">INT(AV353*RANDBETWEEN(30,60)/100)</f>
        <v>9797</v>
      </c>
      <c r="AX353">
        <f ca="1">IF(Z353="ORAL",RANDBETWEEN(1000,10000),IF(OR(Z353="INTRAVENOSA",Z353="INTRAMUSCULAR"),RANDBETWEEN(100,2000),IF(OR(Z353="OFTÁLMICA",Z353="TOPICA (EXTERNA)"),RANDBETWEEN(200,3000),RANDBETWEEN(100,1500))))</f>
        <v>2566</v>
      </c>
      <c r="AY353" s="2">
        <f ca="1">INT(AV353*RANDBETWEEN(90,130)/100)</f>
        <v>20002</v>
      </c>
      <c r="AZ353" t="str">
        <f t="shared" ca="1" si="28"/>
        <v>9.8%</v>
      </c>
      <c r="BA353" t="str">
        <f t="shared" ca="1" si="29"/>
        <v>BAJO</v>
      </c>
    </row>
    <row r="354" spans="4:53" x14ac:dyDescent="0.35">
      <c r="D354" t="s">
        <v>2667</v>
      </c>
      <c r="E354" s="1">
        <v>41803</v>
      </c>
      <c r="F354" t="s">
        <v>2668</v>
      </c>
      <c r="G354" t="s">
        <v>108</v>
      </c>
      <c r="H354" t="s">
        <v>354</v>
      </c>
      <c r="I354">
        <v>20051113</v>
      </c>
      <c r="J354" t="s">
        <v>110</v>
      </c>
      <c r="K354">
        <v>4</v>
      </c>
      <c r="L354" t="s">
        <v>27</v>
      </c>
      <c r="M354" t="s">
        <v>2669</v>
      </c>
      <c r="N354" t="s">
        <v>2670</v>
      </c>
      <c r="O354" t="s">
        <v>2671</v>
      </c>
      <c r="P354" t="s">
        <v>2672</v>
      </c>
      <c r="Q354" s="1">
        <v>41786</v>
      </c>
      <c r="R354" t="s">
        <v>1312</v>
      </c>
      <c r="S354" s="1">
        <v>43230</v>
      </c>
      <c r="T354" t="s">
        <v>354</v>
      </c>
      <c r="U354" t="s">
        <v>807</v>
      </c>
      <c r="V354" t="s">
        <v>2673</v>
      </c>
      <c r="W354">
        <v>5</v>
      </c>
      <c r="X354">
        <v>20051113</v>
      </c>
      <c r="Y354" t="s">
        <v>2674</v>
      </c>
      <c r="Z354" t="s">
        <v>213</v>
      </c>
      <c r="AA354" t="s">
        <v>32</v>
      </c>
      <c r="AB354" t="s">
        <v>239</v>
      </c>
      <c r="AC354" t="s">
        <v>38</v>
      </c>
      <c r="AD354" t="s">
        <v>121</v>
      </c>
      <c r="AE354">
        <v>10</v>
      </c>
      <c r="AF354" s="1">
        <v>401769</v>
      </c>
      <c r="AG354" t="s">
        <v>26</v>
      </c>
      <c r="AH354" t="s">
        <v>6788</v>
      </c>
      <c r="AI354" t="str">
        <f t="shared" si="25"/>
        <v>NO</v>
      </c>
      <c r="AJ354" t="str">
        <f t="shared" si="26"/>
        <v>PFIZER</v>
      </c>
      <c r="AK354" t="str">
        <f>IF(ISNUMBER(SEARCH("FABRICANTE",AC354)),"FABRICANTE",IF(ISNUMBER(SEARCH("IMPORTADOR",AC354)),"IMPORTADOR","OTRO"))</f>
        <v>IMPORTADOR</v>
      </c>
      <c r="AL354" t="str">
        <f>IF(LEFT(Y354,1)="A","Sistema digestivo",IF(LEFT(Y354,1)="B","Sangre",IF(LEFT(Y354,1)="C","Cardiovascular",IF(LEFT(Y354,1)="D","Dermatológico",IF(LEFT(Y354,1)="G","Genitourinario",IF(LEFT(Y354,1)="H","Hormonal",IF(LEFT(Y354,1)="J","Antiinfecciosos",IF(LEFT(Y354,1)="L","Oncológicos",IF(LEFT(Y354,1)="M","Musculoesquelético",IF(LEFT(Y354,1)="N","Sistema nervioso",IF(LEFT(Y354,1)="R","Respiratorio",IF(LEFT(Y354,1)="S","Oftálmico",IF(LEFT(Y354,1)="V","Varios","OTRO")))))))))))))</f>
        <v>Antiinfecciosos</v>
      </c>
      <c r="AM354" t="str">
        <f>IF(AG354="Vigente","ACTIVO",IF(ISNUMBER(SEARCH("Inactivo",J354)),"INACTIVO","REVISAR"))</f>
        <v>ACTIVO</v>
      </c>
      <c r="AN354">
        <f ca="1">IF(OR(AF354="",AF354="null"),"",ROUND((AF354-TODAY())/365.25,2))</f>
        <v>973.58</v>
      </c>
      <c r="AO354" t="str">
        <f ca="1">IF(AND(AG354="Vigente",OR(AF354="",AF354="null",AF354&gt;TODAY())),"SI",IF(AND(NOT(OR(AF354="",AF354="null")),AF354&lt;=TODAY()),"NO",IF(AG354="Vigente","SI","DESCONOCIDO")))</f>
        <v>SI</v>
      </c>
      <c r="AP354" t="str">
        <f>IF(AND(ISNUMBER(SEARCH("IMPORTAR",AA354)),ISNUMBER(SEARCH("FABRICAR",AA354))),"MIXTO",IF(ISNUMBER(SEARCH("IMPORTAR",AA354)),"IMPORTADO",IF(ISNUMBER(SEARCH("FABRICAR",AA354)),"LOCAL","OTRO")))</f>
        <v>IMPORTADO</v>
      </c>
      <c r="AQ354" t="str">
        <f>IF(AD354="Si","SI",IF(AD354="No","NO",""))</f>
        <v>NO</v>
      </c>
      <c r="AR354" t="str">
        <f>IF(ISNUMBER(SEARCH("®",N354)),"MARCA/INNOVADOR","GENERICO")</f>
        <v>MARCA/INNOVADOR</v>
      </c>
      <c r="AS354">
        <f ca="1">IF(AE354&gt;100,RANDBETWEEN(500,5000),IF(AND(AE354&gt;=10,AE354&lt;=100),RANDBETWEEN(100,1000),RANDBETWEEN(10,200)))</f>
        <v>156</v>
      </c>
      <c r="AT354">
        <f t="shared" ca="1" si="27"/>
        <v>26</v>
      </c>
      <c r="AU354">
        <f ca="1">INT(AS354*RANDBETWEEN(120,200)/100)</f>
        <v>293</v>
      </c>
      <c r="AV354" s="2">
        <f ca="1">IF(LEFT(Y354,1)="L",RANDBETWEEN(500000,5000000),IF(LEFT(Y354,1)="C",RANDBETWEEN(5000,50000),IF(LEFT(Y354,1)="N",RANDBETWEEN(10000,150000),IF(LEFT(Y354,1)="J",RANDBETWEEN(8000,200000),RANDBETWEEN(5000,100000)))))</f>
        <v>187013</v>
      </c>
      <c r="AW354" s="2">
        <f ca="1">INT(AV354*RANDBETWEEN(30,60)/100)</f>
        <v>102857</v>
      </c>
      <c r="AX354">
        <f ca="1">IF(Z354="ORAL",RANDBETWEEN(1000,10000),IF(OR(Z354="INTRAVENOSA",Z354="INTRAMUSCULAR"),RANDBETWEEN(100,2000),IF(OR(Z354="OFTÁLMICA",Z354="TOPICA (EXTERNA)"),RANDBETWEEN(200,3000),RANDBETWEEN(100,1500))))</f>
        <v>1372</v>
      </c>
      <c r="AY354" s="2">
        <f ca="1">INT(AV354*RANDBETWEEN(90,130)/100)</f>
        <v>222545</v>
      </c>
      <c r="AZ354" t="str">
        <f t="shared" ca="1" si="28"/>
        <v>4.8%</v>
      </c>
      <c r="BA354" t="str">
        <f t="shared" ca="1" si="29"/>
        <v>MEDIO</v>
      </c>
    </row>
    <row r="355" spans="4:53" x14ac:dyDescent="0.35">
      <c r="D355" t="s">
        <v>2675</v>
      </c>
      <c r="E355" s="1">
        <v>41975</v>
      </c>
      <c r="F355" t="s">
        <v>2676</v>
      </c>
      <c r="G355" t="s">
        <v>108</v>
      </c>
      <c r="H355" t="s">
        <v>1325</v>
      </c>
      <c r="I355">
        <v>20061746</v>
      </c>
      <c r="J355" t="s">
        <v>110</v>
      </c>
      <c r="K355">
        <v>6</v>
      </c>
      <c r="L355" t="s">
        <v>27</v>
      </c>
      <c r="M355" t="s">
        <v>1326</v>
      </c>
      <c r="N355" t="s">
        <v>1327</v>
      </c>
      <c r="O355" t="s">
        <v>2632</v>
      </c>
      <c r="P355" t="s">
        <v>234</v>
      </c>
      <c r="Q355" s="1">
        <v>43236</v>
      </c>
      <c r="R355" t="s">
        <v>258</v>
      </c>
      <c r="S355" t="s">
        <v>27</v>
      </c>
      <c r="T355" t="s">
        <v>1329</v>
      </c>
      <c r="U355" t="s">
        <v>115</v>
      </c>
      <c r="V355" t="s">
        <v>64</v>
      </c>
      <c r="W355">
        <v>1</v>
      </c>
      <c r="X355">
        <v>20061746</v>
      </c>
      <c r="Y355" t="s">
        <v>259</v>
      </c>
      <c r="Z355" t="s">
        <v>260</v>
      </c>
      <c r="AA355" t="s">
        <v>32</v>
      </c>
      <c r="AB355" t="s">
        <v>133</v>
      </c>
      <c r="AC355" t="s">
        <v>38</v>
      </c>
      <c r="AD355" t="s">
        <v>155</v>
      </c>
      <c r="AE355">
        <v>1</v>
      </c>
      <c r="AF355" s="1">
        <v>401769</v>
      </c>
      <c r="AG355" t="s">
        <v>26</v>
      </c>
      <c r="AH355" t="s">
        <v>6654</v>
      </c>
      <c r="AI355" t="str">
        <f t="shared" si="25"/>
        <v>NO</v>
      </c>
      <c r="AJ355" t="str">
        <f t="shared" si="26"/>
        <v>FRESENIUS KABI AB</v>
      </c>
      <c r="AK355" t="str">
        <f>IF(ISNUMBER(SEARCH("FABRICANTE",AC355)),"FABRICANTE",IF(ISNUMBER(SEARCH("IMPORTADOR",AC355)),"IMPORTADOR","OTRO"))</f>
        <v>IMPORTADOR</v>
      </c>
      <c r="AL355" t="str">
        <f>IF(LEFT(Y355,1)="A","Sistema digestivo",IF(LEFT(Y355,1)="B","Sangre",IF(LEFT(Y355,1)="C","Cardiovascular",IF(LEFT(Y355,1)="D","Dermatológico",IF(LEFT(Y355,1)="G","Genitourinario",IF(LEFT(Y355,1)="H","Hormonal",IF(LEFT(Y355,1)="J","Antiinfecciosos",IF(LEFT(Y355,1)="L","Oncológicos",IF(LEFT(Y355,1)="M","Musculoesquelético",IF(LEFT(Y355,1)="N","Sistema nervioso",IF(LEFT(Y355,1)="R","Respiratorio",IF(LEFT(Y355,1)="S","Oftálmico",IF(LEFT(Y355,1)="V","Varios","OTRO")))))))))))))</f>
        <v>Sangre</v>
      </c>
      <c r="AM355" t="str">
        <f>IF(AG355="Vigente","ACTIVO",IF(ISNUMBER(SEARCH("Inactivo",J355)),"INACTIVO","REVISAR"))</f>
        <v>ACTIVO</v>
      </c>
      <c r="AN355">
        <f ca="1">IF(OR(AF355="",AF355="null"),"",ROUND((AF355-TODAY())/365.25,2))</f>
        <v>973.58</v>
      </c>
      <c r="AO355" t="str">
        <f ca="1">IF(AND(AG355="Vigente",OR(AF355="",AF355="null",AF355&gt;TODAY())),"SI",IF(AND(NOT(OR(AF355="",AF355="null")),AF355&lt;=TODAY()),"NO",IF(AG355="Vigente","SI","DESCONOCIDO")))</f>
        <v>SI</v>
      </c>
      <c r="AP355" t="str">
        <f>IF(AND(ISNUMBER(SEARCH("IMPORTAR",AA355)),ISNUMBER(SEARCH("FABRICAR",AA355))),"MIXTO",IF(ISNUMBER(SEARCH("IMPORTAR",AA355)),"IMPORTADO",IF(ISNUMBER(SEARCH("FABRICAR",AA355)),"LOCAL","OTRO")))</f>
        <v>IMPORTADO</v>
      </c>
      <c r="AQ355" t="str">
        <f>IF(AD355="Si","SI",IF(AD355="No","NO",""))</f>
        <v>SI</v>
      </c>
      <c r="AR355" t="str">
        <f>IF(ISNUMBER(SEARCH("®",N355)),"MARCA/INNOVADOR","GENERICO")</f>
        <v>MARCA/INNOVADOR</v>
      </c>
      <c r="AS355">
        <f ca="1">IF(AE355&gt;100,RANDBETWEEN(500,5000),IF(AND(AE355&gt;=10,AE355&lt;=100),RANDBETWEEN(100,1000),RANDBETWEEN(10,200)))</f>
        <v>37</v>
      </c>
      <c r="AT355">
        <f t="shared" ca="1" si="27"/>
        <v>5</v>
      </c>
      <c r="AU355">
        <f ca="1">INT(AS355*RANDBETWEEN(120,200)/100)</f>
        <v>52</v>
      </c>
      <c r="AV355" s="2">
        <f ca="1">IF(LEFT(Y355,1)="L",RANDBETWEEN(500000,5000000),IF(LEFT(Y355,1)="C",RANDBETWEEN(5000,50000),IF(LEFT(Y355,1)="N",RANDBETWEEN(10000,150000),IF(LEFT(Y355,1)="J",RANDBETWEEN(8000,200000),RANDBETWEEN(5000,100000)))))</f>
        <v>78829</v>
      </c>
      <c r="AW355" s="2">
        <f ca="1">INT(AV355*RANDBETWEEN(30,60)/100)</f>
        <v>31531</v>
      </c>
      <c r="AX355">
        <f ca="1">IF(Z355="ORAL",RANDBETWEEN(1000,10000),IF(OR(Z355="INTRAVENOSA",Z355="INTRAMUSCULAR"),RANDBETWEEN(100,2000),IF(OR(Z355="OFTÁLMICA",Z355="TOPICA (EXTERNA)"),RANDBETWEEN(200,3000),RANDBETWEEN(100,1500))))</f>
        <v>1650</v>
      </c>
      <c r="AY355" s="2">
        <f ca="1">INT(AV355*RANDBETWEEN(90,130)/100)</f>
        <v>74887</v>
      </c>
      <c r="AZ355" t="str">
        <f t="shared" ca="1" si="28"/>
        <v>4%</v>
      </c>
      <c r="BA355" t="str">
        <f t="shared" ca="1" si="29"/>
        <v>MEDIO</v>
      </c>
    </row>
    <row r="356" spans="4:53" x14ac:dyDescent="0.35">
      <c r="D356" t="s">
        <v>2677</v>
      </c>
      <c r="E356" s="1">
        <v>36209</v>
      </c>
      <c r="F356" t="s">
        <v>2678</v>
      </c>
      <c r="G356" t="s">
        <v>108</v>
      </c>
      <c r="H356" t="s">
        <v>1700</v>
      </c>
      <c r="I356">
        <v>28346</v>
      </c>
      <c r="J356" t="s">
        <v>28</v>
      </c>
      <c r="K356">
        <v>13</v>
      </c>
      <c r="L356" t="s">
        <v>27</v>
      </c>
      <c r="M356" t="s">
        <v>2679</v>
      </c>
      <c r="N356" t="s">
        <v>2680</v>
      </c>
      <c r="O356" t="s">
        <v>2681</v>
      </c>
      <c r="P356" t="s">
        <v>2682</v>
      </c>
      <c r="Q356" s="1">
        <v>41170</v>
      </c>
      <c r="R356" t="s">
        <v>375</v>
      </c>
      <c r="S356" t="s">
        <v>27</v>
      </c>
      <c r="T356" t="s">
        <v>80</v>
      </c>
      <c r="U356" t="s">
        <v>781</v>
      </c>
      <c r="V356" t="s">
        <v>339</v>
      </c>
      <c r="W356">
        <v>4</v>
      </c>
      <c r="X356">
        <v>28346</v>
      </c>
      <c r="Y356" t="s">
        <v>340</v>
      </c>
      <c r="Z356" t="s">
        <v>2683</v>
      </c>
      <c r="AA356" t="s">
        <v>24</v>
      </c>
      <c r="AB356" t="s">
        <v>120</v>
      </c>
      <c r="AC356" t="s">
        <v>25</v>
      </c>
      <c r="AD356" t="s">
        <v>121</v>
      </c>
      <c r="AE356">
        <v>4</v>
      </c>
      <c r="AF356" t="s">
        <v>27</v>
      </c>
      <c r="AG356" t="s">
        <v>26</v>
      </c>
      <c r="AH356" t="s">
        <v>339</v>
      </c>
      <c r="AI356" t="str">
        <f t="shared" si="25"/>
        <v>SI</v>
      </c>
      <c r="AJ356" t="str">
        <f t="shared" si="26"/>
        <v>TECNOQUIMICAS</v>
      </c>
      <c r="AK356" t="str">
        <f>IF(ISNUMBER(SEARCH("FABRICANTE",AC356)),"FABRICANTE",IF(ISNUMBER(SEARCH("IMPORTADOR",AC356)),"IMPORTADOR","OTRO"))</f>
        <v>FABRICANTE</v>
      </c>
      <c r="AL356" t="str">
        <f>IF(LEFT(Y356,1)="A","Sistema digestivo",IF(LEFT(Y356,1)="B","Sangre",IF(LEFT(Y356,1)="C","Cardiovascular",IF(LEFT(Y356,1)="D","Dermatológico",IF(LEFT(Y356,1)="G","Genitourinario",IF(LEFT(Y356,1)="H","Hormonal",IF(LEFT(Y356,1)="J","Antiinfecciosos",IF(LEFT(Y356,1)="L","Oncológicos",IF(LEFT(Y356,1)="M","Musculoesquelético",IF(LEFT(Y356,1)="N","Sistema nervioso",IF(LEFT(Y356,1)="R","Respiratorio",IF(LEFT(Y356,1)="S","Oftálmico",IF(LEFT(Y356,1)="V","Varios","OTRO")))))))))))))</f>
        <v>Hormonal</v>
      </c>
      <c r="AM356" t="str">
        <f>IF(AG356="Vigente","ACTIVO",IF(ISNUMBER(SEARCH("Inactivo",J356)),"INACTIVO","REVISAR"))</f>
        <v>ACTIVO</v>
      </c>
      <c r="AN356" t="str">
        <f ca="1">IF(OR(AF356="",AF356="null"),"",ROUND((AF356-TODAY())/365.25,2))</f>
        <v/>
      </c>
      <c r="AO356" t="str">
        <f ca="1">IF(AND(AG356="Vigente",OR(AF356="",AF356="null",AF356&gt;TODAY())),"SI",IF(AND(NOT(OR(AF356="",AF356="null")),AF356&lt;=TODAY()),"NO",IF(AG356="Vigente","SI","DESCONOCIDO")))</f>
        <v>SI</v>
      </c>
      <c r="AP356" t="str">
        <f>IF(AND(ISNUMBER(SEARCH("IMPORTAR",AA356)),ISNUMBER(SEARCH("FABRICAR",AA356))),"MIXTO",IF(ISNUMBER(SEARCH("IMPORTAR",AA356)),"IMPORTADO",IF(ISNUMBER(SEARCH("FABRICAR",AA356)),"LOCAL","OTRO")))</f>
        <v>LOCAL</v>
      </c>
      <c r="AQ356" t="str">
        <f>IF(AD356="Si","SI",IF(AD356="No","NO",""))</f>
        <v>NO</v>
      </c>
      <c r="AR356" t="str">
        <f>IF(ISNUMBER(SEARCH("®",N356)),"MARCA/INNOVADOR","GENERICO")</f>
        <v>GENERICO</v>
      </c>
      <c r="AS356">
        <f ca="1">IF(AE356&gt;100,RANDBETWEEN(500,5000),IF(AND(AE356&gt;=10,AE356&lt;=100),RANDBETWEEN(100,1000),RANDBETWEEN(10,200)))</f>
        <v>158</v>
      </c>
      <c r="AT356">
        <f t="shared" ca="1" si="27"/>
        <v>17</v>
      </c>
      <c r="AU356">
        <f ca="1">INT(AS356*RANDBETWEEN(120,200)/100)</f>
        <v>241</v>
      </c>
      <c r="AV356" s="2">
        <f ca="1">IF(LEFT(Y356,1)="L",RANDBETWEEN(500000,5000000),IF(LEFT(Y356,1)="C",RANDBETWEEN(5000,50000),IF(LEFT(Y356,1)="N",RANDBETWEEN(10000,150000),IF(LEFT(Y356,1)="J",RANDBETWEEN(8000,200000),RANDBETWEEN(5000,100000)))))</f>
        <v>94288</v>
      </c>
      <c r="AW356" s="2">
        <f ca="1">INT(AV356*RANDBETWEEN(30,60)/100)</f>
        <v>48086</v>
      </c>
      <c r="AX356">
        <f ca="1">IF(Z356="ORAL",RANDBETWEEN(1000,10000),IF(OR(Z356="INTRAVENOSA",Z356="INTRAMUSCULAR"),RANDBETWEEN(100,2000),IF(OR(Z356="OFTÁLMICA",Z356="TOPICA (EXTERNA)"),RANDBETWEEN(200,3000),RANDBETWEEN(100,1500))))</f>
        <v>263</v>
      </c>
      <c r="AY356" s="2">
        <f ca="1">INT(AV356*RANDBETWEEN(90,130)/100)</f>
        <v>113145</v>
      </c>
      <c r="AZ356" t="str">
        <f t="shared" ca="1" si="28"/>
        <v>7%</v>
      </c>
      <c r="BA356" t="str">
        <f t="shared" ca="1" si="29"/>
        <v>BAJO</v>
      </c>
    </row>
    <row r="357" spans="4:53" x14ac:dyDescent="0.35">
      <c r="D357" t="s">
        <v>2684</v>
      </c>
      <c r="E357" s="1">
        <v>36161</v>
      </c>
      <c r="F357" t="s">
        <v>2685</v>
      </c>
      <c r="G357" t="s">
        <v>108</v>
      </c>
      <c r="H357" t="s">
        <v>2068</v>
      </c>
      <c r="I357">
        <v>1983281</v>
      </c>
      <c r="J357" t="s">
        <v>28</v>
      </c>
      <c r="K357">
        <v>3</v>
      </c>
      <c r="L357" t="s">
        <v>27</v>
      </c>
      <c r="M357" t="s">
        <v>2686</v>
      </c>
      <c r="N357" t="s">
        <v>2687</v>
      </c>
      <c r="O357" t="s">
        <v>2688</v>
      </c>
      <c r="P357" t="s">
        <v>2689</v>
      </c>
      <c r="Q357" s="1">
        <v>39031</v>
      </c>
      <c r="R357" t="s">
        <v>584</v>
      </c>
      <c r="S357" t="s">
        <v>27</v>
      </c>
      <c r="T357" t="s">
        <v>2068</v>
      </c>
      <c r="U357" t="s">
        <v>115</v>
      </c>
      <c r="V357" t="s">
        <v>2690</v>
      </c>
      <c r="W357">
        <v>100</v>
      </c>
      <c r="X357">
        <v>1983281</v>
      </c>
      <c r="Y357" t="s">
        <v>2691</v>
      </c>
      <c r="Z357" t="s">
        <v>119</v>
      </c>
      <c r="AA357" t="s">
        <v>32</v>
      </c>
      <c r="AB357" t="s">
        <v>120</v>
      </c>
      <c r="AC357" t="s">
        <v>25</v>
      </c>
      <c r="AD357" t="s">
        <v>121</v>
      </c>
      <c r="AE357">
        <v>30</v>
      </c>
      <c r="AF357" t="s">
        <v>27</v>
      </c>
      <c r="AG357" t="s">
        <v>26</v>
      </c>
      <c r="AH357" t="s">
        <v>2685</v>
      </c>
      <c r="AI357" t="str">
        <f t="shared" si="25"/>
        <v>NO</v>
      </c>
      <c r="AJ357" t="str">
        <f t="shared" si="26"/>
        <v>BAYER</v>
      </c>
      <c r="AK357" t="str">
        <f>IF(ISNUMBER(SEARCH("FABRICANTE",AC357)),"FABRICANTE",IF(ISNUMBER(SEARCH("IMPORTADOR",AC357)),"IMPORTADOR","OTRO"))</f>
        <v>FABRICANTE</v>
      </c>
      <c r="AL357" t="str">
        <f>IF(LEFT(Y357,1)="A","Sistema digestivo",IF(LEFT(Y357,1)="B","Sangre",IF(LEFT(Y357,1)="C","Cardiovascular",IF(LEFT(Y357,1)="D","Dermatológico",IF(LEFT(Y357,1)="G","Genitourinario",IF(LEFT(Y357,1)="H","Hormonal",IF(LEFT(Y357,1)="J","Antiinfecciosos",IF(LEFT(Y357,1)="L","Oncológicos",IF(LEFT(Y357,1)="M","Musculoesquelético",IF(LEFT(Y357,1)="N","Sistema nervioso",IF(LEFT(Y357,1)="R","Respiratorio",IF(LEFT(Y357,1)="S","Oftálmico",IF(LEFT(Y357,1)="V","Varios","OTRO")))))))))))))</f>
        <v>Sangre</v>
      </c>
      <c r="AM357" t="str">
        <f>IF(AG357="Vigente","ACTIVO",IF(ISNUMBER(SEARCH("Inactivo",J357)),"INACTIVO","REVISAR"))</f>
        <v>ACTIVO</v>
      </c>
      <c r="AN357" t="str">
        <f ca="1">IF(OR(AF357="",AF357="null"),"",ROUND((AF357-TODAY())/365.25,2))</f>
        <v/>
      </c>
      <c r="AO357" t="str">
        <f ca="1">IF(AND(AG357="Vigente",OR(AF357="",AF357="null",AF357&gt;TODAY())),"SI",IF(AND(NOT(OR(AF357="",AF357="null")),AF357&lt;=TODAY()),"NO",IF(AG357="Vigente","SI","DESCONOCIDO")))</f>
        <v>SI</v>
      </c>
      <c r="AP357" t="str">
        <f>IF(AND(ISNUMBER(SEARCH("IMPORTAR",AA357)),ISNUMBER(SEARCH("FABRICAR",AA357))),"MIXTO",IF(ISNUMBER(SEARCH("IMPORTAR",AA357)),"IMPORTADO",IF(ISNUMBER(SEARCH("FABRICAR",AA357)),"LOCAL","OTRO")))</f>
        <v>IMPORTADO</v>
      </c>
      <c r="AQ357" t="str">
        <f>IF(AD357="Si","SI",IF(AD357="No","NO",""))</f>
        <v>NO</v>
      </c>
      <c r="AR357" t="str">
        <f>IF(ISNUMBER(SEARCH("®",N357)),"MARCA/INNOVADOR","GENERICO")</f>
        <v>GENERICO</v>
      </c>
      <c r="AS357">
        <f ca="1">IF(AE357&gt;100,RANDBETWEEN(500,5000),IF(AND(AE357&gt;=10,AE357&lt;=100),RANDBETWEEN(100,1000),RANDBETWEEN(10,200)))</f>
        <v>633</v>
      </c>
      <c r="AT357">
        <f t="shared" ca="1" si="27"/>
        <v>183</v>
      </c>
      <c r="AU357">
        <f ca="1">INT(AS357*RANDBETWEEN(120,200)/100)</f>
        <v>822</v>
      </c>
      <c r="AV357" s="2">
        <f ca="1">IF(LEFT(Y357,1)="L",RANDBETWEEN(500000,5000000),IF(LEFT(Y357,1)="C",RANDBETWEEN(5000,50000),IF(LEFT(Y357,1)="N",RANDBETWEEN(10000,150000),IF(LEFT(Y357,1)="J",RANDBETWEEN(8000,200000),RANDBETWEEN(5000,100000)))))</f>
        <v>11910</v>
      </c>
      <c r="AW357" s="2">
        <f ca="1">INT(AV357*RANDBETWEEN(30,60)/100)</f>
        <v>6193</v>
      </c>
      <c r="AX357">
        <f ca="1">IF(Z357="ORAL",RANDBETWEEN(1000,10000),IF(OR(Z357="INTRAVENOSA",Z357="INTRAMUSCULAR"),RANDBETWEEN(100,2000),IF(OR(Z357="OFTÁLMICA",Z357="TOPICA (EXTERNA)"),RANDBETWEEN(200,3000),RANDBETWEEN(100,1500))))</f>
        <v>7125</v>
      </c>
      <c r="AY357" s="2">
        <f ca="1">INT(AV357*RANDBETWEEN(90,130)/100)</f>
        <v>13696</v>
      </c>
      <c r="AZ357" t="str">
        <f t="shared" ca="1" si="28"/>
        <v>8.4%</v>
      </c>
      <c r="BA357" t="str">
        <f t="shared" ca="1" si="29"/>
        <v>BAJO</v>
      </c>
    </row>
    <row r="358" spans="4:53" x14ac:dyDescent="0.35">
      <c r="D358" t="s">
        <v>2692</v>
      </c>
      <c r="E358" s="1">
        <v>34454</v>
      </c>
      <c r="F358" t="s">
        <v>2693</v>
      </c>
      <c r="G358" t="s">
        <v>108</v>
      </c>
      <c r="H358" t="s">
        <v>2694</v>
      </c>
      <c r="I358">
        <v>49658</v>
      </c>
      <c r="J358" t="s">
        <v>28</v>
      </c>
      <c r="K358">
        <v>47</v>
      </c>
      <c r="L358" t="s">
        <v>2695</v>
      </c>
      <c r="M358" t="s">
        <v>2696</v>
      </c>
      <c r="N358" t="s">
        <v>2697</v>
      </c>
      <c r="O358" t="s">
        <v>2698</v>
      </c>
      <c r="P358" t="s">
        <v>2699</v>
      </c>
      <c r="Q358" s="1">
        <v>43756</v>
      </c>
      <c r="R358" t="s">
        <v>1818</v>
      </c>
      <c r="S358" t="s">
        <v>27</v>
      </c>
      <c r="T358" t="s">
        <v>2700</v>
      </c>
      <c r="U358" t="s">
        <v>2701</v>
      </c>
      <c r="V358" t="s">
        <v>1819</v>
      </c>
      <c r="W358" t="s">
        <v>2702</v>
      </c>
      <c r="X358">
        <v>49658</v>
      </c>
      <c r="Y358" t="s">
        <v>1820</v>
      </c>
      <c r="Z358" t="s">
        <v>1168</v>
      </c>
      <c r="AA358" t="s">
        <v>24</v>
      </c>
      <c r="AB358" t="s">
        <v>1983</v>
      </c>
      <c r="AC358" t="s">
        <v>25</v>
      </c>
      <c r="AD358" t="s">
        <v>121</v>
      </c>
      <c r="AE358">
        <v>1</v>
      </c>
      <c r="AF358" t="s">
        <v>27</v>
      </c>
      <c r="AG358" t="s">
        <v>26</v>
      </c>
      <c r="AH358" t="s">
        <v>6789</v>
      </c>
      <c r="AI358" t="str">
        <f t="shared" si="25"/>
        <v>SI</v>
      </c>
      <c r="AJ358" t="str">
        <f t="shared" si="26"/>
        <v>GASES INDUSTRIALES DE COLOMBIA CRYOGAS</v>
      </c>
      <c r="AK358" t="str">
        <f>IF(ISNUMBER(SEARCH("FABRICANTE",AC358)),"FABRICANTE",IF(ISNUMBER(SEARCH("IMPORTADOR",AC358)),"IMPORTADOR","OTRO"))</f>
        <v>FABRICANTE</v>
      </c>
      <c r="AL358" t="str">
        <f>IF(LEFT(Y358,1)="A","Sistema digestivo",IF(LEFT(Y358,1)="B","Sangre",IF(LEFT(Y358,1)="C","Cardiovascular",IF(LEFT(Y358,1)="D","Dermatológico",IF(LEFT(Y358,1)="G","Genitourinario",IF(LEFT(Y358,1)="H","Hormonal",IF(LEFT(Y358,1)="J","Antiinfecciosos",IF(LEFT(Y358,1)="L","Oncológicos",IF(LEFT(Y358,1)="M","Musculoesquelético",IF(LEFT(Y358,1)="N","Sistema nervioso",IF(LEFT(Y358,1)="R","Respiratorio",IF(LEFT(Y358,1)="S","Oftálmico",IF(LEFT(Y358,1)="V","Varios","OTRO")))))))))))))</f>
        <v>Varios</v>
      </c>
      <c r="AM358" t="str">
        <f>IF(AG358="Vigente","ACTIVO",IF(ISNUMBER(SEARCH("Inactivo",J358)),"INACTIVO","REVISAR"))</f>
        <v>ACTIVO</v>
      </c>
      <c r="AN358" t="str">
        <f ca="1">IF(OR(AF358="",AF358="null"),"",ROUND((AF358-TODAY())/365.25,2))</f>
        <v/>
      </c>
      <c r="AO358" t="str">
        <f ca="1">IF(AND(AG358="Vigente",OR(AF358="",AF358="null",AF358&gt;TODAY())),"SI",IF(AND(NOT(OR(AF358="",AF358="null")),AF358&lt;=TODAY()),"NO",IF(AG358="Vigente","SI","DESCONOCIDO")))</f>
        <v>SI</v>
      </c>
      <c r="AP358" t="str">
        <f>IF(AND(ISNUMBER(SEARCH("IMPORTAR",AA358)),ISNUMBER(SEARCH("FABRICAR",AA358))),"MIXTO",IF(ISNUMBER(SEARCH("IMPORTAR",AA358)),"IMPORTADO",IF(ISNUMBER(SEARCH("FABRICAR",AA358)),"LOCAL","OTRO")))</f>
        <v>LOCAL</v>
      </c>
      <c r="AQ358" t="str">
        <f>IF(AD358="Si","SI",IF(AD358="No","NO",""))</f>
        <v>NO</v>
      </c>
      <c r="AR358" t="str">
        <f>IF(ISNUMBER(SEARCH("®",N358)),"MARCA/INNOVADOR","GENERICO")</f>
        <v>GENERICO</v>
      </c>
      <c r="AS358">
        <f ca="1">IF(AE358&gt;100,RANDBETWEEN(500,5000),IF(AND(AE358&gt;=10,AE358&lt;=100),RANDBETWEEN(100,1000),RANDBETWEEN(10,200)))</f>
        <v>144</v>
      </c>
      <c r="AT358">
        <f t="shared" ca="1" si="27"/>
        <v>31</v>
      </c>
      <c r="AU358">
        <f ca="1">INT(AS358*RANDBETWEEN(120,200)/100)</f>
        <v>266</v>
      </c>
      <c r="AV358" s="2">
        <f ca="1">IF(LEFT(Y358,1)="L",RANDBETWEEN(500000,5000000),IF(LEFT(Y358,1)="C",RANDBETWEEN(5000,50000),IF(LEFT(Y358,1)="N",RANDBETWEEN(10000,150000),IF(LEFT(Y358,1)="J",RANDBETWEEN(8000,200000),RANDBETWEEN(5000,100000)))))</f>
        <v>17573</v>
      </c>
      <c r="AW358" s="2">
        <f ca="1">INT(AV358*RANDBETWEEN(30,60)/100)</f>
        <v>8610</v>
      </c>
      <c r="AX358">
        <f ca="1">IF(Z358="ORAL",RANDBETWEEN(1000,10000),IF(OR(Z358="INTRAVENOSA",Z358="INTRAMUSCULAR"),RANDBETWEEN(100,2000),IF(OR(Z358="OFTÁLMICA",Z358="TOPICA (EXTERNA)"),RANDBETWEEN(200,3000),RANDBETWEEN(100,1500))))</f>
        <v>1240</v>
      </c>
      <c r="AY358" s="2">
        <f ca="1">INT(AV358*RANDBETWEEN(90,130)/100)</f>
        <v>22669</v>
      </c>
      <c r="AZ358" t="str">
        <f t="shared" ca="1" si="28"/>
        <v>2.4%</v>
      </c>
      <c r="BA358" t="str">
        <f t="shared" ca="1" si="29"/>
        <v>BAJO</v>
      </c>
    </row>
    <row r="359" spans="4:53" x14ac:dyDescent="0.35">
      <c r="D359" t="s">
        <v>2703</v>
      </c>
      <c r="E359" s="1">
        <v>41471</v>
      </c>
      <c r="F359" t="s">
        <v>2704</v>
      </c>
      <c r="G359" t="s">
        <v>108</v>
      </c>
      <c r="H359" t="s">
        <v>2705</v>
      </c>
      <c r="I359">
        <v>20040649</v>
      </c>
      <c r="J359" t="s">
        <v>28</v>
      </c>
      <c r="K359">
        <v>4</v>
      </c>
      <c r="L359" t="s">
        <v>27</v>
      </c>
      <c r="M359" t="s">
        <v>2706</v>
      </c>
      <c r="N359" t="s">
        <v>2707</v>
      </c>
      <c r="O359" t="s">
        <v>2708</v>
      </c>
      <c r="P359" t="s">
        <v>29</v>
      </c>
      <c r="Q359" s="1">
        <v>41157</v>
      </c>
      <c r="R359" t="s">
        <v>29</v>
      </c>
      <c r="S359" t="s">
        <v>27</v>
      </c>
      <c r="T359" t="s">
        <v>854</v>
      </c>
      <c r="U359" t="s">
        <v>115</v>
      </c>
      <c r="V359" t="s">
        <v>267</v>
      </c>
      <c r="W359">
        <v>10</v>
      </c>
      <c r="X359">
        <v>20040649</v>
      </c>
      <c r="Y359" t="s">
        <v>268</v>
      </c>
      <c r="Z359" t="s">
        <v>119</v>
      </c>
      <c r="AA359" t="s">
        <v>32</v>
      </c>
      <c r="AB359" t="s">
        <v>120</v>
      </c>
      <c r="AC359" t="s">
        <v>25</v>
      </c>
      <c r="AD359" t="s">
        <v>121</v>
      </c>
      <c r="AE359">
        <v>60</v>
      </c>
      <c r="AF359" t="s">
        <v>27</v>
      </c>
      <c r="AG359" t="s">
        <v>26</v>
      </c>
      <c r="AH359" t="s">
        <v>3846</v>
      </c>
      <c r="AI359" t="str">
        <f t="shared" si="25"/>
        <v>NO</v>
      </c>
      <c r="AJ359" t="str">
        <f t="shared" si="26"/>
        <v>MERCK</v>
      </c>
      <c r="AK359" t="str">
        <f>IF(ISNUMBER(SEARCH("FABRICANTE",AC359)),"FABRICANTE",IF(ISNUMBER(SEARCH("IMPORTADOR",AC359)),"IMPORTADOR","OTRO"))</f>
        <v>FABRICANTE</v>
      </c>
      <c r="AL359" t="str">
        <f>IF(LEFT(Y359,1)="A","Sistema digestivo",IF(LEFT(Y359,1)="B","Sangre",IF(LEFT(Y359,1)="C","Cardiovascular",IF(LEFT(Y359,1)="D","Dermatológico",IF(LEFT(Y359,1)="G","Genitourinario",IF(LEFT(Y359,1)="H","Hormonal",IF(LEFT(Y359,1)="J","Antiinfecciosos",IF(LEFT(Y359,1)="L","Oncológicos",IF(LEFT(Y359,1)="M","Musculoesquelético",IF(LEFT(Y359,1)="N","Sistema nervioso",IF(LEFT(Y359,1)="R","Respiratorio",IF(LEFT(Y359,1)="S","Oftálmico",IF(LEFT(Y359,1)="V","Varios","OTRO")))))))))))))</f>
        <v>Cardiovascular</v>
      </c>
      <c r="AM359" t="str">
        <f>IF(AG359="Vigente","ACTIVO",IF(ISNUMBER(SEARCH("Inactivo",J359)),"INACTIVO","REVISAR"))</f>
        <v>ACTIVO</v>
      </c>
      <c r="AN359" t="str">
        <f ca="1">IF(OR(AF359="",AF359="null"),"",ROUND((AF359-TODAY())/365.25,2))</f>
        <v/>
      </c>
      <c r="AO359" t="str">
        <f ca="1">IF(AND(AG359="Vigente",OR(AF359="",AF359="null",AF359&gt;TODAY())),"SI",IF(AND(NOT(OR(AF359="",AF359="null")),AF359&lt;=TODAY()),"NO",IF(AG359="Vigente","SI","DESCONOCIDO")))</f>
        <v>SI</v>
      </c>
      <c r="AP359" t="str">
        <f>IF(AND(ISNUMBER(SEARCH("IMPORTAR",AA359)),ISNUMBER(SEARCH("FABRICAR",AA359))),"MIXTO",IF(ISNUMBER(SEARCH("IMPORTAR",AA359)),"IMPORTADO",IF(ISNUMBER(SEARCH("FABRICAR",AA359)),"LOCAL","OTRO")))</f>
        <v>IMPORTADO</v>
      </c>
      <c r="AQ359" t="str">
        <f>IF(AD359="Si","SI",IF(AD359="No","NO",""))</f>
        <v>NO</v>
      </c>
      <c r="AR359" t="str">
        <f>IF(ISNUMBER(SEARCH("®",N359)),"MARCA/INNOVADOR","GENERICO")</f>
        <v>MARCA/INNOVADOR</v>
      </c>
      <c r="AS359">
        <f ca="1">IF(AE359&gt;100,RANDBETWEEN(500,5000),IF(AND(AE359&gt;=10,AE359&lt;=100),RANDBETWEEN(100,1000),RANDBETWEEN(10,200)))</f>
        <v>801</v>
      </c>
      <c r="AT359">
        <f t="shared" ca="1" si="27"/>
        <v>152</v>
      </c>
      <c r="AU359">
        <f ca="1">INT(AS359*RANDBETWEEN(120,200)/100)</f>
        <v>993</v>
      </c>
      <c r="AV359" s="2">
        <f ca="1">IF(LEFT(Y359,1)="L",RANDBETWEEN(500000,5000000),IF(LEFT(Y359,1)="C",RANDBETWEEN(5000,50000),IF(LEFT(Y359,1)="N",RANDBETWEEN(10000,150000),IF(LEFT(Y359,1)="J",RANDBETWEEN(8000,200000),RANDBETWEEN(5000,100000)))))</f>
        <v>38123</v>
      </c>
      <c r="AW359" s="2">
        <f ca="1">INT(AV359*RANDBETWEEN(30,60)/100)</f>
        <v>12961</v>
      </c>
      <c r="AX359">
        <f ca="1">IF(Z359="ORAL",RANDBETWEEN(1000,10000),IF(OR(Z359="INTRAVENOSA",Z359="INTRAMUSCULAR"),RANDBETWEEN(100,2000),IF(OR(Z359="OFTÁLMICA",Z359="TOPICA (EXTERNA)"),RANDBETWEEN(200,3000),RANDBETWEEN(100,1500))))</f>
        <v>4477</v>
      </c>
      <c r="AY359" s="2">
        <f ca="1">INT(AV359*RANDBETWEEN(90,130)/100)</f>
        <v>42697</v>
      </c>
      <c r="AZ359" t="str">
        <f t="shared" ca="1" si="28"/>
        <v>12.3%</v>
      </c>
      <c r="BA359" t="str">
        <f t="shared" ca="1" si="29"/>
        <v>BAJO</v>
      </c>
    </row>
    <row r="360" spans="4:53" x14ac:dyDescent="0.35">
      <c r="D360" t="s">
        <v>2709</v>
      </c>
      <c r="E360" s="1">
        <v>36161</v>
      </c>
      <c r="F360" t="s">
        <v>1406</v>
      </c>
      <c r="G360" t="s">
        <v>108</v>
      </c>
      <c r="H360" t="s">
        <v>2710</v>
      </c>
      <c r="I360">
        <v>37054</v>
      </c>
      <c r="J360" t="s">
        <v>28</v>
      </c>
      <c r="K360">
        <v>19</v>
      </c>
      <c r="L360" t="s">
        <v>27</v>
      </c>
      <c r="M360" t="s">
        <v>1407</v>
      </c>
      <c r="N360" t="s">
        <v>1408</v>
      </c>
      <c r="O360" t="s">
        <v>2711</v>
      </c>
      <c r="P360" t="s">
        <v>33</v>
      </c>
      <c r="Q360" s="1">
        <v>42501</v>
      </c>
      <c r="R360" t="s">
        <v>33</v>
      </c>
      <c r="S360" t="s">
        <v>27</v>
      </c>
      <c r="T360" t="s">
        <v>1001</v>
      </c>
      <c r="U360" t="s">
        <v>115</v>
      </c>
      <c r="V360" t="s">
        <v>1410</v>
      </c>
      <c r="W360">
        <v>50</v>
      </c>
      <c r="X360">
        <v>37054</v>
      </c>
      <c r="Y360" t="s">
        <v>1411</v>
      </c>
      <c r="Z360" t="s">
        <v>119</v>
      </c>
      <c r="AA360" t="s">
        <v>32</v>
      </c>
      <c r="AB360" t="s">
        <v>120</v>
      </c>
      <c r="AC360" t="s">
        <v>25</v>
      </c>
      <c r="AD360" t="s">
        <v>155</v>
      </c>
      <c r="AE360">
        <v>50</v>
      </c>
      <c r="AF360" t="s">
        <v>27</v>
      </c>
      <c r="AG360" t="s">
        <v>26</v>
      </c>
      <c r="AH360" t="s">
        <v>1410</v>
      </c>
      <c r="AI360" t="str">
        <f t="shared" si="25"/>
        <v>NO</v>
      </c>
      <c r="AJ360" t="str">
        <f t="shared" si="26"/>
        <v>ASPEN COLOMBIANA</v>
      </c>
      <c r="AK360" t="str">
        <f>IF(ISNUMBER(SEARCH("FABRICANTE",AC360)),"FABRICANTE",IF(ISNUMBER(SEARCH("IMPORTADOR",AC360)),"IMPORTADOR","OTRO"))</f>
        <v>FABRICANTE</v>
      </c>
      <c r="AL360" t="str">
        <f>IF(LEFT(Y360,1)="A","Sistema digestivo",IF(LEFT(Y360,1)="B","Sangre",IF(LEFT(Y360,1)="C","Cardiovascular",IF(LEFT(Y360,1)="D","Dermatológico",IF(LEFT(Y360,1)="G","Genitourinario",IF(LEFT(Y360,1)="H","Hormonal",IF(LEFT(Y360,1)="J","Antiinfecciosos",IF(LEFT(Y360,1)="L","Oncológicos",IF(LEFT(Y360,1)="M","Musculoesquelético",IF(LEFT(Y360,1)="N","Sistema nervioso",IF(LEFT(Y360,1)="R","Respiratorio",IF(LEFT(Y360,1)="S","Oftálmico",IF(LEFT(Y360,1)="V","Varios","OTRO")))))))))))))</f>
        <v>Sistema nervioso</v>
      </c>
      <c r="AM360" t="str">
        <f>IF(AG360="Vigente","ACTIVO",IF(ISNUMBER(SEARCH("Inactivo",J360)),"INACTIVO","REVISAR"))</f>
        <v>ACTIVO</v>
      </c>
      <c r="AN360" t="str">
        <f ca="1">IF(OR(AF360="",AF360="null"),"",ROUND((AF360-TODAY())/365.25,2))</f>
        <v/>
      </c>
      <c r="AO360" t="str">
        <f ca="1">IF(AND(AG360="Vigente",OR(AF360="",AF360="null",AF360&gt;TODAY())),"SI",IF(AND(NOT(OR(AF360="",AF360="null")),AF360&lt;=TODAY()),"NO",IF(AG360="Vigente","SI","DESCONOCIDO")))</f>
        <v>SI</v>
      </c>
      <c r="AP360" t="str">
        <f>IF(AND(ISNUMBER(SEARCH("IMPORTAR",AA360)),ISNUMBER(SEARCH("FABRICAR",AA360))),"MIXTO",IF(ISNUMBER(SEARCH("IMPORTAR",AA360)),"IMPORTADO",IF(ISNUMBER(SEARCH("FABRICAR",AA360)),"LOCAL","OTRO")))</f>
        <v>IMPORTADO</v>
      </c>
      <c r="AQ360" t="str">
        <f>IF(AD360="Si","SI",IF(AD360="No","NO",""))</f>
        <v>SI</v>
      </c>
      <c r="AR360" t="str">
        <f>IF(ISNUMBER(SEARCH("®",N360)),"MARCA/INNOVADOR","GENERICO")</f>
        <v>MARCA/INNOVADOR</v>
      </c>
      <c r="AS360">
        <f ca="1">IF(AE360&gt;100,RANDBETWEEN(500,5000),IF(AND(AE360&gt;=10,AE360&lt;=100),RANDBETWEEN(100,1000),RANDBETWEEN(10,200)))</f>
        <v>424</v>
      </c>
      <c r="AT360">
        <f t="shared" ca="1" si="27"/>
        <v>72</v>
      </c>
      <c r="AU360">
        <f ca="1">INT(AS360*RANDBETWEEN(120,200)/100)</f>
        <v>843</v>
      </c>
      <c r="AV360" s="2">
        <f ca="1">IF(LEFT(Y360,1)="L",RANDBETWEEN(500000,5000000),IF(LEFT(Y360,1)="C",RANDBETWEEN(5000,50000),IF(LEFT(Y360,1)="N",RANDBETWEEN(10000,150000),IF(LEFT(Y360,1)="J",RANDBETWEEN(8000,200000),RANDBETWEEN(5000,100000)))))</f>
        <v>108494</v>
      </c>
      <c r="AW360" s="2">
        <f ca="1">INT(AV360*RANDBETWEEN(30,60)/100)</f>
        <v>62926</v>
      </c>
      <c r="AX360">
        <f ca="1">IF(Z360="ORAL",RANDBETWEEN(1000,10000),IF(OR(Z360="INTRAVENOSA",Z360="INTRAMUSCULAR"),RANDBETWEEN(100,2000),IF(OR(Z360="OFTÁLMICA",Z360="TOPICA (EXTERNA)"),RANDBETWEEN(200,3000),RANDBETWEEN(100,1500))))</f>
        <v>9792</v>
      </c>
      <c r="AY360" s="2">
        <f ca="1">INT(AV360*RANDBETWEEN(90,130)/100)</f>
        <v>134532</v>
      </c>
      <c r="AZ360" t="str">
        <f t="shared" ca="1" si="28"/>
        <v>20.2%</v>
      </c>
      <c r="BA360" t="str">
        <f t="shared" ca="1" si="29"/>
        <v>BAJO</v>
      </c>
    </row>
    <row r="361" spans="4:53" x14ac:dyDescent="0.35">
      <c r="D361" t="s">
        <v>2712</v>
      </c>
      <c r="E361" s="1">
        <v>39346</v>
      </c>
      <c r="F361" t="s">
        <v>2713</v>
      </c>
      <c r="G361" t="s">
        <v>108</v>
      </c>
      <c r="H361" t="s">
        <v>2662</v>
      </c>
      <c r="I361">
        <v>19975836</v>
      </c>
      <c r="J361" t="s">
        <v>28</v>
      </c>
      <c r="K361">
        <v>1</v>
      </c>
      <c r="L361" t="s">
        <v>27</v>
      </c>
      <c r="M361" t="s">
        <v>2714</v>
      </c>
      <c r="N361" t="s">
        <v>2715</v>
      </c>
      <c r="O361" t="s">
        <v>2716</v>
      </c>
      <c r="P361" t="s">
        <v>29</v>
      </c>
      <c r="Q361" s="1">
        <v>39182</v>
      </c>
      <c r="R361" t="s">
        <v>29</v>
      </c>
      <c r="S361" t="s">
        <v>27</v>
      </c>
      <c r="T361" t="s">
        <v>320</v>
      </c>
      <c r="U361" t="s">
        <v>115</v>
      </c>
      <c r="V361" t="s">
        <v>2717</v>
      </c>
      <c r="W361">
        <v>100</v>
      </c>
      <c r="X361">
        <v>19975836</v>
      </c>
      <c r="Y361" t="s">
        <v>2718</v>
      </c>
      <c r="Z361" t="s">
        <v>119</v>
      </c>
      <c r="AA361" t="s">
        <v>24</v>
      </c>
      <c r="AB361" t="s">
        <v>120</v>
      </c>
      <c r="AC361" t="s">
        <v>25</v>
      </c>
      <c r="AD361" t="s">
        <v>121</v>
      </c>
      <c r="AE361">
        <v>20</v>
      </c>
      <c r="AF361" t="s">
        <v>27</v>
      </c>
      <c r="AG361" t="s">
        <v>26</v>
      </c>
      <c r="AH361" t="s">
        <v>2713</v>
      </c>
      <c r="AI361" t="str">
        <f t="shared" si="25"/>
        <v>NO</v>
      </c>
      <c r="AJ361" t="str">
        <f t="shared" si="26"/>
        <v>GENFAR</v>
      </c>
      <c r="AK361" t="str">
        <f>IF(ISNUMBER(SEARCH("FABRICANTE",AC361)),"FABRICANTE",IF(ISNUMBER(SEARCH("IMPORTADOR",AC361)),"IMPORTADOR","OTRO"))</f>
        <v>FABRICANTE</v>
      </c>
      <c r="AL361" t="str">
        <f>IF(LEFT(Y361,1)="A","Sistema digestivo",IF(LEFT(Y361,1)="B","Sangre",IF(LEFT(Y361,1)="C","Cardiovascular",IF(LEFT(Y361,1)="D","Dermatológico",IF(LEFT(Y361,1)="G","Genitourinario",IF(LEFT(Y361,1)="H","Hormonal",IF(LEFT(Y361,1)="J","Antiinfecciosos",IF(LEFT(Y361,1)="L","Oncológicos",IF(LEFT(Y361,1)="M","Musculoesquelético",IF(LEFT(Y361,1)="N","Sistema nervioso",IF(LEFT(Y361,1)="R","Respiratorio",IF(LEFT(Y361,1)="S","Oftálmico",IF(LEFT(Y361,1)="V","Varios","OTRO")))))))))))))</f>
        <v>Cardiovascular</v>
      </c>
      <c r="AM361" t="str">
        <f>IF(AG361="Vigente","ACTIVO",IF(ISNUMBER(SEARCH("Inactivo",J361)),"INACTIVO","REVISAR"))</f>
        <v>ACTIVO</v>
      </c>
      <c r="AN361" t="str">
        <f ca="1">IF(OR(AF361="",AF361="null"),"",ROUND((AF361-TODAY())/365.25,2))</f>
        <v/>
      </c>
      <c r="AO361" t="str">
        <f ca="1">IF(AND(AG361="Vigente",OR(AF361="",AF361="null",AF361&gt;TODAY())),"SI",IF(AND(NOT(OR(AF361="",AF361="null")),AF361&lt;=TODAY()),"NO",IF(AG361="Vigente","SI","DESCONOCIDO")))</f>
        <v>SI</v>
      </c>
      <c r="AP361" t="str">
        <f>IF(AND(ISNUMBER(SEARCH("IMPORTAR",AA361)),ISNUMBER(SEARCH("FABRICAR",AA361))),"MIXTO",IF(ISNUMBER(SEARCH("IMPORTAR",AA361)),"IMPORTADO",IF(ISNUMBER(SEARCH("FABRICAR",AA361)),"LOCAL","OTRO")))</f>
        <v>LOCAL</v>
      </c>
      <c r="AQ361" t="str">
        <f>IF(AD361="Si","SI",IF(AD361="No","NO",""))</f>
        <v>NO</v>
      </c>
      <c r="AR361" t="str">
        <f>IF(ISNUMBER(SEARCH("®",N361)),"MARCA/INNOVADOR","GENERICO")</f>
        <v>GENERICO</v>
      </c>
      <c r="AS361">
        <f ca="1">IF(AE361&gt;100,RANDBETWEEN(500,5000),IF(AND(AE361&gt;=10,AE361&lt;=100),RANDBETWEEN(100,1000),RANDBETWEEN(10,200)))</f>
        <v>230</v>
      </c>
      <c r="AT361">
        <f t="shared" ca="1" si="27"/>
        <v>29</v>
      </c>
      <c r="AU361">
        <f ca="1">INT(AS361*RANDBETWEEN(120,200)/100)</f>
        <v>446</v>
      </c>
      <c r="AV361" s="2">
        <f ca="1">IF(LEFT(Y361,1)="L",RANDBETWEEN(500000,5000000),IF(LEFT(Y361,1)="C",RANDBETWEEN(5000,50000),IF(LEFT(Y361,1)="N",RANDBETWEEN(10000,150000),IF(LEFT(Y361,1)="J",RANDBETWEEN(8000,200000),RANDBETWEEN(5000,100000)))))</f>
        <v>38512</v>
      </c>
      <c r="AW361" s="2">
        <f ca="1">INT(AV361*RANDBETWEEN(30,60)/100)</f>
        <v>17715</v>
      </c>
      <c r="AX361">
        <f ca="1">IF(Z361="ORAL",RANDBETWEEN(1000,10000),IF(OR(Z361="INTRAVENOSA",Z361="INTRAMUSCULAR"),RANDBETWEEN(100,2000),IF(OR(Z361="OFTÁLMICA",Z361="TOPICA (EXTERNA)"),RANDBETWEEN(200,3000),RANDBETWEEN(100,1500))))</f>
        <v>7012</v>
      </c>
      <c r="AY361" s="2">
        <f ca="1">INT(AV361*RANDBETWEEN(90,130)/100)</f>
        <v>38512</v>
      </c>
      <c r="AZ361" t="str">
        <f t="shared" ca="1" si="28"/>
        <v>16.9%</v>
      </c>
      <c r="BA361" t="str">
        <f t="shared" ca="1" si="29"/>
        <v>BAJO</v>
      </c>
    </row>
    <row r="362" spans="4:53" x14ac:dyDescent="0.35">
      <c r="D362" t="s">
        <v>2719</v>
      </c>
      <c r="E362" s="1">
        <v>38763</v>
      </c>
      <c r="F362" t="s">
        <v>22</v>
      </c>
      <c r="G362" t="s">
        <v>108</v>
      </c>
      <c r="H362" t="s">
        <v>428</v>
      </c>
      <c r="I362">
        <v>19960116</v>
      </c>
      <c r="J362" t="s">
        <v>110</v>
      </c>
      <c r="K362">
        <v>6</v>
      </c>
      <c r="L362" t="s">
        <v>27</v>
      </c>
      <c r="M362" t="s">
        <v>2720</v>
      </c>
      <c r="N362" t="s">
        <v>2721</v>
      </c>
      <c r="O362" t="s">
        <v>2722</v>
      </c>
      <c r="P362" t="s">
        <v>29</v>
      </c>
      <c r="Q362" s="1">
        <v>41771</v>
      </c>
      <c r="R362" t="s">
        <v>29</v>
      </c>
      <c r="S362" s="1">
        <v>42878</v>
      </c>
      <c r="T362" t="s">
        <v>2723</v>
      </c>
      <c r="U362" t="s">
        <v>807</v>
      </c>
      <c r="V362" t="s">
        <v>30</v>
      </c>
      <c r="W362">
        <v>50</v>
      </c>
      <c r="X362">
        <v>19960116</v>
      </c>
      <c r="Y362" t="s">
        <v>23</v>
      </c>
      <c r="Z362" t="s">
        <v>119</v>
      </c>
      <c r="AA362" t="s">
        <v>24</v>
      </c>
      <c r="AB362" t="s">
        <v>120</v>
      </c>
      <c r="AC362" t="s">
        <v>25</v>
      </c>
      <c r="AD362" t="s">
        <v>121</v>
      </c>
      <c r="AE362">
        <v>80</v>
      </c>
      <c r="AF362" s="1">
        <v>401769</v>
      </c>
      <c r="AG362" t="s">
        <v>26</v>
      </c>
      <c r="AH362" t="s">
        <v>22</v>
      </c>
      <c r="AI362" t="str">
        <f t="shared" si="25"/>
        <v>NO</v>
      </c>
      <c r="AJ362" t="str">
        <f t="shared" si="26"/>
        <v>LABORATORIOSSIEGFRIED</v>
      </c>
      <c r="AK362" t="str">
        <f>IF(ISNUMBER(SEARCH("FABRICANTE",AC362)),"FABRICANTE",IF(ISNUMBER(SEARCH("IMPORTADOR",AC362)),"IMPORTADOR","OTRO"))</f>
        <v>FABRICANTE</v>
      </c>
      <c r="AL362" t="str">
        <f>IF(LEFT(Y362,1)="A","Sistema digestivo",IF(LEFT(Y362,1)="B","Sangre",IF(LEFT(Y362,1)="C","Cardiovascular",IF(LEFT(Y362,1)="D","Dermatológico",IF(LEFT(Y362,1)="G","Genitourinario",IF(LEFT(Y362,1)="H","Hormonal",IF(LEFT(Y362,1)="J","Antiinfecciosos",IF(LEFT(Y362,1)="L","Oncológicos",IF(LEFT(Y362,1)="M","Musculoesquelético",IF(LEFT(Y362,1)="N","Sistema nervioso",IF(LEFT(Y362,1)="R","Respiratorio",IF(LEFT(Y362,1)="S","Oftálmico",IF(LEFT(Y362,1)="V","Varios","OTRO")))))))))))))</f>
        <v>Hormonal</v>
      </c>
      <c r="AM362" t="str">
        <f>IF(AG362="Vigente","ACTIVO",IF(ISNUMBER(SEARCH("Inactivo",J362)),"INACTIVO","REVISAR"))</f>
        <v>ACTIVO</v>
      </c>
      <c r="AN362">
        <f ca="1">IF(OR(AF362="",AF362="null"),"",ROUND((AF362-TODAY())/365.25,2))</f>
        <v>973.58</v>
      </c>
      <c r="AO362" t="str">
        <f ca="1">IF(AND(AG362="Vigente",OR(AF362="",AF362="null",AF362&gt;TODAY())),"SI",IF(AND(NOT(OR(AF362="",AF362="null")),AF362&lt;=TODAY()),"NO",IF(AG362="Vigente","SI","DESCONOCIDO")))</f>
        <v>SI</v>
      </c>
      <c r="AP362" t="str">
        <f>IF(AND(ISNUMBER(SEARCH("IMPORTAR",AA362)),ISNUMBER(SEARCH("FABRICAR",AA362))),"MIXTO",IF(ISNUMBER(SEARCH("IMPORTAR",AA362)),"IMPORTADO",IF(ISNUMBER(SEARCH("FABRICAR",AA362)),"LOCAL","OTRO")))</f>
        <v>LOCAL</v>
      </c>
      <c r="AQ362" t="str">
        <f>IF(AD362="Si","SI",IF(AD362="No","NO",""))</f>
        <v>NO</v>
      </c>
      <c r="AR362" t="str">
        <f>IF(ISNUMBER(SEARCH("®",N362)),"MARCA/INNOVADOR","GENERICO")</f>
        <v>MARCA/INNOVADOR</v>
      </c>
      <c r="AS362">
        <f ca="1">IF(AE362&gt;100,RANDBETWEEN(500,5000),IF(AND(AE362&gt;=10,AE362&lt;=100),RANDBETWEEN(100,1000),RANDBETWEEN(10,200)))</f>
        <v>178</v>
      </c>
      <c r="AT362">
        <f t="shared" ca="1" si="27"/>
        <v>40</v>
      </c>
      <c r="AU362">
        <f ca="1">INT(AS362*RANDBETWEEN(120,200)/100)</f>
        <v>299</v>
      </c>
      <c r="AV362" s="2">
        <f ca="1">IF(LEFT(Y362,1)="L",RANDBETWEEN(500000,5000000),IF(LEFT(Y362,1)="C",RANDBETWEEN(5000,50000),IF(LEFT(Y362,1)="N",RANDBETWEEN(10000,150000),IF(LEFT(Y362,1)="J",RANDBETWEEN(8000,200000),RANDBETWEEN(5000,100000)))))</f>
        <v>6644</v>
      </c>
      <c r="AW362" s="2">
        <f ca="1">INT(AV362*RANDBETWEEN(30,60)/100)</f>
        <v>2258</v>
      </c>
      <c r="AX362">
        <f ca="1">IF(Z362="ORAL",RANDBETWEEN(1000,10000),IF(OR(Z362="INTRAVENOSA",Z362="INTRAMUSCULAR"),RANDBETWEEN(100,2000),IF(OR(Z362="OFTÁLMICA",Z362="TOPICA (EXTERNA)"),RANDBETWEEN(200,3000),RANDBETWEEN(100,1500))))</f>
        <v>7862</v>
      </c>
      <c r="AY362" s="2">
        <f ca="1">INT(AV362*RANDBETWEEN(90,130)/100)</f>
        <v>8039</v>
      </c>
      <c r="AZ362" t="str">
        <f t="shared" ca="1" si="28"/>
        <v>16.7%</v>
      </c>
      <c r="BA362" t="str">
        <f t="shared" ca="1" si="29"/>
        <v>MEDIO</v>
      </c>
    </row>
    <row r="363" spans="4:53" x14ac:dyDescent="0.35">
      <c r="D363" t="s">
        <v>2724</v>
      </c>
      <c r="E363" s="1">
        <v>45194</v>
      </c>
      <c r="F363" t="s">
        <v>1684</v>
      </c>
      <c r="G363" t="s">
        <v>108</v>
      </c>
      <c r="H363" t="s">
        <v>74</v>
      </c>
      <c r="I363">
        <v>20219442</v>
      </c>
      <c r="J363" t="s">
        <v>28</v>
      </c>
      <c r="K363">
        <v>2</v>
      </c>
      <c r="L363" t="s">
        <v>27</v>
      </c>
      <c r="M363" t="s">
        <v>2725</v>
      </c>
      <c r="N363" t="s">
        <v>2726</v>
      </c>
      <c r="O363" t="s">
        <v>2727</v>
      </c>
      <c r="P363" t="s">
        <v>2728</v>
      </c>
      <c r="Q363" s="1">
        <v>45181</v>
      </c>
      <c r="R363" t="s">
        <v>73</v>
      </c>
      <c r="S363" t="s">
        <v>27</v>
      </c>
      <c r="T363" t="s">
        <v>80</v>
      </c>
      <c r="U363" t="s">
        <v>247</v>
      </c>
      <c r="V363" t="s">
        <v>75</v>
      </c>
      <c r="W363" t="s">
        <v>2729</v>
      </c>
      <c r="X363">
        <v>20219442</v>
      </c>
      <c r="Y363" t="s">
        <v>72</v>
      </c>
      <c r="Z363" t="s">
        <v>119</v>
      </c>
      <c r="AA363" t="s">
        <v>24</v>
      </c>
      <c r="AB363" t="s">
        <v>120</v>
      </c>
      <c r="AC363" t="s">
        <v>25</v>
      </c>
      <c r="AD363" t="s">
        <v>155</v>
      </c>
      <c r="AE363">
        <v>1</v>
      </c>
      <c r="AF363" t="s">
        <v>27</v>
      </c>
      <c r="AG363" t="s">
        <v>26</v>
      </c>
      <c r="AH363" t="s">
        <v>6759</v>
      </c>
      <c r="AI363" t="str">
        <f t="shared" si="25"/>
        <v>NO</v>
      </c>
      <c r="AJ363" t="str">
        <f t="shared" si="26"/>
        <v>TECNOQUIMICAS</v>
      </c>
      <c r="AK363" t="str">
        <f>IF(ISNUMBER(SEARCH("FABRICANTE",AC363)),"FABRICANTE",IF(ISNUMBER(SEARCH("IMPORTADOR",AC363)),"IMPORTADOR","OTRO"))</f>
        <v>FABRICANTE</v>
      </c>
      <c r="AL363" t="str">
        <f>IF(LEFT(Y363,1)="A","Sistema digestivo",IF(LEFT(Y363,1)="B","Sangre",IF(LEFT(Y363,1)="C","Cardiovascular",IF(LEFT(Y363,1)="D","Dermatológico",IF(LEFT(Y363,1)="G","Genitourinario",IF(LEFT(Y363,1)="H","Hormonal",IF(LEFT(Y363,1)="J","Antiinfecciosos",IF(LEFT(Y363,1)="L","Oncológicos",IF(LEFT(Y363,1)="M","Musculoesquelético",IF(LEFT(Y363,1)="N","Sistema nervioso",IF(LEFT(Y363,1)="R","Respiratorio",IF(LEFT(Y363,1)="S","Oftálmico",IF(LEFT(Y363,1)="V","Varios","OTRO")))))))))))))</f>
        <v>Antiinfecciosos</v>
      </c>
      <c r="AM363" t="str">
        <f>IF(AG363="Vigente","ACTIVO",IF(ISNUMBER(SEARCH("Inactivo",J363)),"INACTIVO","REVISAR"))</f>
        <v>ACTIVO</v>
      </c>
      <c r="AN363" t="str">
        <f ca="1">IF(OR(AF363="",AF363="null"),"",ROUND((AF363-TODAY())/365.25,2))</f>
        <v/>
      </c>
      <c r="AO363" t="str">
        <f ca="1">IF(AND(AG363="Vigente",OR(AF363="",AF363="null",AF363&gt;TODAY())),"SI",IF(AND(NOT(OR(AF363="",AF363="null")),AF363&lt;=TODAY()),"NO",IF(AG363="Vigente","SI","DESCONOCIDO")))</f>
        <v>SI</v>
      </c>
      <c r="AP363" t="str">
        <f>IF(AND(ISNUMBER(SEARCH("IMPORTAR",AA363)),ISNUMBER(SEARCH("FABRICAR",AA363))),"MIXTO",IF(ISNUMBER(SEARCH("IMPORTAR",AA363)),"IMPORTADO",IF(ISNUMBER(SEARCH("FABRICAR",AA363)),"LOCAL","OTRO")))</f>
        <v>LOCAL</v>
      </c>
      <c r="AQ363" t="str">
        <f>IF(AD363="Si","SI",IF(AD363="No","NO",""))</f>
        <v>SI</v>
      </c>
      <c r="AR363" t="str">
        <f>IF(ISNUMBER(SEARCH("®",N363)),"MARCA/INNOVADOR","GENERICO")</f>
        <v>MARCA/INNOVADOR</v>
      </c>
      <c r="AS363">
        <f ca="1">IF(AE363&gt;100,RANDBETWEEN(500,5000),IF(AND(AE363&gt;=10,AE363&lt;=100),RANDBETWEEN(100,1000),RANDBETWEEN(10,200)))</f>
        <v>29</v>
      </c>
      <c r="AT363">
        <f t="shared" ca="1" si="27"/>
        <v>3</v>
      </c>
      <c r="AU363">
        <f ca="1">INT(AS363*RANDBETWEEN(120,200)/100)</f>
        <v>53</v>
      </c>
      <c r="AV363" s="2">
        <f ca="1">IF(LEFT(Y363,1)="L",RANDBETWEEN(500000,5000000),IF(LEFT(Y363,1)="C",RANDBETWEEN(5000,50000),IF(LEFT(Y363,1)="N",RANDBETWEEN(10000,150000),IF(LEFT(Y363,1)="J",RANDBETWEEN(8000,200000),RANDBETWEEN(5000,100000)))))</f>
        <v>11565</v>
      </c>
      <c r="AW363" s="2">
        <f ca="1">INT(AV363*RANDBETWEEN(30,60)/100)</f>
        <v>6360</v>
      </c>
      <c r="AX363">
        <f ca="1">IF(Z363="ORAL",RANDBETWEEN(1000,10000),IF(OR(Z363="INTRAVENOSA",Z363="INTRAMUSCULAR"),RANDBETWEEN(100,2000),IF(OR(Z363="OFTÁLMICA",Z363="TOPICA (EXTERNA)"),RANDBETWEEN(200,3000),RANDBETWEEN(100,1500))))</f>
        <v>6880</v>
      </c>
      <c r="AY363" s="2">
        <f ca="1">INT(AV363*RANDBETWEEN(90,130)/100)</f>
        <v>13415</v>
      </c>
      <c r="AZ363" t="str">
        <f t="shared" ca="1" si="28"/>
        <v>14.1%</v>
      </c>
      <c r="BA363" t="str">
        <f t="shared" ca="1" si="29"/>
        <v>BAJO</v>
      </c>
    </row>
    <row r="364" spans="4:53" x14ac:dyDescent="0.35">
      <c r="D364" t="s">
        <v>2730</v>
      </c>
      <c r="E364" s="1">
        <v>45720</v>
      </c>
      <c r="F364" t="s">
        <v>2731</v>
      </c>
      <c r="G364" t="s">
        <v>108</v>
      </c>
      <c r="H364" t="s">
        <v>2732</v>
      </c>
      <c r="I364">
        <v>20215227</v>
      </c>
      <c r="J364" t="s">
        <v>28</v>
      </c>
      <c r="K364">
        <v>2</v>
      </c>
      <c r="L364" t="s">
        <v>2733</v>
      </c>
      <c r="M364" t="s">
        <v>2734</v>
      </c>
      <c r="N364" t="s">
        <v>2735</v>
      </c>
      <c r="O364" t="s">
        <v>2736</v>
      </c>
      <c r="P364" t="s">
        <v>33</v>
      </c>
      <c r="Q364" s="1">
        <v>45217</v>
      </c>
      <c r="R364" t="s">
        <v>33</v>
      </c>
      <c r="S364" t="s">
        <v>27</v>
      </c>
      <c r="T364" t="s">
        <v>464</v>
      </c>
      <c r="U364" t="s">
        <v>115</v>
      </c>
      <c r="V364" t="s">
        <v>2737</v>
      </c>
      <c r="W364" t="s">
        <v>2738</v>
      </c>
      <c r="X364">
        <v>20215227</v>
      </c>
      <c r="Y364" t="s">
        <v>2739</v>
      </c>
      <c r="Z364" t="s">
        <v>119</v>
      </c>
      <c r="AA364" t="s">
        <v>32</v>
      </c>
      <c r="AB364" t="s">
        <v>120</v>
      </c>
      <c r="AC364" t="s">
        <v>25</v>
      </c>
      <c r="AD364" t="s">
        <v>121</v>
      </c>
      <c r="AE364">
        <v>30</v>
      </c>
      <c r="AF364" s="1">
        <v>47562</v>
      </c>
      <c r="AG364" t="s">
        <v>26</v>
      </c>
      <c r="AH364" t="s">
        <v>6790</v>
      </c>
      <c r="AI364" t="str">
        <f t="shared" si="25"/>
        <v>NO</v>
      </c>
      <c r="AJ364" t="str">
        <f t="shared" si="26"/>
        <v>MEGALABS COLOMBIA</v>
      </c>
      <c r="AK364" t="str">
        <f>IF(ISNUMBER(SEARCH("FABRICANTE",AC364)),"FABRICANTE",IF(ISNUMBER(SEARCH("IMPORTADOR",AC364)),"IMPORTADOR","OTRO"))</f>
        <v>FABRICANTE</v>
      </c>
      <c r="AL364" t="str">
        <f>IF(LEFT(Y364,1)="A","Sistema digestivo",IF(LEFT(Y364,1)="B","Sangre",IF(LEFT(Y364,1)="C","Cardiovascular",IF(LEFT(Y364,1)="D","Dermatológico",IF(LEFT(Y364,1)="G","Genitourinario",IF(LEFT(Y364,1)="H","Hormonal",IF(LEFT(Y364,1)="J","Antiinfecciosos",IF(LEFT(Y364,1)="L","Oncológicos",IF(LEFT(Y364,1)="M","Musculoesquelético",IF(LEFT(Y364,1)="N","Sistema nervioso",IF(LEFT(Y364,1)="R","Respiratorio",IF(LEFT(Y364,1)="S","Oftálmico",IF(LEFT(Y364,1)="V","Varios","OTRO")))))))))))))</f>
        <v>Sistema nervioso</v>
      </c>
      <c r="AM364" t="str">
        <f>IF(AG364="Vigente","ACTIVO",IF(ISNUMBER(SEARCH("Inactivo",J364)),"INACTIVO","REVISAR"))</f>
        <v>ACTIVO</v>
      </c>
      <c r="AN364">
        <f ca="1">IF(OR(AF364="",AF364="null"),"",ROUND((AF364-TODAY())/365.25,2))</f>
        <v>3.82</v>
      </c>
      <c r="AO364" t="str">
        <f ca="1">IF(AND(AG364="Vigente",OR(AF364="",AF364="null",AF364&gt;TODAY())),"SI",IF(AND(NOT(OR(AF364="",AF364="null")),AF364&lt;=TODAY()),"NO",IF(AG364="Vigente","SI","DESCONOCIDO")))</f>
        <v>SI</v>
      </c>
      <c r="AP364" t="str">
        <f>IF(AND(ISNUMBER(SEARCH("IMPORTAR",AA364)),ISNUMBER(SEARCH("FABRICAR",AA364))),"MIXTO",IF(ISNUMBER(SEARCH("IMPORTAR",AA364)),"IMPORTADO",IF(ISNUMBER(SEARCH("FABRICAR",AA364)),"LOCAL","OTRO")))</f>
        <v>IMPORTADO</v>
      </c>
      <c r="AQ364" t="str">
        <f>IF(AD364="Si","SI",IF(AD364="No","NO",""))</f>
        <v>NO</v>
      </c>
      <c r="AR364" t="str">
        <f>IF(ISNUMBER(SEARCH("®",N364)),"MARCA/INNOVADOR","GENERICO")</f>
        <v>MARCA/INNOVADOR</v>
      </c>
      <c r="AS364">
        <f ca="1">IF(AE364&gt;100,RANDBETWEEN(500,5000),IF(AND(AE364&gt;=10,AE364&lt;=100),RANDBETWEEN(100,1000),RANDBETWEEN(10,200)))</f>
        <v>450</v>
      </c>
      <c r="AT364">
        <f t="shared" ca="1" si="27"/>
        <v>63</v>
      </c>
      <c r="AU364">
        <f ca="1">INT(AS364*RANDBETWEEN(120,200)/100)</f>
        <v>895</v>
      </c>
      <c r="AV364" s="2">
        <f ca="1">IF(LEFT(Y364,1)="L",RANDBETWEEN(500000,5000000),IF(LEFT(Y364,1)="C",RANDBETWEEN(5000,50000),IF(LEFT(Y364,1)="N",RANDBETWEEN(10000,150000),IF(LEFT(Y364,1)="J",RANDBETWEEN(8000,200000),RANDBETWEEN(5000,100000)))))</f>
        <v>124815</v>
      </c>
      <c r="AW364" s="2">
        <f ca="1">INT(AV364*RANDBETWEEN(30,60)/100)</f>
        <v>41188</v>
      </c>
      <c r="AX364">
        <f ca="1">IF(Z364="ORAL",RANDBETWEEN(1000,10000),IF(OR(Z364="INTRAVENOSA",Z364="INTRAMUSCULAR"),RANDBETWEEN(100,2000),IF(OR(Z364="OFTÁLMICA",Z364="TOPICA (EXTERNA)"),RANDBETWEEN(200,3000),RANDBETWEEN(100,1500))))</f>
        <v>8040</v>
      </c>
      <c r="AY364" s="2">
        <f ca="1">INT(AV364*RANDBETWEEN(90,130)/100)</f>
        <v>122318</v>
      </c>
      <c r="AZ364" t="str">
        <f t="shared" ca="1" si="28"/>
        <v>5.9%</v>
      </c>
      <c r="BA364" t="str">
        <f t="shared" ca="1" si="29"/>
        <v>MEDIO</v>
      </c>
    </row>
    <row r="365" spans="4:53" x14ac:dyDescent="0.35">
      <c r="D365" t="s">
        <v>2740</v>
      </c>
      <c r="E365" s="1">
        <v>42451</v>
      </c>
      <c r="F365" t="s">
        <v>515</v>
      </c>
      <c r="G365" t="s">
        <v>108</v>
      </c>
      <c r="H365" t="s">
        <v>2741</v>
      </c>
      <c r="I365">
        <v>20097708</v>
      </c>
      <c r="J365" t="s">
        <v>28</v>
      </c>
      <c r="K365">
        <v>39</v>
      </c>
      <c r="L365" t="s">
        <v>2742</v>
      </c>
      <c r="M365" t="s">
        <v>1253</v>
      </c>
      <c r="N365" t="s">
        <v>1254</v>
      </c>
      <c r="O365" t="s">
        <v>2743</v>
      </c>
      <c r="P365" t="s">
        <v>527</v>
      </c>
      <c r="Q365" s="1">
        <v>44828</v>
      </c>
      <c r="R365" t="s">
        <v>527</v>
      </c>
      <c r="S365" t="s">
        <v>27</v>
      </c>
      <c r="T365" t="s">
        <v>1256</v>
      </c>
      <c r="U365" t="s">
        <v>115</v>
      </c>
      <c r="V365" t="s">
        <v>162</v>
      </c>
      <c r="W365">
        <v>200</v>
      </c>
      <c r="X365">
        <v>20097708</v>
      </c>
      <c r="Y365" t="s">
        <v>164</v>
      </c>
      <c r="Z365" t="s">
        <v>119</v>
      </c>
      <c r="AA365" t="s">
        <v>848</v>
      </c>
      <c r="AB365" t="s">
        <v>120</v>
      </c>
      <c r="AC365" t="s">
        <v>38</v>
      </c>
      <c r="AD365" t="s">
        <v>121</v>
      </c>
      <c r="AE365">
        <v>100</v>
      </c>
      <c r="AF365" t="s">
        <v>27</v>
      </c>
      <c r="AG365" t="s">
        <v>26</v>
      </c>
      <c r="AH365" t="s">
        <v>515</v>
      </c>
      <c r="AI365" t="str">
        <f t="shared" si="25"/>
        <v>NO</v>
      </c>
      <c r="AJ365" t="str">
        <f t="shared" si="26"/>
        <v>GENOMMA LAB COLOMBIA</v>
      </c>
      <c r="AK365" t="str">
        <f>IF(ISNUMBER(SEARCH("FABRICANTE",AC365)),"FABRICANTE",IF(ISNUMBER(SEARCH("IMPORTADOR",AC365)),"IMPORTADOR","OTRO"))</f>
        <v>IMPORTADOR</v>
      </c>
      <c r="AL365" t="str">
        <f>IF(LEFT(Y365,1)="A","Sistema digestivo",IF(LEFT(Y365,1)="B","Sangre",IF(LEFT(Y365,1)="C","Cardiovascular",IF(LEFT(Y365,1)="D","Dermatológico",IF(LEFT(Y365,1)="G","Genitourinario",IF(LEFT(Y365,1)="H","Hormonal",IF(LEFT(Y365,1)="J","Antiinfecciosos",IF(LEFT(Y365,1)="L","Oncológicos",IF(LEFT(Y365,1)="M","Musculoesquelético",IF(LEFT(Y365,1)="N","Sistema nervioso",IF(LEFT(Y365,1)="R","Respiratorio",IF(LEFT(Y365,1)="S","Oftálmico",IF(LEFT(Y365,1)="V","Varios","OTRO")))))))))))))</f>
        <v>Musculoesquelético</v>
      </c>
      <c r="AM365" t="str">
        <f>IF(AG365="Vigente","ACTIVO",IF(ISNUMBER(SEARCH("Inactivo",J365)),"INACTIVO","REVISAR"))</f>
        <v>ACTIVO</v>
      </c>
      <c r="AN365" t="str">
        <f ca="1">IF(OR(AF365="",AF365="null"),"",ROUND((AF365-TODAY())/365.25,2))</f>
        <v/>
      </c>
      <c r="AO365" t="str">
        <f ca="1">IF(AND(AG365="Vigente",OR(AF365="",AF365="null",AF365&gt;TODAY())),"SI",IF(AND(NOT(OR(AF365="",AF365="null")),AF365&lt;=TODAY()),"NO",IF(AG365="Vigente","SI","DESCONOCIDO")))</f>
        <v>SI</v>
      </c>
      <c r="AP365" t="str">
        <f>IF(AND(ISNUMBER(SEARCH("IMPORTAR",AA365)),ISNUMBER(SEARCH("FABRICAR",AA365))),"MIXTO",IF(ISNUMBER(SEARCH("IMPORTAR",AA365)),"IMPORTADO",IF(ISNUMBER(SEARCH("FABRICAR",AA365)),"LOCAL","OTRO")))</f>
        <v>IMPORTADO</v>
      </c>
      <c r="AQ365" t="str">
        <f>IF(AD365="Si","SI",IF(AD365="No","NO",""))</f>
        <v>NO</v>
      </c>
      <c r="AR365" t="str">
        <f>IF(ISNUMBER(SEARCH("®",N365)),"MARCA/INNOVADOR","GENERICO")</f>
        <v>MARCA/INNOVADOR</v>
      </c>
      <c r="AS365">
        <f ca="1">IF(AE365&gt;100,RANDBETWEEN(500,5000),IF(AND(AE365&gt;=10,AE365&lt;=100),RANDBETWEEN(100,1000),RANDBETWEEN(10,200)))</f>
        <v>290</v>
      </c>
      <c r="AT365">
        <f t="shared" ca="1" si="27"/>
        <v>60</v>
      </c>
      <c r="AU365">
        <f ca="1">INT(AS365*RANDBETWEEN(120,200)/100)</f>
        <v>548</v>
      </c>
      <c r="AV365" s="2">
        <f ca="1">IF(LEFT(Y365,1)="L",RANDBETWEEN(500000,5000000),IF(LEFT(Y365,1)="C",RANDBETWEEN(5000,50000),IF(LEFT(Y365,1)="N",RANDBETWEEN(10000,150000),IF(LEFT(Y365,1)="J",RANDBETWEEN(8000,200000),RANDBETWEEN(5000,100000)))))</f>
        <v>94080</v>
      </c>
      <c r="AW365" s="2">
        <f ca="1">INT(AV365*RANDBETWEEN(30,60)/100)</f>
        <v>46099</v>
      </c>
      <c r="AX365">
        <f ca="1">IF(Z365="ORAL",RANDBETWEEN(1000,10000),IF(OR(Z365="INTRAVENOSA",Z365="INTRAMUSCULAR"),RANDBETWEEN(100,2000),IF(OR(Z365="OFTÁLMICA",Z365="TOPICA (EXTERNA)"),RANDBETWEEN(200,3000),RANDBETWEEN(100,1500))))</f>
        <v>5812</v>
      </c>
      <c r="AY365" s="2">
        <f ca="1">INT(AV365*RANDBETWEEN(90,130)/100)</f>
        <v>85612</v>
      </c>
      <c r="AZ365" t="str">
        <f t="shared" ca="1" si="28"/>
        <v>10.5%</v>
      </c>
      <c r="BA365" t="str">
        <f t="shared" ca="1" si="29"/>
        <v>BAJO</v>
      </c>
    </row>
    <row r="366" spans="4:53" x14ac:dyDescent="0.35">
      <c r="D366" t="s">
        <v>2744</v>
      </c>
      <c r="E366" s="1">
        <v>41227</v>
      </c>
      <c r="F366" t="s">
        <v>2745</v>
      </c>
      <c r="G366" t="s">
        <v>108</v>
      </c>
      <c r="H366" t="s">
        <v>114</v>
      </c>
      <c r="I366">
        <v>20043344</v>
      </c>
      <c r="J366" t="s">
        <v>28</v>
      </c>
      <c r="K366">
        <v>19</v>
      </c>
      <c r="L366" t="s">
        <v>27</v>
      </c>
      <c r="M366" t="s">
        <v>2746</v>
      </c>
      <c r="N366" t="s">
        <v>2747</v>
      </c>
      <c r="O366" t="s">
        <v>2748</v>
      </c>
      <c r="P366" t="s">
        <v>29</v>
      </c>
      <c r="Q366" s="1">
        <v>43566</v>
      </c>
      <c r="R366" t="s">
        <v>33</v>
      </c>
      <c r="S366" t="s">
        <v>27</v>
      </c>
      <c r="T366" t="s">
        <v>114</v>
      </c>
      <c r="U366" t="s">
        <v>115</v>
      </c>
      <c r="V366" t="s">
        <v>954</v>
      </c>
      <c r="W366">
        <v>20</v>
      </c>
      <c r="X366">
        <v>20043344</v>
      </c>
      <c r="Y366" t="s">
        <v>955</v>
      </c>
      <c r="Z366" t="s">
        <v>119</v>
      </c>
      <c r="AA366" t="s">
        <v>24</v>
      </c>
      <c r="AB366" t="s">
        <v>120</v>
      </c>
      <c r="AC366" t="s">
        <v>25</v>
      </c>
      <c r="AD366" t="s">
        <v>121</v>
      </c>
      <c r="AE366">
        <v>30</v>
      </c>
      <c r="AF366" s="1">
        <v>401769</v>
      </c>
      <c r="AG366" t="s">
        <v>26</v>
      </c>
      <c r="AH366" t="s">
        <v>667</v>
      </c>
      <c r="AI366" t="str">
        <f t="shared" si="25"/>
        <v>SI</v>
      </c>
      <c r="AJ366" t="str">
        <f t="shared" si="26"/>
        <v>LABORATORIOS LEGRAND</v>
      </c>
      <c r="AK366" t="str">
        <f>IF(ISNUMBER(SEARCH("FABRICANTE",AC366)),"FABRICANTE",IF(ISNUMBER(SEARCH("IMPORTADOR",AC366)),"IMPORTADOR","OTRO"))</f>
        <v>FABRICANTE</v>
      </c>
      <c r="AL366" t="str">
        <f>IF(LEFT(Y366,1)="A","Sistema digestivo",IF(LEFT(Y366,1)="B","Sangre",IF(LEFT(Y366,1)="C","Cardiovascular",IF(LEFT(Y366,1)="D","Dermatológico",IF(LEFT(Y366,1)="G","Genitourinario",IF(LEFT(Y366,1)="H","Hormonal",IF(LEFT(Y366,1)="J","Antiinfecciosos",IF(LEFT(Y366,1)="L","Oncológicos",IF(LEFT(Y366,1)="M","Musculoesquelético",IF(LEFT(Y366,1)="N","Sistema nervioso",IF(LEFT(Y366,1)="R","Respiratorio",IF(LEFT(Y366,1)="S","Oftálmico",IF(LEFT(Y366,1)="V","Varios","OTRO")))))))))))))</f>
        <v>Cardiovascular</v>
      </c>
      <c r="AM366" t="str">
        <f>IF(AG366="Vigente","ACTIVO",IF(ISNUMBER(SEARCH("Inactivo",J366)),"INACTIVO","REVISAR"))</f>
        <v>ACTIVO</v>
      </c>
      <c r="AN366">
        <f ca="1">IF(OR(AF366="",AF366="null"),"",ROUND((AF366-TODAY())/365.25,2))</f>
        <v>973.58</v>
      </c>
      <c r="AO366" t="str">
        <f ca="1">IF(AND(AG366="Vigente",OR(AF366="",AF366="null",AF366&gt;TODAY())),"SI",IF(AND(NOT(OR(AF366="",AF366="null")),AF366&lt;=TODAY()),"NO",IF(AG366="Vigente","SI","DESCONOCIDO")))</f>
        <v>SI</v>
      </c>
      <c r="AP366" t="str">
        <f>IF(AND(ISNUMBER(SEARCH("IMPORTAR",AA366)),ISNUMBER(SEARCH("FABRICAR",AA366))),"MIXTO",IF(ISNUMBER(SEARCH("IMPORTAR",AA366)),"IMPORTADO",IF(ISNUMBER(SEARCH("FABRICAR",AA366)),"LOCAL","OTRO")))</f>
        <v>LOCAL</v>
      </c>
      <c r="AQ366" t="str">
        <f>IF(AD366="Si","SI",IF(AD366="No","NO",""))</f>
        <v>NO</v>
      </c>
      <c r="AR366" t="str">
        <f>IF(ISNUMBER(SEARCH("®",N366)),"MARCA/INNOVADOR","GENERICO")</f>
        <v>MARCA/INNOVADOR</v>
      </c>
      <c r="AS366">
        <f ca="1">IF(AE366&gt;100,RANDBETWEEN(500,5000),IF(AND(AE366&gt;=10,AE366&lt;=100),RANDBETWEEN(100,1000),RANDBETWEEN(10,200)))</f>
        <v>770</v>
      </c>
      <c r="AT366">
        <f t="shared" ca="1" si="27"/>
        <v>100</v>
      </c>
      <c r="AU366">
        <f ca="1">INT(AS366*RANDBETWEEN(120,200)/100)</f>
        <v>1031</v>
      </c>
      <c r="AV366" s="2">
        <f ca="1">IF(LEFT(Y366,1)="L",RANDBETWEEN(500000,5000000),IF(LEFT(Y366,1)="C",RANDBETWEEN(5000,50000),IF(LEFT(Y366,1)="N",RANDBETWEEN(10000,150000),IF(LEFT(Y366,1)="J",RANDBETWEEN(8000,200000),RANDBETWEEN(5000,100000)))))</f>
        <v>35668</v>
      </c>
      <c r="AW366" s="2">
        <f ca="1">INT(AV366*RANDBETWEEN(30,60)/100)</f>
        <v>21400</v>
      </c>
      <c r="AX366">
        <f ca="1">IF(Z366="ORAL",RANDBETWEEN(1000,10000),IF(OR(Z366="INTRAVENOSA",Z366="INTRAMUSCULAR"),RANDBETWEEN(100,2000),IF(OR(Z366="OFTÁLMICA",Z366="TOPICA (EXTERNA)"),RANDBETWEEN(200,3000),RANDBETWEEN(100,1500))))</f>
        <v>2035</v>
      </c>
      <c r="AY366" s="2">
        <f ca="1">INT(AV366*RANDBETWEEN(90,130)/100)</f>
        <v>36738</v>
      </c>
      <c r="AZ366" t="str">
        <f t="shared" ca="1" si="28"/>
        <v>6.5%</v>
      </c>
      <c r="BA366" t="str">
        <f t="shared" ca="1" si="29"/>
        <v>BAJO</v>
      </c>
    </row>
    <row r="367" spans="4:53" x14ac:dyDescent="0.35">
      <c r="D367" t="s">
        <v>2749</v>
      </c>
      <c r="E367" s="1">
        <v>40508</v>
      </c>
      <c r="F367" t="s">
        <v>2750</v>
      </c>
      <c r="G367" t="s">
        <v>108</v>
      </c>
      <c r="H367" t="s">
        <v>428</v>
      </c>
      <c r="I367">
        <v>20020184</v>
      </c>
      <c r="J367" t="s">
        <v>28</v>
      </c>
      <c r="K367">
        <v>5</v>
      </c>
      <c r="L367" t="s">
        <v>2751</v>
      </c>
      <c r="M367" t="s">
        <v>2752</v>
      </c>
      <c r="N367" t="s">
        <v>2753</v>
      </c>
      <c r="O367" t="s">
        <v>2754</v>
      </c>
      <c r="P367" t="s">
        <v>953</v>
      </c>
      <c r="Q367" s="1">
        <v>40393</v>
      </c>
      <c r="R367" t="s">
        <v>200</v>
      </c>
      <c r="S367" t="s">
        <v>27</v>
      </c>
      <c r="T367" t="s">
        <v>2723</v>
      </c>
      <c r="U367" t="s">
        <v>115</v>
      </c>
      <c r="V367" t="s">
        <v>1583</v>
      </c>
      <c r="W367">
        <v>40</v>
      </c>
      <c r="X367">
        <v>20020184</v>
      </c>
      <c r="Y367" t="s">
        <v>1584</v>
      </c>
      <c r="Z367" t="s">
        <v>119</v>
      </c>
      <c r="AA367" t="s">
        <v>24</v>
      </c>
      <c r="AB367" t="s">
        <v>250</v>
      </c>
      <c r="AC367" t="s">
        <v>25</v>
      </c>
      <c r="AD367" t="s">
        <v>155</v>
      </c>
      <c r="AE367">
        <v>4</v>
      </c>
      <c r="AF367" t="s">
        <v>27</v>
      </c>
      <c r="AG367" t="s">
        <v>26</v>
      </c>
      <c r="AH367" t="s">
        <v>6655</v>
      </c>
      <c r="AI367" t="str">
        <f t="shared" si="25"/>
        <v>NO</v>
      </c>
      <c r="AJ367" t="str">
        <f t="shared" si="26"/>
        <v>LABORATORIOSSIEGFRIED</v>
      </c>
      <c r="AK367" t="str">
        <f>IF(ISNUMBER(SEARCH("FABRICANTE",AC367)),"FABRICANTE",IF(ISNUMBER(SEARCH("IMPORTADOR",AC367)),"IMPORTADOR","OTRO"))</f>
        <v>FABRICANTE</v>
      </c>
      <c r="AL367" t="str">
        <f>IF(LEFT(Y367,1)="A","Sistema digestivo",IF(LEFT(Y367,1)="B","Sangre",IF(LEFT(Y367,1)="C","Cardiovascular",IF(LEFT(Y367,1)="D","Dermatológico",IF(LEFT(Y367,1)="G","Genitourinario",IF(LEFT(Y367,1)="H","Hormonal",IF(LEFT(Y367,1)="J","Antiinfecciosos",IF(LEFT(Y367,1)="L","Oncológicos",IF(LEFT(Y367,1)="M","Musculoesquelético",IF(LEFT(Y367,1)="N","Sistema nervioso",IF(LEFT(Y367,1)="R","Respiratorio",IF(LEFT(Y367,1)="S","Oftálmico",IF(LEFT(Y367,1)="V","Varios","OTRO")))))))))))))</f>
        <v>Cardiovascular</v>
      </c>
      <c r="AM367" t="str">
        <f>IF(AG367="Vigente","ACTIVO",IF(ISNUMBER(SEARCH("Inactivo",J367)),"INACTIVO","REVISAR"))</f>
        <v>ACTIVO</v>
      </c>
      <c r="AN367" t="str">
        <f ca="1">IF(OR(AF367="",AF367="null"),"",ROUND((AF367-TODAY())/365.25,2))</f>
        <v/>
      </c>
      <c r="AO367" t="str">
        <f ca="1">IF(AND(AG367="Vigente",OR(AF367="",AF367="null",AF367&gt;TODAY())),"SI",IF(AND(NOT(OR(AF367="",AF367="null")),AF367&lt;=TODAY()),"NO",IF(AG367="Vigente","SI","DESCONOCIDO")))</f>
        <v>SI</v>
      </c>
      <c r="AP367" t="str">
        <f>IF(AND(ISNUMBER(SEARCH("IMPORTAR",AA367)),ISNUMBER(SEARCH("FABRICAR",AA367))),"MIXTO",IF(ISNUMBER(SEARCH("IMPORTAR",AA367)),"IMPORTADO",IF(ISNUMBER(SEARCH("FABRICAR",AA367)),"LOCAL","OTRO")))</f>
        <v>LOCAL</v>
      </c>
      <c r="AQ367" t="str">
        <f>IF(AD367="Si","SI",IF(AD367="No","NO",""))</f>
        <v>SI</v>
      </c>
      <c r="AR367" t="str">
        <f>IF(ISNUMBER(SEARCH("®",N367)),"MARCA/INNOVADOR","GENERICO")</f>
        <v>MARCA/INNOVADOR</v>
      </c>
      <c r="AS367">
        <f ca="1">IF(AE367&gt;100,RANDBETWEEN(500,5000),IF(AND(AE367&gt;=10,AE367&lt;=100),RANDBETWEEN(100,1000),RANDBETWEEN(10,200)))</f>
        <v>55</v>
      </c>
      <c r="AT367">
        <f t="shared" ca="1" si="27"/>
        <v>9</v>
      </c>
      <c r="AU367">
        <f ca="1">INT(AS367*RANDBETWEEN(120,200)/100)</f>
        <v>70</v>
      </c>
      <c r="AV367" s="2">
        <f ca="1">IF(LEFT(Y367,1)="L",RANDBETWEEN(500000,5000000),IF(LEFT(Y367,1)="C",RANDBETWEEN(5000,50000),IF(LEFT(Y367,1)="N",RANDBETWEEN(10000,150000),IF(LEFT(Y367,1)="J",RANDBETWEEN(8000,200000),RANDBETWEEN(5000,100000)))))</f>
        <v>5516</v>
      </c>
      <c r="AW367" s="2">
        <f ca="1">INT(AV367*RANDBETWEEN(30,60)/100)</f>
        <v>3033</v>
      </c>
      <c r="AX367">
        <f ca="1">IF(Z367="ORAL",RANDBETWEEN(1000,10000),IF(OR(Z367="INTRAVENOSA",Z367="INTRAMUSCULAR"),RANDBETWEEN(100,2000),IF(OR(Z367="OFTÁLMICA",Z367="TOPICA (EXTERNA)"),RANDBETWEEN(200,3000),RANDBETWEEN(100,1500))))</f>
        <v>9977</v>
      </c>
      <c r="AY367" s="2">
        <f ca="1">INT(AV367*RANDBETWEEN(90,130)/100)</f>
        <v>6729</v>
      </c>
      <c r="AZ367" t="str">
        <f t="shared" ca="1" si="28"/>
        <v>5.8%</v>
      </c>
      <c r="BA367" t="str">
        <f t="shared" ca="1" si="29"/>
        <v>BAJO</v>
      </c>
    </row>
    <row r="368" spans="4:53" x14ac:dyDescent="0.35">
      <c r="D368" t="s">
        <v>2755</v>
      </c>
      <c r="E368" s="1">
        <v>38174</v>
      </c>
      <c r="F368" t="s">
        <v>2756</v>
      </c>
      <c r="G368" t="s">
        <v>108</v>
      </c>
      <c r="H368" t="s">
        <v>334</v>
      </c>
      <c r="I368">
        <v>19943961</v>
      </c>
      <c r="J368" t="s">
        <v>28</v>
      </c>
      <c r="K368">
        <v>4</v>
      </c>
      <c r="L368" t="s">
        <v>27</v>
      </c>
      <c r="M368" t="s">
        <v>2757</v>
      </c>
      <c r="N368" t="s">
        <v>2758</v>
      </c>
      <c r="O368" t="s">
        <v>2759</v>
      </c>
      <c r="P368" t="s">
        <v>2760</v>
      </c>
      <c r="Q368" s="1">
        <v>42178</v>
      </c>
      <c r="R368" t="s">
        <v>50</v>
      </c>
      <c r="S368" t="s">
        <v>27</v>
      </c>
      <c r="T368" t="s">
        <v>320</v>
      </c>
      <c r="U368" t="s">
        <v>115</v>
      </c>
      <c r="V368" t="s">
        <v>1248</v>
      </c>
      <c r="W368">
        <v>4</v>
      </c>
      <c r="X368">
        <v>19943961</v>
      </c>
      <c r="Y368" t="s">
        <v>2761</v>
      </c>
      <c r="Z368" t="s">
        <v>213</v>
      </c>
      <c r="AA368" t="s">
        <v>24</v>
      </c>
      <c r="AB368" t="s">
        <v>120</v>
      </c>
      <c r="AC368" t="s">
        <v>25</v>
      </c>
      <c r="AD368" t="s">
        <v>121</v>
      </c>
      <c r="AE368">
        <v>1</v>
      </c>
      <c r="AF368" t="s">
        <v>27</v>
      </c>
      <c r="AG368" t="s">
        <v>26</v>
      </c>
      <c r="AH368" t="s">
        <v>1248</v>
      </c>
      <c r="AI368" t="str">
        <f t="shared" si="25"/>
        <v>SI</v>
      </c>
      <c r="AJ368" t="str">
        <f t="shared" si="26"/>
        <v>GENFAR</v>
      </c>
      <c r="AK368" t="str">
        <f>IF(ISNUMBER(SEARCH("FABRICANTE",AC368)),"FABRICANTE",IF(ISNUMBER(SEARCH("IMPORTADOR",AC368)),"IMPORTADOR","OTRO"))</f>
        <v>FABRICANTE</v>
      </c>
      <c r="AL368" t="str">
        <f>IF(LEFT(Y368,1)="A","Sistema digestivo",IF(LEFT(Y368,1)="B","Sangre",IF(LEFT(Y368,1)="C","Cardiovascular",IF(LEFT(Y368,1)="D","Dermatológico",IF(LEFT(Y368,1)="G","Genitourinario",IF(LEFT(Y368,1)="H","Hormonal",IF(LEFT(Y368,1)="J","Antiinfecciosos",IF(LEFT(Y368,1)="L","Oncológicos",IF(LEFT(Y368,1)="M","Musculoesquelético",IF(LEFT(Y368,1)="N","Sistema nervioso",IF(LEFT(Y368,1)="R","Respiratorio",IF(LEFT(Y368,1)="S","Oftálmico",IF(LEFT(Y368,1)="V","Varios","OTRO")))))))))))))</f>
        <v>Hormonal</v>
      </c>
      <c r="AM368" t="str">
        <f>IF(AG368="Vigente","ACTIVO",IF(ISNUMBER(SEARCH("Inactivo",J368)),"INACTIVO","REVISAR"))</f>
        <v>ACTIVO</v>
      </c>
      <c r="AN368" t="str">
        <f ca="1">IF(OR(AF368="",AF368="null"),"",ROUND((AF368-TODAY())/365.25,2))</f>
        <v/>
      </c>
      <c r="AO368" t="str">
        <f ca="1">IF(AND(AG368="Vigente",OR(AF368="",AF368="null",AF368&gt;TODAY())),"SI",IF(AND(NOT(OR(AF368="",AF368="null")),AF368&lt;=TODAY()),"NO",IF(AG368="Vigente","SI","DESCONOCIDO")))</f>
        <v>SI</v>
      </c>
      <c r="AP368" t="str">
        <f>IF(AND(ISNUMBER(SEARCH("IMPORTAR",AA368)),ISNUMBER(SEARCH("FABRICAR",AA368))),"MIXTO",IF(ISNUMBER(SEARCH("IMPORTAR",AA368)),"IMPORTADO",IF(ISNUMBER(SEARCH("FABRICAR",AA368)),"LOCAL","OTRO")))</f>
        <v>LOCAL</v>
      </c>
      <c r="AQ368" t="str">
        <f>IF(AD368="Si","SI",IF(AD368="No","NO",""))</f>
        <v>NO</v>
      </c>
      <c r="AR368" t="str">
        <f>IF(ISNUMBER(SEARCH("®",N368)),"MARCA/INNOVADOR","GENERICO")</f>
        <v>GENERICO</v>
      </c>
      <c r="AS368">
        <f ca="1">IF(AE368&gt;100,RANDBETWEEN(500,5000),IF(AND(AE368&gt;=10,AE368&lt;=100),RANDBETWEEN(100,1000),RANDBETWEEN(10,200)))</f>
        <v>101</v>
      </c>
      <c r="AT368">
        <f t="shared" ca="1" si="27"/>
        <v>28</v>
      </c>
      <c r="AU368">
        <f ca="1">INT(AS368*RANDBETWEEN(120,200)/100)</f>
        <v>153</v>
      </c>
      <c r="AV368" s="2">
        <f ca="1">IF(LEFT(Y368,1)="L",RANDBETWEEN(500000,5000000),IF(LEFT(Y368,1)="C",RANDBETWEEN(5000,50000),IF(LEFT(Y368,1)="N",RANDBETWEEN(10000,150000),IF(LEFT(Y368,1)="J",RANDBETWEEN(8000,200000),RANDBETWEEN(5000,100000)))))</f>
        <v>96842</v>
      </c>
      <c r="AW368" s="2">
        <f ca="1">INT(AV368*RANDBETWEEN(30,60)/100)</f>
        <v>43578</v>
      </c>
      <c r="AX368">
        <f ca="1">IF(Z368="ORAL",RANDBETWEEN(1000,10000),IF(OR(Z368="INTRAVENOSA",Z368="INTRAMUSCULAR"),RANDBETWEEN(100,2000),IF(OR(Z368="OFTÁLMICA",Z368="TOPICA (EXTERNA)"),RANDBETWEEN(200,3000),RANDBETWEEN(100,1500))))</f>
        <v>110</v>
      </c>
      <c r="AY368" s="2">
        <f ca="1">INT(AV368*RANDBETWEEN(90,130)/100)</f>
        <v>114273</v>
      </c>
      <c r="AZ368" t="str">
        <f t="shared" ca="1" si="28"/>
        <v>7.8%</v>
      </c>
      <c r="BA368" t="str">
        <f t="shared" ca="1" si="29"/>
        <v>BAJO</v>
      </c>
    </row>
    <row r="369" spans="4:53" x14ac:dyDescent="0.35">
      <c r="D369" t="s">
        <v>2762</v>
      </c>
      <c r="E369" s="1">
        <v>42296</v>
      </c>
      <c r="F369" t="s">
        <v>2082</v>
      </c>
      <c r="G369" t="s">
        <v>108</v>
      </c>
      <c r="H369" t="s">
        <v>1104</v>
      </c>
      <c r="I369">
        <v>20084161</v>
      </c>
      <c r="J369" t="s">
        <v>28</v>
      </c>
      <c r="K369">
        <v>2</v>
      </c>
      <c r="L369" t="s">
        <v>27</v>
      </c>
      <c r="M369" t="s">
        <v>2763</v>
      </c>
      <c r="N369" t="s">
        <v>2764</v>
      </c>
      <c r="O369" t="s">
        <v>2765</v>
      </c>
      <c r="P369" t="s">
        <v>33</v>
      </c>
      <c r="Q369" s="1">
        <v>42291</v>
      </c>
      <c r="R369" t="s">
        <v>33</v>
      </c>
      <c r="S369" s="1">
        <v>44287</v>
      </c>
      <c r="T369" t="s">
        <v>1403</v>
      </c>
      <c r="U369" t="s">
        <v>115</v>
      </c>
      <c r="V369" t="s">
        <v>2082</v>
      </c>
      <c r="W369">
        <v>20</v>
      </c>
      <c r="X369">
        <v>20084161</v>
      </c>
      <c r="Y369" t="s">
        <v>2083</v>
      </c>
      <c r="Z369" t="s">
        <v>119</v>
      </c>
      <c r="AA369" t="s">
        <v>848</v>
      </c>
      <c r="AB369" t="s">
        <v>120</v>
      </c>
      <c r="AC369" t="s">
        <v>25</v>
      </c>
      <c r="AD369" t="s">
        <v>121</v>
      </c>
      <c r="AE369">
        <v>15</v>
      </c>
      <c r="AF369" t="s">
        <v>27</v>
      </c>
      <c r="AG369" t="s">
        <v>26</v>
      </c>
      <c r="AH369" t="s">
        <v>2082</v>
      </c>
      <c r="AI369" t="str">
        <f t="shared" si="25"/>
        <v>NO</v>
      </c>
      <c r="AJ369" t="str">
        <f t="shared" si="26"/>
        <v>MOMENTA FARMACEUTICA</v>
      </c>
      <c r="AK369" t="str">
        <f>IF(ISNUMBER(SEARCH("FABRICANTE",AC369)),"FABRICANTE",IF(ISNUMBER(SEARCH("IMPORTADOR",AC369)),"IMPORTADOR","OTRO"))</f>
        <v>FABRICANTE</v>
      </c>
      <c r="AL369" t="str">
        <f>IF(LEFT(Y369,1)="A","Sistema digestivo",IF(LEFT(Y369,1)="B","Sangre",IF(LEFT(Y369,1)="C","Cardiovascular",IF(LEFT(Y369,1)="D","Dermatológico",IF(LEFT(Y369,1)="G","Genitourinario",IF(LEFT(Y369,1)="H","Hormonal",IF(LEFT(Y369,1)="J","Antiinfecciosos",IF(LEFT(Y369,1)="L","Oncológicos",IF(LEFT(Y369,1)="M","Musculoesquelético",IF(LEFT(Y369,1)="N","Sistema nervioso",IF(LEFT(Y369,1)="R","Respiratorio",IF(LEFT(Y369,1)="S","Oftálmico",IF(LEFT(Y369,1)="V","Varios","OTRO")))))))))))))</f>
        <v>Sistema nervioso</v>
      </c>
      <c r="AM369" t="str">
        <f>IF(AG369="Vigente","ACTIVO",IF(ISNUMBER(SEARCH("Inactivo",J369)),"INACTIVO","REVISAR"))</f>
        <v>ACTIVO</v>
      </c>
      <c r="AN369" t="str">
        <f ca="1">IF(OR(AF369="",AF369="null"),"",ROUND((AF369-TODAY())/365.25,2))</f>
        <v/>
      </c>
      <c r="AO369" t="str">
        <f ca="1">IF(AND(AG369="Vigente",OR(AF369="",AF369="null",AF369&gt;TODAY())),"SI",IF(AND(NOT(OR(AF369="",AF369="null")),AF369&lt;=TODAY()),"NO",IF(AG369="Vigente","SI","DESCONOCIDO")))</f>
        <v>SI</v>
      </c>
      <c r="AP369" t="str">
        <f>IF(AND(ISNUMBER(SEARCH("IMPORTAR",AA369)),ISNUMBER(SEARCH("FABRICAR",AA369))),"MIXTO",IF(ISNUMBER(SEARCH("IMPORTAR",AA369)),"IMPORTADO",IF(ISNUMBER(SEARCH("FABRICAR",AA369)),"LOCAL","OTRO")))</f>
        <v>IMPORTADO</v>
      </c>
      <c r="AQ369" t="str">
        <f>IF(AD369="Si","SI",IF(AD369="No","NO",""))</f>
        <v>NO</v>
      </c>
      <c r="AR369" t="str">
        <f>IF(ISNUMBER(SEARCH("®",N369)),"MARCA/INNOVADOR","GENERICO")</f>
        <v>GENERICO</v>
      </c>
      <c r="AS369">
        <f ca="1">IF(AE369&gt;100,RANDBETWEEN(500,5000),IF(AND(AE369&gt;=10,AE369&lt;=100),RANDBETWEEN(100,1000),RANDBETWEEN(10,200)))</f>
        <v>448</v>
      </c>
      <c r="AT369">
        <f t="shared" ca="1" si="27"/>
        <v>58</v>
      </c>
      <c r="AU369">
        <f ca="1">INT(AS369*RANDBETWEEN(120,200)/100)</f>
        <v>819</v>
      </c>
      <c r="AV369" s="2">
        <f ca="1">IF(LEFT(Y369,1)="L",RANDBETWEEN(500000,5000000),IF(LEFT(Y369,1)="C",RANDBETWEEN(5000,50000),IF(LEFT(Y369,1)="N",RANDBETWEEN(10000,150000),IF(LEFT(Y369,1)="J",RANDBETWEEN(8000,200000),RANDBETWEEN(5000,100000)))))</f>
        <v>91898</v>
      </c>
      <c r="AW369" s="2">
        <f ca="1">INT(AV369*RANDBETWEEN(30,60)/100)</f>
        <v>34002</v>
      </c>
      <c r="AX369">
        <f ca="1">IF(Z369="ORAL",RANDBETWEEN(1000,10000),IF(OR(Z369="INTRAVENOSA",Z369="INTRAMUSCULAR"),RANDBETWEEN(100,2000),IF(OR(Z369="OFTÁLMICA",Z369="TOPICA (EXTERNA)"),RANDBETWEEN(200,3000),RANDBETWEEN(100,1500))))</f>
        <v>9783</v>
      </c>
      <c r="AY369" s="2">
        <f ca="1">INT(AV369*RANDBETWEEN(90,130)/100)</f>
        <v>104763</v>
      </c>
      <c r="AZ369" t="str">
        <f t="shared" ca="1" si="28"/>
        <v>24.1%</v>
      </c>
      <c r="BA369" t="str">
        <f t="shared" ca="1" si="29"/>
        <v>BAJO</v>
      </c>
    </row>
    <row r="370" spans="4:53" x14ac:dyDescent="0.35">
      <c r="D370" t="s">
        <v>2766</v>
      </c>
      <c r="E370" s="1">
        <v>40920</v>
      </c>
      <c r="F370" t="s">
        <v>2767</v>
      </c>
      <c r="G370" t="s">
        <v>108</v>
      </c>
      <c r="H370" t="s">
        <v>1242</v>
      </c>
      <c r="I370">
        <v>20029657</v>
      </c>
      <c r="J370" t="s">
        <v>28</v>
      </c>
      <c r="K370">
        <v>1</v>
      </c>
      <c r="L370" t="s">
        <v>27</v>
      </c>
      <c r="M370" t="s">
        <v>2768</v>
      </c>
      <c r="N370" t="s">
        <v>2769</v>
      </c>
      <c r="O370" t="s">
        <v>2770</v>
      </c>
      <c r="P370" t="s">
        <v>97</v>
      </c>
      <c r="Q370" s="1">
        <v>40792</v>
      </c>
      <c r="R370" t="s">
        <v>33</v>
      </c>
      <c r="S370" t="s">
        <v>27</v>
      </c>
      <c r="T370" t="s">
        <v>1247</v>
      </c>
      <c r="U370" t="s">
        <v>115</v>
      </c>
      <c r="V370" t="s">
        <v>2437</v>
      </c>
      <c r="W370" t="s">
        <v>2771</v>
      </c>
      <c r="X370">
        <v>20029657</v>
      </c>
      <c r="Y370" t="s">
        <v>2438</v>
      </c>
      <c r="Z370" t="s">
        <v>119</v>
      </c>
      <c r="AA370" t="s">
        <v>32</v>
      </c>
      <c r="AB370" t="s">
        <v>120</v>
      </c>
      <c r="AC370" t="s">
        <v>38</v>
      </c>
      <c r="AD370" t="s">
        <v>121</v>
      </c>
      <c r="AE370">
        <v>30</v>
      </c>
      <c r="AF370" t="s">
        <v>27</v>
      </c>
      <c r="AG370" t="s">
        <v>26</v>
      </c>
      <c r="AH370" t="s">
        <v>330</v>
      </c>
      <c r="AI370" t="str">
        <f t="shared" si="25"/>
        <v>SI</v>
      </c>
      <c r="AJ370" t="str">
        <f t="shared" si="26"/>
        <v>ORGANON</v>
      </c>
      <c r="AK370" t="str">
        <f>IF(ISNUMBER(SEARCH("FABRICANTE",AC370)),"FABRICANTE",IF(ISNUMBER(SEARCH("IMPORTADOR",AC370)),"IMPORTADOR","OTRO"))</f>
        <v>IMPORTADOR</v>
      </c>
      <c r="AL370" t="str">
        <f>IF(LEFT(Y370,1)="A","Sistema digestivo",IF(LEFT(Y370,1)="B","Sangre",IF(LEFT(Y370,1)="C","Cardiovascular",IF(LEFT(Y370,1)="D","Dermatológico",IF(LEFT(Y370,1)="G","Genitourinario",IF(LEFT(Y370,1)="H","Hormonal",IF(LEFT(Y370,1)="J","Antiinfecciosos",IF(LEFT(Y370,1)="L","Oncológicos",IF(LEFT(Y370,1)="M","Musculoesquelético",IF(LEFT(Y370,1)="N","Sistema nervioso",IF(LEFT(Y370,1)="R","Respiratorio",IF(LEFT(Y370,1)="S","Oftálmico",IF(LEFT(Y370,1)="V","Varios","OTRO")))))))))))))</f>
        <v>Cardiovascular</v>
      </c>
      <c r="AM370" t="str">
        <f>IF(AG370="Vigente","ACTIVO",IF(ISNUMBER(SEARCH("Inactivo",J370)),"INACTIVO","REVISAR"))</f>
        <v>ACTIVO</v>
      </c>
      <c r="AN370" t="str">
        <f ca="1">IF(OR(AF370="",AF370="null"),"",ROUND((AF370-TODAY())/365.25,2))</f>
        <v/>
      </c>
      <c r="AO370" t="str">
        <f ca="1">IF(AND(AG370="Vigente",OR(AF370="",AF370="null",AF370&gt;TODAY())),"SI",IF(AND(NOT(OR(AF370="",AF370="null")),AF370&lt;=TODAY()),"NO",IF(AG370="Vigente","SI","DESCONOCIDO")))</f>
        <v>SI</v>
      </c>
      <c r="AP370" t="str">
        <f>IF(AND(ISNUMBER(SEARCH("IMPORTAR",AA370)),ISNUMBER(SEARCH("FABRICAR",AA370))),"MIXTO",IF(ISNUMBER(SEARCH("IMPORTAR",AA370)),"IMPORTADO",IF(ISNUMBER(SEARCH("FABRICAR",AA370)),"LOCAL","OTRO")))</f>
        <v>IMPORTADO</v>
      </c>
      <c r="AQ370" t="str">
        <f>IF(AD370="Si","SI",IF(AD370="No","NO",""))</f>
        <v>NO</v>
      </c>
      <c r="AR370" t="str">
        <f>IF(ISNUMBER(SEARCH("®",N370)),"MARCA/INNOVADOR","GENERICO")</f>
        <v>MARCA/INNOVADOR</v>
      </c>
      <c r="AS370">
        <f ca="1">IF(AE370&gt;100,RANDBETWEEN(500,5000),IF(AND(AE370&gt;=10,AE370&lt;=100),RANDBETWEEN(100,1000),RANDBETWEEN(10,200)))</f>
        <v>761</v>
      </c>
      <c r="AT370">
        <f t="shared" ca="1" si="27"/>
        <v>83</v>
      </c>
      <c r="AU370">
        <f ca="1">INT(AS370*RANDBETWEEN(120,200)/100)</f>
        <v>1209</v>
      </c>
      <c r="AV370" s="2">
        <f ca="1">IF(LEFT(Y370,1)="L",RANDBETWEEN(500000,5000000),IF(LEFT(Y370,1)="C",RANDBETWEEN(5000,50000),IF(LEFT(Y370,1)="N",RANDBETWEEN(10000,150000),IF(LEFT(Y370,1)="J",RANDBETWEEN(8000,200000),RANDBETWEEN(5000,100000)))))</f>
        <v>28992</v>
      </c>
      <c r="AW370" s="2">
        <f ca="1">INT(AV370*RANDBETWEEN(30,60)/100)</f>
        <v>16235</v>
      </c>
      <c r="AX370">
        <f ca="1">IF(Z370="ORAL",RANDBETWEEN(1000,10000),IF(OR(Z370="INTRAVENOSA",Z370="INTRAMUSCULAR"),RANDBETWEEN(100,2000),IF(OR(Z370="OFTÁLMICA",Z370="TOPICA (EXTERNA)"),RANDBETWEEN(200,3000),RANDBETWEEN(100,1500))))</f>
        <v>9689</v>
      </c>
      <c r="AY370" s="2">
        <f ca="1">INT(AV370*RANDBETWEEN(90,130)/100)</f>
        <v>26962</v>
      </c>
      <c r="AZ370" t="str">
        <f t="shared" ca="1" si="28"/>
        <v>13.4%</v>
      </c>
      <c r="BA370" t="str">
        <f t="shared" ca="1" si="29"/>
        <v>BAJO</v>
      </c>
    </row>
    <row r="371" spans="4:53" x14ac:dyDescent="0.35">
      <c r="D371" t="s">
        <v>2772</v>
      </c>
      <c r="E371" s="1">
        <v>42993</v>
      </c>
      <c r="F371" t="s">
        <v>1673</v>
      </c>
      <c r="G371" t="s">
        <v>108</v>
      </c>
      <c r="H371" t="s">
        <v>44</v>
      </c>
      <c r="I371">
        <v>20114574</v>
      </c>
      <c r="J371" t="s">
        <v>28</v>
      </c>
      <c r="K371">
        <v>4</v>
      </c>
      <c r="L371" t="s">
        <v>27</v>
      </c>
      <c r="M371" t="s">
        <v>2773</v>
      </c>
      <c r="N371" t="s">
        <v>2774</v>
      </c>
      <c r="O371" t="s">
        <v>2775</v>
      </c>
      <c r="P371" t="s">
        <v>33</v>
      </c>
      <c r="Q371" s="1">
        <v>42972</v>
      </c>
      <c r="R371" t="s">
        <v>33</v>
      </c>
      <c r="S371" t="s">
        <v>27</v>
      </c>
      <c r="T371" t="s">
        <v>2776</v>
      </c>
      <c r="U371" t="s">
        <v>115</v>
      </c>
      <c r="V371" t="s">
        <v>1673</v>
      </c>
      <c r="W371">
        <v>120</v>
      </c>
      <c r="X371">
        <v>20114574</v>
      </c>
      <c r="Y371" t="s">
        <v>1677</v>
      </c>
      <c r="Z371" t="s">
        <v>119</v>
      </c>
      <c r="AA371" t="s">
        <v>24</v>
      </c>
      <c r="AB371" t="s">
        <v>120</v>
      </c>
      <c r="AC371" t="s">
        <v>25</v>
      </c>
      <c r="AD371" t="s">
        <v>155</v>
      </c>
      <c r="AE371">
        <v>2</v>
      </c>
      <c r="AF371" t="s">
        <v>27</v>
      </c>
      <c r="AG371" t="s">
        <v>26</v>
      </c>
      <c r="AH371" t="s">
        <v>1673</v>
      </c>
      <c r="AI371" t="str">
        <f t="shared" si="25"/>
        <v>NO</v>
      </c>
      <c r="AJ371" t="str">
        <f t="shared" si="26"/>
        <v>ADEXA PHARMA</v>
      </c>
      <c r="AK371" t="str">
        <f>IF(ISNUMBER(SEARCH("FABRICANTE",AC371)),"FABRICANTE",IF(ISNUMBER(SEARCH("IMPORTADOR",AC371)),"IMPORTADOR","OTRO"))</f>
        <v>FABRICANTE</v>
      </c>
      <c r="AL371" t="str">
        <f>IF(LEFT(Y371,1)="A","Sistema digestivo",IF(LEFT(Y371,1)="B","Sangre",IF(LEFT(Y371,1)="C","Cardiovascular",IF(LEFT(Y371,1)="D","Dermatológico",IF(LEFT(Y371,1)="G","Genitourinario",IF(LEFT(Y371,1)="H","Hormonal",IF(LEFT(Y371,1)="J","Antiinfecciosos",IF(LEFT(Y371,1)="L","Oncológicos",IF(LEFT(Y371,1)="M","Musculoesquelético",IF(LEFT(Y371,1)="N","Sistema nervioso",IF(LEFT(Y371,1)="R","Respiratorio",IF(LEFT(Y371,1)="S","Oftálmico",IF(LEFT(Y371,1)="V","Varios","OTRO")))))))))))))</f>
        <v>Musculoesquelético</v>
      </c>
      <c r="AM371" t="str">
        <f>IF(AG371="Vigente","ACTIVO",IF(ISNUMBER(SEARCH("Inactivo",J371)),"INACTIVO","REVISAR"))</f>
        <v>ACTIVO</v>
      </c>
      <c r="AN371" t="str">
        <f ca="1">IF(OR(AF371="",AF371="null"),"",ROUND((AF371-TODAY())/365.25,2))</f>
        <v/>
      </c>
      <c r="AO371" t="str">
        <f ca="1">IF(AND(AG371="Vigente",OR(AF371="",AF371="null",AF371&gt;TODAY())),"SI",IF(AND(NOT(OR(AF371="",AF371="null")),AF371&lt;=TODAY()),"NO",IF(AG371="Vigente","SI","DESCONOCIDO")))</f>
        <v>SI</v>
      </c>
      <c r="AP371" t="str">
        <f>IF(AND(ISNUMBER(SEARCH("IMPORTAR",AA371)),ISNUMBER(SEARCH("FABRICAR",AA371))),"MIXTO",IF(ISNUMBER(SEARCH("IMPORTAR",AA371)),"IMPORTADO",IF(ISNUMBER(SEARCH("FABRICAR",AA371)),"LOCAL","OTRO")))</f>
        <v>LOCAL</v>
      </c>
      <c r="AQ371" t="str">
        <f>IF(AD371="Si","SI",IF(AD371="No","NO",""))</f>
        <v>SI</v>
      </c>
      <c r="AR371" t="str">
        <f>IF(ISNUMBER(SEARCH("®",N371)),"MARCA/INNOVADOR","GENERICO")</f>
        <v>MARCA/INNOVADOR</v>
      </c>
      <c r="AS371">
        <f ca="1">IF(AE371&gt;100,RANDBETWEEN(500,5000),IF(AND(AE371&gt;=10,AE371&lt;=100),RANDBETWEEN(100,1000),RANDBETWEEN(10,200)))</f>
        <v>104</v>
      </c>
      <c r="AT371">
        <f t="shared" ca="1" si="27"/>
        <v>28</v>
      </c>
      <c r="AU371">
        <f ca="1">INT(AS371*RANDBETWEEN(120,200)/100)</f>
        <v>179</v>
      </c>
      <c r="AV371" s="2">
        <f ca="1">IF(LEFT(Y371,1)="L",RANDBETWEEN(500000,5000000),IF(LEFT(Y371,1)="C",RANDBETWEEN(5000,50000),IF(LEFT(Y371,1)="N",RANDBETWEEN(10000,150000),IF(LEFT(Y371,1)="J",RANDBETWEEN(8000,200000),RANDBETWEEN(5000,100000)))))</f>
        <v>52261</v>
      </c>
      <c r="AW371" s="2">
        <f ca="1">INT(AV371*RANDBETWEEN(30,60)/100)</f>
        <v>27698</v>
      </c>
      <c r="AX371">
        <f ca="1">IF(Z371="ORAL",RANDBETWEEN(1000,10000),IF(OR(Z371="INTRAVENOSA",Z371="INTRAMUSCULAR"),RANDBETWEEN(100,2000),IF(OR(Z371="OFTÁLMICA",Z371="TOPICA (EXTERNA)"),RANDBETWEEN(200,3000),RANDBETWEEN(100,1500))))</f>
        <v>9776</v>
      </c>
      <c r="AY371" s="2">
        <f ca="1">INT(AV371*RANDBETWEEN(90,130)/100)</f>
        <v>54351</v>
      </c>
      <c r="AZ371" t="str">
        <f t="shared" ca="1" si="28"/>
        <v>14%</v>
      </c>
      <c r="BA371" t="str">
        <f t="shared" ca="1" si="29"/>
        <v>BAJO</v>
      </c>
    </row>
    <row r="372" spans="4:53" x14ac:dyDescent="0.35">
      <c r="D372" t="s">
        <v>2777</v>
      </c>
      <c r="E372" s="1">
        <v>45789</v>
      </c>
      <c r="F372" t="s">
        <v>2778</v>
      </c>
      <c r="G372" t="s">
        <v>108</v>
      </c>
      <c r="H372" t="s">
        <v>2779</v>
      </c>
      <c r="I372">
        <v>20213151</v>
      </c>
      <c r="J372" t="s">
        <v>28</v>
      </c>
      <c r="K372">
        <v>1</v>
      </c>
      <c r="L372" t="s">
        <v>27</v>
      </c>
      <c r="M372" t="s">
        <v>2780</v>
      </c>
      <c r="N372" t="s">
        <v>2781</v>
      </c>
      <c r="O372" t="s">
        <v>2782</v>
      </c>
      <c r="P372" t="s">
        <v>1061</v>
      </c>
      <c r="Q372" s="1">
        <v>45267</v>
      </c>
      <c r="R372" t="s">
        <v>527</v>
      </c>
      <c r="S372" t="s">
        <v>27</v>
      </c>
      <c r="T372" t="s">
        <v>1369</v>
      </c>
      <c r="U372" t="s">
        <v>115</v>
      </c>
      <c r="V372" t="s">
        <v>162</v>
      </c>
      <c r="W372">
        <v>10</v>
      </c>
      <c r="X372">
        <v>20213151</v>
      </c>
      <c r="Y372" t="s">
        <v>164</v>
      </c>
      <c r="Z372" t="s">
        <v>119</v>
      </c>
      <c r="AA372" t="s">
        <v>848</v>
      </c>
      <c r="AB372" t="s">
        <v>120</v>
      </c>
      <c r="AC372" t="s">
        <v>25</v>
      </c>
      <c r="AD372" t="s">
        <v>121</v>
      </c>
      <c r="AE372">
        <v>6</v>
      </c>
      <c r="AF372" s="1">
        <v>47630</v>
      </c>
      <c r="AG372" t="s">
        <v>26</v>
      </c>
      <c r="AH372" t="s">
        <v>2778</v>
      </c>
      <c r="AI372" t="str">
        <f t="shared" si="25"/>
        <v>NO</v>
      </c>
      <c r="AJ372" t="str">
        <f t="shared" si="26"/>
        <v>GLOBAL INTERNATIONAL MEDICINE GIMED</v>
      </c>
      <c r="AK372" t="str">
        <f>IF(ISNUMBER(SEARCH("FABRICANTE",AC372)),"FABRICANTE",IF(ISNUMBER(SEARCH("IMPORTADOR",AC372)),"IMPORTADOR","OTRO"))</f>
        <v>FABRICANTE</v>
      </c>
      <c r="AL372" t="str">
        <f>IF(LEFT(Y372,1)="A","Sistema digestivo",IF(LEFT(Y372,1)="B","Sangre",IF(LEFT(Y372,1)="C","Cardiovascular",IF(LEFT(Y372,1)="D","Dermatológico",IF(LEFT(Y372,1)="G","Genitourinario",IF(LEFT(Y372,1)="H","Hormonal",IF(LEFT(Y372,1)="J","Antiinfecciosos",IF(LEFT(Y372,1)="L","Oncológicos",IF(LEFT(Y372,1)="M","Musculoesquelético",IF(LEFT(Y372,1)="N","Sistema nervioso",IF(LEFT(Y372,1)="R","Respiratorio",IF(LEFT(Y372,1)="S","Oftálmico",IF(LEFT(Y372,1)="V","Varios","OTRO")))))))))))))</f>
        <v>Musculoesquelético</v>
      </c>
      <c r="AM372" t="str">
        <f>IF(AG372="Vigente","ACTIVO",IF(ISNUMBER(SEARCH("Inactivo",J372)),"INACTIVO","REVISAR"))</f>
        <v>ACTIVO</v>
      </c>
      <c r="AN372">
        <f ca="1">IF(OR(AF372="",AF372="null"),"",ROUND((AF372-TODAY())/365.25,2))</f>
        <v>4</v>
      </c>
      <c r="AO372" t="str">
        <f ca="1">IF(AND(AG372="Vigente",OR(AF372="",AF372="null",AF372&gt;TODAY())),"SI",IF(AND(NOT(OR(AF372="",AF372="null")),AF372&lt;=TODAY()),"NO",IF(AG372="Vigente","SI","DESCONOCIDO")))</f>
        <v>SI</v>
      </c>
      <c r="AP372" t="str">
        <f>IF(AND(ISNUMBER(SEARCH("IMPORTAR",AA372)),ISNUMBER(SEARCH("FABRICAR",AA372))),"MIXTO",IF(ISNUMBER(SEARCH("IMPORTAR",AA372)),"IMPORTADO",IF(ISNUMBER(SEARCH("FABRICAR",AA372)),"LOCAL","OTRO")))</f>
        <v>IMPORTADO</v>
      </c>
      <c r="AQ372" t="str">
        <f>IF(AD372="Si","SI",IF(AD372="No","NO",""))</f>
        <v>NO</v>
      </c>
      <c r="AR372" t="str">
        <f>IF(ISNUMBER(SEARCH("®",N372)),"MARCA/INNOVADOR","GENERICO")</f>
        <v>MARCA/INNOVADOR</v>
      </c>
      <c r="AS372">
        <f ca="1">IF(AE372&gt;100,RANDBETWEEN(500,5000),IF(AND(AE372&gt;=10,AE372&lt;=100),RANDBETWEEN(100,1000),RANDBETWEEN(10,200)))</f>
        <v>146</v>
      </c>
      <c r="AT372">
        <f t="shared" ca="1" si="27"/>
        <v>40</v>
      </c>
      <c r="AU372">
        <f ca="1">INT(AS372*RANDBETWEEN(120,200)/100)</f>
        <v>182</v>
      </c>
      <c r="AV372" s="2">
        <f ca="1">IF(LEFT(Y372,1)="L",RANDBETWEEN(500000,5000000),IF(LEFT(Y372,1)="C",RANDBETWEEN(5000,50000),IF(LEFT(Y372,1)="N",RANDBETWEEN(10000,150000),IF(LEFT(Y372,1)="J",RANDBETWEEN(8000,200000),RANDBETWEEN(5000,100000)))))</f>
        <v>86547</v>
      </c>
      <c r="AW372" s="2">
        <f ca="1">INT(AV372*RANDBETWEEN(30,60)/100)</f>
        <v>43273</v>
      </c>
      <c r="AX372">
        <f ca="1">IF(Z372="ORAL",RANDBETWEEN(1000,10000),IF(OR(Z372="INTRAVENOSA",Z372="INTRAMUSCULAR"),RANDBETWEEN(100,2000),IF(OR(Z372="OFTÁLMICA",Z372="TOPICA (EXTERNA)"),RANDBETWEEN(200,3000),RANDBETWEEN(100,1500))))</f>
        <v>2840</v>
      </c>
      <c r="AY372" s="2">
        <f ca="1">INT(AV372*RANDBETWEEN(90,130)/100)</f>
        <v>90874</v>
      </c>
      <c r="AZ372" t="str">
        <f t="shared" ca="1" si="28"/>
        <v>14.4%</v>
      </c>
      <c r="BA372" t="str">
        <f t="shared" ca="1" si="29"/>
        <v>MEDIO</v>
      </c>
    </row>
    <row r="373" spans="4:53" x14ac:dyDescent="0.35">
      <c r="D373" t="s">
        <v>2783</v>
      </c>
      <c r="E373" s="1">
        <v>41975</v>
      </c>
      <c r="F373" t="s">
        <v>2784</v>
      </c>
      <c r="G373" t="s">
        <v>108</v>
      </c>
      <c r="H373" t="s">
        <v>1329</v>
      </c>
      <c r="I373">
        <v>20061746</v>
      </c>
      <c r="J373" t="s">
        <v>28</v>
      </c>
      <c r="K373">
        <v>12</v>
      </c>
      <c r="L373" t="s">
        <v>27</v>
      </c>
      <c r="M373" t="s">
        <v>1326</v>
      </c>
      <c r="N373" t="s">
        <v>1327</v>
      </c>
      <c r="O373" t="s">
        <v>2785</v>
      </c>
      <c r="P373" t="s">
        <v>234</v>
      </c>
      <c r="Q373" s="1">
        <v>44488</v>
      </c>
      <c r="R373" t="s">
        <v>258</v>
      </c>
      <c r="S373" t="s">
        <v>27</v>
      </c>
      <c r="T373" t="s">
        <v>1329</v>
      </c>
      <c r="U373" t="s">
        <v>115</v>
      </c>
      <c r="V373" t="s">
        <v>64</v>
      </c>
      <c r="W373" t="s">
        <v>1117</v>
      </c>
      <c r="X373">
        <v>20061746</v>
      </c>
      <c r="Y373" t="s">
        <v>259</v>
      </c>
      <c r="Z373" t="s">
        <v>260</v>
      </c>
      <c r="AA373" t="s">
        <v>32</v>
      </c>
      <c r="AB373" t="s">
        <v>133</v>
      </c>
      <c r="AC373" t="s">
        <v>25</v>
      </c>
      <c r="AD373" t="s">
        <v>155</v>
      </c>
      <c r="AE373">
        <v>1</v>
      </c>
      <c r="AF373" s="1">
        <v>401769</v>
      </c>
      <c r="AG373" t="s">
        <v>26</v>
      </c>
      <c r="AH373" t="s">
        <v>6656</v>
      </c>
      <c r="AI373" t="str">
        <f t="shared" si="25"/>
        <v>NO</v>
      </c>
      <c r="AJ373" t="str">
        <f t="shared" si="26"/>
        <v>FRESENIUS KABI AB</v>
      </c>
      <c r="AK373" t="str">
        <f>IF(ISNUMBER(SEARCH("FABRICANTE",AC373)),"FABRICANTE",IF(ISNUMBER(SEARCH("IMPORTADOR",AC373)),"IMPORTADOR","OTRO"))</f>
        <v>FABRICANTE</v>
      </c>
      <c r="AL373" t="str">
        <f>IF(LEFT(Y373,1)="A","Sistema digestivo",IF(LEFT(Y373,1)="B","Sangre",IF(LEFT(Y373,1)="C","Cardiovascular",IF(LEFT(Y373,1)="D","Dermatológico",IF(LEFT(Y373,1)="G","Genitourinario",IF(LEFT(Y373,1)="H","Hormonal",IF(LEFT(Y373,1)="J","Antiinfecciosos",IF(LEFT(Y373,1)="L","Oncológicos",IF(LEFT(Y373,1)="M","Musculoesquelético",IF(LEFT(Y373,1)="N","Sistema nervioso",IF(LEFT(Y373,1)="R","Respiratorio",IF(LEFT(Y373,1)="S","Oftálmico",IF(LEFT(Y373,1)="V","Varios","OTRO")))))))))))))</f>
        <v>Sangre</v>
      </c>
      <c r="AM373" t="str">
        <f>IF(AG373="Vigente","ACTIVO",IF(ISNUMBER(SEARCH("Inactivo",J373)),"INACTIVO","REVISAR"))</f>
        <v>ACTIVO</v>
      </c>
      <c r="AN373">
        <f ca="1">IF(OR(AF373="",AF373="null"),"",ROUND((AF373-TODAY())/365.25,2))</f>
        <v>973.58</v>
      </c>
      <c r="AO373" t="str">
        <f ca="1">IF(AND(AG373="Vigente",OR(AF373="",AF373="null",AF373&gt;TODAY())),"SI",IF(AND(NOT(OR(AF373="",AF373="null")),AF373&lt;=TODAY()),"NO",IF(AG373="Vigente","SI","DESCONOCIDO")))</f>
        <v>SI</v>
      </c>
      <c r="AP373" t="str">
        <f>IF(AND(ISNUMBER(SEARCH("IMPORTAR",AA373)),ISNUMBER(SEARCH("FABRICAR",AA373))),"MIXTO",IF(ISNUMBER(SEARCH("IMPORTAR",AA373)),"IMPORTADO",IF(ISNUMBER(SEARCH("FABRICAR",AA373)),"LOCAL","OTRO")))</f>
        <v>IMPORTADO</v>
      </c>
      <c r="AQ373" t="str">
        <f>IF(AD373="Si","SI",IF(AD373="No","NO",""))</f>
        <v>SI</v>
      </c>
      <c r="AR373" t="str">
        <f>IF(ISNUMBER(SEARCH("®",N373)),"MARCA/INNOVADOR","GENERICO")</f>
        <v>MARCA/INNOVADOR</v>
      </c>
      <c r="AS373">
        <f ca="1">IF(AE373&gt;100,RANDBETWEEN(500,5000),IF(AND(AE373&gt;=10,AE373&lt;=100),RANDBETWEEN(100,1000),RANDBETWEEN(10,200)))</f>
        <v>49</v>
      </c>
      <c r="AT373">
        <f t="shared" ca="1" si="27"/>
        <v>7</v>
      </c>
      <c r="AU373">
        <f ca="1">INT(AS373*RANDBETWEEN(120,200)/100)</f>
        <v>94</v>
      </c>
      <c r="AV373" s="2">
        <f ca="1">IF(LEFT(Y373,1)="L",RANDBETWEEN(500000,5000000),IF(LEFT(Y373,1)="C",RANDBETWEEN(5000,50000),IF(LEFT(Y373,1)="N",RANDBETWEEN(10000,150000),IF(LEFT(Y373,1)="J",RANDBETWEEN(8000,200000),RANDBETWEEN(5000,100000)))))</f>
        <v>71183</v>
      </c>
      <c r="AW373" s="2">
        <f ca="1">INT(AV373*RANDBETWEEN(30,60)/100)</f>
        <v>22066</v>
      </c>
      <c r="AX373">
        <f ca="1">IF(Z373="ORAL",RANDBETWEEN(1000,10000),IF(OR(Z373="INTRAVENOSA",Z373="INTRAMUSCULAR"),RANDBETWEEN(100,2000),IF(OR(Z373="OFTÁLMICA",Z373="TOPICA (EXTERNA)"),RANDBETWEEN(200,3000),RANDBETWEEN(100,1500))))</f>
        <v>926</v>
      </c>
      <c r="AY373" s="2">
        <f ca="1">INT(AV373*RANDBETWEEN(90,130)/100)</f>
        <v>84707</v>
      </c>
      <c r="AZ373" t="str">
        <f t="shared" ca="1" si="28"/>
        <v>3.3%</v>
      </c>
      <c r="BA373" t="str">
        <f t="shared" ca="1" si="29"/>
        <v>BAJO</v>
      </c>
    </row>
    <row r="374" spans="4:53" x14ac:dyDescent="0.35">
      <c r="D374" t="s">
        <v>2786</v>
      </c>
      <c r="E374" s="1">
        <v>36770</v>
      </c>
      <c r="F374" t="s">
        <v>2787</v>
      </c>
      <c r="G374" t="s">
        <v>502</v>
      </c>
      <c r="H374" t="s">
        <v>2788</v>
      </c>
      <c r="I374">
        <v>40062</v>
      </c>
      <c r="J374" t="s">
        <v>28</v>
      </c>
      <c r="K374">
        <v>19</v>
      </c>
      <c r="L374" t="s">
        <v>27</v>
      </c>
      <c r="M374" t="s">
        <v>2789</v>
      </c>
      <c r="N374" t="s">
        <v>2790</v>
      </c>
      <c r="O374" t="s">
        <v>2791</v>
      </c>
      <c r="P374" t="s">
        <v>2792</v>
      </c>
      <c r="Q374" s="1">
        <v>43497</v>
      </c>
      <c r="R374" t="s">
        <v>375</v>
      </c>
      <c r="S374" t="s">
        <v>27</v>
      </c>
      <c r="T374" t="s">
        <v>2788</v>
      </c>
      <c r="U374" t="s">
        <v>2793</v>
      </c>
      <c r="V374" t="s">
        <v>2794</v>
      </c>
      <c r="W374">
        <v>50</v>
      </c>
      <c r="X374">
        <v>40062</v>
      </c>
      <c r="Y374" t="s">
        <v>2795</v>
      </c>
      <c r="Z374" t="s">
        <v>213</v>
      </c>
      <c r="AA374" t="s">
        <v>32</v>
      </c>
      <c r="AB374" t="s">
        <v>239</v>
      </c>
      <c r="AC374" t="s">
        <v>25</v>
      </c>
      <c r="AD374" t="s">
        <v>121</v>
      </c>
      <c r="AE374">
        <v>100</v>
      </c>
      <c r="AF374" s="1">
        <v>401769</v>
      </c>
      <c r="AG374" t="s">
        <v>26</v>
      </c>
      <c r="AH374" t="s">
        <v>133</v>
      </c>
      <c r="AI374" t="str">
        <f t="shared" si="25"/>
        <v>NO</v>
      </c>
      <c r="AJ374" t="str">
        <f t="shared" si="26"/>
        <v>INSTITUTO FINLAY DE VACUNAS</v>
      </c>
      <c r="AK374" t="str">
        <f>IF(ISNUMBER(SEARCH("FABRICANTE",AC374)),"FABRICANTE",IF(ISNUMBER(SEARCH("IMPORTADOR",AC374)),"IMPORTADOR","OTRO"))</f>
        <v>FABRICANTE</v>
      </c>
      <c r="AL374" t="str">
        <f>IF(LEFT(Y374,1)="A","Sistema digestivo",IF(LEFT(Y374,1)="B","Sangre",IF(LEFT(Y374,1)="C","Cardiovascular",IF(LEFT(Y374,1)="D","Dermatológico",IF(LEFT(Y374,1)="G","Genitourinario",IF(LEFT(Y374,1)="H","Hormonal",IF(LEFT(Y374,1)="J","Antiinfecciosos",IF(LEFT(Y374,1)="L","Oncológicos",IF(LEFT(Y374,1)="M","Musculoesquelético",IF(LEFT(Y374,1)="N","Sistema nervioso",IF(LEFT(Y374,1)="R","Respiratorio",IF(LEFT(Y374,1)="S","Oftálmico",IF(LEFT(Y374,1)="V","Varios","OTRO")))))))))))))</f>
        <v>Antiinfecciosos</v>
      </c>
      <c r="AM374" t="str">
        <f>IF(AG374="Vigente","ACTIVO",IF(ISNUMBER(SEARCH("Inactivo",J374)),"INACTIVO","REVISAR"))</f>
        <v>ACTIVO</v>
      </c>
      <c r="AN374">
        <f ca="1">IF(OR(AF374="",AF374="null"),"",ROUND((AF374-TODAY())/365.25,2))</f>
        <v>973.58</v>
      </c>
      <c r="AO374" t="str">
        <f ca="1">IF(AND(AG374="Vigente",OR(AF374="",AF374="null",AF374&gt;TODAY())),"SI",IF(AND(NOT(OR(AF374="",AF374="null")),AF374&lt;=TODAY()),"NO",IF(AG374="Vigente","SI","DESCONOCIDO")))</f>
        <v>SI</v>
      </c>
      <c r="AP374" t="str">
        <f>IF(AND(ISNUMBER(SEARCH("IMPORTAR",AA374)),ISNUMBER(SEARCH("FABRICAR",AA374))),"MIXTO",IF(ISNUMBER(SEARCH("IMPORTAR",AA374)),"IMPORTADO",IF(ISNUMBER(SEARCH("FABRICAR",AA374)),"LOCAL","OTRO")))</f>
        <v>IMPORTADO</v>
      </c>
      <c r="AQ374" t="str">
        <f>IF(AD374="Si","SI",IF(AD374="No","NO",""))</f>
        <v>NO</v>
      </c>
      <c r="AR374" t="str">
        <f>IF(ISNUMBER(SEARCH("®",N374)),"MARCA/INNOVADOR","GENERICO")</f>
        <v>MARCA/INNOVADOR</v>
      </c>
      <c r="AS374">
        <f ca="1">IF(AE374&gt;100,RANDBETWEEN(500,5000),IF(AND(AE374&gt;=10,AE374&lt;=100),RANDBETWEEN(100,1000),RANDBETWEEN(10,200)))</f>
        <v>951</v>
      </c>
      <c r="AT374">
        <f t="shared" ca="1" si="27"/>
        <v>275</v>
      </c>
      <c r="AU374">
        <f ca="1">INT(AS374*RANDBETWEEN(120,200)/100)</f>
        <v>1635</v>
      </c>
      <c r="AV374" s="2">
        <f ca="1">IF(LEFT(Y374,1)="L",RANDBETWEEN(500000,5000000),IF(LEFT(Y374,1)="C",RANDBETWEEN(5000,50000),IF(LEFT(Y374,1)="N",RANDBETWEEN(10000,150000),IF(LEFT(Y374,1)="J",RANDBETWEEN(8000,200000),RANDBETWEEN(5000,100000)))))</f>
        <v>181604</v>
      </c>
      <c r="AW374" s="2">
        <f ca="1">INT(AV374*RANDBETWEEN(30,60)/100)</f>
        <v>65377</v>
      </c>
      <c r="AX374">
        <f ca="1">IF(Z374="ORAL",RANDBETWEEN(1000,10000),IF(OR(Z374="INTRAVENOSA",Z374="INTRAMUSCULAR"),RANDBETWEEN(100,2000),IF(OR(Z374="OFTÁLMICA",Z374="TOPICA (EXTERNA)"),RANDBETWEEN(200,3000),RANDBETWEEN(100,1500))))</f>
        <v>1949</v>
      </c>
      <c r="AY374" s="2">
        <f ca="1">INT(AV374*RANDBETWEEN(90,130)/100)</f>
        <v>208844</v>
      </c>
      <c r="AZ374" t="str">
        <f t="shared" ca="1" si="28"/>
        <v>7.8%</v>
      </c>
      <c r="BA374" t="str">
        <f t="shared" ca="1" si="29"/>
        <v>BAJO</v>
      </c>
    </row>
    <row r="375" spans="4:53" x14ac:dyDescent="0.35">
      <c r="D375" t="s">
        <v>2796</v>
      </c>
      <c r="E375" s="1">
        <v>38237</v>
      </c>
      <c r="F375" t="s">
        <v>2797</v>
      </c>
      <c r="G375" t="s">
        <v>108</v>
      </c>
      <c r="H375" t="s">
        <v>158</v>
      </c>
      <c r="I375">
        <v>19943271</v>
      </c>
      <c r="J375" t="s">
        <v>110</v>
      </c>
      <c r="K375">
        <v>11</v>
      </c>
      <c r="L375" t="s">
        <v>27</v>
      </c>
      <c r="M375" t="s">
        <v>726</v>
      </c>
      <c r="N375" t="s">
        <v>727</v>
      </c>
      <c r="O375" t="s">
        <v>2798</v>
      </c>
      <c r="P375" t="s">
        <v>266</v>
      </c>
      <c r="Q375" s="1">
        <v>39031</v>
      </c>
      <c r="R375" t="s">
        <v>200</v>
      </c>
      <c r="S375" s="1">
        <v>40984</v>
      </c>
      <c r="T375" t="s">
        <v>80</v>
      </c>
      <c r="U375" t="s">
        <v>1394</v>
      </c>
      <c r="V375" t="s">
        <v>729</v>
      </c>
      <c r="W375">
        <v>25000</v>
      </c>
      <c r="X375">
        <v>19943271</v>
      </c>
      <c r="Y375" t="s">
        <v>730</v>
      </c>
      <c r="Z375" t="s">
        <v>119</v>
      </c>
      <c r="AA375" t="s">
        <v>24</v>
      </c>
      <c r="AB375" t="s">
        <v>120</v>
      </c>
      <c r="AC375" t="s">
        <v>25</v>
      </c>
      <c r="AD375" t="s">
        <v>121</v>
      </c>
      <c r="AE375">
        <v>120</v>
      </c>
      <c r="AF375" t="s">
        <v>27</v>
      </c>
      <c r="AG375" t="s">
        <v>26</v>
      </c>
      <c r="AH375" t="s">
        <v>120</v>
      </c>
      <c r="AI375" t="str">
        <f t="shared" si="25"/>
        <v>NO</v>
      </c>
      <c r="AJ375" t="str">
        <f t="shared" si="26"/>
        <v>TECNOQUIMICAS</v>
      </c>
      <c r="AK375" t="str">
        <f>IF(ISNUMBER(SEARCH("FABRICANTE",AC375)),"FABRICANTE",IF(ISNUMBER(SEARCH("IMPORTADOR",AC375)),"IMPORTADOR","OTRO"))</f>
        <v>FABRICANTE</v>
      </c>
      <c r="AL375" t="str">
        <f>IF(LEFT(Y375,1)="A","Sistema digestivo",IF(LEFT(Y375,1)="B","Sangre",IF(LEFT(Y375,1)="C","Cardiovascular",IF(LEFT(Y375,1)="D","Dermatológico",IF(LEFT(Y375,1)="G","Genitourinario",IF(LEFT(Y375,1)="H","Hormonal",IF(LEFT(Y375,1)="J","Antiinfecciosos",IF(LEFT(Y375,1)="L","Oncológicos",IF(LEFT(Y375,1)="M","Musculoesquelético",IF(LEFT(Y375,1)="N","Sistema nervioso",IF(LEFT(Y375,1)="R","Respiratorio",IF(LEFT(Y375,1)="S","Oftálmico",IF(LEFT(Y375,1)="V","Varios","OTRO")))))))))))))</f>
        <v>Sistema digestivo</v>
      </c>
      <c r="AM375" t="str">
        <f>IF(AG375="Vigente","ACTIVO",IF(ISNUMBER(SEARCH("Inactivo",J375)),"INACTIVO","REVISAR"))</f>
        <v>ACTIVO</v>
      </c>
      <c r="AN375" t="str">
        <f ca="1">IF(OR(AF375="",AF375="null"),"",ROUND((AF375-TODAY())/365.25,2))</f>
        <v/>
      </c>
      <c r="AO375" t="str">
        <f ca="1">IF(AND(AG375="Vigente",OR(AF375="",AF375="null",AF375&gt;TODAY())),"SI",IF(AND(NOT(OR(AF375="",AF375="null")),AF375&lt;=TODAY()),"NO",IF(AG375="Vigente","SI","DESCONOCIDO")))</f>
        <v>SI</v>
      </c>
      <c r="AP375" t="str">
        <f>IF(AND(ISNUMBER(SEARCH("IMPORTAR",AA375)),ISNUMBER(SEARCH("FABRICAR",AA375))),"MIXTO",IF(ISNUMBER(SEARCH("IMPORTAR",AA375)),"IMPORTADO",IF(ISNUMBER(SEARCH("FABRICAR",AA375)),"LOCAL","OTRO")))</f>
        <v>LOCAL</v>
      </c>
      <c r="AQ375" t="str">
        <f>IF(AD375="Si","SI",IF(AD375="No","NO",""))</f>
        <v>NO</v>
      </c>
      <c r="AR375" t="str">
        <f>IF(ISNUMBER(SEARCH("®",N375)),"MARCA/INNOVADOR","GENERICO")</f>
        <v>GENERICO</v>
      </c>
      <c r="AS375">
        <f ca="1">IF(AE375&gt;100,RANDBETWEEN(500,5000),IF(AND(AE375&gt;=10,AE375&lt;=100),RANDBETWEEN(100,1000),RANDBETWEEN(10,200)))</f>
        <v>4138</v>
      </c>
      <c r="AT375">
        <f t="shared" ca="1" si="27"/>
        <v>620</v>
      </c>
      <c r="AU375">
        <f ca="1">INT(AS375*RANDBETWEEN(120,200)/100)</f>
        <v>5420</v>
      </c>
      <c r="AV375" s="2">
        <f ca="1">IF(LEFT(Y375,1)="L",RANDBETWEEN(500000,5000000),IF(LEFT(Y375,1)="C",RANDBETWEEN(5000,50000),IF(LEFT(Y375,1)="N",RANDBETWEEN(10000,150000),IF(LEFT(Y375,1)="J",RANDBETWEEN(8000,200000),RANDBETWEEN(5000,100000)))))</f>
        <v>58076</v>
      </c>
      <c r="AW375" s="2">
        <f ca="1">INT(AV375*RANDBETWEEN(30,60)/100)</f>
        <v>23811</v>
      </c>
      <c r="AX375">
        <f ca="1">IF(Z375="ORAL",RANDBETWEEN(1000,10000),IF(OR(Z375="INTRAVENOSA",Z375="INTRAMUSCULAR"),RANDBETWEEN(100,2000),IF(OR(Z375="OFTÁLMICA",Z375="TOPICA (EXTERNA)"),RANDBETWEEN(200,3000),RANDBETWEEN(100,1500))))</f>
        <v>9759</v>
      </c>
      <c r="AY375" s="2">
        <f ca="1">INT(AV375*RANDBETWEEN(90,130)/100)</f>
        <v>75498</v>
      </c>
      <c r="AZ375" t="str">
        <f t="shared" ca="1" si="28"/>
        <v>6%</v>
      </c>
      <c r="BA375" t="str">
        <f t="shared" ca="1" si="29"/>
        <v>ALTO</v>
      </c>
    </row>
    <row r="376" spans="4:53" x14ac:dyDescent="0.35">
      <c r="D376" t="s">
        <v>2799</v>
      </c>
      <c r="E376" s="1">
        <v>37845</v>
      </c>
      <c r="F376" t="s">
        <v>2800</v>
      </c>
      <c r="G376" t="s">
        <v>108</v>
      </c>
      <c r="H376" t="s">
        <v>2801</v>
      </c>
      <c r="I376">
        <v>19937957</v>
      </c>
      <c r="J376" t="s">
        <v>110</v>
      </c>
      <c r="K376">
        <v>1</v>
      </c>
      <c r="L376" t="s">
        <v>27</v>
      </c>
      <c r="M376" t="s">
        <v>2802</v>
      </c>
      <c r="N376" t="s">
        <v>2803</v>
      </c>
      <c r="O376" t="s">
        <v>2804</v>
      </c>
      <c r="P376" t="s">
        <v>2805</v>
      </c>
      <c r="Q376" s="1">
        <v>39031</v>
      </c>
      <c r="R376" t="s">
        <v>151</v>
      </c>
      <c r="S376" s="1">
        <v>42999</v>
      </c>
      <c r="T376" t="s">
        <v>2806</v>
      </c>
      <c r="U376" t="s">
        <v>115</v>
      </c>
      <c r="V376" t="s">
        <v>152</v>
      </c>
      <c r="W376">
        <v>4</v>
      </c>
      <c r="X376">
        <v>19937957</v>
      </c>
      <c r="Y376" t="s">
        <v>153</v>
      </c>
      <c r="Z376" t="s">
        <v>1762</v>
      </c>
      <c r="AA376" t="s">
        <v>32</v>
      </c>
      <c r="AB376" t="s">
        <v>133</v>
      </c>
      <c r="AC376" t="s">
        <v>38</v>
      </c>
      <c r="AD376" t="s">
        <v>155</v>
      </c>
      <c r="AE376">
        <v>1</v>
      </c>
      <c r="AF376" t="s">
        <v>27</v>
      </c>
      <c r="AG376" t="s">
        <v>26</v>
      </c>
      <c r="AH376" t="s">
        <v>6657</v>
      </c>
      <c r="AI376" t="str">
        <f t="shared" si="25"/>
        <v>NO</v>
      </c>
      <c r="AJ376" t="str">
        <f t="shared" si="26"/>
        <v>ALCON LABORATORIES</v>
      </c>
      <c r="AK376" t="str">
        <f>IF(ISNUMBER(SEARCH("FABRICANTE",AC376)),"FABRICANTE",IF(ISNUMBER(SEARCH("IMPORTADOR",AC376)),"IMPORTADOR","OTRO"))</f>
        <v>IMPORTADOR</v>
      </c>
      <c r="AL376" t="str">
        <f>IF(LEFT(Y376,1)="A","Sistema digestivo",IF(LEFT(Y376,1)="B","Sangre",IF(LEFT(Y376,1)="C","Cardiovascular",IF(LEFT(Y376,1)="D","Dermatológico",IF(LEFT(Y376,1)="G","Genitourinario",IF(LEFT(Y376,1)="H","Hormonal",IF(LEFT(Y376,1)="J","Antiinfecciosos",IF(LEFT(Y376,1)="L","Oncológicos",IF(LEFT(Y376,1)="M","Musculoesquelético",IF(LEFT(Y376,1)="N","Sistema nervioso",IF(LEFT(Y376,1)="R","Respiratorio",IF(LEFT(Y376,1)="S","Oftálmico",IF(LEFT(Y376,1)="V","Varios","OTRO")))))))))))))</f>
        <v>Oftálmico</v>
      </c>
      <c r="AM376" t="str">
        <f>IF(AG376="Vigente","ACTIVO",IF(ISNUMBER(SEARCH("Inactivo",J376)),"INACTIVO","REVISAR"))</f>
        <v>ACTIVO</v>
      </c>
      <c r="AN376" t="str">
        <f ca="1">IF(OR(AF376="",AF376="null"),"",ROUND((AF376-TODAY())/365.25,2))</f>
        <v/>
      </c>
      <c r="AO376" t="str">
        <f ca="1">IF(AND(AG376="Vigente",OR(AF376="",AF376="null",AF376&gt;TODAY())),"SI",IF(AND(NOT(OR(AF376="",AF376="null")),AF376&lt;=TODAY()),"NO",IF(AG376="Vigente","SI","DESCONOCIDO")))</f>
        <v>SI</v>
      </c>
      <c r="AP376" t="str">
        <f>IF(AND(ISNUMBER(SEARCH("IMPORTAR",AA376)),ISNUMBER(SEARCH("FABRICAR",AA376))),"MIXTO",IF(ISNUMBER(SEARCH("IMPORTAR",AA376)),"IMPORTADO",IF(ISNUMBER(SEARCH("FABRICAR",AA376)),"LOCAL","OTRO")))</f>
        <v>IMPORTADO</v>
      </c>
      <c r="AQ376" t="str">
        <f>IF(AD376="Si","SI",IF(AD376="No","NO",""))</f>
        <v>SI</v>
      </c>
      <c r="AR376" t="str">
        <f>IF(ISNUMBER(SEARCH("®",N376)),"MARCA/INNOVADOR","GENERICO")</f>
        <v>GENERICO</v>
      </c>
      <c r="AS376">
        <f ca="1">IF(AE376&gt;100,RANDBETWEEN(500,5000),IF(AND(AE376&gt;=10,AE376&lt;=100),RANDBETWEEN(100,1000),RANDBETWEEN(10,200)))</f>
        <v>147</v>
      </c>
      <c r="AT376">
        <f t="shared" ca="1" si="27"/>
        <v>26</v>
      </c>
      <c r="AU376">
        <f ca="1">INT(AS376*RANDBETWEEN(120,200)/100)</f>
        <v>211</v>
      </c>
      <c r="AV376" s="2">
        <f ca="1">IF(LEFT(Y376,1)="L",RANDBETWEEN(500000,5000000),IF(LEFT(Y376,1)="C",RANDBETWEEN(5000,50000),IF(LEFT(Y376,1)="N",RANDBETWEEN(10000,150000),IF(LEFT(Y376,1)="J",RANDBETWEEN(8000,200000),RANDBETWEEN(5000,100000)))))</f>
        <v>94520</v>
      </c>
      <c r="AW376" s="2">
        <f ca="1">INT(AV376*RANDBETWEEN(30,60)/100)</f>
        <v>54821</v>
      </c>
      <c r="AX376">
        <f ca="1">IF(Z376="ORAL",RANDBETWEEN(1000,10000),IF(OR(Z376="INTRAVENOSA",Z376="INTRAMUSCULAR"),RANDBETWEEN(100,2000),IF(OR(Z376="OFTÁLMICA",Z376="TOPICA (EXTERNA)"),RANDBETWEEN(200,3000),RANDBETWEEN(100,1500))))</f>
        <v>892</v>
      </c>
      <c r="AY376" s="2">
        <f ca="1">INT(AV376*RANDBETWEEN(90,130)/100)</f>
        <v>102081</v>
      </c>
      <c r="AZ376" t="str">
        <f t="shared" ca="1" si="28"/>
        <v>6.2%</v>
      </c>
      <c r="BA376" t="str">
        <f t="shared" ca="1" si="29"/>
        <v>ALTO</v>
      </c>
    </row>
    <row r="377" spans="4:53" x14ac:dyDescent="0.35">
      <c r="D377" t="s">
        <v>2807</v>
      </c>
      <c r="E377" s="1">
        <v>42065</v>
      </c>
      <c r="F377" t="s">
        <v>2808</v>
      </c>
      <c r="G377" t="s">
        <v>108</v>
      </c>
      <c r="H377" t="s">
        <v>1329</v>
      </c>
      <c r="I377">
        <v>20061748</v>
      </c>
      <c r="J377" t="s">
        <v>28</v>
      </c>
      <c r="K377">
        <v>7</v>
      </c>
      <c r="L377" t="s">
        <v>27</v>
      </c>
      <c r="M377" t="s">
        <v>2235</v>
      </c>
      <c r="N377" t="s">
        <v>2236</v>
      </c>
      <c r="O377" t="s">
        <v>2809</v>
      </c>
      <c r="P377" t="s">
        <v>2238</v>
      </c>
      <c r="Q377" s="1">
        <v>43307</v>
      </c>
      <c r="R377" t="s">
        <v>258</v>
      </c>
      <c r="S377" s="1">
        <v>44105</v>
      </c>
      <c r="T377" t="s">
        <v>1329</v>
      </c>
      <c r="U377" t="s">
        <v>247</v>
      </c>
      <c r="V377" t="s">
        <v>64</v>
      </c>
      <c r="W377" t="s">
        <v>2702</v>
      </c>
      <c r="X377">
        <v>20061748</v>
      </c>
      <c r="Y377" t="s">
        <v>259</v>
      </c>
      <c r="Z377" t="s">
        <v>2240</v>
      </c>
      <c r="AA377" t="s">
        <v>32</v>
      </c>
      <c r="AB377" t="s">
        <v>133</v>
      </c>
      <c r="AC377" t="s">
        <v>25</v>
      </c>
      <c r="AD377" t="s">
        <v>155</v>
      </c>
      <c r="AE377">
        <v>1</v>
      </c>
      <c r="AF377" s="1">
        <v>401769</v>
      </c>
      <c r="AG377" t="s">
        <v>26</v>
      </c>
      <c r="AH377" t="s">
        <v>6658</v>
      </c>
      <c r="AI377" t="str">
        <f t="shared" si="25"/>
        <v>NO</v>
      </c>
      <c r="AJ377" t="str">
        <f t="shared" si="26"/>
        <v>FRESENIUS KABI AB</v>
      </c>
      <c r="AK377" t="str">
        <f>IF(ISNUMBER(SEARCH("FABRICANTE",AC377)),"FABRICANTE",IF(ISNUMBER(SEARCH("IMPORTADOR",AC377)),"IMPORTADOR","OTRO"))</f>
        <v>FABRICANTE</v>
      </c>
      <c r="AL377" t="str">
        <f>IF(LEFT(Y377,1)="A","Sistema digestivo",IF(LEFT(Y377,1)="B","Sangre",IF(LEFT(Y377,1)="C","Cardiovascular",IF(LEFT(Y377,1)="D","Dermatológico",IF(LEFT(Y377,1)="G","Genitourinario",IF(LEFT(Y377,1)="H","Hormonal",IF(LEFT(Y377,1)="J","Antiinfecciosos",IF(LEFT(Y377,1)="L","Oncológicos",IF(LEFT(Y377,1)="M","Musculoesquelético",IF(LEFT(Y377,1)="N","Sistema nervioso",IF(LEFT(Y377,1)="R","Respiratorio",IF(LEFT(Y377,1)="S","Oftálmico",IF(LEFT(Y377,1)="V","Varios","OTRO")))))))))))))</f>
        <v>Sangre</v>
      </c>
      <c r="AM377" t="str">
        <f>IF(AG377="Vigente","ACTIVO",IF(ISNUMBER(SEARCH("Inactivo",J377)),"INACTIVO","REVISAR"))</f>
        <v>ACTIVO</v>
      </c>
      <c r="AN377">
        <f ca="1">IF(OR(AF377="",AF377="null"),"",ROUND((AF377-TODAY())/365.25,2))</f>
        <v>973.58</v>
      </c>
      <c r="AO377" t="str">
        <f ca="1">IF(AND(AG377="Vigente",OR(AF377="",AF377="null",AF377&gt;TODAY())),"SI",IF(AND(NOT(OR(AF377="",AF377="null")),AF377&lt;=TODAY()),"NO",IF(AG377="Vigente","SI","DESCONOCIDO")))</f>
        <v>SI</v>
      </c>
      <c r="AP377" t="str">
        <f>IF(AND(ISNUMBER(SEARCH("IMPORTAR",AA377)),ISNUMBER(SEARCH("FABRICAR",AA377))),"MIXTO",IF(ISNUMBER(SEARCH("IMPORTAR",AA377)),"IMPORTADO",IF(ISNUMBER(SEARCH("FABRICAR",AA377)),"LOCAL","OTRO")))</f>
        <v>IMPORTADO</v>
      </c>
      <c r="AQ377" t="str">
        <f>IF(AD377="Si","SI",IF(AD377="No","NO",""))</f>
        <v>SI</v>
      </c>
      <c r="AR377" t="str">
        <f>IF(ISNUMBER(SEARCH("®",N377)),"MARCA/INNOVADOR","GENERICO")</f>
        <v>MARCA/INNOVADOR</v>
      </c>
      <c r="AS377">
        <f ca="1">IF(AE377&gt;100,RANDBETWEEN(500,5000),IF(AND(AE377&gt;=10,AE377&lt;=100),RANDBETWEEN(100,1000),RANDBETWEEN(10,200)))</f>
        <v>84</v>
      </c>
      <c r="AT377">
        <f t="shared" ca="1" si="27"/>
        <v>12</v>
      </c>
      <c r="AU377">
        <f ca="1">INT(AS377*RANDBETWEEN(120,200)/100)</f>
        <v>108</v>
      </c>
      <c r="AV377" s="2">
        <f ca="1">IF(LEFT(Y377,1)="L",RANDBETWEEN(500000,5000000),IF(LEFT(Y377,1)="C",RANDBETWEEN(5000,50000),IF(LEFT(Y377,1)="N",RANDBETWEEN(10000,150000),IF(LEFT(Y377,1)="J",RANDBETWEEN(8000,200000),RANDBETWEEN(5000,100000)))))</f>
        <v>94806</v>
      </c>
      <c r="AW377" s="2">
        <f ca="1">INT(AV377*RANDBETWEEN(30,60)/100)</f>
        <v>55935</v>
      </c>
      <c r="AX377">
        <f ca="1">IF(Z377="ORAL",RANDBETWEEN(1000,10000),IF(OR(Z377="INTRAVENOSA",Z377="INTRAMUSCULAR"),RANDBETWEEN(100,2000),IF(OR(Z377="OFTÁLMICA",Z377="TOPICA (EXTERNA)"),RANDBETWEEN(200,3000),RANDBETWEEN(100,1500))))</f>
        <v>163</v>
      </c>
      <c r="AY377" s="2">
        <f ca="1">INT(AV377*RANDBETWEEN(90,130)/100)</f>
        <v>101442</v>
      </c>
      <c r="AZ377" t="str">
        <f t="shared" ca="1" si="28"/>
        <v>7.4%</v>
      </c>
      <c r="BA377" t="str">
        <f t="shared" ca="1" si="29"/>
        <v>BAJO</v>
      </c>
    </row>
    <row r="378" spans="4:53" x14ac:dyDescent="0.35">
      <c r="D378" t="s">
        <v>2810</v>
      </c>
      <c r="E378" s="1">
        <v>36046</v>
      </c>
      <c r="F378" t="s">
        <v>2811</v>
      </c>
      <c r="G378" t="s">
        <v>247</v>
      </c>
      <c r="H378" t="s">
        <v>2812</v>
      </c>
      <c r="I378">
        <v>26775</v>
      </c>
      <c r="J378" t="s">
        <v>28</v>
      </c>
      <c r="K378">
        <v>2</v>
      </c>
      <c r="L378" t="s">
        <v>27</v>
      </c>
      <c r="M378" t="s">
        <v>2813</v>
      </c>
      <c r="N378" t="s">
        <v>2814</v>
      </c>
      <c r="O378" t="s">
        <v>2815</v>
      </c>
      <c r="P378" t="s">
        <v>2816</v>
      </c>
      <c r="Q378" s="1">
        <v>40568</v>
      </c>
      <c r="R378" t="s">
        <v>43</v>
      </c>
      <c r="S378" t="s">
        <v>27</v>
      </c>
      <c r="T378" t="s">
        <v>2812</v>
      </c>
      <c r="U378" t="s">
        <v>247</v>
      </c>
      <c r="V378" t="s">
        <v>2817</v>
      </c>
      <c r="W378" t="s">
        <v>2818</v>
      </c>
      <c r="X378">
        <v>26775</v>
      </c>
      <c r="Y378" t="s">
        <v>2819</v>
      </c>
      <c r="Z378" t="s">
        <v>566</v>
      </c>
      <c r="AA378" t="s">
        <v>24</v>
      </c>
      <c r="AB378" t="s">
        <v>653</v>
      </c>
      <c r="AC378" t="s">
        <v>25</v>
      </c>
      <c r="AD378" t="s">
        <v>155</v>
      </c>
      <c r="AE378">
        <v>10</v>
      </c>
      <c r="AF378" s="1">
        <v>402133</v>
      </c>
      <c r="AG378" t="s">
        <v>26</v>
      </c>
      <c r="AH378" t="s">
        <v>2811</v>
      </c>
      <c r="AI378" t="str">
        <f t="shared" si="25"/>
        <v>NO</v>
      </c>
      <c r="AJ378" t="str">
        <f t="shared" si="26"/>
        <v>FARMACOL CHINOIN.</v>
      </c>
      <c r="AK378" t="str">
        <f>IF(ISNUMBER(SEARCH("FABRICANTE",AC378)),"FABRICANTE",IF(ISNUMBER(SEARCH("IMPORTADOR",AC378)),"IMPORTADOR","OTRO"))</f>
        <v>FABRICANTE</v>
      </c>
      <c r="AL378" t="str">
        <f>IF(LEFT(Y378,1)="A","Sistema digestivo",IF(LEFT(Y378,1)="B","Sangre",IF(LEFT(Y378,1)="C","Cardiovascular",IF(LEFT(Y378,1)="D","Dermatológico",IF(LEFT(Y378,1)="G","Genitourinario",IF(LEFT(Y378,1)="H","Hormonal",IF(LEFT(Y378,1)="J","Antiinfecciosos",IF(LEFT(Y378,1)="L","Oncológicos",IF(LEFT(Y378,1)="M","Musculoesquelético",IF(LEFT(Y378,1)="N","Sistema nervioso",IF(LEFT(Y378,1)="R","Respiratorio",IF(LEFT(Y378,1)="S","Oftálmico",IF(LEFT(Y378,1)="V","Varios","OTRO")))))))))))))</f>
        <v>Cardiovascular</v>
      </c>
      <c r="AM378" t="str">
        <f>IF(AG378="Vigente","ACTIVO",IF(ISNUMBER(SEARCH("Inactivo",J378)),"INACTIVO","REVISAR"))</f>
        <v>ACTIVO</v>
      </c>
      <c r="AN378">
        <f ca="1">IF(OR(AF378="",AF378="null"),"",ROUND((AF378-TODAY())/365.25,2))</f>
        <v>974.58</v>
      </c>
      <c r="AO378" t="str">
        <f ca="1">IF(AND(AG378="Vigente",OR(AF378="",AF378="null",AF378&gt;TODAY())),"SI",IF(AND(NOT(OR(AF378="",AF378="null")),AF378&lt;=TODAY()),"NO",IF(AG378="Vigente","SI","DESCONOCIDO")))</f>
        <v>SI</v>
      </c>
      <c r="AP378" t="str">
        <f>IF(AND(ISNUMBER(SEARCH("IMPORTAR",AA378)),ISNUMBER(SEARCH("FABRICAR",AA378))),"MIXTO",IF(ISNUMBER(SEARCH("IMPORTAR",AA378)),"IMPORTADO",IF(ISNUMBER(SEARCH("FABRICAR",AA378)),"LOCAL","OTRO")))</f>
        <v>LOCAL</v>
      </c>
      <c r="AQ378" t="str">
        <f>IF(AD378="Si","SI",IF(AD378="No","NO",""))</f>
        <v>SI</v>
      </c>
      <c r="AR378" t="str">
        <f>IF(ISNUMBER(SEARCH("®",N378)),"MARCA/INNOVADOR","GENERICO")</f>
        <v>GENERICO</v>
      </c>
      <c r="AS378">
        <f ca="1">IF(AE378&gt;100,RANDBETWEEN(500,5000),IF(AND(AE378&gt;=10,AE378&lt;=100),RANDBETWEEN(100,1000),RANDBETWEEN(10,200)))</f>
        <v>199</v>
      </c>
      <c r="AT378">
        <f t="shared" ca="1" si="27"/>
        <v>35</v>
      </c>
      <c r="AU378">
        <f ca="1">INT(AS378*RANDBETWEEN(120,200)/100)</f>
        <v>318</v>
      </c>
      <c r="AV378" s="2">
        <f ca="1">IF(LEFT(Y378,1)="L",RANDBETWEEN(500000,5000000),IF(LEFT(Y378,1)="C",RANDBETWEEN(5000,50000),IF(LEFT(Y378,1)="N",RANDBETWEEN(10000,150000),IF(LEFT(Y378,1)="J",RANDBETWEEN(8000,200000),RANDBETWEEN(5000,100000)))))</f>
        <v>5117</v>
      </c>
      <c r="AW378" s="2">
        <f ca="1">INT(AV378*RANDBETWEEN(30,60)/100)</f>
        <v>1790</v>
      </c>
      <c r="AX378">
        <f ca="1">IF(Z378="ORAL",RANDBETWEEN(1000,10000),IF(OR(Z378="INTRAVENOSA",Z378="INTRAMUSCULAR"),RANDBETWEEN(100,2000),IF(OR(Z378="OFTÁLMICA",Z378="TOPICA (EXTERNA)"),RANDBETWEEN(200,3000),RANDBETWEEN(100,1500))))</f>
        <v>2199</v>
      </c>
      <c r="AY378" s="2">
        <f ca="1">INT(AV378*RANDBETWEEN(90,130)/100)</f>
        <v>6396</v>
      </c>
      <c r="AZ378" t="str">
        <f t="shared" ca="1" si="28"/>
        <v>9.6%</v>
      </c>
      <c r="BA378" t="str">
        <f t="shared" ca="1" si="29"/>
        <v>BAJO</v>
      </c>
    </row>
    <row r="379" spans="4:53" x14ac:dyDescent="0.35">
      <c r="D379" t="s">
        <v>2820</v>
      </c>
      <c r="E379" s="1">
        <v>42262</v>
      </c>
      <c r="F379" t="s">
        <v>2821</v>
      </c>
      <c r="G379" t="s">
        <v>108</v>
      </c>
      <c r="H379" t="s">
        <v>2822</v>
      </c>
      <c r="I379">
        <v>20087664</v>
      </c>
      <c r="J379" t="s">
        <v>28</v>
      </c>
      <c r="K379">
        <v>2</v>
      </c>
      <c r="L379" t="s">
        <v>2823</v>
      </c>
      <c r="M379" t="s">
        <v>2824</v>
      </c>
      <c r="N379" t="s">
        <v>2825</v>
      </c>
      <c r="O379" t="s">
        <v>2826</v>
      </c>
      <c r="P379" t="s">
        <v>1195</v>
      </c>
      <c r="Q379" s="1">
        <v>43011</v>
      </c>
      <c r="R379" t="s">
        <v>211</v>
      </c>
      <c r="S379" t="s">
        <v>27</v>
      </c>
      <c r="T379" t="s">
        <v>2822</v>
      </c>
      <c r="U379" t="s">
        <v>115</v>
      </c>
      <c r="V379" t="s">
        <v>2827</v>
      </c>
      <c r="W379">
        <v>1000</v>
      </c>
      <c r="X379">
        <v>20087664</v>
      </c>
      <c r="Y379" t="s">
        <v>2828</v>
      </c>
      <c r="Z379" t="s">
        <v>260</v>
      </c>
      <c r="AA379" t="s">
        <v>32</v>
      </c>
      <c r="AB379" t="s">
        <v>120</v>
      </c>
      <c r="AC379" t="s">
        <v>25</v>
      </c>
      <c r="AD379" t="s">
        <v>121</v>
      </c>
      <c r="AE379">
        <v>1</v>
      </c>
      <c r="AF379" t="s">
        <v>27</v>
      </c>
      <c r="AG379" t="s">
        <v>26</v>
      </c>
      <c r="AH379" t="s">
        <v>2827</v>
      </c>
      <c r="AI379" t="str">
        <f t="shared" si="25"/>
        <v>NO</v>
      </c>
      <c r="AJ379" t="str">
        <f t="shared" si="26"/>
        <v>EUGIA PHARMA SPECIALITIES</v>
      </c>
      <c r="AK379" t="str">
        <f>IF(ISNUMBER(SEARCH("FABRICANTE",AC379)),"FABRICANTE",IF(ISNUMBER(SEARCH("IMPORTADOR",AC379)),"IMPORTADOR","OTRO"))</f>
        <v>FABRICANTE</v>
      </c>
      <c r="AL379" t="str">
        <f>IF(LEFT(Y379,1)="A","Sistema digestivo",IF(LEFT(Y379,1)="B","Sangre",IF(LEFT(Y379,1)="C","Cardiovascular",IF(LEFT(Y379,1)="D","Dermatológico",IF(LEFT(Y379,1)="G","Genitourinario",IF(LEFT(Y379,1)="H","Hormonal",IF(LEFT(Y379,1)="J","Antiinfecciosos",IF(LEFT(Y379,1)="L","Oncológicos",IF(LEFT(Y379,1)="M","Musculoesquelético",IF(LEFT(Y379,1)="N","Sistema nervioso",IF(LEFT(Y379,1)="R","Respiratorio",IF(LEFT(Y379,1)="S","Oftálmico",IF(LEFT(Y379,1)="V","Varios","OTRO")))))))))))))</f>
        <v>Antiinfecciosos</v>
      </c>
      <c r="AM379" t="str">
        <f>IF(AG379="Vigente","ACTIVO",IF(ISNUMBER(SEARCH("Inactivo",J379)),"INACTIVO","REVISAR"))</f>
        <v>ACTIVO</v>
      </c>
      <c r="AN379" t="str">
        <f ca="1">IF(OR(AF379="",AF379="null"),"",ROUND((AF379-TODAY())/365.25,2))</f>
        <v/>
      </c>
      <c r="AO379" t="str">
        <f ca="1">IF(AND(AG379="Vigente",OR(AF379="",AF379="null",AF379&gt;TODAY())),"SI",IF(AND(NOT(OR(AF379="",AF379="null")),AF379&lt;=TODAY()),"NO",IF(AG379="Vigente","SI","DESCONOCIDO")))</f>
        <v>SI</v>
      </c>
      <c r="AP379" t="str">
        <f>IF(AND(ISNUMBER(SEARCH("IMPORTAR",AA379)),ISNUMBER(SEARCH("FABRICAR",AA379))),"MIXTO",IF(ISNUMBER(SEARCH("IMPORTAR",AA379)),"IMPORTADO",IF(ISNUMBER(SEARCH("FABRICAR",AA379)),"LOCAL","OTRO")))</f>
        <v>IMPORTADO</v>
      </c>
      <c r="AQ379" t="str">
        <f>IF(AD379="Si","SI",IF(AD379="No","NO",""))</f>
        <v>NO</v>
      </c>
      <c r="AR379" t="str">
        <f>IF(ISNUMBER(SEARCH("®",N379)),"MARCA/INNOVADOR","GENERICO")</f>
        <v>MARCA/INNOVADOR</v>
      </c>
      <c r="AS379">
        <f ca="1">IF(AE379&gt;100,RANDBETWEEN(500,5000),IF(AND(AE379&gt;=10,AE379&lt;=100),RANDBETWEEN(100,1000),RANDBETWEEN(10,200)))</f>
        <v>12</v>
      </c>
      <c r="AT379">
        <f t="shared" ca="1" si="27"/>
        <v>1</v>
      </c>
      <c r="AU379">
        <f ca="1">INT(AS379*RANDBETWEEN(120,200)/100)</f>
        <v>15</v>
      </c>
      <c r="AV379" s="2">
        <f ca="1">IF(LEFT(Y379,1)="L",RANDBETWEEN(500000,5000000),IF(LEFT(Y379,1)="C",RANDBETWEEN(5000,50000),IF(LEFT(Y379,1)="N",RANDBETWEEN(10000,150000),IF(LEFT(Y379,1)="J",RANDBETWEEN(8000,200000),RANDBETWEEN(5000,100000)))))</f>
        <v>113719</v>
      </c>
      <c r="AW379" s="2">
        <f ca="1">INT(AV379*RANDBETWEEN(30,60)/100)</f>
        <v>59133</v>
      </c>
      <c r="AX379">
        <f ca="1">IF(Z379="ORAL",RANDBETWEEN(1000,10000),IF(OR(Z379="INTRAVENOSA",Z379="INTRAMUSCULAR"),RANDBETWEEN(100,2000),IF(OR(Z379="OFTÁLMICA",Z379="TOPICA (EXTERNA)"),RANDBETWEEN(200,3000),RANDBETWEEN(100,1500))))</f>
        <v>1141</v>
      </c>
      <c r="AY379" s="2">
        <f ca="1">INT(AV379*RANDBETWEEN(90,130)/100)</f>
        <v>120542</v>
      </c>
      <c r="AZ379" t="str">
        <f t="shared" ca="1" si="28"/>
        <v>1.4%</v>
      </c>
      <c r="BA379" t="str">
        <f t="shared" ca="1" si="29"/>
        <v>BAJO</v>
      </c>
    </row>
    <row r="380" spans="4:53" x14ac:dyDescent="0.35">
      <c r="D380" t="s">
        <v>2829</v>
      </c>
      <c r="E380" s="1">
        <v>43091</v>
      </c>
      <c r="F380" t="s">
        <v>2830</v>
      </c>
      <c r="G380" t="s">
        <v>108</v>
      </c>
      <c r="H380" t="s">
        <v>454</v>
      </c>
      <c r="I380">
        <v>20127891</v>
      </c>
      <c r="J380" t="s">
        <v>28</v>
      </c>
      <c r="K380">
        <v>131</v>
      </c>
      <c r="L380" t="s">
        <v>27</v>
      </c>
      <c r="M380" t="s">
        <v>2831</v>
      </c>
      <c r="N380" t="s">
        <v>2832</v>
      </c>
      <c r="O380" t="s">
        <v>2833</v>
      </c>
      <c r="P380" t="s">
        <v>2834</v>
      </c>
      <c r="Q380" s="1">
        <v>44729</v>
      </c>
      <c r="R380" t="s">
        <v>527</v>
      </c>
      <c r="S380" t="s">
        <v>27</v>
      </c>
      <c r="T380" t="s">
        <v>1784</v>
      </c>
      <c r="U380" t="s">
        <v>115</v>
      </c>
      <c r="V380" t="s">
        <v>933</v>
      </c>
      <c r="W380">
        <v>500</v>
      </c>
      <c r="X380">
        <v>20127891</v>
      </c>
      <c r="Y380" t="s">
        <v>934</v>
      </c>
      <c r="Z380" t="s">
        <v>119</v>
      </c>
      <c r="AA380" t="s">
        <v>24</v>
      </c>
      <c r="AB380" t="s">
        <v>120</v>
      </c>
      <c r="AC380" t="s">
        <v>25</v>
      </c>
      <c r="AD380" t="s">
        <v>155</v>
      </c>
      <c r="AE380">
        <v>10</v>
      </c>
      <c r="AF380" t="s">
        <v>27</v>
      </c>
      <c r="AG380" t="s">
        <v>26</v>
      </c>
      <c r="AH380" t="s">
        <v>6741</v>
      </c>
      <c r="AI380" t="str">
        <f t="shared" si="25"/>
        <v>NO</v>
      </c>
      <c r="AJ380" t="str">
        <f t="shared" si="26"/>
        <v>COLMED</v>
      </c>
      <c r="AK380" t="str">
        <f>IF(ISNUMBER(SEARCH("FABRICANTE",AC380)),"FABRICANTE",IF(ISNUMBER(SEARCH("IMPORTADOR",AC380)),"IMPORTADOR","OTRO"))</f>
        <v>FABRICANTE</v>
      </c>
      <c r="AL380" t="str">
        <f>IF(LEFT(Y380,1)="A","Sistema digestivo",IF(LEFT(Y380,1)="B","Sangre",IF(LEFT(Y380,1)="C","Cardiovascular",IF(LEFT(Y380,1)="D","Dermatológico",IF(LEFT(Y380,1)="G","Genitourinario",IF(LEFT(Y380,1)="H","Hormonal",IF(LEFT(Y380,1)="J","Antiinfecciosos",IF(LEFT(Y380,1)="L","Oncológicos",IF(LEFT(Y380,1)="M","Musculoesquelético",IF(LEFT(Y380,1)="N","Sistema nervioso",IF(LEFT(Y380,1)="R","Respiratorio",IF(LEFT(Y380,1)="S","Oftálmico",IF(LEFT(Y380,1)="V","Varios","OTRO")))))))))))))</f>
        <v>Sistema digestivo</v>
      </c>
      <c r="AM380" t="str">
        <f>IF(AG380="Vigente","ACTIVO",IF(ISNUMBER(SEARCH("Inactivo",J380)),"INACTIVO","REVISAR"))</f>
        <v>ACTIVO</v>
      </c>
      <c r="AN380" t="str">
        <f ca="1">IF(OR(AF380="",AF380="null"),"",ROUND((AF380-TODAY())/365.25,2))</f>
        <v/>
      </c>
      <c r="AO380" t="str">
        <f ca="1">IF(AND(AG380="Vigente",OR(AF380="",AF380="null",AF380&gt;TODAY())),"SI",IF(AND(NOT(OR(AF380="",AF380="null")),AF380&lt;=TODAY()),"NO",IF(AG380="Vigente","SI","DESCONOCIDO")))</f>
        <v>SI</v>
      </c>
      <c r="AP380" t="str">
        <f>IF(AND(ISNUMBER(SEARCH("IMPORTAR",AA380)),ISNUMBER(SEARCH("FABRICAR",AA380))),"MIXTO",IF(ISNUMBER(SEARCH("IMPORTAR",AA380)),"IMPORTADO",IF(ISNUMBER(SEARCH("FABRICAR",AA380)),"LOCAL","OTRO")))</f>
        <v>LOCAL</v>
      </c>
      <c r="AQ380" t="str">
        <f>IF(AD380="Si","SI",IF(AD380="No","NO",""))</f>
        <v>SI</v>
      </c>
      <c r="AR380" t="str">
        <f>IF(ISNUMBER(SEARCH("®",N380)),"MARCA/INNOVADOR","GENERICO")</f>
        <v>GENERICO</v>
      </c>
      <c r="AS380">
        <f ca="1">IF(AE380&gt;100,RANDBETWEEN(500,5000),IF(AND(AE380&gt;=10,AE380&lt;=100),RANDBETWEEN(100,1000),RANDBETWEEN(10,200)))</f>
        <v>311</v>
      </c>
      <c r="AT380">
        <f t="shared" ca="1" si="27"/>
        <v>74</v>
      </c>
      <c r="AU380">
        <f ca="1">INT(AS380*RANDBETWEEN(120,200)/100)</f>
        <v>578</v>
      </c>
      <c r="AV380" s="2">
        <f ca="1">IF(LEFT(Y380,1)="L",RANDBETWEEN(500000,5000000),IF(LEFT(Y380,1)="C",RANDBETWEEN(5000,50000),IF(LEFT(Y380,1)="N",RANDBETWEEN(10000,150000),IF(LEFT(Y380,1)="J",RANDBETWEEN(8000,200000),RANDBETWEEN(5000,100000)))))</f>
        <v>40129</v>
      </c>
      <c r="AW380" s="2">
        <f ca="1">INT(AV380*RANDBETWEEN(30,60)/100)</f>
        <v>12439</v>
      </c>
      <c r="AX380">
        <f ca="1">IF(Z380="ORAL",RANDBETWEEN(1000,10000),IF(OR(Z380="INTRAVENOSA",Z380="INTRAMUSCULAR"),RANDBETWEEN(100,2000),IF(OR(Z380="OFTÁLMICA",Z380="TOPICA (EXTERNA)"),RANDBETWEEN(200,3000),RANDBETWEEN(100,1500))))</f>
        <v>5460</v>
      </c>
      <c r="AY380" s="2">
        <f ca="1">INT(AV380*RANDBETWEEN(90,130)/100)</f>
        <v>40931</v>
      </c>
      <c r="AZ380" t="str">
        <f t="shared" ca="1" si="28"/>
        <v>18.5%</v>
      </c>
      <c r="BA380" t="str">
        <f t="shared" ca="1" si="29"/>
        <v>BAJO</v>
      </c>
    </row>
    <row r="381" spans="4:53" x14ac:dyDescent="0.35">
      <c r="D381" t="s">
        <v>2835</v>
      </c>
      <c r="E381" s="1">
        <v>42307</v>
      </c>
      <c r="F381" t="s">
        <v>1918</v>
      </c>
      <c r="G381" t="s">
        <v>108</v>
      </c>
      <c r="H381" t="s">
        <v>1823</v>
      </c>
      <c r="I381">
        <v>20084686</v>
      </c>
      <c r="J381" t="s">
        <v>28</v>
      </c>
      <c r="K381">
        <v>44</v>
      </c>
      <c r="L381" t="s">
        <v>27</v>
      </c>
      <c r="M381" t="s">
        <v>1920</v>
      </c>
      <c r="N381" t="s">
        <v>1921</v>
      </c>
      <c r="O381" t="s">
        <v>2836</v>
      </c>
      <c r="P381" t="s">
        <v>274</v>
      </c>
      <c r="Q381" s="1">
        <v>45036</v>
      </c>
      <c r="R381" t="s">
        <v>50</v>
      </c>
      <c r="S381" t="s">
        <v>27</v>
      </c>
      <c r="T381" t="s">
        <v>93</v>
      </c>
      <c r="U381" t="s">
        <v>115</v>
      </c>
      <c r="V381" t="s">
        <v>275</v>
      </c>
      <c r="W381">
        <v>20</v>
      </c>
      <c r="X381">
        <v>20084686</v>
      </c>
      <c r="Y381" t="s">
        <v>276</v>
      </c>
      <c r="Z381" t="s">
        <v>260</v>
      </c>
      <c r="AA381" t="s">
        <v>32</v>
      </c>
      <c r="AB381" t="s">
        <v>239</v>
      </c>
      <c r="AC381" t="s">
        <v>25</v>
      </c>
      <c r="AD381" t="s">
        <v>121</v>
      </c>
      <c r="AE381">
        <v>10</v>
      </c>
      <c r="AF381" t="s">
        <v>27</v>
      </c>
      <c r="AG381" t="s">
        <v>26</v>
      </c>
      <c r="AH381" t="s">
        <v>869</v>
      </c>
      <c r="AI381" t="str">
        <f t="shared" si="25"/>
        <v>SI</v>
      </c>
      <c r="AJ381" t="str">
        <f t="shared" si="26"/>
        <v>LABORATORIOS DELTA</v>
      </c>
      <c r="AK381" t="str">
        <f>IF(ISNUMBER(SEARCH("FABRICANTE",AC381)),"FABRICANTE",IF(ISNUMBER(SEARCH("IMPORTADOR",AC381)),"IMPORTADOR","OTRO"))</f>
        <v>FABRICANTE</v>
      </c>
      <c r="AL381" t="str">
        <f>IF(LEFT(Y381,1)="A","Sistema digestivo",IF(LEFT(Y381,1)="B","Sangre",IF(LEFT(Y381,1)="C","Cardiovascular",IF(LEFT(Y381,1)="D","Dermatológico",IF(LEFT(Y381,1)="G","Genitourinario",IF(LEFT(Y381,1)="H","Hormonal",IF(LEFT(Y381,1)="J","Antiinfecciosos",IF(LEFT(Y381,1)="L","Oncológicos",IF(LEFT(Y381,1)="M","Musculoesquelético",IF(LEFT(Y381,1)="N","Sistema nervioso",IF(LEFT(Y381,1)="R","Respiratorio",IF(LEFT(Y381,1)="S","Oftálmico",IF(LEFT(Y381,1)="V","Varios","OTRO")))))))))))))</f>
        <v>Sangre</v>
      </c>
      <c r="AM381" t="str">
        <f>IF(AG381="Vigente","ACTIVO",IF(ISNUMBER(SEARCH("Inactivo",J381)),"INACTIVO","REVISAR"))</f>
        <v>ACTIVO</v>
      </c>
      <c r="AN381" t="str">
        <f ca="1">IF(OR(AF381="",AF381="null"),"",ROUND((AF381-TODAY())/365.25,2))</f>
        <v/>
      </c>
      <c r="AO381" t="str">
        <f ca="1">IF(AND(AG381="Vigente",OR(AF381="",AF381="null",AF381&gt;TODAY())),"SI",IF(AND(NOT(OR(AF381="",AF381="null")),AF381&lt;=TODAY()),"NO",IF(AG381="Vigente","SI","DESCONOCIDO")))</f>
        <v>SI</v>
      </c>
      <c r="AP381" t="str">
        <f>IF(AND(ISNUMBER(SEARCH("IMPORTAR",AA381)),ISNUMBER(SEARCH("FABRICAR",AA381))),"MIXTO",IF(ISNUMBER(SEARCH("IMPORTAR",AA381)),"IMPORTADO",IF(ISNUMBER(SEARCH("FABRICAR",AA381)),"LOCAL","OTRO")))</f>
        <v>IMPORTADO</v>
      </c>
      <c r="AQ381" t="str">
        <f>IF(AD381="Si","SI",IF(AD381="No","NO",""))</f>
        <v>NO</v>
      </c>
      <c r="AR381" t="str">
        <f>IF(ISNUMBER(SEARCH("®",N381)),"MARCA/INNOVADOR","GENERICO")</f>
        <v>GENERICO</v>
      </c>
      <c r="AS381">
        <f ca="1">IF(AE381&gt;100,RANDBETWEEN(500,5000),IF(AND(AE381&gt;=10,AE381&lt;=100),RANDBETWEEN(100,1000),RANDBETWEEN(10,200)))</f>
        <v>128</v>
      </c>
      <c r="AT381">
        <f t="shared" ca="1" si="27"/>
        <v>23</v>
      </c>
      <c r="AU381">
        <f ca="1">INT(AS381*RANDBETWEEN(120,200)/100)</f>
        <v>172</v>
      </c>
      <c r="AV381" s="2">
        <f ca="1">IF(LEFT(Y381,1)="L",RANDBETWEEN(500000,5000000),IF(LEFT(Y381,1)="C",RANDBETWEEN(5000,50000),IF(LEFT(Y381,1)="N",RANDBETWEEN(10000,150000),IF(LEFT(Y381,1)="J",RANDBETWEEN(8000,200000),RANDBETWEEN(5000,100000)))))</f>
        <v>40005</v>
      </c>
      <c r="AW381" s="2">
        <f ca="1">INT(AV381*RANDBETWEEN(30,60)/100)</f>
        <v>23602</v>
      </c>
      <c r="AX381">
        <f ca="1">IF(Z381="ORAL",RANDBETWEEN(1000,10000),IF(OR(Z381="INTRAVENOSA",Z381="INTRAMUSCULAR"),RANDBETWEEN(100,2000),IF(OR(Z381="OFTÁLMICA",Z381="TOPICA (EXTERNA)"),RANDBETWEEN(200,3000),RANDBETWEEN(100,1500))))</f>
        <v>337</v>
      </c>
      <c r="AY381" s="2">
        <f ca="1">INT(AV381*RANDBETWEEN(90,130)/100)</f>
        <v>49206</v>
      </c>
      <c r="AZ381" t="str">
        <f t="shared" ca="1" si="28"/>
        <v>2%</v>
      </c>
      <c r="BA381" t="str">
        <f t="shared" ca="1" si="29"/>
        <v>BAJO</v>
      </c>
    </row>
    <row r="382" spans="4:53" x14ac:dyDescent="0.35">
      <c r="D382" t="s">
        <v>2837</v>
      </c>
      <c r="E382" s="1">
        <v>37834</v>
      </c>
      <c r="F382" t="s">
        <v>2838</v>
      </c>
      <c r="G382" t="s">
        <v>108</v>
      </c>
      <c r="H382" t="s">
        <v>2839</v>
      </c>
      <c r="I382">
        <v>19935908</v>
      </c>
      <c r="J382" t="s">
        <v>28</v>
      </c>
      <c r="K382">
        <v>2</v>
      </c>
      <c r="L382" t="s">
        <v>27</v>
      </c>
      <c r="M382" t="s">
        <v>2840</v>
      </c>
      <c r="N382" t="s">
        <v>2841</v>
      </c>
      <c r="O382" t="s">
        <v>2842</v>
      </c>
      <c r="P382" t="s">
        <v>962</v>
      </c>
      <c r="Q382" s="1">
        <v>39031</v>
      </c>
      <c r="R382" t="s">
        <v>962</v>
      </c>
      <c r="S382" t="s">
        <v>27</v>
      </c>
      <c r="T382" t="s">
        <v>1164</v>
      </c>
      <c r="U382" t="s">
        <v>115</v>
      </c>
      <c r="V382" t="s">
        <v>2838</v>
      </c>
      <c r="W382">
        <v>50</v>
      </c>
      <c r="X382">
        <v>19935908</v>
      </c>
      <c r="Y382" t="s">
        <v>2843</v>
      </c>
      <c r="Z382" t="s">
        <v>119</v>
      </c>
      <c r="AA382" t="s">
        <v>32</v>
      </c>
      <c r="AB382" t="s">
        <v>120</v>
      </c>
      <c r="AC382" t="s">
        <v>25</v>
      </c>
      <c r="AD382" t="s">
        <v>121</v>
      </c>
      <c r="AE382">
        <v>30</v>
      </c>
      <c r="AF382" s="1">
        <v>401769</v>
      </c>
      <c r="AG382" t="s">
        <v>26</v>
      </c>
      <c r="AH382" t="s">
        <v>2838</v>
      </c>
      <c r="AI382" t="str">
        <f t="shared" si="25"/>
        <v>NO</v>
      </c>
      <c r="AJ382" t="str">
        <f t="shared" si="26"/>
        <v>GLAXOSMITHKLINE COLOMBIA</v>
      </c>
      <c r="AK382" t="str">
        <f>IF(ISNUMBER(SEARCH("FABRICANTE",AC382)),"FABRICANTE",IF(ISNUMBER(SEARCH("IMPORTADOR",AC382)),"IMPORTADOR","OTRO"))</f>
        <v>FABRICANTE</v>
      </c>
      <c r="AL382" t="str">
        <f>IF(LEFT(Y382,1)="A","Sistema digestivo",IF(LEFT(Y382,1)="B","Sangre",IF(LEFT(Y382,1)="C","Cardiovascular",IF(LEFT(Y382,1)="D","Dermatológico",IF(LEFT(Y382,1)="G","Genitourinario",IF(LEFT(Y382,1)="H","Hormonal",IF(LEFT(Y382,1)="J","Antiinfecciosos",IF(LEFT(Y382,1)="L","Oncológicos",IF(LEFT(Y382,1)="M","Musculoesquelético",IF(LEFT(Y382,1)="N","Sistema nervioso",IF(LEFT(Y382,1)="R","Respiratorio",IF(LEFT(Y382,1)="S","Oftálmico",IF(LEFT(Y382,1)="V","Varios","OTRO")))))))))))))</f>
        <v>Sistema nervioso</v>
      </c>
      <c r="AM382" t="str">
        <f>IF(AG382="Vigente","ACTIVO",IF(ISNUMBER(SEARCH("Inactivo",J382)),"INACTIVO","REVISAR"))</f>
        <v>ACTIVO</v>
      </c>
      <c r="AN382">
        <f ca="1">IF(OR(AF382="",AF382="null"),"",ROUND((AF382-TODAY())/365.25,2))</f>
        <v>973.58</v>
      </c>
      <c r="AO382" t="str">
        <f ca="1">IF(AND(AG382="Vigente",OR(AF382="",AF382="null",AF382&gt;TODAY())),"SI",IF(AND(NOT(OR(AF382="",AF382="null")),AF382&lt;=TODAY()),"NO",IF(AG382="Vigente","SI","DESCONOCIDO")))</f>
        <v>SI</v>
      </c>
      <c r="AP382" t="str">
        <f>IF(AND(ISNUMBER(SEARCH("IMPORTAR",AA382)),ISNUMBER(SEARCH("FABRICAR",AA382))),"MIXTO",IF(ISNUMBER(SEARCH("IMPORTAR",AA382)),"IMPORTADO",IF(ISNUMBER(SEARCH("FABRICAR",AA382)),"LOCAL","OTRO")))</f>
        <v>IMPORTADO</v>
      </c>
      <c r="AQ382" t="str">
        <f>IF(AD382="Si","SI",IF(AD382="No","NO",""))</f>
        <v>NO</v>
      </c>
      <c r="AR382" t="str">
        <f>IF(ISNUMBER(SEARCH("®",N382)),"MARCA/INNOVADOR","GENERICO")</f>
        <v>MARCA/INNOVADOR</v>
      </c>
      <c r="AS382">
        <f ca="1">IF(AE382&gt;100,RANDBETWEEN(500,5000),IF(AND(AE382&gt;=10,AE382&lt;=100),RANDBETWEEN(100,1000),RANDBETWEEN(10,200)))</f>
        <v>155</v>
      </c>
      <c r="AT382">
        <f t="shared" ca="1" si="27"/>
        <v>23</v>
      </c>
      <c r="AU382">
        <f ca="1">INT(AS382*RANDBETWEEN(120,200)/100)</f>
        <v>271</v>
      </c>
      <c r="AV382" s="2">
        <f ca="1">IF(LEFT(Y382,1)="L",RANDBETWEEN(500000,5000000),IF(LEFT(Y382,1)="C",RANDBETWEEN(5000,50000),IF(LEFT(Y382,1)="N",RANDBETWEEN(10000,150000),IF(LEFT(Y382,1)="J",RANDBETWEEN(8000,200000),RANDBETWEEN(5000,100000)))))</f>
        <v>75691</v>
      </c>
      <c r="AW382" s="2">
        <f ca="1">INT(AV382*RANDBETWEEN(30,60)/100)</f>
        <v>28762</v>
      </c>
      <c r="AX382">
        <f ca="1">IF(Z382="ORAL",RANDBETWEEN(1000,10000),IF(OR(Z382="INTRAVENOSA",Z382="INTRAMUSCULAR"),RANDBETWEEN(100,2000),IF(OR(Z382="OFTÁLMICA",Z382="TOPICA (EXTERNA)"),RANDBETWEEN(200,3000),RANDBETWEEN(100,1500))))</f>
        <v>3063</v>
      </c>
      <c r="AY382" s="2">
        <f ca="1">INT(AV382*RANDBETWEEN(90,130)/100)</f>
        <v>86287</v>
      </c>
      <c r="AZ382" t="str">
        <f t="shared" ca="1" si="28"/>
        <v>21.9%</v>
      </c>
      <c r="BA382" t="str">
        <f t="shared" ca="1" si="29"/>
        <v>BAJO</v>
      </c>
    </row>
    <row r="383" spans="4:53" x14ac:dyDescent="0.35">
      <c r="D383" t="s">
        <v>2844</v>
      </c>
      <c r="E383" s="1">
        <v>37792</v>
      </c>
      <c r="F383" t="s">
        <v>2845</v>
      </c>
      <c r="G383" t="s">
        <v>108</v>
      </c>
      <c r="H383" t="s">
        <v>2846</v>
      </c>
      <c r="I383">
        <v>19935527</v>
      </c>
      <c r="J383" t="s">
        <v>28</v>
      </c>
      <c r="K383">
        <v>24</v>
      </c>
      <c r="L383" t="s">
        <v>27</v>
      </c>
      <c r="M383" t="s">
        <v>2847</v>
      </c>
      <c r="N383" t="s">
        <v>2848</v>
      </c>
      <c r="O383" t="s">
        <v>2849</v>
      </c>
      <c r="P383" t="s">
        <v>29</v>
      </c>
      <c r="Q383" s="1">
        <v>40150</v>
      </c>
      <c r="R383" t="s">
        <v>33</v>
      </c>
      <c r="S383" t="s">
        <v>27</v>
      </c>
      <c r="T383" t="s">
        <v>2414</v>
      </c>
      <c r="U383" t="s">
        <v>115</v>
      </c>
      <c r="V383" t="s">
        <v>1583</v>
      </c>
      <c r="W383">
        <v>80</v>
      </c>
      <c r="X383">
        <v>19935527</v>
      </c>
      <c r="Y383" t="s">
        <v>1584</v>
      </c>
      <c r="Z383" t="s">
        <v>119</v>
      </c>
      <c r="AA383" t="s">
        <v>32</v>
      </c>
      <c r="AB383" t="s">
        <v>120</v>
      </c>
      <c r="AC383" t="s">
        <v>25</v>
      </c>
      <c r="AD383" t="s">
        <v>121</v>
      </c>
      <c r="AE383">
        <v>90</v>
      </c>
      <c r="AF383" t="s">
        <v>27</v>
      </c>
      <c r="AG383" t="s">
        <v>26</v>
      </c>
      <c r="AH383" t="s">
        <v>6755</v>
      </c>
      <c r="AI383" t="str">
        <f t="shared" si="25"/>
        <v>NO</v>
      </c>
      <c r="AJ383" t="str">
        <f t="shared" si="26"/>
        <v>ASPEN COLOMBIANA</v>
      </c>
      <c r="AK383" t="str">
        <f>IF(ISNUMBER(SEARCH("FABRICANTE",AC383)),"FABRICANTE",IF(ISNUMBER(SEARCH("IMPORTADOR",AC383)),"IMPORTADOR","OTRO"))</f>
        <v>FABRICANTE</v>
      </c>
      <c r="AL383" t="str">
        <f>IF(LEFT(Y383,1)="A","Sistema digestivo",IF(LEFT(Y383,1)="B","Sangre",IF(LEFT(Y383,1)="C","Cardiovascular",IF(LEFT(Y383,1)="D","Dermatológico",IF(LEFT(Y383,1)="G","Genitourinario",IF(LEFT(Y383,1)="H","Hormonal",IF(LEFT(Y383,1)="J","Antiinfecciosos",IF(LEFT(Y383,1)="L","Oncológicos",IF(LEFT(Y383,1)="M","Musculoesquelético",IF(LEFT(Y383,1)="N","Sistema nervioso",IF(LEFT(Y383,1)="R","Respiratorio",IF(LEFT(Y383,1)="S","Oftálmico",IF(LEFT(Y383,1)="V","Varios","OTRO")))))))))))))</f>
        <v>Cardiovascular</v>
      </c>
      <c r="AM383" t="str">
        <f>IF(AG383="Vigente","ACTIVO",IF(ISNUMBER(SEARCH("Inactivo",J383)),"INACTIVO","REVISAR"))</f>
        <v>ACTIVO</v>
      </c>
      <c r="AN383" t="str">
        <f ca="1">IF(OR(AF383="",AF383="null"),"",ROUND((AF383-TODAY())/365.25,2))</f>
        <v/>
      </c>
      <c r="AO383" t="str">
        <f ca="1">IF(AND(AG383="Vigente",OR(AF383="",AF383="null",AF383&gt;TODAY())),"SI",IF(AND(NOT(OR(AF383="",AF383="null")),AF383&lt;=TODAY()),"NO",IF(AG383="Vigente","SI","DESCONOCIDO")))</f>
        <v>SI</v>
      </c>
      <c r="AP383" t="str">
        <f>IF(AND(ISNUMBER(SEARCH("IMPORTAR",AA383)),ISNUMBER(SEARCH("FABRICAR",AA383))),"MIXTO",IF(ISNUMBER(SEARCH("IMPORTAR",AA383)),"IMPORTADO",IF(ISNUMBER(SEARCH("FABRICAR",AA383)),"LOCAL","OTRO")))</f>
        <v>IMPORTADO</v>
      </c>
      <c r="AQ383" t="str">
        <f>IF(AD383="Si","SI",IF(AD383="No","NO",""))</f>
        <v>NO</v>
      </c>
      <c r="AR383" t="str">
        <f>IF(ISNUMBER(SEARCH("®",N383)),"MARCA/INNOVADOR","GENERICO")</f>
        <v>MARCA/INNOVADOR</v>
      </c>
      <c r="AS383">
        <f ca="1">IF(AE383&gt;100,RANDBETWEEN(500,5000),IF(AND(AE383&gt;=10,AE383&lt;=100),RANDBETWEEN(100,1000),RANDBETWEEN(10,200)))</f>
        <v>160</v>
      </c>
      <c r="AT383">
        <f t="shared" ca="1" si="27"/>
        <v>36</v>
      </c>
      <c r="AU383">
        <f ca="1">INT(AS383*RANDBETWEEN(120,200)/100)</f>
        <v>232</v>
      </c>
      <c r="AV383" s="2">
        <f ca="1">IF(LEFT(Y383,1)="L",RANDBETWEEN(500000,5000000),IF(LEFT(Y383,1)="C",RANDBETWEEN(5000,50000),IF(LEFT(Y383,1)="N",RANDBETWEEN(10000,150000),IF(LEFT(Y383,1)="J",RANDBETWEEN(8000,200000),RANDBETWEEN(5000,100000)))))</f>
        <v>18261</v>
      </c>
      <c r="AW383" s="2">
        <f ca="1">INT(AV383*RANDBETWEEN(30,60)/100)</f>
        <v>5843</v>
      </c>
      <c r="AX383">
        <f ca="1">IF(Z383="ORAL",RANDBETWEEN(1000,10000),IF(OR(Z383="INTRAVENOSA",Z383="INTRAMUSCULAR"),RANDBETWEEN(100,2000),IF(OR(Z383="OFTÁLMICA",Z383="TOPICA (EXTERNA)"),RANDBETWEEN(200,3000),RANDBETWEEN(100,1500))))</f>
        <v>1862</v>
      </c>
      <c r="AY383" s="2">
        <f ca="1">INT(AV383*RANDBETWEEN(90,130)/100)</f>
        <v>18078</v>
      </c>
      <c r="AZ383" t="str">
        <f t="shared" ca="1" si="28"/>
        <v>5.8%</v>
      </c>
      <c r="BA383" t="str">
        <f t="shared" ca="1" si="29"/>
        <v>BAJO</v>
      </c>
    </row>
    <row r="384" spans="4:53" x14ac:dyDescent="0.35">
      <c r="D384" t="s">
        <v>2850</v>
      </c>
      <c r="E384" s="1">
        <v>41033</v>
      </c>
      <c r="F384" t="s">
        <v>2851</v>
      </c>
      <c r="G384" t="s">
        <v>108</v>
      </c>
      <c r="H384" t="s">
        <v>325</v>
      </c>
      <c r="I384">
        <v>20044614</v>
      </c>
      <c r="J384" t="s">
        <v>110</v>
      </c>
      <c r="K384">
        <v>6</v>
      </c>
      <c r="L384" t="s">
        <v>27</v>
      </c>
      <c r="M384" t="s">
        <v>2852</v>
      </c>
      <c r="N384" t="s">
        <v>2853</v>
      </c>
      <c r="O384" t="s">
        <v>2854</v>
      </c>
      <c r="P384" t="s">
        <v>932</v>
      </c>
      <c r="Q384" s="1">
        <v>42564</v>
      </c>
      <c r="R384" t="s">
        <v>932</v>
      </c>
      <c r="S384" t="s">
        <v>27</v>
      </c>
      <c r="T384" t="s">
        <v>2855</v>
      </c>
      <c r="U384" t="s">
        <v>115</v>
      </c>
      <c r="V384" t="s">
        <v>2856</v>
      </c>
      <c r="W384">
        <v>600</v>
      </c>
      <c r="X384">
        <v>20044614</v>
      </c>
      <c r="Y384" t="s">
        <v>2857</v>
      </c>
      <c r="Z384" t="s">
        <v>119</v>
      </c>
      <c r="AA384" t="s">
        <v>24</v>
      </c>
      <c r="AB384" t="s">
        <v>120</v>
      </c>
      <c r="AC384" t="s">
        <v>25</v>
      </c>
      <c r="AD384" t="s">
        <v>155</v>
      </c>
      <c r="AE384">
        <v>10</v>
      </c>
      <c r="AF384" t="s">
        <v>27</v>
      </c>
      <c r="AG384" t="s">
        <v>26</v>
      </c>
      <c r="AH384" t="s">
        <v>6791</v>
      </c>
      <c r="AI384" t="str">
        <f t="shared" si="25"/>
        <v>NO</v>
      </c>
      <c r="AJ384" t="str">
        <f t="shared" si="26"/>
        <v>LABORATORIOS LEBRIUT</v>
      </c>
      <c r="AK384" t="str">
        <f>IF(ISNUMBER(SEARCH("FABRICANTE",AC384)),"FABRICANTE",IF(ISNUMBER(SEARCH("IMPORTADOR",AC384)),"IMPORTADOR","OTRO"))</f>
        <v>FABRICANTE</v>
      </c>
      <c r="AL384" t="str">
        <f>IF(LEFT(Y384,1)="A","Sistema digestivo",IF(LEFT(Y384,1)="B","Sangre",IF(LEFT(Y384,1)="C","Cardiovascular",IF(LEFT(Y384,1)="D","Dermatológico",IF(LEFT(Y384,1)="G","Genitourinario",IF(LEFT(Y384,1)="H","Hormonal",IF(LEFT(Y384,1)="J","Antiinfecciosos",IF(LEFT(Y384,1)="L","Oncológicos",IF(LEFT(Y384,1)="M","Musculoesquelético",IF(LEFT(Y384,1)="N","Sistema nervioso",IF(LEFT(Y384,1)="R","Respiratorio",IF(LEFT(Y384,1)="S","Oftálmico",IF(LEFT(Y384,1)="V","Varios","OTRO")))))))))))))</f>
        <v>Sistema digestivo</v>
      </c>
      <c r="AM384" t="str">
        <f>IF(AG384="Vigente","ACTIVO",IF(ISNUMBER(SEARCH("Inactivo",J384)),"INACTIVO","REVISAR"))</f>
        <v>ACTIVO</v>
      </c>
      <c r="AN384" t="str">
        <f ca="1">IF(OR(AF384="",AF384="null"),"",ROUND((AF384-TODAY())/365.25,2))</f>
        <v/>
      </c>
      <c r="AO384" t="str">
        <f ca="1">IF(AND(AG384="Vigente",OR(AF384="",AF384="null",AF384&gt;TODAY())),"SI",IF(AND(NOT(OR(AF384="",AF384="null")),AF384&lt;=TODAY()),"NO",IF(AG384="Vigente","SI","DESCONOCIDO")))</f>
        <v>SI</v>
      </c>
      <c r="AP384" t="str">
        <f>IF(AND(ISNUMBER(SEARCH("IMPORTAR",AA384)),ISNUMBER(SEARCH("FABRICAR",AA384))),"MIXTO",IF(ISNUMBER(SEARCH("IMPORTAR",AA384)),"IMPORTADO",IF(ISNUMBER(SEARCH("FABRICAR",AA384)),"LOCAL","OTRO")))</f>
        <v>LOCAL</v>
      </c>
      <c r="AQ384" t="str">
        <f>IF(AD384="Si","SI",IF(AD384="No","NO",""))</f>
        <v>SI</v>
      </c>
      <c r="AR384" t="str">
        <f>IF(ISNUMBER(SEARCH("®",N384)),"MARCA/INNOVADOR","GENERICO")</f>
        <v>GENERICO</v>
      </c>
      <c r="AS384">
        <f ca="1">IF(AE384&gt;100,RANDBETWEEN(500,5000),IF(AND(AE384&gt;=10,AE384&lt;=100),RANDBETWEEN(100,1000),RANDBETWEEN(10,200)))</f>
        <v>171</v>
      </c>
      <c r="AT384">
        <f t="shared" ca="1" si="27"/>
        <v>34</v>
      </c>
      <c r="AU384">
        <f ca="1">INT(AS384*RANDBETWEEN(120,200)/100)</f>
        <v>217</v>
      </c>
      <c r="AV384" s="2">
        <f ca="1">IF(LEFT(Y384,1)="L",RANDBETWEEN(500000,5000000),IF(LEFT(Y384,1)="C",RANDBETWEEN(5000,50000),IF(LEFT(Y384,1)="N",RANDBETWEEN(10000,150000),IF(LEFT(Y384,1)="J",RANDBETWEEN(8000,200000),RANDBETWEEN(5000,100000)))))</f>
        <v>50692</v>
      </c>
      <c r="AW384" s="2">
        <f ca="1">INT(AV384*RANDBETWEEN(30,60)/100)</f>
        <v>16728</v>
      </c>
      <c r="AX384">
        <f ca="1">IF(Z384="ORAL",RANDBETWEEN(1000,10000),IF(OR(Z384="INTRAVENOSA",Z384="INTRAMUSCULAR"),RANDBETWEEN(100,2000),IF(OR(Z384="OFTÁLMICA",Z384="TOPICA (EXTERNA)"),RANDBETWEEN(200,3000),RANDBETWEEN(100,1500))))</f>
        <v>3284</v>
      </c>
      <c r="AY384" s="2">
        <f ca="1">INT(AV384*RANDBETWEEN(90,130)/100)</f>
        <v>65392</v>
      </c>
      <c r="AZ384" t="str">
        <f t="shared" ca="1" si="28"/>
        <v>6.1%</v>
      </c>
      <c r="BA384" t="str">
        <f t="shared" ca="1" si="29"/>
        <v>ALTO</v>
      </c>
    </row>
    <row r="385" spans="4:53" x14ac:dyDescent="0.35">
      <c r="D385" t="s">
        <v>2858</v>
      </c>
      <c r="E385" s="1">
        <v>45757</v>
      </c>
      <c r="F385" t="s">
        <v>2859</v>
      </c>
      <c r="G385" t="s">
        <v>108</v>
      </c>
      <c r="H385" t="s">
        <v>56</v>
      </c>
      <c r="I385">
        <v>20220141</v>
      </c>
      <c r="J385" t="s">
        <v>28</v>
      </c>
      <c r="K385">
        <v>3</v>
      </c>
      <c r="L385" t="s">
        <v>27</v>
      </c>
      <c r="M385" t="s">
        <v>2860</v>
      </c>
      <c r="N385" t="s">
        <v>2861</v>
      </c>
      <c r="O385" t="s">
        <v>2862</v>
      </c>
      <c r="P385" t="s">
        <v>845</v>
      </c>
      <c r="Q385" s="1">
        <v>45257</v>
      </c>
      <c r="R385" t="s">
        <v>29</v>
      </c>
      <c r="S385" t="s">
        <v>27</v>
      </c>
      <c r="T385" t="s">
        <v>56</v>
      </c>
      <c r="U385" t="s">
        <v>115</v>
      </c>
      <c r="V385" t="s">
        <v>2859</v>
      </c>
      <c r="W385">
        <v>5</v>
      </c>
      <c r="X385">
        <v>20220141</v>
      </c>
      <c r="Y385" t="s">
        <v>2863</v>
      </c>
      <c r="Z385" t="s">
        <v>119</v>
      </c>
      <c r="AA385" t="s">
        <v>32</v>
      </c>
      <c r="AB385" t="s">
        <v>120</v>
      </c>
      <c r="AC385" t="s">
        <v>25</v>
      </c>
      <c r="AD385" t="s">
        <v>121</v>
      </c>
      <c r="AE385">
        <v>90</v>
      </c>
      <c r="AF385" s="1">
        <v>47601</v>
      </c>
      <c r="AG385" t="s">
        <v>26</v>
      </c>
      <c r="AH385" t="s">
        <v>2859</v>
      </c>
      <c r="AI385" t="str">
        <f t="shared" si="25"/>
        <v>NO</v>
      </c>
      <c r="AJ385" t="str">
        <f t="shared" si="26"/>
        <v>DR. REDDY´S LABORATORIES</v>
      </c>
      <c r="AK385" t="str">
        <f>IF(ISNUMBER(SEARCH("FABRICANTE",AC385)),"FABRICANTE",IF(ISNUMBER(SEARCH("IMPORTADOR",AC385)),"IMPORTADOR","OTRO"))</f>
        <v>FABRICANTE</v>
      </c>
      <c r="AL385" t="str">
        <f>IF(LEFT(Y385,1)="A","Sistema digestivo",IF(LEFT(Y385,1)="B","Sangre",IF(LEFT(Y385,1)="C","Cardiovascular",IF(LEFT(Y385,1)="D","Dermatológico",IF(LEFT(Y385,1)="G","Genitourinario",IF(LEFT(Y385,1)="H","Hormonal",IF(LEFT(Y385,1)="J","Antiinfecciosos",IF(LEFT(Y385,1)="L","Oncológicos",IF(LEFT(Y385,1)="M","Musculoesquelético",IF(LEFT(Y385,1)="N","Sistema nervioso",IF(LEFT(Y385,1)="R","Respiratorio",IF(LEFT(Y385,1)="S","Oftálmico",IF(LEFT(Y385,1)="V","Varios","OTRO")))))))))))))</f>
        <v>Oncológicos</v>
      </c>
      <c r="AM385" t="str">
        <f>IF(AG385="Vigente","ACTIVO",IF(ISNUMBER(SEARCH("Inactivo",J385)),"INACTIVO","REVISAR"))</f>
        <v>ACTIVO</v>
      </c>
      <c r="AN385">
        <f ca="1">IF(OR(AF385="",AF385="null"),"",ROUND((AF385-TODAY())/365.25,2))</f>
        <v>3.92</v>
      </c>
      <c r="AO385" t="str">
        <f ca="1">IF(AND(AG385="Vigente",OR(AF385="",AF385="null",AF385&gt;TODAY())),"SI",IF(AND(NOT(OR(AF385="",AF385="null")),AF385&lt;=TODAY()),"NO",IF(AG385="Vigente","SI","DESCONOCIDO")))</f>
        <v>SI</v>
      </c>
      <c r="AP385" t="str">
        <f>IF(AND(ISNUMBER(SEARCH("IMPORTAR",AA385)),ISNUMBER(SEARCH("FABRICAR",AA385))),"MIXTO",IF(ISNUMBER(SEARCH("IMPORTAR",AA385)),"IMPORTADO",IF(ISNUMBER(SEARCH("FABRICAR",AA385)),"LOCAL","OTRO")))</f>
        <v>IMPORTADO</v>
      </c>
      <c r="AQ385" t="str">
        <f>IF(AD385="Si","SI",IF(AD385="No","NO",""))</f>
        <v>NO</v>
      </c>
      <c r="AR385" t="str">
        <f>IF(ISNUMBER(SEARCH("®",N385)),"MARCA/INNOVADOR","GENERICO")</f>
        <v>GENERICO</v>
      </c>
      <c r="AS385">
        <f ca="1">IF(AE385&gt;100,RANDBETWEEN(500,5000),IF(AND(AE385&gt;=10,AE385&lt;=100),RANDBETWEEN(100,1000),RANDBETWEEN(10,200)))</f>
        <v>101</v>
      </c>
      <c r="AT385">
        <f t="shared" ca="1" si="27"/>
        <v>30</v>
      </c>
      <c r="AU385">
        <f ca="1">INT(AS385*RANDBETWEEN(120,200)/100)</f>
        <v>194</v>
      </c>
      <c r="AV385" s="2">
        <f ca="1">IF(LEFT(Y385,1)="L",RANDBETWEEN(500000,5000000),IF(LEFT(Y385,1)="C",RANDBETWEEN(5000,50000),IF(LEFT(Y385,1)="N",RANDBETWEEN(10000,150000),IF(LEFT(Y385,1)="J",RANDBETWEEN(8000,200000),RANDBETWEEN(5000,100000)))))</f>
        <v>4105213</v>
      </c>
      <c r="AW385" s="2">
        <f ca="1">INT(AV385*RANDBETWEEN(30,60)/100)</f>
        <v>2298919</v>
      </c>
      <c r="AX385">
        <f ca="1">IF(Z385="ORAL",RANDBETWEEN(1000,10000),IF(OR(Z385="INTRAVENOSA",Z385="INTRAMUSCULAR"),RANDBETWEEN(100,2000),IF(OR(Z385="OFTÁLMICA",Z385="TOPICA (EXTERNA)"),RANDBETWEEN(200,3000),RANDBETWEEN(100,1500))))</f>
        <v>9677</v>
      </c>
      <c r="AY385" s="2">
        <f ca="1">INT(AV385*RANDBETWEEN(90,130)/100)</f>
        <v>5213620</v>
      </c>
      <c r="AZ385" t="str">
        <f t="shared" ca="1" si="28"/>
        <v>12.2%</v>
      </c>
      <c r="BA385" t="str">
        <f t="shared" ca="1" si="29"/>
        <v>MEDIO</v>
      </c>
    </row>
    <row r="386" spans="4:53" x14ac:dyDescent="0.35">
      <c r="D386" t="s">
        <v>2864</v>
      </c>
      <c r="E386" s="1">
        <v>44917</v>
      </c>
      <c r="F386" t="s">
        <v>2865</v>
      </c>
      <c r="G386" t="s">
        <v>108</v>
      </c>
      <c r="H386" t="s">
        <v>428</v>
      </c>
      <c r="I386">
        <v>20229722</v>
      </c>
      <c r="J386" t="s">
        <v>28</v>
      </c>
      <c r="K386">
        <v>2</v>
      </c>
      <c r="L386" t="s">
        <v>2866</v>
      </c>
      <c r="M386" t="s">
        <v>2867</v>
      </c>
      <c r="N386" t="s">
        <v>2868</v>
      </c>
      <c r="O386" t="s">
        <v>2869</v>
      </c>
      <c r="P386" t="s">
        <v>29</v>
      </c>
      <c r="Q386" s="1">
        <v>44890</v>
      </c>
      <c r="R386" t="s">
        <v>29</v>
      </c>
      <c r="S386" t="s">
        <v>27</v>
      </c>
      <c r="T386" t="s">
        <v>428</v>
      </c>
      <c r="U386" t="s">
        <v>115</v>
      </c>
      <c r="V386" t="s">
        <v>936</v>
      </c>
      <c r="W386">
        <v>150</v>
      </c>
      <c r="X386">
        <v>20229722</v>
      </c>
      <c r="Y386" t="s">
        <v>940</v>
      </c>
      <c r="Z386" t="s">
        <v>119</v>
      </c>
      <c r="AA386" t="s">
        <v>24</v>
      </c>
      <c r="AB386" t="s">
        <v>120</v>
      </c>
      <c r="AC386" t="s">
        <v>25</v>
      </c>
      <c r="AD386" t="s">
        <v>121</v>
      </c>
      <c r="AE386">
        <v>14</v>
      </c>
      <c r="AF386" t="s">
        <v>27</v>
      </c>
      <c r="AG386" t="s">
        <v>26</v>
      </c>
      <c r="AH386" t="s">
        <v>936</v>
      </c>
      <c r="AI386" t="str">
        <f t="shared" si="25"/>
        <v>NO</v>
      </c>
      <c r="AJ386" t="str">
        <f t="shared" si="26"/>
        <v>LABORATORIOS SIEGFRIED</v>
      </c>
      <c r="AK386" t="str">
        <f>IF(ISNUMBER(SEARCH("FABRICANTE",AC386)),"FABRICANTE",IF(ISNUMBER(SEARCH("IMPORTADOR",AC386)),"IMPORTADOR","OTRO"))</f>
        <v>FABRICANTE</v>
      </c>
      <c r="AL386" t="str">
        <f>IF(LEFT(Y386,1)="A","Sistema digestivo",IF(LEFT(Y386,1)="B","Sangre",IF(LEFT(Y386,1)="C","Cardiovascular",IF(LEFT(Y386,1)="D","Dermatológico",IF(LEFT(Y386,1)="G","Genitourinario",IF(LEFT(Y386,1)="H","Hormonal",IF(LEFT(Y386,1)="J","Antiinfecciosos",IF(LEFT(Y386,1)="L","Oncológicos",IF(LEFT(Y386,1)="M","Musculoesquelético",IF(LEFT(Y386,1)="N","Sistema nervioso",IF(LEFT(Y386,1)="R","Respiratorio",IF(LEFT(Y386,1)="S","Oftálmico",IF(LEFT(Y386,1)="V","Varios","OTRO")))))))))))))</f>
        <v>Cardiovascular</v>
      </c>
      <c r="AM386" t="str">
        <f>IF(AG386="Vigente","ACTIVO",IF(ISNUMBER(SEARCH("Inactivo",J386)),"INACTIVO","REVISAR"))</f>
        <v>ACTIVO</v>
      </c>
      <c r="AN386" t="str">
        <f ca="1">IF(OR(AF386="",AF386="null"),"",ROUND((AF386-TODAY())/365.25,2))</f>
        <v/>
      </c>
      <c r="AO386" t="str">
        <f ca="1">IF(AND(AG386="Vigente",OR(AF386="",AF386="null",AF386&gt;TODAY())),"SI",IF(AND(NOT(OR(AF386="",AF386="null")),AF386&lt;=TODAY()),"NO",IF(AG386="Vigente","SI","DESCONOCIDO")))</f>
        <v>SI</v>
      </c>
      <c r="AP386" t="str">
        <f>IF(AND(ISNUMBER(SEARCH("IMPORTAR",AA386)),ISNUMBER(SEARCH("FABRICAR",AA386))),"MIXTO",IF(ISNUMBER(SEARCH("IMPORTAR",AA386)),"IMPORTADO",IF(ISNUMBER(SEARCH("FABRICAR",AA386)),"LOCAL","OTRO")))</f>
        <v>LOCAL</v>
      </c>
      <c r="AQ386" t="str">
        <f>IF(AD386="Si","SI",IF(AD386="No","NO",""))</f>
        <v>NO</v>
      </c>
      <c r="AR386" t="str">
        <f>IF(ISNUMBER(SEARCH("®",N386)),"MARCA/INNOVADOR","GENERICO")</f>
        <v>MARCA/INNOVADOR</v>
      </c>
      <c r="AS386">
        <f ca="1">IF(AE386&gt;100,RANDBETWEEN(500,5000),IF(AND(AE386&gt;=10,AE386&lt;=100),RANDBETWEEN(100,1000),RANDBETWEEN(10,200)))</f>
        <v>387</v>
      </c>
      <c r="AT386">
        <f t="shared" ca="1" si="27"/>
        <v>89</v>
      </c>
      <c r="AU386">
        <f ca="1">INT(AS386*RANDBETWEEN(120,200)/100)</f>
        <v>514</v>
      </c>
      <c r="AV386" s="2">
        <f ca="1">IF(LEFT(Y386,1)="L",RANDBETWEEN(500000,5000000),IF(LEFT(Y386,1)="C",RANDBETWEEN(5000,50000),IF(LEFT(Y386,1)="N",RANDBETWEEN(10000,150000),IF(LEFT(Y386,1)="J",RANDBETWEEN(8000,200000),RANDBETWEEN(5000,100000)))))</f>
        <v>6557</v>
      </c>
      <c r="AW386" s="2">
        <f ca="1">INT(AV386*RANDBETWEEN(30,60)/100)</f>
        <v>2557</v>
      </c>
      <c r="AX386">
        <f ca="1">IF(Z386="ORAL",RANDBETWEEN(1000,10000),IF(OR(Z386="INTRAVENOSA",Z386="INTRAMUSCULAR"),RANDBETWEEN(100,2000),IF(OR(Z386="OFTÁLMICA",Z386="TOPICA (EXTERNA)"),RANDBETWEEN(200,3000),RANDBETWEEN(100,1500))))</f>
        <v>6197</v>
      </c>
      <c r="AY386" s="2">
        <f ca="1">INT(AV386*RANDBETWEEN(90,130)/100)</f>
        <v>8524</v>
      </c>
      <c r="AZ386" t="str">
        <f t="shared" ca="1" si="28"/>
        <v>7.5%</v>
      </c>
      <c r="BA386" t="str">
        <f t="shared" ca="1" si="29"/>
        <v>BAJO</v>
      </c>
    </row>
    <row r="387" spans="4:53" x14ac:dyDescent="0.35">
      <c r="D387" t="s">
        <v>2870</v>
      </c>
      <c r="E387" s="1">
        <v>44138</v>
      </c>
      <c r="F387" t="s">
        <v>2871</v>
      </c>
      <c r="G387" t="s">
        <v>108</v>
      </c>
      <c r="H387" t="s">
        <v>2872</v>
      </c>
      <c r="I387">
        <v>20156336</v>
      </c>
      <c r="J387" t="s">
        <v>28</v>
      </c>
      <c r="K387">
        <v>1</v>
      </c>
      <c r="L387" t="s">
        <v>2873</v>
      </c>
      <c r="M387" t="s">
        <v>2874</v>
      </c>
      <c r="N387" t="s">
        <v>2875</v>
      </c>
      <c r="O387" t="s">
        <v>2876</v>
      </c>
      <c r="P387" t="s">
        <v>2877</v>
      </c>
      <c r="Q387" s="1">
        <v>43595</v>
      </c>
      <c r="R387" t="s">
        <v>50</v>
      </c>
      <c r="S387" t="s">
        <v>27</v>
      </c>
      <c r="T387" t="s">
        <v>89</v>
      </c>
      <c r="U387" t="s">
        <v>115</v>
      </c>
      <c r="V387" t="s">
        <v>2878</v>
      </c>
      <c r="W387">
        <v>10</v>
      </c>
      <c r="X387">
        <v>20156336</v>
      </c>
      <c r="Y387" t="s">
        <v>2879</v>
      </c>
      <c r="Z387" t="s">
        <v>260</v>
      </c>
      <c r="AA387" t="s">
        <v>32</v>
      </c>
      <c r="AB387" t="s">
        <v>120</v>
      </c>
      <c r="AC387" t="s">
        <v>25</v>
      </c>
      <c r="AD387" t="s">
        <v>121</v>
      </c>
      <c r="AE387">
        <v>10</v>
      </c>
      <c r="AF387" t="s">
        <v>27</v>
      </c>
      <c r="AG387" t="s">
        <v>26</v>
      </c>
      <c r="AH387" t="s">
        <v>6792</v>
      </c>
      <c r="AI387" t="str">
        <f t="shared" ref="AI387:AI450" si="30">IF(OR(ISNUMBER(SEARCH("+",F387)),ISNUMBER(SEARCH(".",F387))),"SI","NO")</f>
        <v>NO</v>
      </c>
      <c r="AJ387" t="str">
        <f t="shared" ref="AJ387:AJ450" si="3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387)," S.A.S.",""),"S.A.S.","")," S.A.S",""),"S.A.S","")," S.A.C.I.","")," S.A.C.I","")," SAS","")," S.A.","")," S.A","")," LTDA.","")," LTDA","")," LIMITED","")," LTD.","")," LTD","")," INC.","")," INC","")," GMBH &amp; CO. KG.","")," GMBH","")," LLC","")," A.G.","")," A.G","")," A/S","")," S.R.L.","")," S.R.L","")," S.P.A.","")," DE C.V.","")," AG",""),"  "," "))</f>
        <v>ADVANCE SCIENTIFIC DE COLOMBIA</v>
      </c>
      <c r="AK387" t="str">
        <f>IF(ISNUMBER(SEARCH("FABRICANTE",AC387)),"FABRICANTE",IF(ISNUMBER(SEARCH("IMPORTADOR",AC387)),"IMPORTADOR","OTRO"))</f>
        <v>FABRICANTE</v>
      </c>
      <c r="AL387" t="str">
        <f>IF(LEFT(Y387,1)="A","Sistema digestivo",IF(LEFT(Y387,1)="B","Sangre",IF(LEFT(Y387,1)="C","Cardiovascular",IF(LEFT(Y387,1)="D","Dermatológico",IF(LEFT(Y387,1)="G","Genitourinario",IF(LEFT(Y387,1)="H","Hormonal",IF(LEFT(Y387,1)="J","Antiinfecciosos",IF(LEFT(Y387,1)="L","Oncológicos",IF(LEFT(Y387,1)="M","Musculoesquelético",IF(LEFT(Y387,1)="N","Sistema nervioso",IF(LEFT(Y387,1)="R","Respiratorio",IF(LEFT(Y387,1)="S","Oftálmico",IF(LEFT(Y387,1)="V","Varios","OTRO")))))))))))))</f>
        <v>Oncológicos</v>
      </c>
      <c r="AM387" t="str">
        <f>IF(AG387="Vigente","ACTIVO",IF(ISNUMBER(SEARCH("Inactivo",J387)),"INACTIVO","REVISAR"))</f>
        <v>ACTIVO</v>
      </c>
      <c r="AN387" t="str">
        <f ca="1">IF(OR(AF387="",AF387="null"),"",ROUND((AF387-TODAY())/365.25,2))</f>
        <v/>
      </c>
      <c r="AO387" t="str">
        <f ca="1">IF(AND(AG387="Vigente",OR(AF387="",AF387="null",AF387&gt;TODAY())),"SI",IF(AND(NOT(OR(AF387="",AF387="null")),AF387&lt;=TODAY()),"NO",IF(AG387="Vigente","SI","DESCONOCIDO")))</f>
        <v>SI</v>
      </c>
      <c r="AP387" t="str">
        <f>IF(AND(ISNUMBER(SEARCH("IMPORTAR",AA387)),ISNUMBER(SEARCH("FABRICAR",AA387))),"MIXTO",IF(ISNUMBER(SEARCH("IMPORTAR",AA387)),"IMPORTADO",IF(ISNUMBER(SEARCH("FABRICAR",AA387)),"LOCAL","OTRO")))</f>
        <v>IMPORTADO</v>
      </c>
      <c r="AQ387" t="str">
        <f>IF(AD387="Si","SI",IF(AD387="No","NO",""))</f>
        <v>NO</v>
      </c>
      <c r="AR387" t="str">
        <f>IF(ISNUMBER(SEARCH("®",N387)),"MARCA/INNOVADOR","GENERICO")</f>
        <v>MARCA/INNOVADOR</v>
      </c>
      <c r="AS387">
        <f ca="1">IF(AE387&gt;100,RANDBETWEEN(500,5000),IF(AND(AE387&gt;=10,AE387&lt;=100),RANDBETWEEN(100,1000),RANDBETWEEN(10,200)))</f>
        <v>413</v>
      </c>
      <c r="AT387">
        <f t="shared" ref="AT387:AT450" ca="1" si="32">INT(AS387*RANDBETWEEN(10,30)/100)</f>
        <v>45</v>
      </c>
      <c r="AU387">
        <f ca="1">INT(AS387*RANDBETWEEN(120,200)/100)</f>
        <v>702</v>
      </c>
      <c r="AV387" s="2">
        <f ca="1">IF(LEFT(Y387,1)="L",RANDBETWEEN(500000,5000000),IF(LEFT(Y387,1)="C",RANDBETWEEN(5000,50000),IF(LEFT(Y387,1)="N",RANDBETWEEN(10000,150000),IF(LEFT(Y387,1)="J",RANDBETWEEN(8000,200000),RANDBETWEEN(5000,100000)))))</f>
        <v>3523613</v>
      </c>
      <c r="AW387" s="2">
        <f ca="1">INT(AV387*RANDBETWEEN(30,60)/100)</f>
        <v>1937987</v>
      </c>
      <c r="AX387">
        <f ca="1">IF(Z387="ORAL",RANDBETWEEN(1000,10000),IF(OR(Z387="INTRAVENOSA",Z387="INTRAMUSCULAR"),RANDBETWEEN(100,2000),IF(OR(Z387="OFTÁLMICA",Z387="TOPICA (EXTERNA)"),RANDBETWEEN(200,3000),RANDBETWEEN(100,1500))))</f>
        <v>371</v>
      </c>
      <c r="AY387" s="2">
        <f ca="1">INT(AV387*RANDBETWEEN(90,130)/100)</f>
        <v>3735029</v>
      </c>
      <c r="AZ387" t="str">
        <f t="shared" ref="AZ387:AZ450" ca="1" si="33">IF(Z387="ORAL",RANDBETWEEN(50,250)/10,IF(OR(Z387="TOPICA (EXTERNA)",Z387="OFTÁLMICA"),RANDBETWEEN(20,150)/10,IF(OR(Z387="SUBCUTANEA",Z387="INTRAMUSCULAR"),RANDBETWEEN(10,100)/10,IF(Z387="INTRAVENOSA",RANDBETWEEN(1,50)/10,RANDBETWEEN(5,80)/10))))&amp;"%"</f>
        <v>0.6%</v>
      </c>
      <c r="BA387" t="str">
        <f t="shared" ref="BA387:BA450" ca="1" si="34">IF(OR(AG387&lt;&gt;"Vigente",AND(ISNUMBER(AF387),AF387&lt;TODAY()),AND(J387="Inactivo",NOT(ISNUMBER(AF387)))),"ALTO",IF(OR(AND(J387="Inactivo",ISNUMBER(AF387)),AND(ISNUMBER(AF387),AF387&gt;TODAY(),AF387&lt;=TODAY()+1825)),"MEDIO","BAJO"))</f>
        <v>BAJO</v>
      </c>
    </row>
    <row r="388" spans="4:53" x14ac:dyDescent="0.35">
      <c r="D388" t="s">
        <v>2880</v>
      </c>
      <c r="E388" s="1">
        <v>43195</v>
      </c>
      <c r="F388" t="s">
        <v>2881</v>
      </c>
      <c r="G388" t="s">
        <v>108</v>
      </c>
      <c r="H388" t="s">
        <v>1120</v>
      </c>
      <c r="I388">
        <v>20108928</v>
      </c>
      <c r="J388" t="s">
        <v>28</v>
      </c>
      <c r="K388">
        <v>2</v>
      </c>
      <c r="L388" t="s">
        <v>27</v>
      </c>
      <c r="M388" t="s">
        <v>2882</v>
      </c>
      <c r="N388" t="s">
        <v>2883</v>
      </c>
      <c r="O388" t="s">
        <v>2884</v>
      </c>
      <c r="P388" t="s">
        <v>2885</v>
      </c>
      <c r="Q388" s="1">
        <v>43054</v>
      </c>
      <c r="R388" t="s">
        <v>932</v>
      </c>
      <c r="S388" t="s">
        <v>27</v>
      </c>
      <c r="T388" t="s">
        <v>428</v>
      </c>
      <c r="U388" t="s">
        <v>115</v>
      </c>
      <c r="V388" t="s">
        <v>2886</v>
      </c>
      <c r="W388">
        <v>1</v>
      </c>
      <c r="X388">
        <v>20108928</v>
      </c>
      <c r="Y388" t="s">
        <v>2887</v>
      </c>
      <c r="Z388" t="s">
        <v>119</v>
      </c>
      <c r="AA388" t="s">
        <v>32</v>
      </c>
      <c r="AB388" t="s">
        <v>120</v>
      </c>
      <c r="AC388" t="s">
        <v>25</v>
      </c>
      <c r="AD388" t="s">
        <v>121</v>
      </c>
      <c r="AE388">
        <v>30</v>
      </c>
      <c r="AF388" t="s">
        <v>27</v>
      </c>
      <c r="AG388" t="s">
        <v>26</v>
      </c>
      <c r="AH388" t="s">
        <v>6659</v>
      </c>
      <c r="AI388" t="str">
        <f t="shared" si="30"/>
        <v>SI</v>
      </c>
      <c r="AJ388" t="str">
        <f t="shared" si="31"/>
        <v>LABORATORIOS SIEGFRIED</v>
      </c>
      <c r="AK388" t="str">
        <f>IF(ISNUMBER(SEARCH("FABRICANTE",AC388)),"FABRICANTE",IF(ISNUMBER(SEARCH("IMPORTADOR",AC388)),"IMPORTADOR","OTRO"))</f>
        <v>FABRICANTE</v>
      </c>
      <c r="AL388" t="str">
        <f>IF(LEFT(Y388,1)="A","Sistema digestivo",IF(LEFT(Y388,1)="B","Sangre",IF(LEFT(Y388,1)="C","Cardiovascular",IF(LEFT(Y388,1)="D","Dermatológico",IF(LEFT(Y388,1)="G","Genitourinario",IF(LEFT(Y388,1)="H","Hormonal",IF(LEFT(Y388,1)="J","Antiinfecciosos",IF(LEFT(Y388,1)="L","Oncológicos",IF(LEFT(Y388,1)="M","Musculoesquelético",IF(LEFT(Y388,1)="N","Sistema nervioso",IF(LEFT(Y388,1)="R","Respiratorio",IF(LEFT(Y388,1)="S","Oftálmico",IF(LEFT(Y388,1)="V","Varios","OTRO")))))))))))))</f>
        <v>Sistema digestivo</v>
      </c>
      <c r="AM388" t="str">
        <f>IF(AG388="Vigente","ACTIVO",IF(ISNUMBER(SEARCH("Inactivo",J388)),"INACTIVO","REVISAR"))</f>
        <v>ACTIVO</v>
      </c>
      <c r="AN388" t="str">
        <f ca="1">IF(OR(AF388="",AF388="null"),"",ROUND((AF388-TODAY())/365.25,2))</f>
        <v/>
      </c>
      <c r="AO388" t="str">
        <f ca="1">IF(AND(AG388="Vigente",OR(AF388="",AF388="null",AF388&gt;TODAY())),"SI",IF(AND(NOT(OR(AF388="",AF388="null")),AF388&lt;=TODAY()),"NO",IF(AG388="Vigente","SI","DESCONOCIDO")))</f>
        <v>SI</v>
      </c>
      <c r="AP388" t="str">
        <f>IF(AND(ISNUMBER(SEARCH("IMPORTAR",AA388)),ISNUMBER(SEARCH("FABRICAR",AA388))),"MIXTO",IF(ISNUMBER(SEARCH("IMPORTAR",AA388)),"IMPORTADO",IF(ISNUMBER(SEARCH("FABRICAR",AA388)),"LOCAL","OTRO")))</f>
        <v>IMPORTADO</v>
      </c>
      <c r="AQ388" t="str">
        <f>IF(AD388="Si","SI",IF(AD388="No","NO",""))</f>
        <v>NO</v>
      </c>
      <c r="AR388" t="str">
        <f>IF(ISNUMBER(SEARCH("®",N388)),"MARCA/INNOVADOR","GENERICO")</f>
        <v>MARCA/INNOVADOR</v>
      </c>
      <c r="AS388">
        <f ca="1">IF(AE388&gt;100,RANDBETWEEN(500,5000),IF(AND(AE388&gt;=10,AE388&lt;=100),RANDBETWEEN(100,1000),RANDBETWEEN(10,200)))</f>
        <v>257</v>
      </c>
      <c r="AT388">
        <f t="shared" ca="1" si="32"/>
        <v>43</v>
      </c>
      <c r="AU388">
        <f ca="1">INT(AS388*RANDBETWEEN(120,200)/100)</f>
        <v>442</v>
      </c>
      <c r="AV388" s="2">
        <f ca="1">IF(LEFT(Y388,1)="L",RANDBETWEEN(500000,5000000),IF(LEFT(Y388,1)="C",RANDBETWEEN(5000,50000),IF(LEFT(Y388,1)="N",RANDBETWEEN(10000,150000),IF(LEFT(Y388,1)="J",RANDBETWEEN(8000,200000),RANDBETWEEN(5000,100000)))))</f>
        <v>74839</v>
      </c>
      <c r="AW388" s="2">
        <f ca="1">INT(AV388*RANDBETWEEN(30,60)/100)</f>
        <v>38916</v>
      </c>
      <c r="AX388">
        <f ca="1">IF(Z388="ORAL",RANDBETWEEN(1000,10000),IF(OR(Z388="INTRAVENOSA",Z388="INTRAMUSCULAR"),RANDBETWEEN(100,2000),IF(OR(Z388="OFTÁLMICA",Z388="TOPICA (EXTERNA)"),RANDBETWEEN(200,3000),RANDBETWEEN(100,1500))))</f>
        <v>5802</v>
      </c>
      <c r="AY388" s="2">
        <f ca="1">INT(AV388*RANDBETWEEN(90,130)/100)</f>
        <v>87561</v>
      </c>
      <c r="AZ388" t="str">
        <f t="shared" ca="1" si="33"/>
        <v>23.6%</v>
      </c>
      <c r="BA388" t="str">
        <f t="shared" ca="1" si="34"/>
        <v>BAJO</v>
      </c>
    </row>
    <row r="389" spans="4:53" x14ac:dyDescent="0.35">
      <c r="D389" t="s">
        <v>2888</v>
      </c>
      <c r="E389" s="1">
        <v>45792</v>
      </c>
      <c r="F389" t="s">
        <v>2889</v>
      </c>
      <c r="G389" t="s">
        <v>108</v>
      </c>
      <c r="H389" t="s">
        <v>308</v>
      </c>
      <c r="I389">
        <v>20239795</v>
      </c>
      <c r="J389" t="s">
        <v>28</v>
      </c>
      <c r="K389">
        <v>2</v>
      </c>
      <c r="L389" t="s">
        <v>2890</v>
      </c>
      <c r="M389" t="s">
        <v>2891</v>
      </c>
      <c r="N389" t="s">
        <v>2892</v>
      </c>
      <c r="O389" t="s">
        <v>2893</v>
      </c>
      <c r="P389" t="s">
        <v>2894</v>
      </c>
      <c r="Q389" s="1">
        <v>45246</v>
      </c>
      <c r="R389" t="s">
        <v>2895</v>
      </c>
      <c r="S389" t="s">
        <v>27</v>
      </c>
      <c r="T389" t="s">
        <v>308</v>
      </c>
      <c r="U389" t="s">
        <v>115</v>
      </c>
      <c r="V389" t="s">
        <v>2896</v>
      </c>
      <c r="W389" t="s">
        <v>2897</v>
      </c>
      <c r="X389">
        <v>20239795</v>
      </c>
      <c r="Y389" t="s">
        <v>2898</v>
      </c>
      <c r="Z389" t="s">
        <v>2899</v>
      </c>
      <c r="AA389" t="s">
        <v>32</v>
      </c>
      <c r="AB389" t="s">
        <v>120</v>
      </c>
      <c r="AC389" t="s">
        <v>38</v>
      </c>
      <c r="AD389" t="s">
        <v>121</v>
      </c>
      <c r="AE389">
        <v>3</v>
      </c>
      <c r="AF389" s="1">
        <v>47632</v>
      </c>
      <c r="AG389" t="s">
        <v>26</v>
      </c>
      <c r="AH389" t="s">
        <v>6793</v>
      </c>
      <c r="AI389" t="str">
        <f t="shared" si="30"/>
        <v>SI</v>
      </c>
      <c r="AJ389" t="str">
        <f t="shared" si="31"/>
        <v>HUMAX PHARMACEUTICAL</v>
      </c>
      <c r="AK389" t="str">
        <f>IF(ISNUMBER(SEARCH("FABRICANTE",AC389)),"FABRICANTE",IF(ISNUMBER(SEARCH("IMPORTADOR",AC389)),"IMPORTADOR","OTRO"))</f>
        <v>IMPORTADOR</v>
      </c>
      <c r="AL389" t="str">
        <f>IF(LEFT(Y389,1)="A","Sistema digestivo",IF(LEFT(Y389,1)="B","Sangre",IF(LEFT(Y389,1)="C","Cardiovascular",IF(LEFT(Y389,1)="D","Dermatológico",IF(LEFT(Y389,1)="G","Genitourinario",IF(LEFT(Y389,1)="H","Hormonal",IF(LEFT(Y389,1)="J","Antiinfecciosos",IF(LEFT(Y389,1)="L","Oncológicos",IF(LEFT(Y389,1)="M","Musculoesquelético",IF(LEFT(Y389,1)="N","Sistema nervioso",IF(LEFT(Y389,1)="R","Respiratorio",IF(LEFT(Y389,1)="S","Oftálmico",IF(LEFT(Y389,1)="V","Varios","OTRO")))))))))))))</f>
        <v>Sistema nervioso</v>
      </c>
      <c r="AM389" t="str">
        <f>IF(AG389="Vigente","ACTIVO",IF(ISNUMBER(SEARCH("Inactivo",J389)),"INACTIVO","REVISAR"))</f>
        <v>ACTIVO</v>
      </c>
      <c r="AN389">
        <f ca="1">IF(OR(AF389="",AF389="null"),"",ROUND((AF389-TODAY())/365.25,2))</f>
        <v>4.01</v>
      </c>
      <c r="AO389" t="str">
        <f ca="1">IF(AND(AG389="Vigente",OR(AF389="",AF389="null",AF389&gt;TODAY())),"SI",IF(AND(NOT(OR(AF389="",AF389="null")),AF389&lt;=TODAY()),"NO",IF(AG389="Vigente","SI","DESCONOCIDO")))</f>
        <v>SI</v>
      </c>
      <c r="AP389" t="str">
        <f>IF(AND(ISNUMBER(SEARCH("IMPORTAR",AA389)),ISNUMBER(SEARCH("FABRICAR",AA389))),"MIXTO",IF(ISNUMBER(SEARCH("IMPORTAR",AA389)),"IMPORTADO",IF(ISNUMBER(SEARCH("FABRICAR",AA389)),"LOCAL","OTRO")))</f>
        <v>IMPORTADO</v>
      </c>
      <c r="AQ389" t="str">
        <f>IF(AD389="Si","SI",IF(AD389="No","NO",""))</f>
        <v>NO</v>
      </c>
      <c r="AR389" t="str">
        <f>IF(ISNUMBER(SEARCH("®",N389)),"MARCA/INNOVADOR","GENERICO")</f>
        <v>MARCA/INNOVADOR</v>
      </c>
      <c r="AS389">
        <f ca="1">IF(AE389&gt;100,RANDBETWEEN(500,5000),IF(AND(AE389&gt;=10,AE389&lt;=100),RANDBETWEEN(100,1000),RANDBETWEEN(10,200)))</f>
        <v>92</v>
      </c>
      <c r="AT389">
        <f t="shared" ca="1" si="32"/>
        <v>21</v>
      </c>
      <c r="AU389">
        <f ca="1">INT(AS389*RANDBETWEEN(120,200)/100)</f>
        <v>125</v>
      </c>
      <c r="AV389" s="2">
        <f ca="1">IF(LEFT(Y389,1)="L",RANDBETWEEN(500000,5000000),IF(LEFT(Y389,1)="C",RANDBETWEEN(5000,50000),IF(LEFT(Y389,1)="N",RANDBETWEEN(10000,150000),IF(LEFT(Y389,1)="J",RANDBETWEEN(8000,200000),RANDBETWEEN(5000,100000)))))</f>
        <v>37084</v>
      </c>
      <c r="AW389" s="2">
        <f ca="1">INT(AV389*RANDBETWEEN(30,60)/100)</f>
        <v>19283</v>
      </c>
      <c r="AX389">
        <f ca="1">IF(Z389="ORAL",RANDBETWEEN(1000,10000),IF(OR(Z389="INTRAVENOSA",Z389="INTRAMUSCULAR"),RANDBETWEEN(100,2000),IF(OR(Z389="OFTÁLMICA",Z389="TOPICA (EXTERNA)"),RANDBETWEEN(200,3000),RANDBETWEEN(100,1500))))</f>
        <v>968</v>
      </c>
      <c r="AY389" s="2">
        <f ca="1">INT(AV389*RANDBETWEEN(90,130)/100)</f>
        <v>39309</v>
      </c>
      <c r="AZ389" t="str">
        <f t="shared" ca="1" si="33"/>
        <v>3.4%</v>
      </c>
      <c r="BA389" t="str">
        <f t="shared" ca="1" si="34"/>
        <v>MEDIO</v>
      </c>
    </row>
    <row r="390" spans="4:53" x14ac:dyDescent="0.35">
      <c r="D390" t="s">
        <v>2900</v>
      </c>
      <c r="E390" s="1">
        <v>44327</v>
      </c>
      <c r="F390" t="s">
        <v>2901</v>
      </c>
      <c r="G390" t="s">
        <v>108</v>
      </c>
      <c r="H390" t="s">
        <v>449</v>
      </c>
      <c r="I390">
        <v>20157620</v>
      </c>
      <c r="J390" t="s">
        <v>28</v>
      </c>
      <c r="K390">
        <v>6</v>
      </c>
      <c r="L390" t="s">
        <v>27</v>
      </c>
      <c r="M390" t="s">
        <v>2902</v>
      </c>
      <c r="N390" t="s">
        <v>2903</v>
      </c>
      <c r="O390" t="s">
        <v>2904</v>
      </c>
      <c r="P390" t="s">
        <v>2905</v>
      </c>
      <c r="Q390" s="1">
        <v>45370</v>
      </c>
      <c r="R390" t="s">
        <v>33</v>
      </c>
      <c r="S390" t="s">
        <v>27</v>
      </c>
      <c r="T390" t="s">
        <v>449</v>
      </c>
      <c r="U390" t="s">
        <v>115</v>
      </c>
      <c r="V390" t="s">
        <v>2906</v>
      </c>
      <c r="W390">
        <v>5</v>
      </c>
      <c r="X390">
        <v>20157620</v>
      </c>
      <c r="Y390" t="s">
        <v>2907</v>
      </c>
      <c r="Z390" t="s">
        <v>119</v>
      </c>
      <c r="AA390" t="s">
        <v>32</v>
      </c>
      <c r="AB390" t="s">
        <v>120</v>
      </c>
      <c r="AC390" t="s">
        <v>25</v>
      </c>
      <c r="AD390" t="s">
        <v>121</v>
      </c>
      <c r="AE390">
        <v>30</v>
      </c>
      <c r="AF390" t="s">
        <v>27</v>
      </c>
      <c r="AG390" t="s">
        <v>26</v>
      </c>
      <c r="AH390" t="s">
        <v>2901</v>
      </c>
      <c r="AI390" t="str">
        <f t="shared" si="30"/>
        <v>NO</v>
      </c>
      <c r="AJ390" t="str">
        <f t="shared" si="31"/>
        <v>MSN LABORATORIES PRIVATE</v>
      </c>
      <c r="AK390" t="str">
        <f>IF(ISNUMBER(SEARCH("FABRICANTE",AC390)),"FABRICANTE",IF(ISNUMBER(SEARCH("IMPORTADOR",AC390)),"IMPORTADOR","OTRO"))</f>
        <v>FABRICANTE</v>
      </c>
      <c r="AL390" t="str">
        <f>IF(LEFT(Y390,1)="A","Sistema digestivo",IF(LEFT(Y390,1)="B","Sangre",IF(LEFT(Y390,1)="C","Cardiovascular",IF(LEFT(Y390,1)="D","Dermatológico",IF(LEFT(Y390,1)="G","Genitourinario",IF(LEFT(Y390,1)="H","Hormonal",IF(LEFT(Y390,1)="J","Antiinfecciosos",IF(LEFT(Y390,1)="L","Oncológicos",IF(LEFT(Y390,1)="M","Musculoesquelético",IF(LEFT(Y390,1)="N","Sistema nervioso",IF(LEFT(Y390,1)="R","Respiratorio",IF(LEFT(Y390,1)="S","Oftálmico",IF(LEFT(Y390,1)="V","Varios","OTRO")))))))))))))</f>
        <v>Respiratorio</v>
      </c>
      <c r="AM390" t="str">
        <f>IF(AG390="Vigente","ACTIVO",IF(ISNUMBER(SEARCH("Inactivo",J390)),"INACTIVO","REVISAR"))</f>
        <v>ACTIVO</v>
      </c>
      <c r="AN390" t="str">
        <f ca="1">IF(OR(AF390="",AF390="null"),"",ROUND((AF390-TODAY())/365.25,2))</f>
        <v/>
      </c>
      <c r="AO390" t="str">
        <f ca="1">IF(AND(AG390="Vigente",OR(AF390="",AF390="null",AF390&gt;TODAY())),"SI",IF(AND(NOT(OR(AF390="",AF390="null")),AF390&lt;=TODAY()),"NO",IF(AG390="Vigente","SI","DESCONOCIDO")))</f>
        <v>SI</v>
      </c>
      <c r="AP390" t="str">
        <f>IF(AND(ISNUMBER(SEARCH("IMPORTAR",AA390)),ISNUMBER(SEARCH("FABRICAR",AA390))),"MIXTO",IF(ISNUMBER(SEARCH("IMPORTAR",AA390)),"IMPORTADO",IF(ISNUMBER(SEARCH("FABRICAR",AA390)),"LOCAL","OTRO")))</f>
        <v>IMPORTADO</v>
      </c>
      <c r="AQ390" t="str">
        <f>IF(AD390="Si","SI",IF(AD390="No","NO",""))</f>
        <v>NO</v>
      </c>
      <c r="AR390" t="str">
        <f>IF(ISNUMBER(SEARCH("®",N390)),"MARCA/INNOVADOR","GENERICO")</f>
        <v>GENERICO</v>
      </c>
      <c r="AS390">
        <f ca="1">IF(AE390&gt;100,RANDBETWEEN(500,5000),IF(AND(AE390&gt;=10,AE390&lt;=100),RANDBETWEEN(100,1000),RANDBETWEEN(10,200)))</f>
        <v>498</v>
      </c>
      <c r="AT390">
        <f t="shared" ca="1" si="32"/>
        <v>99</v>
      </c>
      <c r="AU390">
        <f ca="1">INT(AS390*RANDBETWEEN(120,200)/100)</f>
        <v>861</v>
      </c>
      <c r="AV390" s="2">
        <f ca="1">IF(LEFT(Y390,1)="L",RANDBETWEEN(500000,5000000),IF(LEFT(Y390,1)="C",RANDBETWEEN(5000,50000),IF(LEFT(Y390,1)="N",RANDBETWEEN(10000,150000),IF(LEFT(Y390,1)="J",RANDBETWEEN(8000,200000),RANDBETWEEN(5000,100000)))))</f>
        <v>33490</v>
      </c>
      <c r="AW390" s="2">
        <f ca="1">INT(AV390*RANDBETWEEN(30,60)/100)</f>
        <v>18084</v>
      </c>
      <c r="AX390">
        <f ca="1">IF(Z390="ORAL",RANDBETWEEN(1000,10000),IF(OR(Z390="INTRAVENOSA",Z390="INTRAMUSCULAR"),RANDBETWEEN(100,2000),IF(OR(Z390="OFTÁLMICA",Z390="TOPICA (EXTERNA)"),RANDBETWEEN(200,3000),RANDBETWEEN(100,1500))))</f>
        <v>1265</v>
      </c>
      <c r="AY390" s="2">
        <f ca="1">INT(AV390*RANDBETWEEN(90,130)/100)</f>
        <v>39183</v>
      </c>
      <c r="AZ390" t="str">
        <f t="shared" ca="1" si="33"/>
        <v>18.8%</v>
      </c>
      <c r="BA390" t="str">
        <f t="shared" ca="1" si="34"/>
        <v>BAJO</v>
      </c>
    </row>
    <row r="391" spans="4:53" x14ac:dyDescent="0.35">
      <c r="D391" t="s">
        <v>2908</v>
      </c>
      <c r="E391" s="1">
        <v>43794</v>
      </c>
      <c r="F391" t="s">
        <v>2909</v>
      </c>
      <c r="G391" t="s">
        <v>108</v>
      </c>
      <c r="H391" t="s">
        <v>454</v>
      </c>
      <c r="I391">
        <v>20161817</v>
      </c>
      <c r="J391" t="s">
        <v>28</v>
      </c>
      <c r="K391">
        <v>2</v>
      </c>
      <c r="L391" t="s">
        <v>2910</v>
      </c>
      <c r="M391" t="s">
        <v>2911</v>
      </c>
      <c r="N391" t="s">
        <v>2912</v>
      </c>
      <c r="O391" t="s">
        <v>2913</v>
      </c>
      <c r="P391" t="s">
        <v>527</v>
      </c>
      <c r="Q391" s="1">
        <v>43783</v>
      </c>
      <c r="R391" t="s">
        <v>527</v>
      </c>
      <c r="S391" t="s">
        <v>27</v>
      </c>
      <c r="T391" t="s">
        <v>454</v>
      </c>
      <c r="U391" t="s">
        <v>115</v>
      </c>
      <c r="V391" t="s">
        <v>162</v>
      </c>
      <c r="W391">
        <v>65</v>
      </c>
      <c r="X391">
        <v>20161817</v>
      </c>
      <c r="Y391" t="s">
        <v>164</v>
      </c>
      <c r="Z391" t="s">
        <v>119</v>
      </c>
      <c r="AA391" t="s">
        <v>24</v>
      </c>
      <c r="AB391" t="s">
        <v>120</v>
      </c>
      <c r="AC391" t="s">
        <v>25</v>
      </c>
      <c r="AD391" t="s">
        <v>121</v>
      </c>
      <c r="AE391">
        <v>4</v>
      </c>
      <c r="AF391" t="s">
        <v>27</v>
      </c>
      <c r="AG391" t="s">
        <v>26</v>
      </c>
      <c r="AH391" t="s">
        <v>976</v>
      </c>
      <c r="AI391" t="str">
        <f t="shared" si="30"/>
        <v>NO</v>
      </c>
      <c r="AJ391" t="str">
        <f t="shared" si="31"/>
        <v>PROCAPS</v>
      </c>
      <c r="AK391" t="str">
        <f>IF(ISNUMBER(SEARCH("FABRICANTE",AC391)),"FABRICANTE",IF(ISNUMBER(SEARCH("IMPORTADOR",AC391)),"IMPORTADOR","OTRO"))</f>
        <v>FABRICANTE</v>
      </c>
      <c r="AL391" t="str">
        <f>IF(LEFT(Y391,1)="A","Sistema digestivo",IF(LEFT(Y391,1)="B","Sangre",IF(LEFT(Y391,1)="C","Cardiovascular",IF(LEFT(Y391,1)="D","Dermatológico",IF(LEFT(Y391,1)="G","Genitourinario",IF(LEFT(Y391,1)="H","Hormonal",IF(LEFT(Y391,1)="J","Antiinfecciosos",IF(LEFT(Y391,1)="L","Oncológicos",IF(LEFT(Y391,1)="M","Musculoesquelético",IF(LEFT(Y391,1)="N","Sistema nervioso",IF(LEFT(Y391,1)="R","Respiratorio",IF(LEFT(Y391,1)="S","Oftálmico",IF(LEFT(Y391,1)="V","Varios","OTRO")))))))))))))</f>
        <v>Musculoesquelético</v>
      </c>
      <c r="AM391" t="str">
        <f>IF(AG391="Vigente","ACTIVO",IF(ISNUMBER(SEARCH("Inactivo",J391)),"INACTIVO","REVISAR"))</f>
        <v>ACTIVO</v>
      </c>
      <c r="AN391" t="str">
        <f ca="1">IF(OR(AF391="",AF391="null"),"",ROUND((AF391-TODAY())/365.25,2))</f>
        <v/>
      </c>
      <c r="AO391" t="str">
        <f ca="1">IF(AND(AG391="Vigente",OR(AF391="",AF391="null",AF391&gt;TODAY())),"SI",IF(AND(NOT(OR(AF391="",AF391="null")),AF391&lt;=TODAY()),"NO",IF(AG391="Vigente","SI","DESCONOCIDO")))</f>
        <v>SI</v>
      </c>
      <c r="AP391" t="str">
        <f>IF(AND(ISNUMBER(SEARCH("IMPORTAR",AA391)),ISNUMBER(SEARCH("FABRICAR",AA391))),"MIXTO",IF(ISNUMBER(SEARCH("IMPORTAR",AA391)),"IMPORTADO",IF(ISNUMBER(SEARCH("FABRICAR",AA391)),"LOCAL","OTRO")))</f>
        <v>LOCAL</v>
      </c>
      <c r="AQ391" t="str">
        <f>IF(AD391="Si","SI",IF(AD391="No","NO",""))</f>
        <v>NO</v>
      </c>
      <c r="AR391" t="str">
        <f>IF(ISNUMBER(SEARCH("®",N391)),"MARCA/INNOVADOR","GENERICO")</f>
        <v>MARCA/INNOVADOR</v>
      </c>
      <c r="AS391">
        <f ca="1">IF(AE391&gt;100,RANDBETWEEN(500,5000),IF(AND(AE391&gt;=10,AE391&lt;=100),RANDBETWEEN(100,1000),RANDBETWEEN(10,200)))</f>
        <v>124</v>
      </c>
      <c r="AT391">
        <f t="shared" ca="1" si="32"/>
        <v>29</v>
      </c>
      <c r="AU391">
        <f ca="1">INT(AS391*RANDBETWEEN(120,200)/100)</f>
        <v>202</v>
      </c>
      <c r="AV391" s="2">
        <f ca="1">IF(LEFT(Y391,1)="L",RANDBETWEEN(500000,5000000),IF(LEFT(Y391,1)="C",RANDBETWEEN(5000,50000),IF(LEFT(Y391,1)="N",RANDBETWEEN(10000,150000),IF(LEFT(Y391,1)="J",RANDBETWEEN(8000,200000),RANDBETWEEN(5000,100000)))))</f>
        <v>47826</v>
      </c>
      <c r="AW391" s="2">
        <f ca="1">INT(AV391*RANDBETWEEN(30,60)/100)</f>
        <v>27260</v>
      </c>
      <c r="AX391">
        <f ca="1">IF(Z391="ORAL",RANDBETWEEN(1000,10000),IF(OR(Z391="INTRAVENOSA",Z391="INTRAMUSCULAR"),RANDBETWEEN(100,2000),IF(OR(Z391="OFTÁLMICA",Z391="TOPICA (EXTERNA)"),RANDBETWEEN(200,3000),RANDBETWEEN(100,1500))))</f>
        <v>4736</v>
      </c>
      <c r="AY391" s="2">
        <f ca="1">INT(AV391*RANDBETWEEN(90,130)/100)</f>
        <v>57391</v>
      </c>
      <c r="AZ391" t="str">
        <f t="shared" ca="1" si="33"/>
        <v>10.6%</v>
      </c>
      <c r="BA391" t="str">
        <f t="shared" ca="1" si="34"/>
        <v>BAJO</v>
      </c>
    </row>
    <row r="392" spans="4:53" x14ac:dyDescent="0.35">
      <c r="D392" t="s">
        <v>2914</v>
      </c>
      <c r="E392" s="1">
        <v>45162</v>
      </c>
      <c r="F392" t="s">
        <v>2915</v>
      </c>
      <c r="G392" t="s">
        <v>108</v>
      </c>
      <c r="H392" t="s">
        <v>2916</v>
      </c>
      <c r="I392">
        <v>20151614</v>
      </c>
      <c r="J392" t="s">
        <v>28</v>
      </c>
      <c r="K392">
        <v>4</v>
      </c>
      <c r="L392" t="s">
        <v>27</v>
      </c>
      <c r="M392" t="s">
        <v>2917</v>
      </c>
      <c r="N392" t="s">
        <v>2918</v>
      </c>
      <c r="O392" t="s">
        <v>2919</v>
      </c>
      <c r="P392" t="s">
        <v>2920</v>
      </c>
      <c r="Q392" s="1">
        <v>45085</v>
      </c>
      <c r="R392" t="s">
        <v>912</v>
      </c>
      <c r="S392" t="s">
        <v>27</v>
      </c>
      <c r="T392" t="s">
        <v>354</v>
      </c>
      <c r="U392" t="s">
        <v>247</v>
      </c>
      <c r="V392" t="s">
        <v>2921</v>
      </c>
      <c r="W392">
        <v>2</v>
      </c>
      <c r="X392">
        <v>20151614</v>
      </c>
      <c r="Y392" t="s">
        <v>2922</v>
      </c>
      <c r="Z392" t="s">
        <v>566</v>
      </c>
      <c r="AA392" t="s">
        <v>32</v>
      </c>
      <c r="AB392" t="s">
        <v>653</v>
      </c>
      <c r="AC392" t="s">
        <v>25</v>
      </c>
      <c r="AD392" t="s">
        <v>121</v>
      </c>
      <c r="AE392">
        <v>2</v>
      </c>
      <c r="AF392" t="s">
        <v>27</v>
      </c>
      <c r="AG392" t="s">
        <v>26</v>
      </c>
      <c r="AH392" t="s">
        <v>2915</v>
      </c>
      <c r="AI392" t="str">
        <f t="shared" si="30"/>
        <v>NO</v>
      </c>
      <c r="AJ392" t="str">
        <f t="shared" si="31"/>
        <v>PFIZER</v>
      </c>
      <c r="AK392" t="str">
        <f>IF(ISNUMBER(SEARCH("FABRICANTE",AC392)),"FABRICANTE",IF(ISNUMBER(SEARCH("IMPORTADOR",AC392)),"IMPORTADOR","OTRO"))</f>
        <v>FABRICANTE</v>
      </c>
      <c r="AL392" t="str">
        <f>IF(LEFT(Y392,1)="A","Sistema digestivo",IF(LEFT(Y392,1)="B","Sangre",IF(LEFT(Y392,1)="C","Cardiovascular",IF(LEFT(Y392,1)="D","Dermatológico",IF(LEFT(Y392,1)="G","Genitourinario",IF(LEFT(Y392,1)="H","Hormonal",IF(LEFT(Y392,1)="J","Antiinfecciosos",IF(LEFT(Y392,1)="L","Oncológicos",IF(LEFT(Y392,1)="M","Musculoesquelético",IF(LEFT(Y392,1)="N","Sistema nervioso",IF(LEFT(Y392,1)="R","Respiratorio",IF(LEFT(Y392,1)="S","Oftálmico",IF(LEFT(Y392,1)="V","Varios","OTRO")))))))))))))</f>
        <v>Dermatológico</v>
      </c>
      <c r="AM392" t="str">
        <f>IF(AG392="Vigente","ACTIVO",IF(ISNUMBER(SEARCH("Inactivo",J392)),"INACTIVO","REVISAR"))</f>
        <v>ACTIVO</v>
      </c>
      <c r="AN392" t="str">
        <f ca="1">IF(OR(AF392="",AF392="null"),"",ROUND((AF392-TODAY())/365.25,2))</f>
        <v/>
      </c>
      <c r="AO392" t="str">
        <f ca="1">IF(AND(AG392="Vigente",OR(AF392="",AF392="null",AF392&gt;TODAY())),"SI",IF(AND(NOT(OR(AF392="",AF392="null")),AF392&lt;=TODAY()),"NO",IF(AG392="Vigente","SI","DESCONOCIDO")))</f>
        <v>SI</v>
      </c>
      <c r="AP392" t="str">
        <f>IF(AND(ISNUMBER(SEARCH("IMPORTAR",AA392)),ISNUMBER(SEARCH("FABRICAR",AA392))),"MIXTO",IF(ISNUMBER(SEARCH("IMPORTAR",AA392)),"IMPORTADO",IF(ISNUMBER(SEARCH("FABRICAR",AA392)),"LOCAL","OTRO")))</f>
        <v>IMPORTADO</v>
      </c>
      <c r="AQ392" t="str">
        <f>IF(AD392="Si","SI",IF(AD392="No","NO",""))</f>
        <v>NO</v>
      </c>
      <c r="AR392" t="str">
        <f>IF(ISNUMBER(SEARCH("®",N392)),"MARCA/INNOVADOR","GENERICO")</f>
        <v>MARCA/INNOVADOR</v>
      </c>
      <c r="AS392">
        <f ca="1">IF(AE392&gt;100,RANDBETWEEN(500,5000),IF(AND(AE392&gt;=10,AE392&lt;=100),RANDBETWEEN(100,1000),RANDBETWEEN(10,200)))</f>
        <v>39</v>
      </c>
      <c r="AT392">
        <f t="shared" ca="1" si="32"/>
        <v>7</v>
      </c>
      <c r="AU392">
        <f ca="1">INT(AS392*RANDBETWEEN(120,200)/100)</f>
        <v>67</v>
      </c>
      <c r="AV392" s="2">
        <f ca="1">IF(LEFT(Y392,1)="L",RANDBETWEEN(500000,5000000),IF(LEFT(Y392,1)="C",RANDBETWEEN(5000,50000),IF(LEFT(Y392,1)="N",RANDBETWEEN(10000,150000),IF(LEFT(Y392,1)="J",RANDBETWEEN(8000,200000),RANDBETWEEN(5000,100000)))))</f>
        <v>12389</v>
      </c>
      <c r="AW392" s="2">
        <f ca="1">INT(AV392*RANDBETWEEN(30,60)/100)</f>
        <v>6566</v>
      </c>
      <c r="AX392">
        <f ca="1">IF(Z392="ORAL",RANDBETWEEN(1000,10000),IF(OR(Z392="INTRAVENOSA",Z392="INTRAMUSCULAR"),RANDBETWEEN(100,2000),IF(OR(Z392="OFTÁLMICA",Z392="TOPICA (EXTERNA)"),RANDBETWEEN(200,3000),RANDBETWEEN(100,1500))))</f>
        <v>1425</v>
      </c>
      <c r="AY392" s="2">
        <f ca="1">INT(AV392*RANDBETWEEN(90,130)/100)</f>
        <v>12636</v>
      </c>
      <c r="AZ392" t="str">
        <f t="shared" ca="1" si="33"/>
        <v>2.8%</v>
      </c>
      <c r="BA392" t="str">
        <f t="shared" ca="1" si="34"/>
        <v>BAJO</v>
      </c>
    </row>
    <row r="393" spans="4:53" x14ac:dyDescent="0.35">
      <c r="D393" t="s">
        <v>2923</v>
      </c>
      <c r="E393" s="1">
        <v>41788</v>
      </c>
      <c r="F393" t="s">
        <v>2924</v>
      </c>
      <c r="G393" t="s">
        <v>108</v>
      </c>
      <c r="H393" t="s">
        <v>2925</v>
      </c>
      <c r="I393">
        <v>20062271</v>
      </c>
      <c r="J393" t="s">
        <v>28</v>
      </c>
      <c r="K393">
        <v>1</v>
      </c>
      <c r="L393" t="s">
        <v>27</v>
      </c>
      <c r="M393" t="s">
        <v>2926</v>
      </c>
      <c r="N393" t="s">
        <v>2927</v>
      </c>
      <c r="O393" t="s">
        <v>2928</v>
      </c>
      <c r="P393" t="s">
        <v>1195</v>
      </c>
      <c r="Q393" s="1">
        <v>41669</v>
      </c>
      <c r="R393" t="s">
        <v>1312</v>
      </c>
      <c r="S393" t="s">
        <v>27</v>
      </c>
      <c r="T393" t="s">
        <v>2929</v>
      </c>
      <c r="U393" t="s">
        <v>247</v>
      </c>
      <c r="V393" t="s">
        <v>2924</v>
      </c>
      <c r="W393">
        <v>1</v>
      </c>
      <c r="X393">
        <v>20062271</v>
      </c>
      <c r="Y393" t="s">
        <v>2930</v>
      </c>
      <c r="Z393" t="s">
        <v>260</v>
      </c>
      <c r="AA393" t="s">
        <v>32</v>
      </c>
      <c r="AB393" t="s">
        <v>120</v>
      </c>
      <c r="AC393" t="s">
        <v>25</v>
      </c>
      <c r="AD393" t="s">
        <v>121</v>
      </c>
      <c r="AE393">
        <v>1</v>
      </c>
      <c r="AF393" t="s">
        <v>27</v>
      </c>
      <c r="AG393" t="s">
        <v>26</v>
      </c>
      <c r="AH393" t="s">
        <v>2924</v>
      </c>
      <c r="AI393" t="str">
        <f t="shared" si="30"/>
        <v>NO</v>
      </c>
      <c r="AJ393" t="str">
        <f t="shared" si="31"/>
        <v>BLAU FARMACEUTICA COLOMBIA</v>
      </c>
      <c r="AK393" t="str">
        <f>IF(ISNUMBER(SEARCH("FABRICANTE",AC393)),"FABRICANTE",IF(ISNUMBER(SEARCH("IMPORTADOR",AC393)),"IMPORTADOR","OTRO"))</f>
        <v>FABRICANTE</v>
      </c>
      <c r="AL393" t="str">
        <f>IF(LEFT(Y393,1)="A","Sistema digestivo",IF(LEFT(Y393,1)="B","Sangre",IF(LEFT(Y393,1)="C","Cardiovascular",IF(LEFT(Y393,1)="D","Dermatológico",IF(LEFT(Y393,1)="G","Genitourinario",IF(LEFT(Y393,1)="H","Hormonal",IF(LEFT(Y393,1)="J","Antiinfecciosos",IF(LEFT(Y393,1)="L","Oncológicos",IF(LEFT(Y393,1)="M","Musculoesquelético",IF(LEFT(Y393,1)="N","Sistema nervioso",IF(LEFT(Y393,1)="R","Respiratorio",IF(LEFT(Y393,1)="S","Oftálmico",IF(LEFT(Y393,1)="V","Varios","OTRO")))))))))))))</f>
        <v>Oncológicos</v>
      </c>
      <c r="AM393" t="str">
        <f>IF(AG393="Vigente","ACTIVO",IF(ISNUMBER(SEARCH("Inactivo",J393)),"INACTIVO","REVISAR"))</f>
        <v>ACTIVO</v>
      </c>
      <c r="AN393" t="str">
        <f ca="1">IF(OR(AF393="",AF393="null"),"",ROUND((AF393-TODAY())/365.25,2))</f>
        <v/>
      </c>
      <c r="AO393" t="str">
        <f ca="1">IF(AND(AG393="Vigente",OR(AF393="",AF393="null",AF393&gt;TODAY())),"SI",IF(AND(NOT(OR(AF393="",AF393="null")),AF393&lt;=TODAY()),"NO",IF(AG393="Vigente","SI","DESCONOCIDO")))</f>
        <v>SI</v>
      </c>
      <c r="AP393" t="str">
        <f>IF(AND(ISNUMBER(SEARCH("IMPORTAR",AA393)),ISNUMBER(SEARCH("FABRICAR",AA393))),"MIXTO",IF(ISNUMBER(SEARCH("IMPORTAR",AA393)),"IMPORTADO",IF(ISNUMBER(SEARCH("FABRICAR",AA393)),"LOCAL","OTRO")))</f>
        <v>IMPORTADO</v>
      </c>
      <c r="AQ393" t="str">
        <f>IF(AD393="Si","SI",IF(AD393="No","NO",""))</f>
        <v>NO</v>
      </c>
      <c r="AR393" t="str">
        <f>IF(ISNUMBER(SEARCH("®",N393)),"MARCA/INNOVADOR","GENERICO")</f>
        <v>GENERICO</v>
      </c>
      <c r="AS393">
        <f ca="1">IF(AE393&gt;100,RANDBETWEEN(500,5000),IF(AND(AE393&gt;=10,AE393&lt;=100),RANDBETWEEN(100,1000),RANDBETWEEN(10,200)))</f>
        <v>172</v>
      </c>
      <c r="AT393">
        <f t="shared" ca="1" si="32"/>
        <v>39</v>
      </c>
      <c r="AU393">
        <f ca="1">INT(AS393*RANDBETWEEN(120,200)/100)</f>
        <v>340</v>
      </c>
      <c r="AV393" s="2">
        <f ca="1">IF(LEFT(Y393,1)="L",RANDBETWEEN(500000,5000000),IF(LEFT(Y393,1)="C",RANDBETWEEN(5000,50000),IF(LEFT(Y393,1)="N",RANDBETWEEN(10000,150000),IF(LEFT(Y393,1)="J",RANDBETWEEN(8000,200000),RANDBETWEEN(5000,100000)))))</f>
        <v>3687458</v>
      </c>
      <c r="AW393" s="2">
        <f ca="1">INT(AV393*RANDBETWEEN(30,60)/100)</f>
        <v>1880603</v>
      </c>
      <c r="AX393">
        <f ca="1">IF(Z393="ORAL",RANDBETWEEN(1000,10000),IF(OR(Z393="INTRAVENOSA",Z393="INTRAMUSCULAR"),RANDBETWEEN(100,2000),IF(OR(Z393="OFTÁLMICA",Z393="TOPICA (EXTERNA)"),RANDBETWEEN(200,3000),RANDBETWEEN(100,1500))))</f>
        <v>1045</v>
      </c>
      <c r="AY393" s="2">
        <f ca="1">INT(AV393*RANDBETWEEN(90,130)/100)</f>
        <v>3761207</v>
      </c>
      <c r="AZ393" t="str">
        <f t="shared" ca="1" si="33"/>
        <v>4.6%</v>
      </c>
      <c r="BA393" t="str">
        <f t="shared" ca="1" si="34"/>
        <v>BAJO</v>
      </c>
    </row>
    <row r="394" spans="4:53" x14ac:dyDescent="0.35">
      <c r="D394" t="s">
        <v>2931</v>
      </c>
      <c r="E394" s="1">
        <v>40427</v>
      </c>
      <c r="F394" t="s">
        <v>2932</v>
      </c>
      <c r="G394" t="s">
        <v>108</v>
      </c>
      <c r="H394" t="s">
        <v>2933</v>
      </c>
      <c r="I394">
        <v>20012256</v>
      </c>
      <c r="J394" t="s">
        <v>110</v>
      </c>
      <c r="K394">
        <v>2</v>
      </c>
      <c r="L394" t="s">
        <v>27</v>
      </c>
      <c r="M394" t="s">
        <v>1874</v>
      </c>
      <c r="N394" t="s">
        <v>1875</v>
      </c>
      <c r="O394" t="s">
        <v>2934</v>
      </c>
      <c r="P394" t="s">
        <v>1877</v>
      </c>
      <c r="Q394" s="1">
        <v>40674</v>
      </c>
      <c r="R394" t="s">
        <v>50</v>
      </c>
      <c r="S394" s="1">
        <v>43341</v>
      </c>
      <c r="T394" t="s">
        <v>1872</v>
      </c>
      <c r="U394" t="s">
        <v>807</v>
      </c>
      <c r="V394" t="s">
        <v>1878</v>
      </c>
      <c r="W394">
        <v>4</v>
      </c>
      <c r="X394">
        <v>20012256</v>
      </c>
      <c r="Y394" t="s">
        <v>1879</v>
      </c>
      <c r="Z394" t="s">
        <v>213</v>
      </c>
      <c r="AA394" t="s">
        <v>32</v>
      </c>
      <c r="AB394" t="s">
        <v>239</v>
      </c>
      <c r="AC394" t="s">
        <v>38</v>
      </c>
      <c r="AD394" t="s">
        <v>121</v>
      </c>
      <c r="AE394">
        <v>1</v>
      </c>
      <c r="AF394" s="1">
        <v>401769</v>
      </c>
      <c r="AG394" t="s">
        <v>26</v>
      </c>
      <c r="AH394" t="s">
        <v>120</v>
      </c>
      <c r="AI394" t="str">
        <f t="shared" si="30"/>
        <v>NO</v>
      </c>
      <c r="AJ394" t="str">
        <f t="shared" si="31"/>
        <v>SANOFI PASTEUR</v>
      </c>
      <c r="AK394" t="str">
        <f>IF(ISNUMBER(SEARCH("FABRICANTE",AC394)),"FABRICANTE",IF(ISNUMBER(SEARCH("IMPORTADOR",AC394)),"IMPORTADOR","OTRO"))</f>
        <v>IMPORTADOR</v>
      </c>
      <c r="AL394" t="str">
        <f>IF(LEFT(Y394,1)="A","Sistema digestivo",IF(LEFT(Y394,1)="B","Sangre",IF(LEFT(Y394,1)="C","Cardiovascular",IF(LEFT(Y394,1)="D","Dermatológico",IF(LEFT(Y394,1)="G","Genitourinario",IF(LEFT(Y394,1)="H","Hormonal",IF(LEFT(Y394,1)="J","Antiinfecciosos",IF(LEFT(Y394,1)="L","Oncológicos",IF(LEFT(Y394,1)="M","Musculoesquelético",IF(LEFT(Y394,1)="N","Sistema nervioso",IF(LEFT(Y394,1)="R","Respiratorio",IF(LEFT(Y394,1)="S","Oftálmico",IF(LEFT(Y394,1)="V","Varios","OTRO")))))))))))))</f>
        <v>Antiinfecciosos</v>
      </c>
      <c r="AM394" t="str">
        <f>IF(AG394="Vigente","ACTIVO",IF(ISNUMBER(SEARCH("Inactivo",J394)),"INACTIVO","REVISAR"))</f>
        <v>ACTIVO</v>
      </c>
      <c r="AN394">
        <f ca="1">IF(OR(AF394="",AF394="null"),"",ROUND((AF394-TODAY())/365.25,2))</f>
        <v>973.58</v>
      </c>
      <c r="AO394" t="str">
        <f ca="1">IF(AND(AG394="Vigente",OR(AF394="",AF394="null",AF394&gt;TODAY())),"SI",IF(AND(NOT(OR(AF394="",AF394="null")),AF394&lt;=TODAY()),"NO",IF(AG394="Vigente","SI","DESCONOCIDO")))</f>
        <v>SI</v>
      </c>
      <c r="AP394" t="str">
        <f>IF(AND(ISNUMBER(SEARCH("IMPORTAR",AA394)),ISNUMBER(SEARCH("FABRICAR",AA394))),"MIXTO",IF(ISNUMBER(SEARCH("IMPORTAR",AA394)),"IMPORTADO",IF(ISNUMBER(SEARCH("FABRICAR",AA394)),"LOCAL","OTRO")))</f>
        <v>IMPORTADO</v>
      </c>
      <c r="AQ394" t="str">
        <f>IF(AD394="Si","SI",IF(AD394="No","NO",""))</f>
        <v>NO</v>
      </c>
      <c r="AR394" t="str">
        <f>IF(ISNUMBER(SEARCH("®",N394)),"MARCA/INNOVADOR","GENERICO")</f>
        <v>MARCA/INNOVADOR</v>
      </c>
      <c r="AS394">
        <f ca="1">IF(AE394&gt;100,RANDBETWEEN(500,5000),IF(AND(AE394&gt;=10,AE394&lt;=100),RANDBETWEEN(100,1000),RANDBETWEEN(10,200)))</f>
        <v>190</v>
      </c>
      <c r="AT394">
        <f t="shared" ca="1" si="32"/>
        <v>41</v>
      </c>
      <c r="AU394">
        <f ca="1">INT(AS394*RANDBETWEEN(120,200)/100)</f>
        <v>247</v>
      </c>
      <c r="AV394" s="2">
        <f ca="1">IF(LEFT(Y394,1)="L",RANDBETWEEN(500000,5000000),IF(LEFT(Y394,1)="C",RANDBETWEEN(5000,50000),IF(LEFT(Y394,1)="N",RANDBETWEEN(10000,150000),IF(LEFT(Y394,1)="J",RANDBETWEEN(8000,200000),RANDBETWEEN(5000,100000)))))</f>
        <v>25125</v>
      </c>
      <c r="AW394" s="2">
        <f ca="1">INT(AV394*RANDBETWEEN(30,60)/100)</f>
        <v>11808</v>
      </c>
      <c r="AX394">
        <f ca="1">IF(Z394="ORAL",RANDBETWEEN(1000,10000),IF(OR(Z394="INTRAVENOSA",Z394="INTRAMUSCULAR"),RANDBETWEEN(100,2000),IF(OR(Z394="OFTÁLMICA",Z394="TOPICA (EXTERNA)"),RANDBETWEEN(200,3000),RANDBETWEEN(100,1500))))</f>
        <v>138</v>
      </c>
      <c r="AY394" s="2">
        <f ca="1">INT(AV394*RANDBETWEEN(90,130)/100)</f>
        <v>25125</v>
      </c>
      <c r="AZ394" t="str">
        <f t="shared" ca="1" si="33"/>
        <v>8.7%</v>
      </c>
      <c r="BA394" t="str">
        <f t="shared" ca="1" si="34"/>
        <v>MEDIO</v>
      </c>
    </row>
    <row r="395" spans="4:53" x14ac:dyDescent="0.35">
      <c r="D395" t="s">
        <v>2935</v>
      </c>
      <c r="E395" s="1">
        <v>41215</v>
      </c>
      <c r="F395" t="s">
        <v>2936</v>
      </c>
      <c r="G395" t="s">
        <v>108</v>
      </c>
      <c r="H395" t="s">
        <v>2937</v>
      </c>
      <c r="I395">
        <v>20030887</v>
      </c>
      <c r="J395" t="s">
        <v>28</v>
      </c>
      <c r="K395">
        <v>2</v>
      </c>
      <c r="L395" t="s">
        <v>27</v>
      </c>
      <c r="M395" t="s">
        <v>2938</v>
      </c>
      <c r="N395" t="s">
        <v>2939</v>
      </c>
      <c r="O395" t="s">
        <v>2940</v>
      </c>
      <c r="P395" t="s">
        <v>128</v>
      </c>
      <c r="Q395" s="1">
        <v>41051</v>
      </c>
      <c r="R395" t="s">
        <v>151</v>
      </c>
      <c r="S395" t="s">
        <v>27</v>
      </c>
      <c r="T395" t="s">
        <v>2941</v>
      </c>
      <c r="U395" t="s">
        <v>115</v>
      </c>
      <c r="V395" t="s">
        <v>2942</v>
      </c>
      <c r="W395">
        <v>5</v>
      </c>
      <c r="X395">
        <v>20030887</v>
      </c>
      <c r="Y395" t="s">
        <v>2943</v>
      </c>
      <c r="Z395" t="s">
        <v>154</v>
      </c>
      <c r="AA395" t="s">
        <v>32</v>
      </c>
      <c r="AB395" t="s">
        <v>133</v>
      </c>
      <c r="AC395" t="s">
        <v>25</v>
      </c>
      <c r="AD395" t="s">
        <v>121</v>
      </c>
      <c r="AE395">
        <v>1</v>
      </c>
      <c r="AF395" t="s">
        <v>27</v>
      </c>
      <c r="AG395" t="s">
        <v>26</v>
      </c>
      <c r="AH395" t="s">
        <v>6794</v>
      </c>
      <c r="AI395" t="str">
        <f t="shared" si="30"/>
        <v>NO</v>
      </c>
      <c r="AJ395" t="str">
        <f t="shared" si="31"/>
        <v>ABBVIE</v>
      </c>
      <c r="AK395" t="str">
        <f>IF(ISNUMBER(SEARCH("FABRICANTE",AC395)),"FABRICANTE",IF(ISNUMBER(SEARCH("IMPORTADOR",AC395)),"IMPORTADOR","OTRO"))</f>
        <v>FABRICANTE</v>
      </c>
      <c r="AL395" t="str">
        <f>IF(LEFT(Y395,1)="A","Sistema digestivo",IF(LEFT(Y395,1)="B","Sangre",IF(LEFT(Y395,1)="C","Cardiovascular",IF(LEFT(Y395,1)="D","Dermatológico",IF(LEFT(Y395,1)="G","Genitourinario",IF(LEFT(Y395,1)="H","Hormonal",IF(LEFT(Y395,1)="J","Antiinfecciosos",IF(LEFT(Y395,1)="L","Oncológicos",IF(LEFT(Y395,1)="M","Musculoesquelético",IF(LEFT(Y395,1)="N","Sistema nervioso",IF(LEFT(Y395,1)="R","Respiratorio",IF(LEFT(Y395,1)="S","Oftálmico",IF(LEFT(Y395,1)="V","Varios","OTRO")))))))))))))</f>
        <v>Oftálmico</v>
      </c>
      <c r="AM395" t="str">
        <f>IF(AG395="Vigente","ACTIVO",IF(ISNUMBER(SEARCH("Inactivo",J395)),"INACTIVO","REVISAR"))</f>
        <v>ACTIVO</v>
      </c>
      <c r="AN395" t="str">
        <f ca="1">IF(OR(AF395="",AF395="null"),"",ROUND((AF395-TODAY())/365.25,2))</f>
        <v/>
      </c>
      <c r="AO395" t="str">
        <f ca="1">IF(AND(AG395="Vigente",OR(AF395="",AF395="null",AF395&gt;TODAY())),"SI",IF(AND(NOT(OR(AF395="",AF395="null")),AF395&lt;=TODAY()),"NO",IF(AG395="Vigente","SI","DESCONOCIDO")))</f>
        <v>SI</v>
      </c>
      <c r="AP395" t="str">
        <f>IF(AND(ISNUMBER(SEARCH("IMPORTAR",AA395)),ISNUMBER(SEARCH("FABRICAR",AA395))),"MIXTO",IF(ISNUMBER(SEARCH("IMPORTAR",AA395)),"IMPORTADO",IF(ISNUMBER(SEARCH("FABRICAR",AA395)),"LOCAL","OTRO")))</f>
        <v>IMPORTADO</v>
      </c>
      <c r="AQ395" t="str">
        <f>IF(AD395="Si","SI",IF(AD395="No","NO",""))</f>
        <v>NO</v>
      </c>
      <c r="AR395" t="str">
        <f>IF(ISNUMBER(SEARCH("®",N395)),"MARCA/INNOVADOR","GENERICO")</f>
        <v>MARCA/INNOVADOR</v>
      </c>
      <c r="AS395">
        <f ca="1">IF(AE395&gt;100,RANDBETWEEN(500,5000),IF(AND(AE395&gt;=10,AE395&lt;=100),RANDBETWEEN(100,1000),RANDBETWEEN(10,200)))</f>
        <v>27</v>
      </c>
      <c r="AT395">
        <f t="shared" ca="1" si="32"/>
        <v>5</v>
      </c>
      <c r="AU395">
        <f ca="1">INT(AS395*RANDBETWEEN(120,200)/100)</f>
        <v>52</v>
      </c>
      <c r="AV395" s="2">
        <f ca="1">IF(LEFT(Y395,1)="L",RANDBETWEEN(500000,5000000),IF(LEFT(Y395,1)="C",RANDBETWEEN(5000,50000),IF(LEFT(Y395,1)="N",RANDBETWEEN(10000,150000),IF(LEFT(Y395,1)="J",RANDBETWEEN(8000,200000),RANDBETWEEN(5000,100000)))))</f>
        <v>35071</v>
      </c>
      <c r="AW395" s="2">
        <f ca="1">INT(AV395*RANDBETWEEN(30,60)/100)</f>
        <v>20691</v>
      </c>
      <c r="AX395">
        <f ca="1">IF(Z395="ORAL",RANDBETWEEN(1000,10000),IF(OR(Z395="INTRAVENOSA",Z395="INTRAMUSCULAR"),RANDBETWEEN(100,2000),IF(OR(Z395="OFTÁLMICA",Z395="TOPICA (EXTERNA)"),RANDBETWEEN(200,3000),RANDBETWEEN(100,1500))))</f>
        <v>1121</v>
      </c>
      <c r="AY395" s="2">
        <f ca="1">INT(AV395*RANDBETWEEN(90,130)/100)</f>
        <v>43838</v>
      </c>
      <c r="AZ395" t="str">
        <f t="shared" ca="1" si="33"/>
        <v>5.6%</v>
      </c>
      <c r="BA395" t="str">
        <f t="shared" ca="1" si="34"/>
        <v>BAJO</v>
      </c>
    </row>
    <row r="396" spans="4:53" x14ac:dyDescent="0.35">
      <c r="D396" t="s">
        <v>2944</v>
      </c>
      <c r="E396" s="1">
        <v>36161</v>
      </c>
      <c r="F396" t="s">
        <v>2945</v>
      </c>
      <c r="G396" t="s">
        <v>108</v>
      </c>
      <c r="H396" t="s">
        <v>2946</v>
      </c>
      <c r="I396">
        <v>19906441</v>
      </c>
      <c r="J396" t="s">
        <v>28</v>
      </c>
      <c r="K396">
        <v>13</v>
      </c>
      <c r="L396" t="s">
        <v>27</v>
      </c>
      <c r="M396" t="s">
        <v>2947</v>
      </c>
      <c r="N396" t="s">
        <v>2948</v>
      </c>
      <c r="O396" t="s">
        <v>2949</v>
      </c>
      <c r="P396" t="s">
        <v>234</v>
      </c>
      <c r="Q396" s="1">
        <v>45672</v>
      </c>
      <c r="R396" t="s">
        <v>50</v>
      </c>
      <c r="S396" t="s">
        <v>27</v>
      </c>
      <c r="T396" t="s">
        <v>1847</v>
      </c>
      <c r="U396" t="s">
        <v>115</v>
      </c>
      <c r="V396" t="s">
        <v>1848</v>
      </c>
      <c r="W396">
        <v>270</v>
      </c>
      <c r="X396">
        <v>19906441</v>
      </c>
      <c r="Y396" t="s">
        <v>1849</v>
      </c>
      <c r="Z396" t="s">
        <v>1183</v>
      </c>
      <c r="AA396" t="s">
        <v>32</v>
      </c>
      <c r="AB396" t="s">
        <v>120</v>
      </c>
      <c r="AC396" t="s">
        <v>38</v>
      </c>
      <c r="AD396" t="s">
        <v>155</v>
      </c>
      <c r="AE396">
        <v>10</v>
      </c>
      <c r="AF396" t="s">
        <v>27</v>
      </c>
      <c r="AG396" t="s">
        <v>26</v>
      </c>
      <c r="AH396" t="s">
        <v>6762</v>
      </c>
      <c r="AI396" t="str">
        <f t="shared" si="30"/>
        <v>NO</v>
      </c>
      <c r="AJ396" t="str">
        <f t="shared" si="31"/>
        <v>GE HEALTHCARE AS</v>
      </c>
      <c r="AK396" t="str">
        <f>IF(ISNUMBER(SEARCH("FABRICANTE",AC396)),"FABRICANTE",IF(ISNUMBER(SEARCH("IMPORTADOR",AC396)),"IMPORTADOR","OTRO"))</f>
        <v>IMPORTADOR</v>
      </c>
      <c r="AL396" t="str">
        <f>IF(LEFT(Y396,1)="A","Sistema digestivo",IF(LEFT(Y396,1)="B","Sangre",IF(LEFT(Y396,1)="C","Cardiovascular",IF(LEFT(Y396,1)="D","Dermatológico",IF(LEFT(Y396,1)="G","Genitourinario",IF(LEFT(Y396,1)="H","Hormonal",IF(LEFT(Y396,1)="J","Antiinfecciosos",IF(LEFT(Y396,1)="L","Oncológicos",IF(LEFT(Y396,1)="M","Musculoesquelético",IF(LEFT(Y396,1)="N","Sistema nervioso",IF(LEFT(Y396,1)="R","Respiratorio",IF(LEFT(Y396,1)="S","Oftálmico",IF(LEFT(Y396,1)="V","Varios","OTRO")))))))))))))</f>
        <v>Varios</v>
      </c>
      <c r="AM396" t="str">
        <f>IF(AG396="Vigente","ACTIVO",IF(ISNUMBER(SEARCH("Inactivo",J396)),"INACTIVO","REVISAR"))</f>
        <v>ACTIVO</v>
      </c>
      <c r="AN396" t="str">
        <f ca="1">IF(OR(AF396="",AF396="null"),"",ROUND((AF396-TODAY())/365.25,2))</f>
        <v/>
      </c>
      <c r="AO396" t="str">
        <f ca="1">IF(AND(AG396="Vigente",OR(AF396="",AF396="null",AF396&gt;TODAY())),"SI",IF(AND(NOT(OR(AF396="",AF396="null")),AF396&lt;=TODAY()),"NO",IF(AG396="Vigente","SI","DESCONOCIDO")))</f>
        <v>SI</v>
      </c>
      <c r="AP396" t="str">
        <f>IF(AND(ISNUMBER(SEARCH("IMPORTAR",AA396)),ISNUMBER(SEARCH("FABRICAR",AA396))),"MIXTO",IF(ISNUMBER(SEARCH("IMPORTAR",AA396)),"IMPORTADO",IF(ISNUMBER(SEARCH("FABRICAR",AA396)),"LOCAL","OTRO")))</f>
        <v>IMPORTADO</v>
      </c>
      <c r="AQ396" t="str">
        <f>IF(AD396="Si","SI",IF(AD396="No","NO",""))</f>
        <v>SI</v>
      </c>
      <c r="AR396" t="str">
        <f>IF(ISNUMBER(SEARCH("®",N396)),"MARCA/INNOVADOR","GENERICO")</f>
        <v>GENERICO</v>
      </c>
      <c r="AS396">
        <f ca="1">IF(AE396&gt;100,RANDBETWEEN(500,5000),IF(AND(AE396&gt;=10,AE396&lt;=100),RANDBETWEEN(100,1000),RANDBETWEEN(10,200)))</f>
        <v>317</v>
      </c>
      <c r="AT396">
        <f t="shared" ca="1" si="32"/>
        <v>44</v>
      </c>
      <c r="AU396">
        <f ca="1">INT(AS396*RANDBETWEEN(120,200)/100)</f>
        <v>472</v>
      </c>
      <c r="AV396" s="2">
        <f ca="1">IF(LEFT(Y396,1)="L",RANDBETWEEN(500000,5000000),IF(LEFT(Y396,1)="C",RANDBETWEEN(5000,50000),IF(LEFT(Y396,1)="N",RANDBETWEEN(10000,150000),IF(LEFT(Y396,1)="J",RANDBETWEEN(8000,200000),RANDBETWEEN(5000,100000)))))</f>
        <v>27441</v>
      </c>
      <c r="AW396" s="2">
        <f ca="1">INT(AV396*RANDBETWEEN(30,60)/100)</f>
        <v>12348</v>
      </c>
      <c r="AX396">
        <f ca="1">IF(Z396="ORAL",RANDBETWEEN(1000,10000),IF(OR(Z396="INTRAVENOSA",Z396="INTRAMUSCULAR"),RANDBETWEEN(100,2000),IF(OR(Z396="OFTÁLMICA",Z396="TOPICA (EXTERNA)"),RANDBETWEEN(200,3000),RANDBETWEEN(100,1500))))</f>
        <v>630</v>
      </c>
      <c r="AY396" s="2">
        <f ca="1">INT(AV396*RANDBETWEEN(90,130)/100)</f>
        <v>27989</v>
      </c>
      <c r="AZ396" t="str">
        <f t="shared" ca="1" si="33"/>
        <v>2.8%</v>
      </c>
      <c r="BA396" t="str">
        <f t="shared" ca="1" si="34"/>
        <v>BAJO</v>
      </c>
    </row>
    <row r="397" spans="4:53" x14ac:dyDescent="0.35">
      <c r="D397" t="s">
        <v>2950</v>
      </c>
      <c r="E397" s="1">
        <v>40948</v>
      </c>
      <c r="F397" t="s">
        <v>70</v>
      </c>
      <c r="G397" t="s">
        <v>108</v>
      </c>
      <c r="H397" t="s">
        <v>2033</v>
      </c>
      <c r="I397">
        <v>20033258</v>
      </c>
      <c r="J397" t="s">
        <v>28</v>
      </c>
      <c r="K397">
        <v>2</v>
      </c>
      <c r="L397" t="s">
        <v>27</v>
      </c>
      <c r="M397" t="s">
        <v>2034</v>
      </c>
      <c r="N397" t="s">
        <v>2035</v>
      </c>
      <c r="O397" t="s">
        <v>2951</v>
      </c>
      <c r="P397" t="s">
        <v>2037</v>
      </c>
      <c r="Q397" s="1">
        <v>40946</v>
      </c>
      <c r="R397" t="s">
        <v>258</v>
      </c>
      <c r="S397" t="s">
        <v>27</v>
      </c>
      <c r="T397" t="s">
        <v>549</v>
      </c>
      <c r="U397" t="s">
        <v>247</v>
      </c>
      <c r="V397" t="s">
        <v>64</v>
      </c>
      <c r="W397" t="s">
        <v>2952</v>
      </c>
      <c r="X397">
        <v>20033258</v>
      </c>
      <c r="Y397" t="s">
        <v>259</v>
      </c>
      <c r="Z397" t="s">
        <v>260</v>
      </c>
      <c r="AA397" t="s">
        <v>32</v>
      </c>
      <c r="AB397" t="s">
        <v>133</v>
      </c>
      <c r="AC397" t="s">
        <v>25</v>
      </c>
      <c r="AD397" t="s">
        <v>121</v>
      </c>
      <c r="AE397">
        <v>1</v>
      </c>
      <c r="AF397" t="s">
        <v>27</v>
      </c>
      <c r="AG397" t="s">
        <v>26</v>
      </c>
      <c r="AH397" t="s">
        <v>6735</v>
      </c>
      <c r="AI397" t="str">
        <f t="shared" si="30"/>
        <v>NO</v>
      </c>
      <c r="AJ397" t="str">
        <f t="shared" si="31"/>
        <v>LABORATORIOS BAXTER</v>
      </c>
      <c r="AK397" t="str">
        <f>IF(ISNUMBER(SEARCH("FABRICANTE",AC397)),"FABRICANTE",IF(ISNUMBER(SEARCH("IMPORTADOR",AC397)),"IMPORTADOR","OTRO"))</f>
        <v>FABRICANTE</v>
      </c>
      <c r="AL397" t="str">
        <f>IF(LEFT(Y397,1)="A","Sistema digestivo",IF(LEFT(Y397,1)="B","Sangre",IF(LEFT(Y397,1)="C","Cardiovascular",IF(LEFT(Y397,1)="D","Dermatológico",IF(LEFT(Y397,1)="G","Genitourinario",IF(LEFT(Y397,1)="H","Hormonal",IF(LEFT(Y397,1)="J","Antiinfecciosos",IF(LEFT(Y397,1)="L","Oncológicos",IF(LEFT(Y397,1)="M","Musculoesquelético",IF(LEFT(Y397,1)="N","Sistema nervioso",IF(LEFT(Y397,1)="R","Respiratorio",IF(LEFT(Y397,1)="S","Oftálmico",IF(LEFT(Y397,1)="V","Varios","OTRO")))))))))))))</f>
        <v>Sangre</v>
      </c>
      <c r="AM397" t="str">
        <f>IF(AG397="Vigente","ACTIVO",IF(ISNUMBER(SEARCH("Inactivo",J397)),"INACTIVO","REVISAR"))</f>
        <v>ACTIVO</v>
      </c>
      <c r="AN397" t="str">
        <f ca="1">IF(OR(AF397="",AF397="null"),"",ROUND((AF397-TODAY())/365.25,2))</f>
        <v/>
      </c>
      <c r="AO397" t="str">
        <f ca="1">IF(AND(AG397="Vigente",OR(AF397="",AF397="null",AF397&gt;TODAY())),"SI",IF(AND(NOT(OR(AF397="",AF397="null")),AF397&lt;=TODAY()),"NO",IF(AG397="Vigente","SI","DESCONOCIDO")))</f>
        <v>SI</v>
      </c>
      <c r="AP397" t="str">
        <f>IF(AND(ISNUMBER(SEARCH("IMPORTAR",AA397)),ISNUMBER(SEARCH("FABRICAR",AA397))),"MIXTO",IF(ISNUMBER(SEARCH("IMPORTAR",AA397)),"IMPORTADO",IF(ISNUMBER(SEARCH("FABRICAR",AA397)),"LOCAL","OTRO")))</f>
        <v>IMPORTADO</v>
      </c>
      <c r="AQ397" t="str">
        <f>IF(AD397="Si","SI",IF(AD397="No","NO",""))</f>
        <v>NO</v>
      </c>
      <c r="AR397" t="str">
        <f>IF(ISNUMBER(SEARCH("®",N397)),"MARCA/INNOVADOR","GENERICO")</f>
        <v>GENERICO</v>
      </c>
      <c r="AS397">
        <f ca="1">IF(AE397&gt;100,RANDBETWEEN(500,5000),IF(AND(AE397&gt;=10,AE397&lt;=100),RANDBETWEEN(100,1000),RANDBETWEEN(10,200)))</f>
        <v>88</v>
      </c>
      <c r="AT397">
        <f t="shared" ca="1" si="32"/>
        <v>18</v>
      </c>
      <c r="AU397">
        <f ca="1">INT(AS397*RANDBETWEEN(120,200)/100)</f>
        <v>111</v>
      </c>
      <c r="AV397" s="2">
        <f ca="1">IF(LEFT(Y397,1)="L",RANDBETWEEN(500000,5000000),IF(LEFT(Y397,1)="C",RANDBETWEEN(5000,50000),IF(LEFT(Y397,1)="N",RANDBETWEEN(10000,150000),IF(LEFT(Y397,1)="J",RANDBETWEEN(8000,200000),RANDBETWEEN(5000,100000)))))</f>
        <v>7634</v>
      </c>
      <c r="AW397" s="2">
        <f ca="1">INT(AV397*RANDBETWEEN(30,60)/100)</f>
        <v>2290</v>
      </c>
      <c r="AX397">
        <f ca="1">IF(Z397="ORAL",RANDBETWEEN(1000,10000),IF(OR(Z397="INTRAVENOSA",Z397="INTRAMUSCULAR"),RANDBETWEEN(100,2000),IF(OR(Z397="OFTÁLMICA",Z397="TOPICA (EXTERNA)"),RANDBETWEEN(200,3000),RANDBETWEEN(100,1500))))</f>
        <v>909</v>
      </c>
      <c r="AY397" s="2">
        <f ca="1">INT(AV397*RANDBETWEEN(90,130)/100)</f>
        <v>9237</v>
      </c>
      <c r="AZ397" t="str">
        <f t="shared" ca="1" si="33"/>
        <v>0.4%</v>
      </c>
      <c r="BA397" t="str">
        <f t="shared" ca="1" si="34"/>
        <v>BAJO</v>
      </c>
    </row>
    <row r="398" spans="4:53" x14ac:dyDescent="0.35">
      <c r="D398" t="s">
        <v>2953</v>
      </c>
      <c r="E398" s="1">
        <v>37869</v>
      </c>
      <c r="F398" t="s">
        <v>2954</v>
      </c>
      <c r="G398" t="s">
        <v>108</v>
      </c>
      <c r="H398" t="s">
        <v>195</v>
      </c>
      <c r="I398">
        <v>19931425</v>
      </c>
      <c r="J398" t="s">
        <v>28</v>
      </c>
      <c r="K398">
        <v>12</v>
      </c>
      <c r="L398" t="s">
        <v>27</v>
      </c>
      <c r="M398" t="s">
        <v>2955</v>
      </c>
      <c r="N398" t="s">
        <v>2956</v>
      </c>
      <c r="O398" t="s">
        <v>2957</v>
      </c>
      <c r="P398" t="s">
        <v>2958</v>
      </c>
      <c r="Q398" s="1">
        <v>42136</v>
      </c>
      <c r="R398" t="s">
        <v>780</v>
      </c>
      <c r="S398" t="s">
        <v>27</v>
      </c>
      <c r="T398" t="s">
        <v>2959</v>
      </c>
      <c r="U398" t="s">
        <v>115</v>
      </c>
      <c r="V398" t="s">
        <v>1859</v>
      </c>
      <c r="W398">
        <v>75</v>
      </c>
      <c r="X398">
        <v>19931425</v>
      </c>
      <c r="Y398" t="s">
        <v>1860</v>
      </c>
      <c r="Z398" t="s">
        <v>119</v>
      </c>
      <c r="AA398" t="s">
        <v>32</v>
      </c>
      <c r="AB398" t="s">
        <v>120</v>
      </c>
      <c r="AC398" t="s">
        <v>38</v>
      </c>
      <c r="AD398" t="s">
        <v>121</v>
      </c>
      <c r="AE398">
        <v>10</v>
      </c>
      <c r="AF398" s="1">
        <v>401769</v>
      </c>
      <c r="AG398" t="s">
        <v>26</v>
      </c>
      <c r="AH398" t="s">
        <v>6795</v>
      </c>
      <c r="AI398" t="str">
        <f t="shared" si="30"/>
        <v>NO</v>
      </c>
      <c r="AJ398" t="str">
        <f t="shared" si="31"/>
        <v>FARMACEUTICA PARAGUAYA</v>
      </c>
      <c r="AK398" t="str">
        <f>IF(ISNUMBER(SEARCH("FABRICANTE",AC398)),"FABRICANTE",IF(ISNUMBER(SEARCH("IMPORTADOR",AC398)),"IMPORTADOR","OTRO"))</f>
        <v>IMPORTADOR</v>
      </c>
      <c r="AL398" t="str">
        <f>IF(LEFT(Y398,1)="A","Sistema digestivo",IF(LEFT(Y398,1)="B","Sangre",IF(LEFT(Y398,1)="C","Cardiovascular",IF(LEFT(Y398,1)="D","Dermatológico",IF(LEFT(Y398,1)="G","Genitourinario",IF(LEFT(Y398,1)="H","Hormonal",IF(LEFT(Y398,1)="J","Antiinfecciosos",IF(LEFT(Y398,1)="L","Oncológicos",IF(LEFT(Y398,1)="M","Musculoesquelético",IF(LEFT(Y398,1)="N","Sistema nervioso",IF(LEFT(Y398,1)="R","Respiratorio",IF(LEFT(Y398,1)="S","Oftálmico",IF(LEFT(Y398,1)="V","Varios","OTRO")))))))))))))</f>
        <v>Musculoesquelético</v>
      </c>
      <c r="AM398" t="str">
        <f>IF(AG398="Vigente","ACTIVO",IF(ISNUMBER(SEARCH("Inactivo",J398)),"INACTIVO","REVISAR"))</f>
        <v>ACTIVO</v>
      </c>
      <c r="AN398">
        <f ca="1">IF(OR(AF398="",AF398="null"),"",ROUND((AF398-TODAY())/365.25,2))</f>
        <v>973.58</v>
      </c>
      <c r="AO398" t="str">
        <f ca="1">IF(AND(AG398="Vigente",OR(AF398="",AF398="null",AF398&gt;TODAY())),"SI",IF(AND(NOT(OR(AF398="",AF398="null")),AF398&lt;=TODAY()),"NO",IF(AG398="Vigente","SI","DESCONOCIDO")))</f>
        <v>SI</v>
      </c>
      <c r="AP398" t="str">
        <f>IF(AND(ISNUMBER(SEARCH("IMPORTAR",AA398)),ISNUMBER(SEARCH("FABRICAR",AA398))),"MIXTO",IF(ISNUMBER(SEARCH("IMPORTAR",AA398)),"IMPORTADO",IF(ISNUMBER(SEARCH("FABRICAR",AA398)),"LOCAL","OTRO")))</f>
        <v>IMPORTADO</v>
      </c>
      <c r="AQ398" t="str">
        <f>IF(AD398="Si","SI",IF(AD398="No","NO",""))</f>
        <v>NO</v>
      </c>
      <c r="AR398" t="str">
        <f>IF(ISNUMBER(SEARCH("®",N398)),"MARCA/INNOVADOR","GENERICO")</f>
        <v>MARCA/INNOVADOR</v>
      </c>
      <c r="AS398">
        <f ca="1">IF(AE398&gt;100,RANDBETWEEN(500,5000),IF(AND(AE398&gt;=10,AE398&lt;=100),RANDBETWEEN(100,1000),RANDBETWEEN(10,200)))</f>
        <v>184</v>
      </c>
      <c r="AT398">
        <f t="shared" ca="1" si="32"/>
        <v>20</v>
      </c>
      <c r="AU398">
        <f ca="1">INT(AS398*RANDBETWEEN(120,200)/100)</f>
        <v>252</v>
      </c>
      <c r="AV398" s="2">
        <f ca="1">IF(LEFT(Y398,1)="L",RANDBETWEEN(500000,5000000),IF(LEFT(Y398,1)="C",RANDBETWEEN(5000,50000),IF(LEFT(Y398,1)="N",RANDBETWEEN(10000,150000),IF(LEFT(Y398,1)="J",RANDBETWEEN(8000,200000),RANDBETWEEN(5000,100000)))))</f>
        <v>40293</v>
      </c>
      <c r="AW398" s="2">
        <f ca="1">INT(AV398*RANDBETWEEN(30,60)/100)</f>
        <v>23772</v>
      </c>
      <c r="AX398">
        <f ca="1">IF(Z398="ORAL",RANDBETWEEN(1000,10000),IF(OR(Z398="INTRAVENOSA",Z398="INTRAMUSCULAR"),RANDBETWEEN(100,2000),IF(OR(Z398="OFTÁLMICA",Z398="TOPICA (EXTERNA)"),RANDBETWEEN(200,3000),RANDBETWEEN(100,1500))))</f>
        <v>6789</v>
      </c>
      <c r="AY398" s="2">
        <f ca="1">INT(AV398*RANDBETWEEN(90,130)/100)</f>
        <v>41098</v>
      </c>
      <c r="AZ398" t="str">
        <f t="shared" ca="1" si="33"/>
        <v>24.5%</v>
      </c>
      <c r="BA398" t="str">
        <f t="shared" ca="1" si="34"/>
        <v>BAJO</v>
      </c>
    </row>
    <row r="399" spans="4:53" x14ac:dyDescent="0.35">
      <c r="D399" t="s">
        <v>2960</v>
      </c>
      <c r="E399" s="1">
        <v>40675</v>
      </c>
      <c r="F399" t="s">
        <v>2961</v>
      </c>
      <c r="G399" t="s">
        <v>108</v>
      </c>
      <c r="H399" t="s">
        <v>312</v>
      </c>
      <c r="I399">
        <v>20022622</v>
      </c>
      <c r="J399" t="s">
        <v>110</v>
      </c>
      <c r="K399">
        <v>4</v>
      </c>
      <c r="L399" t="s">
        <v>27</v>
      </c>
      <c r="M399" t="s">
        <v>606</v>
      </c>
      <c r="N399" t="s">
        <v>607</v>
      </c>
      <c r="O399" t="s">
        <v>2962</v>
      </c>
      <c r="P399" t="s">
        <v>609</v>
      </c>
      <c r="Q399" s="1">
        <v>40672</v>
      </c>
      <c r="R399" t="s">
        <v>258</v>
      </c>
      <c r="S399" s="1">
        <v>42697</v>
      </c>
      <c r="T399" t="s">
        <v>610</v>
      </c>
      <c r="U399" t="s">
        <v>115</v>
      </c>
      <c r="V399" t="s">
        <v>64</v>
      </c>
      <c r="W399" t="s">
        <v>2963</v>
      </c>
      <c r="X399">
        <v>20022622</v>
      </c>
      <c r="Y399" t="s">
        <v>259</v>
      </c>
      <c r="Z399" t="s">
        <v>260</v>
      </c>
      <c r="AA399" t="s">
        <v>32</v>
      </c>
      <c r="AB399" t="s">
        <v>133</v>
      </c>
      <c r="AC399" t="s">
        <v>38</v>
      </c>
      <c r="AD399" t="s">
        <v>121</v>
      </c>
      <c r="AE399">
        <v>1</v>
      </c>
      <c r="AF399" s="1">
        <v>401769</v>
      </c>
      <c r="AG399" t="s">
        <v>26</v>
      </c>
      <c r="AH399" t="s">
        <v>2961</v>
      </c>
      <c r="AI399" t="str">
        <f t="shared" si="30"/>
        <v>NO</v>
      </c>
      <c r="AJ399" t="str">
        <f t="shared" si="31"/>
        <v>B. BRAUN MELSUNGEN</v>
      </c>
      <c r="AK399" t="str">
        <f>IF(ISNUMBER(SEARCH("FABRICANTE",AC399)),"FABRICANTE",IF(ISNUMBER(SEARCH("IMPORTADOR",AC399)),"IMPORTADOR","OTRO"))</f>
        <v>IMPORTADOR</v>
      </c>
      <c r="AL399" t="str">
        <f>IF(LEFT(Y399,1)="A","Sistema digestivo",IF(LEFT(Y399,1)="B","Sangre",IF(LEFT(Y399,1)="C","Cardiovascular",IF(LEFT(Y399,1)="D","Dermatológico",IF(LEFT(Y399,1)="G","Genitourinario",IF(LEFT(Y399,1)="H","Hormonal",IF(LEFT(Y399,1)="J","Antiinfecciosos",IF(LEFT(Y399,1)="L","Oncológicos",IF(LEFT(Y399,1)="M","Musculoesquelético",IF(LEFT(Y399,1)="N","Sistema nervioso",IF(LEFT(Y399,1)="R","Respiratorio",IF(LEFT(Y399,1)="S","Oftálmico",IF(LEFT(Y399,1)="V","Varios","OTRO")))))))))))))</f>
        <v>Sangre</v>
      </c>
      <c r="AM399" t="str">
        <f>IF(AG399="Vigente","ACTIVO",IF(ISNUMBER(SEARCH("Inactivo",J399)),"INACTIVO","REVISAR"))</f>
        <v>ACTIVO</v>
      </c>
      <c r="AN399">
        <f ca="1">IF(OR(AF399="",AF399="null"),"",ROUND((AF399-TODAY())/365.25,2))</f>
        <v>973.58</v>
      </c>
      <c r="AO399" t="str">
        <f ca="1">IF(AND(AG399="Vigente",OR(AF399="",AF399="null",AF399&gt;TODAY())),"SI",IF(AND(NOT(OR(AF399="",AF399="null")),AF399&lt;=TODAY()),"NO",IF(AG399="Vigente","SI","DESCONOCIDO")))</f>
        <v>SI</v>
      </c>
      <c r="AP399" t="str">
        <f>IF(AND(ISNUMBER(SEARCH("IMPORTAR",AA399)),ISNUMBER(SEARCH("FABRICAR",AA399))),"MIXTO",IF(ISNUMBER(SEARCH("IMPORTAR",AA399)),"IMPORTADO",IF(ISNUMBER(SEARCH("FABRICAR",AA399)),"LOCAL","OTRO")))</f>
        <v>IMPORTADO</v>
      </c>
      <c r="AQ399" t="str">
        <f>IF(AD399="Si","SI",IF(AD399="No","NO",""))</f>
        <v>NO</v>
      </c>
      <c r="AR399" t="str">
        <f>IF(ISNUMBER(SEARCH("®",N399)),"MARCA/INNOVADOR","GENERICO")</f>
        <v>GENERICO</v>
      </c>
      <c r="AS399">
        <f ca="1">IF(AE399&gt;100,RANDBETWEEN(500,5000),IF(AND(AE399&gt;=10,AE399&lt;=100),RANDBETWEEN(100,1000),RANDBETWEEN(10,200)))</f>
        <v>61</v>
      </c>
      <c r="AT399">
        <f t="shared" ca="1" si="32"/>
        <v>16</v>
      </c>
      <c r="AU399">
        <f ca="1">INT(AS399*RANDBETWEEN(120,200)/100)</f>
        <v>95</v>
      </c>
      <c r="AV399" s="2">
        <f ca="1">IF(LEFT(Y399,1)="L",RANDBETWEEN(500000,5000000),IF(LEFT(Y399,1)="C",RANDBETWEEN(5000,50000),IF(LEFT(Y399,1)="N",RANDBETWEEN(10000,150000),IF(LEFT(Y399,1)="J",RANDBETWEEN(8000,200000),RANDBETWEEN(5000,100000)))))</f>
        <v>79455</v>
      </c>
      <c r="AW399" s="2">
        <f ca="1">INT(AV399*RANDBETWEEN(30,60)/100)</f>
        <v>41316</v>
      </c>
      <c r="AX399">
        <f ca="1">IF(Z399="ORAL",RANDBETWEEN(1000,10000),IF(OR(Z399="INTRAVENOSA",Z399="INTRAMUSCULAR"),RANDBETWEEN(100,2000),IF(OR(Z399="OFTÁLMICA",Z399="TOPICA (EXTERNA)"),RANDBETWEEN(200,3000),RANDBETWEEN(100,1500))))</f>
        <v>1392</v>
      </c>
      <c r="AY399" s="2">
        <f ca="1">INT(AV399*RANDBETWEEN(90,130)/100)</f>
        <v>74687</v>
      </c>
      <c r="AZ399" t="str">
        <f t="shared" ca="1" si="33"/>
        <v>4.1%</v>
      </c>
      <c r="BA399" t="str">
        <f t="shared" ca="1" si="34"/>
        <v>MEDIO</v>
      </c>
    </row>
    <row r="400" spans="4:53" x14ac:dyDescent="0.35">
      <c r="D400" t="s">
        <v>2964</v>
      </c>
      <c r="E400" s="1">
        <v>34454</v>
      </c>
      <c r="F400" t="s">
        <v>2693</v>
      </c>
      <c r="G400" t="s">
        <v>108</v>
      </c>
      <c r="H400" t="s">
        <v>2965</v>
      </c>
      <c r="I400">
        <v>49658</v>
      </c>
      <c r="J400" t="s">
        <v>28</v>
      </c>
      <c r="K400">
        <v>13</v>
      </c>
      <c r="L400" t="s">
        <v>2966</v>
      </c>
      <c r="M400" t="s">
        <v>2696</v>
      </c>
      <c r="N400" t="s">
        <v>2697</v>
      </c>
      <c r="O400" t="s">
        <v>2967</v>
      </c>
      <c r="P400" t="s">
        <v>2699</v>
      </c>
      <c r="Q400" s="1">
        <v>39766</v>
      </c>
      <c r="R400" t="s">
        <v>1818</v>
      </c>
      <c r="S400" t="s">
        <v>27</v>
      </c>
      <c r="T400" t="s">
        <v>2700</v>
      </c>
      <c r="U400" t="s">
        <v>2701</v>
      </c>
      <c r="V400" t="s">
        <v>1819</v>
      </c>
      <c r="W400" t="s">
        <v>2702</v>
      </c>
      <c r="X400">
        <v>49658</v>
      </c>
      <c r="Y400" t="s">
        <v>1820</v>
      </c>
      <c r="Z400" t="s">
        <v>1168</v>
      </c>
      <c r="AA400" t="s">
        <v>24</v>
      </c>
      <c r="AB400" t="s">
        <v>1983</v>
      </c>
      <c r="AC400" t="s">
        <v>25</v>
      </c>
      <c r="AD400" t="s">
        <v>121</v>
      </c>
      <c r="AE400">
        <v>1</v>
      </c>
      <c r="AF400" t="s">
        <v>27</v>
      </c>
      <c r="AG400" t="s">
        <v>26</v>
      </c>
      <c r="AH400" t="s">
        <v>6789</v>
      </c>
      <c r="AI400" t="str">
        <f t="shared" si="30"/>
        <v>SI</v>
      </c>
      <c r="AJ400" t="str">
        <f t="shared" si="31"/>
        <v>GASES INDUSTRIALES DE COLOMBIA CRYOGAS</v>
      </c>
      <c r="AK400" t="str">
        <f>IF(ISNUMBER(SEARCH("FABRICANTE",AC400)),"FABRICANTE",IF(ISNUMBER(SEARCH("IMPORTADOR",AC400)),"IMPORTADOR","OTRO"))</f>
        <v>FABRICANTE</v>
      </c>
      <c r="AL400" t="str">
        <f>IF(LEFT(Y400,1)="A","Sistema digestivo",IF(LEFT(Y400,1)="B","Sangre",IF(LEFT(Y400,1)="C","Cardiovascular",IF(LEFT(Y400,1)="D","Dermatológico",IF(LEFT(Y400,1)="G","Genitourinario",IF(LEFT(Y400,1)="H","Hormonal",IF(LEFT(Y400,1)="J","Antiinfecciosos",IF(LEFT(Y400,1)="L","Oncológicos",IF(LEFT(Y400,1)="M","Musculoesquelético",IF(LEFT(Y400,1)="N","Sistema nervioso",IF(LEFT(Y400,1)="R","Respiratorio",IF(LEFT(Y400,1)="S","Oftálmico",IF(LEFT(Y400,1)="V","Varios","OTRO")))))))))))))</f>
        <v>Varios</v>
      </c>
      <c r="AM400" t="str">
        <f>IF(AG400="Vigente","ACTIVO",IF(ISNUMBER(SEARCH("Inactivo",J400)),"INACTIVO","REVISAR"))</f>
        <v>ACTIVO</v>
      </c>
      <c r="AN400" t="str">
        <f ca="1">IF(OR(AF400="",AF400="null"),"",ROUND((AF400-TODAY())/365.25,2))</f>
        <v/>
      </c>
      <c r="AO400" t="str">
        <f ca="1">IF(AND(AG400="Vigente",OR(AF400="",AF400="null",AF400&gt;TODAY())),"SI",IF(AND(NOT(OR(AF400="",AF400="null")),AF400&lt;=TODAY()),"NO",IF(AG400="Vigente","SI","DESCONOCIDO")))</f>
        <v>SI</v>
      </c>
      <c r="AP400" t="str">
        <f>IF(AND(ISNUMBER(SEARCH("IMPORTAR",AA400)),ISNUMBER(SEARCH("FABRICAR",AA400))),"MIXTO",IF(ISNUMBER(SEARCH("IMPORTAR",AA400)),"IMPORTADO",IF(ISNUMBER(SEARCH("FABRICAR",AA400)),"LOCAL","OTRO")))</f>
        <v>LOCAL</v>
      </c>
      <c r="AQ400" t="str">
        <f>IF(AD400="Si","SI",IF(AD400="No","NO",""))</f>
        <v>NO</v>
      </c>
      <c r="AR400" t="str">
        <f>IF(ISNUMBER(SEARCH("®",N400)),"MARCA/INNOVADOR","GENERICO")</f>
        <v>GENERICO</v>
      </c>
      <c r="AS400">
        <f ca="1">IF(AE400&gt;100,RANDBETWEEN(500,5000),IF(AND(AE400&gt;=10,AE400&lt;=100),RANDBETWEEN(100,1000),RANDBETWEEN(10,200)))</f>
        <v>142</v>
      </c>
      <c r="AT400">
        <f t="shared" ca="1" si="32"/>
        <v>19</v>
      </c>
      <c r="AU400">
        <f ca="1">INT(AS400*RANDBETWEEN(120,200)/100)</f>
        <v>227</v>
      </c>
      <c r="AV400" s="2">
        <f ca="1">IF(LEFT(Y400,1)="L",RANDBETWEEN(500000,5000000),IF(LEFT(Y400,1)="C",RANDBETWEEN(5000,50000),IF(LEFT(Y400,1)="N",RANDBETWEEN(10000,150000),IF(LEFT(Y400,1)="J",RANDBETWEEN(8000,200000),RANDBETWEEN(5000,100000)))))</f>
        <v>53479</v>
      </c>
      <c r="AW400" s="2">
        <f ca="1">INT(AV400*RANDBETWEEN(30,60)/100)</f>
        <v>31017</v>
      </c>
      <c r="AX400">
        <f ca="1">IF(Z400="ORAL",RANDBETWEEN(1000,10000),IF(OR(Z400="INTRAVENOSA",Z400="INTRAMUSCULAR"),RANDBETWEEN(100,2000),IF(OR(Z400="OFTÁLMICA",Z400="TOPICA (EXTERNA)"),RANDBETWEEN(200,3000),RANDBETWEEN(100,1500))))</f>
        <v>974</v>
      </c>
      <c r="AY400" s="2">
        <f ca="1">INT(AV400*RANDBETWEEN(90,130)/100)</f>
        <v>57757</v>
      </c>
      <c r="AZ400" t="str">
        <f t="shared" ca="1" si="33"/>
        <v>4%</v>
      </c>
      <c r="BA400" t="str">
        <f t="shared" ca="1" si="34"/>
        <v>BAJO</v>
      </c>
    </row>
    <row r="401" spans="4:53" x14ac:dyDescent="0.35">
      <c r="D401" t="s">
        <v>2968</v>
      </c>
      <c r="E401" s="1">
        <v>44657</v>
      </c>
      <c r="F401" t="s">
        <v>2969</v>
      </c>
      <c r="G401" t="s">
        <v>108</v>
      </c>
      <c r="H401" t="s">
        <v>1426</v>
      </c>
      <c r="I401">
        <v>20190745</v>
      </c>
      <c r="J401" t="s">
        <v>28</v>
      </c>
      <c r="K401">
        <v>4</v>
      </c>
      <c r="L401" t="s">
        <v>2970</v>
      </c>
      <c r="M401" t="s">
        <v>2971</v>
      </c>
      <c r="N401" t="s">
        <v>2972</v>
      </c>
      <c r="O401" t="s">
        <v>2973</v>
      </c>
      <c r="P401" t="s">
        <v>33</v>
      </c>
      <c r="Q401" s="1">
        <v>44418</v>
      </c>
      <c r="R401" t="s">
        <v>33</v>
      </c>
      <c r="S401" t="s">
        <v>27</v>
      </c>
      <c r="T401" t="s">
        <v>1426</v>
      </c>
      <c r="U401" t="s">
        <v>115</v>
      </c>
      <c r="V401" t="s">
        <v>321</v>
      </c>
      <c r="W401">
        <v>500</v>
      </c>
      <c r="X401">
        <v>20190745</v>
      </c>
      <c r="Y401" t="s">
        <v>322</v>
      </c>
      <c r="Z401" t="s">
        <v>119</v>
      </c>
      <c r="AA401" t="s">
        <v>24</v>
      </c>
      <c r="AB401" t="s">
        <v>120</v>
      </c>
      <c r="AC401" t="s">
        <v>25</v>
      </c>
      <c r="AD401" t="s">
        <v>121</v>
      </c>
      <c r="AE401">
        <v>10</v>
      </c>
      <c r="AF401" t="s">
        <v>27</v>
      </c>
      <c r="AG401" t="s">
        <v>26</v>
      </c>
      <c r="AH401" t="s">
        <v>522</v>
      </c>
      <c r="AI401" t="str">
        <f t="shared" si="30"/>
        <v>NO</v>
      </c>
      <c r="AJ401" t="str">
        <f t="shared" si="31"/>
        <v>CLARIPACK</v>
      </c>
      <c r="AK401" t="str">
        <f>IF(ISNUMBER(SEARCH("FABRICANTE",AC401)),"FABRICANTE",IF(ISNUMBER(SEARCH("IMPORTADOR",AC401)),"IMPORTADOR","OTRO"))</f>
        <v>FABRICANTE</v>
      </c>
      <c r="AL401" t="str">
        <f>IF(LEFT(Y401,1)="A","Sistema digestivo",IF(LEFT(Y401,1)="B","Sangre",IF(LEFT(Y401,1)="C","Cardiovascular",IF(LEFT(Y401,1)="D","Dermatológico",IF(LEFT(Y401,1)="G","Genitourinario",IF(LEFT(Y401,1)="H","Hormonal",IF(LEFT(Y401,1)="J","Antiinfecciosos",IF(LEFT(Y401,1)="L","Oncológicos",IF(LEFT(Y401,1)="M","Musculoesquelético",IF(LEFT(Y401,1)="N","Sistema nervioso",IF(LEFT(Y401,1)="R","Respiratorio",IF(LEFT(Y401,1)="S","Oftálmico",IF(LEFT(Y401,1)="V","Varios","OTRO")))))))))))))</f>
        <v>Sistema nervioso</v>
      </c>
      <c r="AM401" t="str">
        <f>IF(AG401="Vigente","ACTIVO",IF(ISNUMBER(SEARCH("Inactivo",J401)),"INACTIVO","REVISAR"))</f>
        <v>ACTIVO</v>
      </c>
      <c r="AN401" t="str">
        <f ca="1">IF(OR(AF401="",AF401="null"),"",ROUND((AF401-TODAY())/365.25,2))</f>
        <v/>
      </c>
      <c r="AO401" t="str">
        <f ca="1">IF(AND(AG401="Vigente",OR(AF401="",AF401="null",AF401&gt;TODAY())),"SI",IF(AND(NOT(OR(AF401="",AF401="null")),AF401&lt;=TODAY()),"NO",IF(AG401="Vigente","SI","DESCONOCIDO")))</f>
        <v>SI</v>
      </c>
      <c r="AP401" t="str">
        <f>IF(AND(ISNUMBER(SEARCH("IMPORTAR",AA401)),ISNUMBER(SEARCH("FABRICAR",AA401))),"MIXTO",IF(ISNUMBER(SEARCH("IMPORTAR",AA401)),"IMPORTADO",IF(ISNUMBER(SEARCH("FABRICAR",AA401)),"LOCAL","OTRO")))</f>
        <v>LOCAL</v>
      </c>
      <c r="AQ401" t="str">
        <f>IF(AD401="Si","SI",IF(AD401="No","NO",""))</f>
        <v>NO</v>
      </c>
      <c r="AR401" t="str">
        <f>IF(ISNUMBER(SEARCH("®",N401)),"MARCA/INNOVADOR","GENERICO")</f>
        <v>GENERICO</v>
      </c>
      <c r="AS401">
        <f ca="1">IF(AE401&gt;100,RANDBETWEEN(500,5000),IF(AND(AE401&gt;=10,AE401&lt;=100),RANDBETWEEN(100,1000),RANDBETWEEN(10,200)))</f>
        <v>531</v>
      </c>
      <c r="AT401">
        <f t="shared" ca="1" si="32"/>
        <v>153</v>
      </c>
      <c r="AU401">
        <f ca="1">INT(AS401*RANDBETWEEN(120,200)/100)</f>
        <v>1003</v>
      </c>
      <c r="AV401" s="2">
        <f ca="1">IF(LEFT(Y401,1)="L",RANDBETWEEN(500000,5000000),IF(LEFT(Y401,1)="C",RANDBETWEEN(5000,50000),IF(LEFT(Y401,1)="N",RANDBETWEEN(10000,150000),IF(LEFT(Y401,1)="J",RANDBETWEEN(8000,200000),RANDBETWEEN(5000,100000)))))</f>
        <v>118640</v>
      </c>
      <c r="AW401" s="2">
        <f ca="1">INT(AV401*RANDBETWEEN(30,60)/100)</f>
        <v>68811</v>
      </c>
      <c r="AX401">
        <f ca="1">IF(Z401="ORAL",RANDBETWEEN(1000,10000),IF(OR(Z401="INTRAVENOSA",Z401="INTRAMUSCULAR"),RANDBETWEEN(100,2000),IF(OR(Z401="OFTÁLMICA",Z401="TOPICA (EXTERNA)"),RANDBETWEEN(200,3000),RANDBETWEEN(100,1500))))</f>
        <v>6078</v>
      </c>
      <c r="AY401" s="2">
        <f ca="1">INT(AV401*RANDBETWEEN(90,130)/100)</f>
        <v>121012</v>
      </c>
      <c r="AZ401" t="str">
        <f t="shared" ca="1" si="33"/>
        <v>9.5%</v>
      </c>
      <c r="BA401" t="str">
        <f t="shared" ca="1" si="34"/>
        <v>BAJO</v>
      </c>
    </row>
    <row r="402" spans="4:53" x14ac:dyDescent="0.35">
      <c r="D402" t="s">
        <v>2974</v>
      </c>
      <c r="E402" s="1">
        <v>36496</v>
      </c>
      <c r="F402" t="s">
        <v>2975</v>
      </c>
      <c r="G402" t="s">
        <v>502</v>
      </c>
      <c r="H402" t="s">
        <v>146</v>
      </c>
      <c r="I402">
        <v>19905527</v>
      </c>
      <c r="J402" t="s">
        <v>28</v>
      </c>
      <c r="K402">
        <v>2</v>
      </c>
      <c r="L402" t="s">
        <v>27</v>
      </c>
      <c r="M402" t="s">
        <v>2976</v>
      </c>
      <c r="N402" t="s">
        <v>2977</v>
      </c>
      <c r="O402" t="s">
        <v>2978</v>
      </c>
      <c r="P402" t="s">
        <v>2979</v>
      </c>
      <c r="Q402" s="1">
        <v>40473</v>
      </c>
      <c r="R402" t="s">
        <v>2980</v>
      </c>
      <c r="S402" t="s">
        <v>27</v>
      </c>
      <c r="T402" t="s">
        <v>146</v>
      </c>
      <c r="U402" t="s">
        <v>115</v>
      </c>
      <c r="V402" t="s">
        <v>2981</v>
      </c>
      <c r="W402" t="s">
        <v>2982</v>
      </c>
      <c r="X402">
        <v>19905527</v>
      </c>
      <c r="Y402" t="s">
        <v>2983</v>
      </c>
      <c r="Z402" t="s">
        <v>119</v>
      </c>
      <c r="AA402" t="s">
        <v>24</v>
      </c>
      <c r="AB402" t="s">
        <v>250</v>
      </c>
      <c r="AC402" t="s">
        <v>25</v>
      </c>
      <c r="AD402" t="s">
        <v>121</v>
      </c>
      <c r="AE402">
        <v>340</v>
      </c>
      <c r="AF402" t="s">
        <v>27</v>
      </c>
      <c r="AG402" t="s">
        <v>26</v>
      </c>
      <c r="AH402" t="s">
        <v>6660</v>
      </c>
      <c r="AI402" t="str">
        <f t="shared" si="30"/>
        <v>NO</v>
      </c>
      <c r="AJ402" t="str">
        <f t="shared" si="31"/>
        <v>TECNOFAR TQ</v>
      </c>
      <c r="AK402" t="str">
        <f>IF(ISNUMBER(SEARCH("FABRICANTE",AC402)),"FABRICANTE",IF(ISNUMBER(SEARCH("IMPORTADOR",AC402)),"IMPORTADOR","OTRO"))</f>
        <v>FABRICANTE</v>
      </c>
      <c r="AL402" t="str">
        <f>IF(LEFT(Y402,1)="A","Sistema digestivo",IF(LEFT(Y402,1)="B","Sangre",IF(LEFT(Y402,1)="C","Cardiovascular",IF(LEFT(Y402,1)="D","Dermatológico",IF(LEFT(Y402,1)="G","Genitourinario",IF(LEFT(Y402,1)="H","Hormonal",IF(LEFT(Y402,1)="J","Antiinfecciosos",IF(LEFT(Y402,1)="L","Oncológicos",IF(LEFT(Y402,1)="M","Musculoesquelético",IF(LEFT(Y402,1)="N","Sistema nervioso",IF(LEFT(Y402,1)="R","Respiratorio",IF(LEFT(Y402,1)="S","Oftálmico",IF(LEFT(Y402,1)="V","Varios","OTRO")))))))))))))</f>
        <v>Sistema digestivo</v>
      </c>
      <c r="AM402" t="str">
        <f>IF(AG402="Vigente","ACTIVO",IF(ISNUMBER(SEARCH("Inactivo",J402)),"INACTIVO","REVISAR"))</f>
        <v>ACTIVO</v>
      </c>
      <c r="AN402" t="str">
        <f ca="1">IF(OR(AF402="",AF402="null"),"",ROUND((AF402-TODAY())/365.25,2))</f>
        <v/>
      </c>
      <c r="AO402" t="str">
        <f ca="1">IF(AND(AG402="Vigente",OR(AF402="",AF402="null",AF402&gt;TODAY())),"SI",IF(AND(NOT(OR(AF402="",AF402="null")),AF402&lt;=TODAY()),"NO",IF(AG402="Vigente","SI","DESCONOCIDO")))</f>
        <v>SI</v>
      </c>
      <c r="AP402" t="str">
        <f>IF(AND(ISNUMBER(SEARCH("IMPORTAR",AA402)),ISNUMBER(SEARCH("FABRICAR",AA402))),"MIXTO",IF(ISNUMBER(SEARCH("IMPORTAR",AA402)),"IMPORTADO",IF(ISNUMBER(SEARCH("FABRICAR",AA402)),"LOCAL","OTRO")))</f>
        <v>LOCAL</v>
      </c>
      <c r="AQ402" t="str">
        <f>IF(AD402="Si","SI",IF(AD402="No","NO",""))</f>
        <v>NO</v>
      </c>
      <c r="AR402" t="str">
        <f>IF(ISNUMBER(SEARCH("®",N402)),"MARCA/INNOVADOR","GENERICO")</f>
        <v>GENERICO</v>
      </c>
      <c r="AS402">
        <f ca="1">IF(AE402&gt;100,RANDBETWEEN(500,5000),IF(AND(AE402&gt;=10,AE402&lt;=100),RANDBETWEEN(100,1000),RANDBETWEEN(10,200)))</f>
        <v>3573</v>
      </c>
      <c r="AT402">
        <f t="shared" ca="1" si="32"/>
        <v>1036</v>
      </c>
      <c r="AU402">
        <f ca="1">INT(AS402*RANDBETWEEN(120,200)/100)</f>
        <v>5716</v>
      </c>
      <c r="AV402" s="2">
        <f ca="1">IF(LEFT(Y402,1)="L",RANDBETWEEN(500000,5000000),IF(LEFT(Y402,1)="C",RANDBETWEEN(5000,50000),IF(LEFT(Y402,1)="N",RANDBETWEEN(10000,150000),IF(LEFT(Y402,1)="J",RANDBETWEEN(8000,200000),RANDBETWEEN(5000,100000)))))</f>
        <v>7942</v>
      </c>
      <c r="AW402" s="2">
        <f ca="1">INT(AV402*RANDBETWEEN(30,60)/100)</f>
        <v>3097</v>
      </c>
      <c r="AX402">
        <f ca="1">IF(Z402="ORAL",RANDBETWEEN(1000,10000),IF(OR(Z402="INTRAVENOSA",Z402="INTRAMUSCULAR"),RANDBETWEEN(100,2000),IF(OR(Z402="OFTÁLMICA",Z402="TOPICA (EXTERNA)"),RANDBETWEEN(200,3000),RANDBETWEEN(100,1500))))</f>
        <v>8055</v>
      </c>
      <c r="AY402" s="2">
        <f ca="1">INT(AV402*RANDBETWEEN(90,130)/100)</f>
        <v>8021</v>
      </c>
      <c r="AZ402" t="str">
        <f t="shared" ca="1" si="33"/>
        <v>5.3%</v>
      </c>
      <c r="BA402" t="str">
        <f t="shared" ca="1" si="34"/>
        <v>BAJO</v>
      </c>
    </row>
    <row r="403" spans="4:53" x14ac:dyDescent="0.35">
      <c r="D403" t="s">
        <v>2984</v>
      </c>
      <c r="E403" s="1">
        <v>40401</v>
      </c>
      <c r="F403" t="s">
        <v>2985</v>
      </c>
      <c r="G403" t="s">
        <v>108</v>
      </c>
      <c r="H403" t="s">
        <v>2986</v>
      </c>
      <c r="I403">
        <v>20019759</v>
      </c>
      <c r="J403" t="s">
        <v>28</v>
      </c>
      <c r="K403">
        <v>2</v>
      </c>
      <c r="L403" t="s">
        <v>27</v>
      </c>
      <c r="M403" t="s">
        <v>2987</v>
      </c>
      <c r="N403" t="s">
        <v>2988</v>
      </c>
      <c r="O403" t="s">
        <v>2989</v>
      </c>
      <c r="P403" t="s">
        <v>33</v>
      </c>
      <c r="Q403" s="1">
        <v>40358</v>
      </c>
      <c r="R403" t="s">
        <v>33</v>
      </c>
      <c r="S403" t="s">
        <v>27</v>
      </c>
      <c r="T403" t="s">
        <v>2990</v>
      </c>
      <c r="U403" t="s">
        <v>115</v>
      </c>
      <c r="V403" t="s">
        <v>1596</v>
      </c>
      <c r="W403">
        <v>10</v>
      </c>
      <c r="X403">
        <v>20019759</v>
      </c>
      <c r="Y403" t="s">
        <v>1597</v>
      </c>
      <c r="Z403" t="s">
        <v>119</v>
      </c>
      <c r="AA403" t="s">
        <v>24</v>
      </c>
      <c r="AB403" t="s">
        <v>120</v>
      </c>
      <c r="AC403" t="s">
        <v>25</v>
      </c>
      <c r="AD403" t="s">
        <v>121</v>
      </c>
      <c r="AE403">
        <v>250</v>
      </c>
      <c r="AF403" t="s">
        <v>27</v>
      </c>
      <c r="AG403" t="s">
        <v>26</v>
      </c>
      <c r="AH403" t="s">
        <v>6796</v>
      </c>
      <c r="AI403" t="str">
        <f t="shared" si="30"/>
        <v>NO</v>
      </c>
      <c r="AJ403" t="str">
        <f t="shared" si="31"/>
        <v>LABQUIFAR</v>
      </c>
      <c r="AK403" t="str">
        <f>IF(ISNUMBER(SEARCH("FABRICANTE",AC403)),"FABRICANTE",IF(ISNUMBER(SEARCH("IMPORTADOR",AC403)),"IMPORTADOR","OTRO"))</f>
        <v>FABRICANTE</v>
      </c>
      <c r="AL403" t="str">
        <f>IF(LEFT(Y403,1)="A","Sistema digestivo",IF(LEFT(Y403,1)="B","Sangre",IF(LEFT(Y403,1)="C","Cardiovascular",IF(LEFT(Y403,1)="D","Dermatológico",IF(LEFT(Y403,1)="G","Genitourinario",IF(LEFT(Y403,1)="H","Hormonal",IF(LEFT(Y403,1)="J","Antiinfecciosos",IF(LEFT(Y403,1)="L","Oncológicos",IF(LEFT(Y403,1)="M","Musculoesquelético",IF(LEFT(Y403,1)="N","Sistema nervioso",IF(LEFT(Y403,1)="R","Respiratorio",IF(LEFT(Y403,1)="S","Oftálmico",IF(LEFT(Y403,1)="V","Varios","OTRO")))))))))))))</f>
        <v>Sistema digestivo</v>
      </c>
      <c r="AM403" t="str">
        <f>IF(AG403="Vigente","ACTIVO",IF(ISNUMBER(SEARCH("Inactivo",J403)),"INACTIVO","REVISAR"))</f>
        <v>ACTIVO</v>
      </c>
      <c r="AN403" t="str">
        <f ca="1">IF(OR(AF403="",AF403="null"),"",ROUND((AF403-TODAY())/365.25,2))</f>
        <v/>
      </c>
      <c r="AO403" t="str">
        <f ca="1">IF(AND(AG403="Vigente",OR(AF403="",AF403="null",AF403&gt;TODAY())),"SI",IF(AND(NOT(OR(AF403="",AF403="null")),AF403&lt;=TODAY()),"NO",IF(AG403="Vigente","SI","DESCONOCIDO")))</f>
        <v>SI</v>
      </c>
      <c r="AP403" t="str">
        <f>IF(AND(ISNUMBER(SEARCH("IMPORTAR",AA403)),ISNUMBER(SEARCH("FABRICAR",AA403))),"MIXTO",IF(ISNUMBER(SEARCH("IMPORTAR",AA403)),"IMPORTADO",IF(ISNUMBER(SEARCH("FABRICAR",AA403)),"LOCAL","OTRO")))</f>
        <v>LOCAL</v>
      </c>
      <c r="AQ403" t="str">
        <f>IF(AD403="Si","SI",IF(AD403="No","NO",""))</f>
        <v>NO</v>
      </c>
      <c r="AR403" t="str">
        <f>IF(ISNUMBER(SEARCH("®",N403)),"MARCA/INNOVADOR","GENERICO")</f>
        <v>MARCA/INNOVADOR</v>
      </c>
      <c r="AS403">
        <f ca="1">IF(AE403&gt;100,RANDBETWEEN(500,5000),IF(AND(AE403&gt;=10,AE403&lt;=100),RANDBETWEEN(100,1000),RANDBETWEEN(10,200)))</f>
        <v>3529</v>
      </c>
      <c r="AT403">
        <f t="shared" ca="1" si="32"/>
        <v>1058</v>
      </c>
      <c r="AU403">
        <f ca="1">INT(AS403*RANDBETWEEN(120,200)/100)</f>
        <v>6846</v>
      </c>
      <c r="AV403" s="2">
        <f ca="1">IF(LEFT(Y403,1)="L",RANDBETWEEN(500000,5000000),IF(LEFT(Y403,1)="C",RANDBETWEEN(5000,50000),IF(LEFT(Y403,1)="N",RANDBETWEEN(10000,150000),IF(LEFT(Y403,1)="J",RANDBETWEEN(8000,200000),RANDBETWEEN(5000,100000)))))</f>
        <v>5347</v>
      </c>
      <c r="AW403" s="2">
        <f ca="1">INT(AV403*RANDBETWEEN(30,60)/100)</f>
        <v>2031</v>
      </c>
      <c r="AX403">
        <f ca="1">IF(Z403="ORAL",RANDBETWEEN(1000,10000),IF(OR(Z403="INTRAVENOSA",Z403="INTRAMUSCULAR"),RANDBETWEEN(100,2000),IF(OR(Z403="OFTÁLMICA",Z403="TOPICA (EXTERNA)"),RANDBETWEEN(200,3000),RANDBETWEEN(100,1500))))</f>
        <v>7269</v>
      </c>
      <c r="AY403" s="2">
        <f ca="1">INT(AV403*RANDBETWEEN(90,130)/100)</f>
        <v>4919</v>
      </c>
      <c r="AZ403" t="str">
        <f t="shared" ca="1" si="33"/>
        <v>5.8%</v>
      </c>
      <c r="BA403" t="str">
        <f t="shared" ca="1" si="34"/>
        <v>BAJO</v>
      </c>
    </row>
    <row r="404" spans="4:53" x14ac:dyDescent="0.35">
      <c r="D404" t="s">
        <v>2991</v>
      </c>
      <c r="E404" s="1">
        <v>41445</v>
      </c>
      <c r="F404" t="s">
        <v>2992</v>
      </c>
      <c r="G404" t="s">
        <v>108</v>
      </c>
      <c r="H404" t="s">
        <v>168</v>
      </c>
      <c r="I404">
        <v>20057956</v>
      </c>
      <c r="J404" t="s">
        <v>28</v>
      </c>
      <c r="K404">
        <v>2</v>
      </c>
      <c r="L404" t="s">
        <v>27</v>
      </c>
      <c r="M404" t="s">
        <v>2993</v>
      </c>
      <c r="N404" t="s">
        <v>2994</v>
      </c>
      <c r="O404" t="s">
        <v>2995</v>
      </c>
      <c r="P404" t="s">
        <v>932</v>
      </c>
      <c r="Q404" s="1">
        <v>41382</v>
      </c>
      <c r="R404" t="s">
        <v>932</v>
      </c>
      <c r="S404" t="s">
        <v>27</v>
      </c>
      <c r="T404" t="s">
        <v>172</v>
      </c>
      <c r="U404" t="s">
        <v>115</v>
      </c>
      <c r="V404" t="s">
        <v>1575</v>
      </c>
      <c r="W404">
        <v>4</v>
      </c>
      <c r="X404">
        <v>20057956</v>
      </c>
      <c r="Y404" t="s">
        <v>1576</v>
      </c>
      <c r="Z404" t="s">
        <v>119</v>
      </c>
      <c r="AA404" t="s">
        <v>24</v>
      </c>
      <c r="AB404" t="s">
        <v>120</v>
      </c>
      <c r="AC404" t="s">
        <v>25</v>
      </c>
      <c r="AD404" t="s">
        <v>121</v>
      </c>
      <c r="AE404">
        <v>20</v>
      </c>
      <c r="AF404" t="s">
        <v>27</v>
      </c>
      <c r="AG404" t="s">
        <v>26</v>
      </c>
      <c r="AH404" t="s">
        <v>1575</v>
      </c>
      <c r="AI404" t="str">
        <f t="shared" si="30"/>
        <v>SI</v>
      </c>
      <c r="AJ404" t="str">
        <f t="shared" si="31"/>
        <v>NOVAMED</v>
      </c>
      <c r="AK404" t="str">
        <f>IF(ISNUMBER(SEARCH("FABRICANTE",AC404)),"FABRICANTE",IF(ISNUMBER(SEARCH("IMPORTADOR",AC404)),"IMPORTADOR","OTRO"))</f>
        <v>FABRICANTE</v>
      </c>
      <c r="AL404" t="str">
        <f>IF(LEFT(Y404,1)="A","Sistema digestivo",IF(LEFT(Y404,1)="B","Sangre",IF(LEFT(Y404,1)="C","Cardiovascular",IF(LEFT(Y404,1)="D","Dermatológico",IF(LEFT(Y404,1)="G","Genitourinario",IF(LEFT(Y404,1)="H","Hormonal",IF(LEFT(Y404,1)="J","Antiinfecciosos",IF(LEFT(Y404,1)="L","Oncológicos",IF(LEFT(Y404,1)="M","Musculoesquelético",IF(LEFT(Y404,1)="N","Sistema nervioso",IF(LEFT(Y404,1)="R","Respiratorio",IF(LEFT(Y404,1)="S","Oftálmico",IF(LEFT(Y404,1)="V","Varios","OTRO")))))))))))))</f>
        <v>Respiratorio</v>
      </c>
      <c r="AM404" t="str">
        <f>IF(AG404="Vigente","ACTIVO",IF(ISNUMBER(SEARCH("Inactivo",J404)),"INACTIVO","REVISAR"))</f>
        <v>ACTIVO</v>
      </c>
      <c r="AN404" t="str">
        <f ca="1">IF(OR(AF404="",AF404="null"),"",ROUND((AF404-TODAY())/365.25,2))</f>
        <v/>
      </c>
      <c r="AO404" t="str">
        <f ca="1">IF(AND(AG404="Vigente",OR(AF404="",AF404="null",AF404&gt;TODAY())),"SI",IF(AND(NOT(OR(AF404="",AF404="null")),AF404&lt;=TODAY()),"NO",IF(AG404="Vigente","SI","DESCONOCIDO")))</f>
        <v>SI</v>
      </c>
      <c r="AP404" t="str">
        <f>IF(AND(ISNUMBER(SEARCH("IMPORTAR",AA404)),ISNUMBER(SEARCH("FABRICAR",AA404))),"MIXTO",IF(ISNUMBER(SEARCH("IMPORTAR",AA404)),"IMPORTADO",IF(ISNUMBER(SEARCH("FABRICAR",AA404)),"LOCAL","OTRO")))</f>
        <v>LOCAL</v>
      </c>
      <c r="AQ404" t="str">
        <f>IF(AD404="Si","SI",IF(AD404="No","NO",""))</f>
        <v>NO</v>
      </c>
      <c r="AR404" t="str">
        <f>IF(ISNUMBER(SEARCH("®",N404)),"MARCA/INNOVADOR","GENERICO")</f>
        <v>MARCA/INNOVADOR</v>
      </c>
      <c r="AS404">
        <f ca="1">IF(AE404&gt;100,RANDBETWEEN(500,5000),IF(AND(AE404&gt;=10,AE404&lt;=100),RANDBETWEEN(100,1000),RANDBETWEEN(10,200)))</f>
        <v>518</v>
      </c>
      <c r="AT404">
        <f t="shared" ca="1" si="32"/>
        <v>98</v>
      </c>
      <c r="AU404">
        <f ca="1">INT(AS404*RANDBETWEEN(120,200)/100)</f>
        <v>647</v>
      </c>
      <c r="AV404" s="2">
        <f ca="1">IF(LEFT(Y404,1)="L",RANDBETWEEN(500000,5000000),IF(LEFT(Y404,1)="C",RANDBETWEEN(5000,50000),IF(LEFT(Y404,1)="N",RANDBETWEEN(10000,150000),IF(LEFT(Y404,1)="J",RANDBETWEEN(8000,200000),RANDBETWEEN(5000,100000)))))</f>
        <v>37753</v>
      </c>
      <c r="AW404" s="2">
        <f ca="1">INT(AV404*RANDBETWEEN(30,60)/100)</f>
        <v>13968</v>
      </c>
      <c r="AX404">
        <f ca="1">IF(Z404="ORAL",RANDBETWEEN(1000,10000),IF(OR(Z404="INTRAVENOSA",Z404="INTRAMUSCULAR"),RANDBETWEEN(100,2000),IF(OR(Z404="OFTÁLMICA",Z404="TOPICA (EXTERNA)"),RANDBETWEEN(200,3000),RANDBETWEEN(100,1500))))</f>
        <v>6183</v>
      </c>
      <c r="AY404" s="2">
        <f ca="1">INT(AV404*RANDBETWEEN(90,130)/100)</f>
        <v>38130</v>
      </c>
      <c r="AZ404" t="str">
        <f t="shared" ca="1" si="33"/>
        <v>7%</v>
      </c>
      <c r="BA404" t="str">
        <f t="shared" ca="1" si="34"/>
        <v>BAJO</v>
      </c>
    </row>
    <row r="405" spans="4:53" x14ac:dyDescent="0.35">
      <c r="D405" t="s">
        <v>2996</v>
      </c>
      <c r="E405" s="1">
        <v>41176</v>
      </c>
      <c r="F405" t="s">
        <v>660</v>
      </c>
      <c r="G405" t="s">
        <v>108</v>
      </c>
      <c r="H405" t="s">
        <v>2997</v>
      </c>
      <c r="I405">
        <v>20048817</v>
      </c>
      <c r="J405" t="s">
        <v>110</v>
      </c>
      <c r="K405">
        <v>72</v>
      </c>
      <c r="L405" t="s">
        <v>27</v>
      </c>
      <c r="M405" t="s">
        <v>2998</v>
      </c>
      <c r="N405" t="s">
        <v>2999</v>
      </c>
      <c r="O405" t="s">
        <v>3000</v>
      </c>
      <c r="P405" t="s">
        <v>33</v>
      </c>
      <c r="Q405" s="1">
        <v>42416</v>
      </c>
      <c r="R405" t="s">
        <v>33</v>
      </c>
      <c r="S405" s="1">
        <v>43374</v>
      </c>
      <c r="T405" t="s">
        <v>114</v>
      </c>
      <c r="U405" t="s">
        <v>115</v>
      </c>
      <c r="V405" t="s">
        <v>660</v>
      </c>
      <c r="W405">
        <v>320</v>
      </c>
      <c r="X405">
        <v>20048817</v>
      </c>
      <c r="Y405" t="s">
        <v>661</v>
      </c>
      <c r="Z405" t="s">
        <v>119</v>
      </c>
      <c r="AA405" t="s">
        <v>24</v>
      </c>
      <c r="AB405" t="s">
        <v>120</v>
      </c>
      <c r="AC405" t="s">
        <v>25</v>
      </c>
      <c r="AD405" t="s">
        <v>121</v>
      </c>
      <c r="AE405">
        <v>420</v>
      </c>
      <c r="AF405" t="s">
        <v>27</v>
      </c>
      <c r="AG405" t="s">
        <v>26</v>
      </c>
      <c r="AH405" t="s">
        <v>660</v>
      </c>
      <c r="AI405" t="str">
        <f t="shared" si="30"/>
        <v>NO</v>
      </c>
      <c r="AJ405" t="str">
        <f t="shared" si="31"/>
        <v>LABORATORIOS LEGRAND</v>
      </c>
      <c r="AK405" t="str">
        <f>IF(ISNUMBER(SEARCH("FABRICANTE",AC405)),"FABRICANTE",IF(ISNUMBER(SEARCH("IMPORTADOR",AC405)),"IMPORTADOR","OTRO"))</f>
        <v>FABRICANTE</v>
      </c>
      <c r="AL405" t="str">
        <f>IF(LEFT(Y405,1)="A","Sistema digestivo",IF(LEFT(Y405,1)="B","Sangre",IF(LEFT(Y405,1)="C","Cardiovascular",IF(LEFT(Y405,1)="D","Dermatológico",IF(LEFT(Y405,1)="G","Genitourinario",IF(LEFT(Y405,1)="H","Hormonal",IF(LEFT(Y405,1)="J","Antiinfecciosos",IF(LEFT(Y405,1)="L","Oncológicos",IF(LEFT(Y405,1)="M","Musculoesquelético",IF(LEFT(Y405,1)="N","Sistema nervioso",IF(LEFT(Y405,1)="R","Respiratorio",IF(LEFT(Y405,1)="S","Oftálmico",IF(LEFT(Y405,1)="V","Varios","OTRO")))))))))))))</f>
        <v>Cardiovascular</v>
      </c>
      <c r="AM405" t="str">
        <f>IF(AG405="Vigente","ACTIVO",IF(ISNUMBER(SEARCH("Inactivo",J405)),"INACTIVO","REVISAR"))</f>
        <v>ACTIVO</v>
      </c>
      <c r="AN405" t="str">
        <f ca="1">IF(OR(AF405="",AF405="null"),"",ROUND((AF405-TODAY())/365.25,2))</f>
        <v/>
      </c>
      <c r="AO405" t="str">
        <f ca="1">IF(AND(AG405="Vigente",OR(AF405="",AF405="null",AF405&gt;TODAY())),"SI",IF(AND(NOT(OR(AF405="",AF405="null")),AF405&lt;=TODAY()),"NO",IF(AG405="Vigente","SI","DESCONOCIDO")))</f>
        <v>SI</v>
      </c>
      <c r="AP405" t="str">
        <f>IF(AND(ISNUMBER(SEARCH("IMPORTAR",AA405)),ISNUMBER(SEARCH("FABRICAR",AA405))),"MIXTO",IF(ISNUMBER(SEARCH("IMPORTAR",AA405)),"IMPORTADO",IF(ISNUMBER(SEARCH("FABRICAR",AA405)),"LOCAL","OTRO")))</f>
        <v>LOCAL</v>
      </c>
      <c r="AQ405" t="str">
        <f>IF(AD405="Si","SI",IF(AD405="No","NO",""))</f>
        <v>NO</v>
      </c>
      <c r="AR405" t="str">
        <f>IF(ISNUMBER(SEARCH("®",N405)),"MARCA/INNOVADOR","GENERICO")</f>
        <v>MARCA/INNOVADOR</v>
      </c>
      <c r="AS405">
        <f ca="1">IF(AE405&gt;100,RANDBETWEEN(500,5000),IF(AND(AE405&gt;=10,AE405&lt;=100),RANDBETWEEN(100,1000),RANDBETWEEN(10,200)))</f>
        <v>1284</v>
      </c>
      <c r="AT405">
        <f t="shared" ca="1" si="32"/>
        <v>179</v>
      </c>
      <c r="AU405">
        <f ca="1">INT(AS405*RANDBETWEEN(120,200)/100)</f>
        <v>2349</v>
      </c>
      <c r="AV405" s="2">
        <f ca="1">IF(LEFT(Y405,1)="L",RANDBETWEEN(500000,5000000),IF(LEFT(Y405,1)="C",RANDBETWEEN(5000,50000),IF(LEFT(Y405,1)="N",RANDBETWEEN(10000,150000),IF(LEFT(Y405,1)="J",RANDBETWEEN(8000,200000),RANDBETWEEN(5000,100000)))))</f>
        <v>31909</v>
      </c>
      <c r="AW405" s="2">
        <f ca="1">INT(AV405*RANDBETWEEN(30,60)/100)</f>
        <v>17230</v>
      </c>
      <c r="AX405">
        <f ca="1">IF(Z405="ORAL",RANDBETWEEN(1000,10000),IF(OR(Z405="INTRAVENOSA",Z405="INTRAMUSCULAR"),RANDBETWEEN(100,2000),IF(OR(Z405="OFTÁLMICA",Z405="TOPICA (EXTERNA)"),RANDBETWEEN(200,3000),RANDBETWEEN(100,1500))))</f>
        <v>8262</v>
      </c>
      <c r="AY405" s="2">
        <f ca="1">INT(AV405*RANDBETWEEN(90,130)/100)</f>
        <v>39567</v>
      </c>
      <c r="AZ405" t="str">
        <f t="shared" ca="1" si="33"/>
        <v>9.3%</v>
      </c>
      <c r="BA405" t="str">
        <f t="shared" ca="1" si="34"/>
        <v>ALTO</v>
      </c>
    </row>
    <row r="406" spans="4:53" x14ac:dyDescent="0.35">
      <c r="D406" t="s">
        <v>3001</v>
      </c>
      <c r="E406" s="1">
        <v>41975</v>
      </c>
      <c r="F406" t="s">
        <v>3002</v>
      </c>
      <c r="G406" t="s">
        <v>108</v>
      </c>
      <c r="H406" t="s">
        <v>1329</v>
      </c>
      <c r="I406">
        <v>20061746</v>
      </c>
      <c r="J406" t="s">
        <v>110</v>
      </c>
      <c r="K406">
        <v>6</v>
      </c>
      <c r="L406" t="s">
        <v>27</v>
      </c>
      <c r="M406" t="s">
        <v>1326</v>
      </c>
      <c r="N406" t="s">
        <v>1327</v>
      </c>
      <c r="O406" t="s">
        <v>2632</v>
      </c>
      <c r="P406" t="s">
        <v>234</v>
      </c>
      <c r="Q406" s="1">
        <v>43236</v>
      </c>
      <c r="R406" t="s">
        <v>258</v>
      </c>
      <c r="S406" t="s">
        <v>27</v>
      </c>
      <c r="T406" t="s">
        <v>1329</v>
      </c>
      <c r="U406" t="s">
        <v>115</v>
      </c>
      <c r="V406" t="s">
        <v>64</v>
      </c>
      <c r="W406" t="s">
        <v>3003</v>
      </c>
      <c r="X406">
        <v>20061746</v>
      </c>
      <c r="Y406" t="s">
        <v>259</v>
      </c>
      <c r="Z406" t="s">
        <v>260</v>
      </c>
      <c r="AA406" t="s">
        <v>32</v>
      </c>
      <c r="AB406" t="s">
        <v>133</v>
      </c>
      <c r="AC406" t="s">
        <v>25</v>
      </c>
      <c r="AD406" t="s">
        <v>155</v>
      </c>
      <c r="AE406">
        <v>1</v>
      </c>
      <c r="AF406" s="1">
        <v>401769</v>
      </c>
      <c r="AG406" t="s">
        <v>26</v>
      </c>
      <c r="AH406" t="s">
        <v>6797</v>
      </c>
      <c r="AI406" t="str">
        <f t="shared" si="30"/>
        <v>NO</v>
      </c>
      <c r="AJ406" t="str">
        <f t="shared" si="31"/>
        <v>FRESENIUS KABI AB</v>
      </c>
      <c r="AK406" t="str">
        <f>IF(ISNUMBER(SEARCH("FABRICANTE",AC406)),"FABRICANTE",IF(ISNUMBER(SEARCH("IMPORTADOR",AC406)),"IMPORTADOR","OTRO"))</f>
        <v>FABRICANTE</v>
      </c>
      <c r="AL406" t="str">
        <f>IF(LEFT(Y406,1)="A","Sistema digestivo",IF(LEFT(Y406,1)="B","Sangre",IF(LEFT(Y406,1)="C","Cardiovascular",IF(LEFT(Y406,1)="D","Dermatológico",IF(LEFT(Y406,1)="G","Genitourinario",IF(LEFT(Y406,1)="H","Hormonal",IF(LEFT(Y406,1)="J","Antiinfecciosos",IF(LEFT(Y406,1)="L","Oncológicos",IF(LEFT(Y406,1)="M","Musculoesquelético",IF(LEFT(Y406,1)="N","Sistema nervioso",IF(LEFT(Y406,1)="R","Respiratorio",IF(LEFT(Y406,1)="S","Oftálmico",IF(LEFT(Y406,1)="V","Varios","OTRO")))))))))))))</f>
        <v>Sangre</v>
      </c>
      <c r="AM406" t="str">
        <f>IF(AG406="Vigente","ACTIVO",IF(ISNUMBER(SEARCH("Inactivo",J406)),"INACTIVO","REVISAR"))</f>
        <v>ACTIVO</v>
      </c>
      <c r="AN406">
        <f ca="1">IF(OR(AF406="",AF406="null"),"",ROUND((AF406-TODAY())/365.25,2))</f>
        <v>973.58</v>
      </c>
      <c r="AO406" t="str">
        <f ca="1">IF(AND(AG406="Vigente",OR(AF406="",AF406="null",AF406&gt;TODAY())),"SI",IF(AND(NOT(OR(AF406="",AF406="null")),AF406&lt;=TODAY()),"NO",IF(AG406="Vigente","SI","DESCONOCIDO")))</f>
        <v>SI</v>
      </c>
      <c r="AP406" t="str">
        <f>IF(AND(ISNUMBER(SEARCH("IMPORTAR",AA406)),ISNUMBER(SEARCH("FABRICAR",AA406))),"MIXTO",IF(ISNUMBER(SEARCH("IMPORTAR",AA406)),"IMPORTADO",IF(ISNUMBER(SEARCH("FABRICAR",AA406)),"LOCAL","OTRO")))</f>
        <v>IMPORTADO</v>
      </c>
      <c r="AQ406" t="str">
        <f>IF(AD406="Si","SI",IF(AD406="No","NO",""))</f>
        <v>SI</v>
      </c>
      <c r="AR406" t="str">
        <f>IF(ISNUMBER(SEARCH("®",N406)),"MARCA/INNOVADOR","GENERICO")</f>
        <v>MARCA/INNOVADOR</v>
      </c>
      <c r="AS406">
        <f ca="1">IF(AE406&gt;100,RANDBETWEEN(500,5000),IF(AND(AE406&gt;=10,AE406&lt;=100),RANDBETWEEN(100,1000),RANDBETWEEN(10,200)))</f>
        <v>135</v>
      </c>
      <c r="AT406">
        <f t="shared" ca="1" si="32"/>
        <v>20</v>
      </c>
      <c r="AU406">
        <f ca="1">INT(AS406*RANDBETWEEN(120,200)/100)</f>
        <v>244</v>
      </c>
      <c r="AV406" s="2">
        <f ca="1">IF(LEFT(Y406,1)="L",RANDBETWEEN(500000,5000000),IF(LEFT(Y406,1)="C",RANDBETWEEN(5000,50000),IF(LEFT(Y406,1)="N",RANDBETWEEN(10000,150000),IF(LEFT(Y406,1)="J",RANDBETWEEN(8000,200000),RANDBETWEEN(5000,100000)))))</f>
        <v>53035</v>
      </c>
      <c r="AW406" s="2">
        <f ca="1">INT(AV406*RANDBETWEEN(30,60)/100)</f>
        <v>15910</v>
      </c>
      <c r="AX406">
        <f ca="1">IF(Z406="ORAL",RANDBETWEEN(1000,10000),IF(OR(Z406="INTRAVENOSA",Z406="INTRAMUSCULAR"),RANDBETWEEN(100,2000),IF(OR(Z406="OFTÁLMICA",Z406="TOPICA (EXTERNA)"),RANDBETWEEN(200,3000),RANDBETWEEN(100,1500))))</f>
        <v>1526</v>
      </c>
      <c r="AY406" s="2">
        <f ca="1">INT(AV406*RANDBETWEEN(90,130)/100)</f>
        <v>49322</v>
      </c>
      <c r="AZ406" t="str">
        <f t="shared" ca="1" si="33"/>
        <v>1.7%</v>
      </c>
      <c r="BA406" t="str">
        <f t="shared" ca="1" si="34"/>
        <v>MEDIO</v>
      </c>
    </row>
    <row r="407" spans="4:53" x14ac:dyDescent="0.35">
      <c r="D407" t="s">
        <v>3004</v>
      </c>
      <c r="E407" s="1">
        <v>45799</v>
      </c>
      <c r="F407" t="s">
        <v>3005</v>
      </c>
      <c r="G407" t="s">
        <v>108</v>
      </c>
      <c r="H407" t="s">
        <v>1403</v>
      </c>
      <c r="I407">
        <v>20233480</v>
      </c>
      <c r="J407" t="s">
        <v>28</v>
      </c>
      <c r="K407">
        <v>5</v>
      </c>
      <c r="L407" t="s">
        <v>27</v>
      </c>
      <c r="M407" t="s">
        <v>3006</v>
      </c>
      <c r="N407" t="s">
        <v>3007</v>
      </c>
      <c r="O407" t="s">
        <v>3008</v>
      </c>
      <c r="P407" t="s">
        <v>29</v>
      </c>
      <c r="Q407" s="1">
        <v>45786</v>
      </c>
      <c r="R407" t="s">
        <v>29</v>
      </c>
      <c r="S407" t="s">
        <v>27</v>
      </c>
      <c r="T407" t="s">
        <v>958</v>
      </c>
      <c r="U407" t="s">
        <v>115</v>
      </c>
      <c r="V407" t="s">
        <v>3009</v>
      </c>
      <c r="W407">
        <v>10</v>
      </c>
      <c r="X407">
        <v>20233480</v>
      </c>
      <c r="Y407" t="s">
        <v>3010</v>
      </c>
      <c r="Z407" t="s">
        <v>119</v>
      </c>
      <c r="AA407" t="s">
        <v>32</v>
      </c>
      <c r="AB407" t="s">
        <v>120</v>
      </c>
      <c r="AC407" t="s">
        <v>38</v>
      </c>
      <c r="AD407" t="s">
        <v>121</v>
      </c>
      <c r="AE407">
        <v>7</v>
      </c>
      <c r="AF407" s="1">
        <v>47640</v>
      </c>
      <c r="AG407" t="s">
        <v>26</v>
      </c>
      <c r="AH407" t="s">
        <v>3005</v>
      </c>
      <c r="AI407" t="str">
        <f t="shared" si="30"/>
        <v>NO</v>
      </c>
      <c r="AJ407" t="str">
        <f t="shared" si="31"/>
        <v>EUROFARMA COLOMBIA</v>
      </c>
      <c r="AK407" t="str">
        <f>IF(ISNUMBER(SEARCH("FABRICANTE",AC407)),"FABRICANTE",IF(ISNUMBER(SEARCH("IMPORTADOR",AC407)),"IMPORTADOR","OTRO"))</f>
        <v>IMPORTADOR</v>
      </c>
      <c r="AL407" t="str">
        <f>IF(LEFT(Y407,1)="A","Sistema digestivo",IF(LEFT(Y407,1)="B","Sangre",IF(LEFT(Y407,1)="C","Cardiovascular",IF(LEFT(Y407,1)="D","Dermatológico",IF(LEFT(Y407,1)="G","Genitourinario",IF(LEFT(Y407,1)="H","Hormonal",IF(LEFT(Y407,1)="J","Antiinfecciosos",IF(LEFT(Y407,1)="L","Oncológicos",IF(LEFT(Y407,1)="M","Musculoesquelético",IF(LEFT(Y407,1)="N","Sistema nervioso",IF(LEFT(Y407,1)="R","Respiratorio",IF(LEFT(Y407,1)="S","Oftálmico",IF(LEFT(Y407,1)="V","Varios","OTRO")))))))))))))</f>
        <v>Sistema nervioso</v>
      </c>
      <c r="AM407" t="str">
        <f>IF(AG407="Vigente","ACTIVO",IF(ISNUMBER(SEARCH("Inactivo",J407)),"INACTIVO","REVISAR"))</f>
        <v>ACTIVO</v>
      </c>
      <c r="AN407">
        <f ca="1">IF(OR(AF407="",AF407="null"),"",ROUND((AF407-TODAY())/365.25,2))</f>
        <v>4.03</v>
      </c>
      <c r="AO407" t="str">
        <f ca="1">IF(AND(AG407="Vigente",OR(AF407="",AF407="null",AF407&gt;TODAY())),"SI",IF(AND(NOT(OR(AF407="",AF407="null")),AF407&lt;=TODAY()),"NO",IF(AG407="Vigente","SI","DESCONOCIDO")))</f>
        <v>SI</v>
      </c>
      <c r="AP407" t="str">
        <f>IF(AND(ISNUMBER(SEARCH("IMPORTAR",AA407)),ISNUMBER(SEARCH("FABRICAR",AA407))),"MIXTO",IF(ISNUMBER(SEARCH("IMPORTAR",AA407)),"IMPORTADO",IF(ISNUMBER(SEARCH("FABRICAR",AA407)),"LOCAL","OTRO")))</f>
        <v>IMPORTADO</v>
      </c>
      <c r="AQ407" t="str">
        <f>IF(AD407="Si","SI",IF(AD407="No","NO",""))</f>
        <v>NO</v>
      </c>
      <c r="AR407" t="str">
        <f>IF(ISNUMBER(SEARCH("®",N407)),"MARCA/INNOVADOR","GENERICO")</f>
        <v>MARCA/INNOVADOR</v>
      </c>
      <c r="AS407">
        <f ca="1">IF(AE407&gt;100,RANDBETWEEN(500,5000),IF(AND(AE407&gt;=10,AE407&lt;=100),RANDBETWEEN(100,1000),RANDBETWEEN(10,200)))</f>
        <v>100</v>
      </c>
      <c r="AT407">
        <f t="shared" ca="1" si="32"/>
        <v>21</v>
      </c>
      <c r="AU407">
        <f ca="1">INT(AS407*RANDBETWEEN(120,200)/100)</f>
        <v>123</v>
      </c>
      <c r="AV407" s="2">
        <f ca="1">IF(LEFT(Y407,1)="L",RANDBETWEEN(500000,5000000),IF(LEFT(Y407,1)="C",RANDBETWEEN(5000,50000),IF(LEFT(Y407,1)="N",RANDBETWEEN(10000,150000),IF(LEFT(Y407,1)="J",RANDBETWEEN(8000,200000),RANDBETWEEN(5000,100000)))))</f>
        <v>149111</v>
      </c>
      <c r="AW407" s="2">
        <f ca="1">INT(AV407*RANDBETWEEN(30,60)/100)</f>
        <v>49206</v>
      </c>
      <c r="AX407">
        <f ca="1">IF(Z407="ORAL",RANDBETWEEN(1000,10000),IF(OR(Z407="INTRAVENOSA",Z407="INTRAMUSCULAR"),RANDBETWEEN(100,2000),IF(OR(Z407="OFTÁLMICA",Z407="TOPICA (EXTERNA)"),RANDBETWEEN(200,3000),RANDBETWEEN(100,1500))))</f>
        <v>9794</v>
      </c>
      <c r="AY407" s="2">
        <f ca="1">INT(AV407*RANDBETWEEN(90,130)/100)</f>
        <v>161039</v>
      </c>
      <c r="AZ407" t="str">
        <f t="shared" ca="1" si="33"/>
        <v>20.6%</v>
      </c>
      <c r="BA407" t="str">
        <f t="shared" ca="1" si="34"/>
        <v>MEDIO</v>
      </c>
    </row>
    <row r="408" spans="4:53" x14ac:dyDescent="0.35">
      <c r="D408" t="s">
        <v>3011</v>
      </c>
      <c r="E408" s="1">
        <v>40318</v>
      </c>
      <c r="F408" t="s">
        <v>3012</v>
      </c>
      <c r="G408" t="s">
        <v>247</v>
      </c>
      <c r="H408" t="s">
        <v>710</v>
      </c>
      <c r="I408">
        <v>20014120</v>
      </c>
      <c r="J408" t="s">
        <v>28</v>
      </c>
      <c r="K408">
        <v>12</v>
      </c>
      <c r="L408" t="s">
        <v>27</v>
      </c>
      <c r="M408" t="s">
        <v>3013</v>
      </c>
      <c r="N408" t="s">
        <v>3014</v>
      </c>
      <c r="O408" t="s">
        <v>3015</v>
      </c>
      <c r="P408" t="s">
        <v>97</v>
      </c>
      <c r="Q408" s="1">
        <v>43810</v>
      </c>
      <c r="R408" t="s">
        <v>2301</v>
      </c>
      <c r="S408" s="1">
        <v>43810</v>
      </c>
      <c r="T408" t="s">
        <v>3016</v>
      </c>
      <c r="U408" t="s">
        <v>247</v>
      </c>
      <c r="V408" t="s">
        <v>2143</v>
      </c>
      <c r="W408" t="s">
        <v>3017</v>
      </c>
      <c r="X408">
        <v>20014120</v>
      </c>
      <c r="Y408" t="s">
        <v>2144</v>
      </c>
      <c r="Z408" t="s">
        <v>1305</v>
      </c>
      <c r="AA408" t="s">
        <v>24</v>
      </c>
      <c r="AB408" t="s">
        <v>653</v>
      </c>
      <c r="AC408" t="s">
        <v>25</v>
      </c>
      <c r="AD408" t="s">
        <v>121</v>
      </c>
      <c r="AE408">
        <v>20</v>
      </c>
      <c r="AF408" t="s">
        <v>27</v>
      </c>
      <c r="AG408" t="s">
        <v>26</v>
      </c>
      <c r="AH408" t="s">
        <v>6661</v>
      </c>
      <c r="AI408" t="str">
        <f t="shared" si="30"/>
        <v>NO</v>
      </c>
      <c r="AJ408" t="str">
        <f t="shared" si="31"/>
        <v>NATURALMENTE NF</v>
      </c>
      <c r="AK408" t="str">
        <f>IF(ISNUMBER(SEARCH("FABRICANTE",AC408)),"FABRICANTE",IF(ISNUMBER(SEARCH("IMPORTADOR",AC408)),"IMPORTADOR","OTRO"))</f>
        <v>FABRICANTE</v>
      </c>
      <c r="AL408" t="str">
        <f>IF(LEFT(Y408,1)="A","Sistema digestivo",IF(LEFT(Y408,1)="B","Sangre",IF(LEFT(Y408,1)="C","Cardiovascular",IF(LEFT(Y408,1)="D","Dermatológico",IF(LEFT(Y408,1)="G","Genitourinario",IF(LEFT(Y408,1)="H","Hormonal",IF(LEFT(Y408,1)="J","Antiinfecciosos",IF(LEFT(Y408,1)="L","Oncológicos",IF(LEFT(Y408,1)="M","Musculoesquelético",IF(LEFT(Y408,1)="N","Sistema nervioso",IF(LEFT(Y408,1)="R","Respiratorio",IF(LEFT(Y408,1)="S","Oftálmico",IF(LEFT(Y408,1)="V","Varios","OTRO")))))))))))))</f>
        <v>Genitourinario</v>
      </c>
      <c r="AM408" t="str">
        <f>IF(AG408="Vigente","ACTIVO",IF(ISNUMBER(SEARCH("Inactivo",J408)),"INACTIVO","REVISAR"))</f>
        <v>ACTIVO</v>
      </c>
      <c r="AN408" t="str">
        <f ca="1">IF(OR(AF408="",AF408="null"),"",ROUND((AF408-TODAY())/365.25,2))</f>
        <v/>
      </c>
      <c r="AO408" t="str">
        <f ca="1">IF(AND(AG408="Vigente",OR(AF408="",AF408="null",AF408&gt;TODAY())),"SI",IF(AND(NOT(OR(AF408="",AF408="null")),AF408&lt;=TODAY()),"NO",IF(AG408="Vigente","SI","DESCONOCIDO")))</f>
        <v>SI</v>
      </c>
      <c r="AP408" t="str">
        <f>IF(AND(ISNUMBER(SEARCH("IMPORTAR",AA408)),ISNUMBER(SEARCH("FABRICAR",AA408))),"MIXTO",IF(ISNUMBER(SEARCH("IMPORTAR",AA408)),"IMPORTADO",IF(ISNUMBER(SEARCH("FABRICAR",AA408)),"LOCAL","OTRO")))</f>
        <v>LOCAL</v>
      </c>
      <c r="AQ408" t="str">
        <f>IF(AD408="Si","SI",IF(AD408="No","NO",""))</f>
        <v>NO</v>
      </c>
      <c r="AR408" t="str">
        <f>IF(ISNUMBER(SEARCH("®",N408)),"MARCA/INNOVADOR","GENERICO")</f>
        <v>GENERICO</v>
      </c>
      <c r="AS408">
        <f ca="1">IF(AE408&gt;100,RANDBETWEEN(500,5000),IF(AND(AE408&gt;=10,AE408&lt;=100),RANDBETWEEN(100,1000),RANDBETWEEN(10,200)))</f>
        <v>217</v>
      </c>
      <c r="AT408">
        <f t="shared" ca="1" si="32"/>
        <v>49</v>
      </c>
      <c r="AU408">
        <f ca="1">INT(AS408*RANDBETWEEN(120,200)/100)</f>
        <v>279</v>
      </c>
      <c r="AV408" s="2">
        <f ca="1">IF(LEFT(Y408,1)="L",RANDBETWEEN(500000,5000000),IF(LEFT(Y408,1)="C",RANDBETWEEN(5000,50000),IF(LEFT(Y408,1)="N",RANDBETWEEN(10000,150000),IF(LEFT(Y408,1)="J",RANDBETWEEN(8000,200000),RANDBETWEEN(5000,100000)))))</f>
        <v>7929</v>
      </c>
      <c r="AW408" s="2">
        <f ca="1">INT(AV408*RANDBETWEEN(30,60)/100)</f>
        <v>2695</v>
      </c>
      <c r="AX408">
        <f ca="1">IF(Z408="ORAL",RANDBETWEEN(1000,10000),IF(OR(Z408="INTRAVENOSA",Z408="INTRAMUSCULAR"),RANDBETWEEN(100,2000),IF(OR(Z408="OFTÁLMICA",Z408="TOPICA (EXTERNA)"),RANDBETWEEN(200,3000),RANDBETWEEN(100,1500))))</f>
        <v>1489</v>
      </c>
      <c r="AY408" s="2">
        <f ca="1">INT(AV408*RANDBETWEEN(90,130)/100)</f>
        <v>9673</v>
      </c>
      <c r="AZ408" t="str">
        <f t="shared" ca="1" si="33"/>
        <v>4.1%</v>
      </c>
      <c r="BA408" t="str">
        <f t="shared" ca="1" si="34"/>
        <v>BAJO</v>
      </c>
    </row>
    <row r="409" spans="4:53" x14ac:dyDescent="0.35">
      <c r="D409" t="s">
        <v>3018</v>
      </c>
      <c r="E409" s="1">
        <v>41870</v>
      </c>
      <c r="F409" t="s">
        <v>1673</v>
      </c>
      <c r="G409" t="s">
        <v>108</v>
      </c>
      <c r="H409" t="s">
        <v>187</v>
      </c>
      <c r="I409">
        <v>20067414</v>
      </c>
      <c r="J409" t="s">
        <v>110</v>
      </c>
      <c r="K409">
        <v>26</v>
      </c>
      <c r="L409" t="s">
        <v>27</v>
      </c>
      <c r="M409" t="s">
        <v>1674</v>
      </c>
      <c r="N409" t="s">
        <v>1675</v>
      </c>
      <c r="O409" t="s">
        <v>3019</v>
      </c>
      <c r="P409" t="s">
        <v>266</v>
      </c>
      <c r="Q409" s="1">
        <v>41730</v>
      </c>
      <c r="R409" t="s">
        <v>200</v>
      </c>
      <c r="S409" s="1">
        <v>45791</v>
      </c>
      <c r="T409" t="s">
        <v>80</v>
      </c>
      <c r="U409" t="s">
        <v>115</v>
      </c>
      <c r="V409" t="s">
        <v>1673</v>
      </c>
      <c r="W409">
        <v>60</v>
      </c>
      <c r="X409">
        <v>20067414</v>
      </c>
      <c r="Y409" t="s">
        <v>1677</v>
      </c>
      <c r="Z409" t="s">
        <v>119</v>
      </c>
      <c r="AA409" t="s">
        <v>24</v>
      </c>
      <c r="AB409" t="s">
        <v>120</v>
      </c>
      <c r="AC409" t="s">
        <v>25</v>
      </c>
      <c r="AD409" t="s">
        <v>155</v>
      </c>
      <c r="AE409">
        <v>5</v>
      </c>
      <c r="AF409" t="s">
        <v>27</v>
      </c>
      <c r="AG409" t="s">
        <v>26</v>
      </c>
      <c r="AH409" t="s">
        <v>1673</v>
      </c>
      <c r="AI409" t="str">
        <f t="shared" si="30"/>
        <v>NO</v>
      </c>
      <c r="AJ409" t="str">
        <f t="shared" si="31"/>
        <v>TECNOQUIMICAS</v>
      </c>
      <c r="AK409" t="str">
        <f>IF(ISNUMBER(SEARCH("FABRICANTE",AC409)),"FABRICANTE",IF(ISNUMBER(SEARCH("IMPORTADOR",AC409)),"IMPORTADOR","OTRO"))</f>
        <v>FABRICANTE</v>
      </c>
      <c r="AL409" t="str">
        <f>IF(LEFT(Y409,1)="A","Sistema digestivo",IF(LEFT(Y409,1)="B","Sangre",IF(LEFT(Y409,1)="C","Cardiovascular",IF(LEFT(Y409,1)="D","Dermatológico",IF(LEFT(Y409,1)="G","Genitourinario",IF(LEFT(Y409,1)="H","Hormonal",IF(LEFT(Y409,1)="J","Antiinfecciosos",IF(LEFT(Y409,1)="L","Oncológicos",IF(LEFT(Y409,1)="M","Musculoesquelético",IF(LEFT(Y409,1)="N","Sistema nervioso",IF(LEFT(Y409,1)="R","Respiratorio",IF(LEFT(Y409,1)="S","Oftálmico",IF(LEFT(Y409,1)="V","Varios","OTRO")))))))))))))</f>
        <v>Musculoesquelético</v>
      </c>
      <c r="AM409" t="str">
        <f>IF(AG409="Vigente","ACTIVO",IF(ISNUMBER(SEARCH("Inactivo",J409)),"INACTIVO","REVISAR"))</f>
        <v>ACTIVO</v>
      </c>
      <c r="AN409" t="str">
        <f ca="1">IF(OR(AF409="",AF409="null"),"",ROUND((AF409-TODAY())/365.25,2))</f>
        <v/>
      </c>
      <c r="AO409" t="str">
        <f ca="1">IF(AND(AG409="Vigente",OR(AF409="",AF409="null",AF409&gt;TODAY())),"SI",IF(AND(NOT(OR(AF409="",AF409="null")),AF409&lt;=TODAY()),"NO",IF(AG409="Vigente","SI","DESCONOCIDO")))</f>
        <v>SI</v>
      </c>
      <c r="AP409" t="str">
        <f>IF(AND(ISNUMBER(SEARCH("IMPORTAR",AA409)),ISNUMBER(SEARCH("FABRICAR",AA409))),"MIXTO",IF(ISNUMBER(SEARCH("IMPORTAR",AA409)),"IMPORTADO",IF(ISNUMBER(SEARCH("FABRICAR",AA409)),"LOCAL","OTRO")))</f>
        <v>LOCAL</v>
      </c>
      <c r="AQ409" t="str">
        <f>IF(AD409="Si","SI",IF(AD409="No","NO",""))</f>
        <v>SI</v>
      </c>
      <c r="AR409" t="str">
        <f>IF(ISNUMBER(SEARCH("®",N409)),"MARCA/INNOVADOR","GENERICO")</f>
        <v>GENERICO</v>
      </c>
      <c r="AS409">
        <f ca="1">IF(AE409&gt;100,RANDBETWEEN(500,5000),IF(AND(AE409&gt;=10,AE409&lt;=100),RANDBETWEEN(100,1000),RANDBETWEEN(10,200)))</f>
        <v>183</v>
      </c>
      <c r="AT409">
        <f t="shared" ca="1" si="32"/>
        <v>45</v>
      </c>
      <c r="AU409">
        <f ca="1">INT(AS409*RANDBETWEEN(120,200)/100)</f>
        <v>323</v>
      </c>
      <c r="AV409" s="2">
        <f ca="1">IF(LEFT(Y409,1)="L",RANDBETWEEN(500000,5000000),IF(LEFT(Y409,1)="C",RANDBETWEEN(5000,50000),IF(LEFT(Y409,1)="N",RANDBETWEEN(10000,150000),IF(LEFT(Y409,1)="J",RANDBETWEEN(8000,200000),RANDBETWEEN(5000,100000)))))</f>
        <v>25099</v>
      </c>
      <c r="AW409" s="2">
        <f ca="1">INT(AV409*RANDBETWEEN(30,60)/100)</f>
        <v>11043</v>
      </c>
      <c r="AX409">
        <f ca="1">IF(Z409="ORAL",RANDBETWEEN(1000,10000),IF(OR(Z409="INTRAVENOSA",Z409="INTRAMUSCULAR"),RANDBETWEEN(100,2000),IF(OR(Z409="OFTÁLMICA",Z409="TOPICA (EXTERNA)"),RANDBETWEEN(200,3000),RANDBETWEEN(100,1500))))</f>
        <v>7458</v>
      </c>
      <c r="AY409" s="2">
        <f ca="1">INT(AV409*RANDBETWEEN(90,130)/100)</f>
        <v>32126</v>
      </c>
      <c r="AZ409" t="str">
        <f t="shared" ca="1" si="33"/>
        <v>6.2%</v>
      </c>
      <c r="BA409" t="str">
        <f t="shared" ca="1" si="34"/>
        <v>ALTO</v>
      </c>
    </row>
    <row r="410" spans="4:53" x14ac:dyDescent="0.35">
      <c r="D410" t="s">
        <v>3020</v>
      </c>
      <c r="E410" s="1">
        <v>37852</v>
      </c>
      <c r="F410" t="s">
        <v>3021</v>
      </c>
      <c r="G410" t="s">
        <v>502</v>
      </c>
      <c r="H410" t="s">
        <v>1501</v>
      </c>
      <c r="I410">
        <v>19933606</v>
      </c>
      <c r="J410" t="s">
        <v>28</v>
      </c>
      <c r="K410">
        <v>4</v>
      </c>
      <c r="L410" t="s">
        <v>27</v>
      </c>
      <c r="M410" t="s">
        <v>3022</v>
      </c>
      <c r="N410" t="s">
        <v>3023</v>
      </c>
      <c r="O410" t="s">
        <v>3024</v>
      </c>
      <c r="P410" t="s">
        <v>257</v>
      </c>
      <c r="Q410" s="1">
        <v>41053</v>
      </c>
      <c r="R410" t="s">
        <v>50</v>
      </c>
      <c r="S410" t="s">
        <v>27</v>
      </c>
      <c r="T410" t="s">
        <v>3025</v>
      </c>
      <c r="U410" t="s">
        <v>247</v>
      </c>
      <c r="V410" t="s">
        <v>554</v>
      </c>
      <c r="W410" t="s">
        <v>3026</v>
      </c>
      <c r="X410">
        <v>19933606</v>
      </c>
      <c r="Y410" t="s">
        <v>556</v>
      </c>
      <c r="Z410" t="s">
        <v>260</v>
      </c>
      <c r="AA410" t="s">
        <v>32</v>
      </c>
      <c r="AB410" t="s">
        <v>120</v>
      </c>
      <c r="AC410" t="s">
        <v>25</v>
      </c>
      <c r="AD410" t="s">
        <v>121</v>
      </c>
      <c r="AE410">
        <v>1000</v>
      </c>
      <c r="AF410" t="s">
        <v>27</v>
      </c>
      <c r="AG410" t="s">
        <v>26</v>
      </c>
      <c r="AH410" t="s">
        <v>3021</v>
      </c>
      <c r="AI410" t="str">
        <f t="shared" si="30"/>
        <v>NO</v>
      </c>
      <c r="AJ410" t="str">
        <f t="shared" si="31"/>
        <v>FRESENIUS KABI DEUTSCHLAND</v>
      </c>
      <c r="AK410" t="str">
        <f>IF(ISNUMBER(SEARCH("FABRICANTE",AC410)),"FABRICANTE",IF(ISNUMBER(SEARCH("IMPORTADOR",AC410)),"IMPORTADOR","OTRO"))</f>
        <v>FABRICANTE</v>
      </c>
      <c r="AL410" t="str">
        <f>IF(LEFT(Y410,1)="A","Sistema digestivo",IF(LEFT(Y410,1)="B","Sangre",IF(LEFT(Y410,1)="C","Cardiovascular",IF(LEFT(Y410,1)="D","Dermatológico",IF(LEFT(Y410,1)="G","Genitourinario",IF(LEFT(Y410,1)="H","Hormonal",IF(LEFT(Y410,1)="J","Antiinfecciosos",IF(LEFT(Y410,1)="L","Oncológicos",IF(LEFT(Y410,1)="M","Musculoesquelético",IF(LEFT(Y410,1)="N","Sistema nervioso",IF(LEFT(Y410,1)="R","Respiratorio",IF(LEFT(Y410,1)="S","Oftálmico",IF(LEFT(Y410,1)="V","Varios","OTRO")))))))))))))</f>
        <v>Sangre</v>
      </c>
      <c r="AM410" t="str">
        <f>IF(AG410="Vigente","ACTIVO",IF(ISNUMBER(SEARCH("Inactivo",J410)),"INACTIVO","REVISAR"))</f>
        <v>ACTIVO</v>
      </c>
      <c r="AN410" t="str">
        <f ca="1">IF(OR(AF410="",AF410="null"),"",ROUND((AF410-TODAY())/365.25,2))</f>
        <v/>
      </c>
      <c r="AO410" t="str">
        <f ca="1">IF(AND(AG410="Vigente",OR(AF410="",AF410="null",AF410&gt;TODAY())),"SI",IF(AND(NOT(OR(AF410="",AF410="null")),AF410&lt;=TODAY()),"NO",IF(AG410="Vigente","SI","DESCONOCIDO")))</f>
        <v>SI</v>
      </c>
      <c r="AP410" t="str">
        <f>IF(AND(ISNUMBER(SEARCH("IMPORTAR",AA410)),ISNUMBER(SEARCH("FABRICAR",AA410))),"MIXTO",IF(ISNUMBER(SEARCH("IMPORTAR",AA410)),"IMPORTADO",IF(ISNUMBER(SEARCH("FABRICAR",AA410)),"LOCAL","OTRO")))</f>
        <v>IMPORTADO</v>
      </c>
      <c r="AQ410" t="str">
        <f>IF(AD410="Si","SI",IF(AD410="No","NO",""))</f>
        <v>NO</v>
      </c>
      <c r="AR410" t="str">
        <f>IF(ISNUMBER(SEARCH("®",N410)),"MARCA/INNOVADOR","GENERICO")</f>
        <v>GENERICO</v>
      </c>
      <c r="AS410">
        <f ca="1">IF(AE410&gt;100,RANDBETWEEN(500,5000),IF(AND(AE410&gt;=10,AE410&lt;=100),RANDBETWEEN(100,1000),RANDBETWEEN(10,200)))</f>
        <v>4042</v>
      </c>
      <c r="AT410">
        <f t="shared" ca="1" si="32"/>
        <v>889</v>
      </c>
      <c r="AU410">
        <f ca="1">INT(AS410*RANDBETWEEN(120,200)/100)</f>
        <v>6588</v>
      </c>
      <c r="AV410" s="2">
        <f ca="1">IF(LEFT(Y410,1)="L",RANDBETWEEN(500000,5000000),IF(LEFT(Y410,1)="C",RANDBETWEEN(5000,50000),IF(LEFT(Y410,1)="N",RANDBETWEEN(10000,150000),IF(LEFT(Y410,1)="J",RANDBETWEEN(8000,200000),RANDBETWEEN(5000,100000)))))</f>
        <v>81214</v>
      </c>
      <c r="AW410" s="2">
        <f ca="1">INT(AV410*RANDBETWEEN(30,60)/100)</f>
        <v>48728</v>
      </c>
      <c r="AX410">
        <f ca="1">IF(Z410="ORAL",RANDBETWEEN(1000,10000),IF(OR(Z410="INTRAVENOSA",Z410="INTRAMUSCULAR"),RANDBETWEEN(100,2000),IF(OR(Z410="OFTÁLMICA",Z410="TOPICA (EXTERNA)"),RANDBETWEEN(200,3000),RANDBETWEEN(100,1500))))</f>
        <v>1907</v>
      </c>
      <c r="AY410" s="2">
        <f ca="1">INT(AV410*RANDBETWEEN(90,130)/100)</f>
        <v>80401</v>
      </c>
      <c r="AZ410" t="str">
        <f t="shared" ca="1" si="33"/>
        <v>0.7%</v>
      </c>
      <c r="BA410" t="str">
        <f t="shared" ca="1" si="34"/>
        <v>BAJO</v>
      </c>
    </row>
    <row r="411" spans="4:53" x14ac:dyDescent="0.35">
      <c r="D411" t="s">
        <v>3027</v>
      </c>
      <c r="E411" s="1">
        <v>35712</v>
      </c>
      <c r="F411" t="s">
        <v>3028</v>
      </c>
      <c r="G411" t="s">
        <v>108</v>
      </c>
      <c r="H411" t="s">
        <v>3029</v>
      </c>
      <c r="I411">
        <v>217850</v>
      </c>
      <c r="J411" t="s">
        <v>28</v>
      </c>
      <c r="K411">
        <v>3</v>
      </c>
      <c r="L411" t="s">
        <v>27</v>
      </c>
      <c r="M411" t="s">
        <v>3030</v>
      </c>
      <c r="N411" t="s">
        <v>3031</v>
      </c>
      <c r="O411" t="s">
        <v>3032</v>
      </c>
      <c r="P411" t="s">
        <v>274</v>
      </c>
      <c r="Q411" s="1">
        <v>42061</v>
      </c>
      <c r="R411" t="s">
        <v>50</v>
      </c>
      <c r="S411" t="s">
        <v>27</v>
      </c>
      <c r="T411" t="s">
        <v>3033</v>
      </c>
      <c r="U411" t="s">
        <v>1394</v>
      </c>
      <c r="V411" t="s">
        <v>3034</v>
      </c>
      <c r="W411">
        <v>3800</v>
      </c>
      <c r="X411">
        <v>217850</v>
      </c>
      <c r="Y411" t="s">
        <v>3035</v>
      </c>
      <c r="Z411" t="s">
        <v>3036</v>
      </c>
      <c r="AA411" t="s">
        <v>32</v>
      </c>
      <c r="AB411" t="s">
        <v>239</v>
      </c>
      <c r="AC411" t="s">
        <v>25</v>
      </c>
      <c r="AD411" t="s">
        <v>155</v>
      </c>
      <c r="AE411">
        <v>2</v>
      </c>
      <c r="AF411" t="s">
        <v>27</v>
      </c>
      <c r="AG411" t="s">
        <v>26</v>
      </c>
      <c r="AH411" t="s">
        <v>6662</v>
      </c>
      <c r="AI411" t="str">
        <f t="shared" si="30"/>
        <v>NO</v>
      </c>
      <c r="AJ411" t="str">
        <f t="shared" si="31"/>
        <v>ASPEN LABS.</v>
      </c>
      <c r="AK411" t="str">
        <f>IF(ISNUMBER(SEARCH("FABRICANTE",AC411)),"FABRICANTE",IF(ISNUMBER(SEARCH("IMPORTADOR",AC411)),"IMPORTADOR","OTRO"))</f>
        <v>FABRICANTE</v>
      </c>
      <c r="AL411" t="str">
        <f>IF(LEFT(Y411,1)="A","Sistema digestivo",IF(LEFT(Y411,1)="B","Sangre",IF(LEFT(Y411,1)="C","Cardiovascular",IF(LEFT(Y411,1)="D","Dermatológico",IF(LEFT(Y411,1)="G","Genitourinario",IF(LEFT(Y411,1)="H","Hormonal",IF(LEFT(Y411,1)="J","Antiinfecciosos",IF(LEFT(Y411,1)="L","Oncológicos",IF(LEFT(Y411,1)="M","Musculoesquelético",IF(LEFT(Y411,1)="N","Sistema nervioso",IF(LEFT(Y411,1)="R","Respiratorio",IF(LEFT(Y411,1)="S","Oftálmico",IF(LEFT(Y411,1)="V","Varios","OTRO")))))))))))))</f>
        <v>Sangre</v>
      </c>
      <c r="AM411" t="str">
        <f>IF(AG411="Vigente","ACTIVO",IF(ISNUMBER(SEARCH("Inactivo",J411)),"INACTIVO","REVISAR"))</f>
        <v>ACTIVO</v>
      </c>
      <c r="AN411" t="str">
        <f ca="1">IF(OR(AF411="",AF411="null"),"",ROUND((AF411-TODAY())/365.25,2))</f>
        <v/>
      </c>
      <c r="AO411" t="str">
        <f ca="1">IF(AND(AG411="Vigente",OR(AF411="",AF411="null",AF411&gt;TODAY())),"SI",IF(AND(NOT(OR(AF411="",AF411="null")),AF411&lt;=TODAY()),"NO",IF(AG411="Vigente","SI","DESCONOCIDO")))</f>
        <v>SI</v>
      </c>
      <c r="AP411" t="str">
        <f>IF(AND(ISNUMBER(SEARCH("IMPORTAR",AA411)),ISNUMBER(SEARCH("FABRICAR",AA411))),"MIXTO",IF(ISNUMBER(SEARCH("IMPORTAR",AA411)),"IMPORTADO",IF(ISNUMBER(SEARCH("FABRICAR",AA411)),"LOCAL","OTRO")))</f>
        <v>IMPORTADO</v>
      </c>
      <c r="AQ411" t="str">
        <f>IF(AD411="Si","SI",IF(AD411="No","NO",""))</f>
        <v>SI</v>
      </c>
      <c r="AR411" t="str">
        <f>IF(ISNUMBER(SEARCH("®",N411)),"MARCA/INNOVADOR","GENERICO")</f>
        <v>GENERICO</v>
      </c>
      <c r="AS411">
        <f ca="1">IF(AE411&gt;100,RANDBETWEEN(500,5000),IF(AND(AE411&gt;=10,AE411&lt;=100),RANDBETWEEN(100,1000),RANDBETWEEN(10,200)))</f>
        <v>86</v>
      </c>
      <c r="AT411">
        <f t="shared" ca="1" si="32"/>
        <v>20</v>
      </c>
      <c r="AU411">
        <f ca="1">INT(AS411*RANDBETWEEN(120,200)/100)</f>
        <v>116</v>
      </c>
      <c r="AV411" s="2">
        <f ca="1">IF(LEFT(Y411,1)="L",RANDBETWEEN(500000,5000000),IF(LEFT(Y411,1)="C",RANDBETWEEN(5000,50000),IF(LEFT(Y411,1)="N",RANDBETWEEN(10000,150000),IF(LEFT(Y411,1)="J",RANDBETWEEN(8000,200000),RANDBETWEEN(5000,100000)))))</f>
        <v>78443</v>
      </c>
      <c r="AW411" s="2">
        <f ca="1">INT(AV411*RANDBETWEEN(30,60)/100)</f>
        <v>36083</v>
      </c>
      <c r="AX411">
        <f ca="1">IF(Z411="ORAL",RANDBETWEEN(1000,10000),IF(OR(Z411="INTRAVENOSA",Z411="INTRAMUSCULAR"),RANDBETWEEN(100,2000),IF(OR(Z411="OFTÁLMICA",Z411="TOPICA (EXTERNA)"),RANDBETWEEN(200,3000),RANDBETWEEN(100,1500))))</f>
        <v>320</v>
      </c>
      <c r="AY411" s="2">
        <f ca="1">INT(AV411*RANDBETWEEN(90,130)/100)</f>
        <v>82365</v>
      </c>
      <c r="AZ411" t="str">
        <f t="shared" ca="1" si="33"/>
        <v>5.6%</v>
      </c>
      <c r="BA411" t="str">
        <f t="shared" ca="1" si="34"/>
        <v>BAJO</v>
      </c>
    </row>
    <row r="412" spans="4:53" x14ac:dyDescent="0.35">
      <c r="D412" t="s">
        <v>3037</v>
      </c>
      <c r="E412" s="1">
        <v>40427</v>
      </c>
      <c r="F412" t="s">
        <v>3038</v>
      </c>
      <c r="G412" t="s">
        <v>108</v>
      </c>
      <c r="H412" t="s">
        <v>3039</v>
      </c>
      <c r="I412">
        <v>20012256</v>
      </c>
      <c r="J412" t="s">
        <v>28</v>
      </c>
      <c r="K412">
        <v>3</v>
      </c>
      <c r="L412" t="s">
        <v>1873</v>
      </c>
      <c r="M412" t="s">
        <v>1874</v>
      </c>
      <c r="N412" t="s">
        <v>1875</v>
      </c>
      <c r="O412" t="s">
        <v>1876</v>
      </c>
      <c r="P412" t="s">
        <v>1877</v>
      </c>
      <c r="Q412" s="1">
        <v>43341</v>
      </c>
      <c r="R412" t="s">
        <v>50</v>
      </c>
      <c r="S412" t="s">
        <v>27</v>
      </c>
      <c r="T412" t="s">
        <v>1872</v>
      </c>
      <c r="U412" t="s">
        <v>807</v>
      </c>
      <c r="V412" t="s">
        <v>1878</v>
      </c>
      <c r="W412">
        <v>4</v>
      </c>
      <c r="X412">
        <v>20012256</v>
      </c>
      <c r="Y412" t="s">
        <v>1879</v>
      </c>
      <c r="Z412" t="s">
        <v>213</v>
      </c>
      <c r="AA412" t="s">
        <v>32</v>
      </c>
      <c r="AB412" t="s">
        <v>239</v>
      </c>
      <c r="AC412" t="s">
        <v>38</v>
      </c>
      <c r="AD412" t="s">
        <v>121</v>
      </c>
      <c r="AE412">
        <v>1</v>
      </c>
      <c r="AF412" s="1">
        <v>401769</v>
      </c>
      <c r="AG412" t="s">
        <v>26</v>
      </c>
      <c r="AH412" t="s">
        <v>6798</v>
      </c>
      <c r="AI412" t="str">
        <f t="shared" si="30"/>
        <v>NO</v>
      </c>
      <c r="AJ412" t="str">
        <f t="shared" si="31"/>
        <v>SANOFI PASTEUR</v>
      </c>
      <c r="AK412" t="str">
        <f>IF(ISNUMBER(SEARCH("FABRICANTE",AC412)),"FABRICANTE",IF(ISNUMBER(SEARCH("IMPORTADOR",AC412)),"IMPORTADOR","OTRO"))</f>
        <v>IMPORTADOR</v>
      </c>
      <c r="AL412" t="str">
        <f>IF(LEFT(Y412,1)="A","Sistema digestivo",IF(LEFT(Y412,1)="B","Sangre",IF(LEFT(Y412,1)="C","Cardiovascular",IF(LEFT(Y412,1)="D","Dermatológico",IF(LEFT(Y412,1)="G","Genitourinario",IF(LEFT(Y412,1)="H","Hormonal",IF(LEFT(Y412,1)="J","Antiinfecciosos",IF(LEFT(Y412,1)="L","Oncológicos",IF(LEFT(Y412,1)="M","Musculoesquelético",IF(LEFT(Y412,1)="N","Sistema nervioso",IF(LEFT(Y412,1)="R","Respiratorio",IF(LEFT(Y412,1)="S","Oftálmico",IF(LEFT(Y412,1)="V","Varios","OTRO")))))))))))))</f>
        <v>Antiinfecciosos</v>
      </c>
      <c r="AM412" t="str">
        <f>IF(AG412="Vigente","ACTIVO",IF(ISNUMBER(SEARCH("Inactivo",J412)),"INACTIVO","REVISAR"))</f>
        <v>ACTIVO</v>
      </c>
      <c r="AN412">
        <f ca="1">IF(OR(AF412="",AF412="null"),"",ROUND((AF412-TODAY())/365.25,2))</f>
        <v>973.58</v>
      </c>
      <c r="AO412" t="str">
        <f ca="1">IF(AND(AG412="Vigente",OR(AF412="",AF412="null",AF412&gt;TODAY())),"SI",IF(AND(NOT(OR(AF412="",AF412="null")),AF412&lt;=TODAY()),"NO",IF(AG412="Vigente","SI","DESCONOCIDO")))</f>
        <v>SI</v>
      </c>
      <c r="AP412" t="str">
        <f>IF(AND(ISNUMBER(SEARCH("IMPORTAR",AA412)),ISNUMBER(SEARCH("FABRICAR",AA412))),"MIXTO",IF(ISNUMBER(SEARCH("IMPORTAR",AA412)),"IMPORTADO",IF(ISNUMBER(SEARCH("FABRICAR",AA412)),"LOCAL","OTRO")))</f>
        <v>IMPORTADO</v>
      </c>
      <c r="AQ412" t="str">
        <f>IF(AD412="Si","SI",IF(AD412="No","NO",""))</f>
        <v>NO</v>
      </c>
      <c r="AR412" t="str">
        <f>IF(ISNUMBER(SEARCH("®",N412)),"MARCA/INNOVADOR","GENERICO")</f>
        <v>MARCA/INNOVADOR</v>
      </c>
      <c r="AS412">
        <f ca="1">IF(AE412&gt;100,RANDBETWEEN(500,5000),IF(AND(AE412&gt;=10,AE412&lt;=100),RANDBETWEEN(100,1000),RANDBETWEEN(10,200)))</f>
        <v>25</v>
      </c>
      <c r="AT412">
        <f t="shared" ca="1" si="32"/>
        <v>4</v>
      </c>
      <c r="AU412">
        <f ca="1">INT(AS412*RANDBETWEEN(120,200)/100)</f>
        <v>47</v>
      </c>
      <c r="AV412" s="2">
        <f ca="1">IF(LEFT(Y412,1)="L",RANDBETWEEN(500000,5000000),IF(LEFT(Y412,1)="C",RANDBETWEEN(5000,50000),IF(LEFT(Y412,1)="N",RANDBETWEEN(10000,150000),IF(LEFT(Y412,1)="J",RANDBETWEEN(8000,200000),RANDBETWEEN(5000,100000)))))</f>
        <v>161779</v>
      </c>
      <c r="AW412" s="2">
        <f ca="1">INT(AV412*RANDBETWEEN(30,60)/100)</f>
        <v>63093</v>
      </c>
      <c r="AX412">
        <f ca="1">IF(Z412="ORAL",RANDBETWEEN(1000,10000),IF(OR(Z412="INTRAVENOSA",Z412="INTRAMUSCULAR"),RANDBETWEEN(100,2000),IF(OR(Z412="OFTÁLMICA",Z412="TOPICA (EXTERNA)"),RANDBETWEEN(200,3000),RANDBETWEEN(100,1500))))</f>
        <v>816</v>
      </c>
      <c r="AY412" s="2">
        <f ca="1">INT(AV412*RANDBETWEEN(90,130)/100)</f>
        <v>200605</v>
      </c>
      <c r="AZ412" t="str">
        <f t="shared" ca="1" si="33"/>
        <v>1.6%</v>
      </c>
      <c r="BA412" t="str">
        <f t="shared" ca="1" si="34"/>
        <v>BAJO</v>
      </c>
    </row>
    <row r="413" spans="4:53" x14ac:dyDescent="0.35">
      <c r="D413" t="s">
        <v>3040</v>
      </c>
      <c r="E413" s="1">
        <v>37852</v>
      </c>
      <c r="F413" t="s">
        <v>2165</v>
      </c>
      <c r="G413" t="s">
        <v>502</v>
      </c>
      <c r="H413" t="s">
        <v>1501</v>
      </c>
      <c r="I413">
        <v>19933606</v>
      </c>
      <c r="J413" t="s">
        <v>28</v>
      </c>
      <c r="K413">
        <v>2</v>
      </c>
      <c r="L413" t="s">
        <v>27</v>
      </c>
      <c r="M413" t="s">
        <v>3022</v>
      </c>
      <c r="N413" t="s">
        <v>3023</v>
      </c>
      <c r="O413" t="s">
        <v>3041</v>
      </c>
      <c r="P413" t="s">
        <v>257</v>
      </c>
      <c r="Q413" s="1">
        <v>39031</v>
      </c>
      <c r="R413" t="s">
        <v>50</v>
      </c>
      <c r="S413" t="s">
        <v>27</v>
      </c>
      <c r="T413" t="s">
        <v>3025</v>
      </c>
      <c r="U413" t="s">
        <v>247</v>
      </c>
      <c r="V413" t="s">
        <v>554</v>
      </c>
      <c r="W413" t="s">
        <v>3042</v>
      </c>
      <c r="X413">
        <v>19933606</v>
      </c>
      <c r="Y413" t="s">
        <v>556</v>
      </c>
      <c r="Z413" t="s">
        <v>260</v>
      </c>
      <c r="AA413" t="s">
        <v>32</v>
      </c>
      <c r="AB413" t="s">
        <v>120</v>
      </c>
      <c r="AC413" t="s">
        <v>25</v>
      </c>
      <c r="AD413" t="s">
        <v>121</v>
      </c>
      <c r="AE413">
        <v>250</v>
      </c>
      <c r="AF413" t="s">
        <v>27</v>
      </c>
      <c r="AG413" t="s">
        <v>26</v>
      </c>
      <c r="AH413" t="s">
        <v>6644</v>
      </c>
      <c r="AI413" t="str">
        <f t="shared" si="30"/>
        <v>NO</v>
      </c>
      <c r="AJ413" t="str">
        <f t="shared" si="31"/>
        <v>FRESENIUS KABI DEUTSCHLAND</v>
      </c>
      <c r="AK413" t="str">
        <f>IF(ISNUMBER(SEARCH("FABRICANTE",AC413)),"FABRICANTE",IF(ISNUMBER(SEARCH("IMPORTADOR",AC413)),"IMPORTADOR","OTRO"))</f>
        <v>FABRICANTE</v>
      </c>
      <c r="AL413" t="str">
        <f>IF(LEFT(Y413,1)="A","Sistema digestivo",IF(LEFT(Y413,1)="B","Sangre",IF(LEFT(Y413,1)="C","Cardiovascular",IF(LEFT(Y413,1)="D","Dermatológico",IF(LEFT(Y413,1)="G","Genitourinario",IF(LEFT(Y413,1)="H","Hormonal",IF(LEFT(Y413,1)="J","Antiinfecciosos",IF(LEFT(Y413,1)="L","Oncológicos",IF(LEFT(Y413,1)="M","Musculoesquelético",IF(LEFT(Y413,1)="N","Sistema nervioso",IF(LEFT(Y413,1)="R","Respiratorio",IF(LEFT(Y413,1)="S","Oftálmico",IF(LEFT(Y413,1)="V","Varios","OTRO")))))))))))))</f>
        <v>Sangre</v>
      </c>
      <c r="AM413" t="str">
        <f>IF(AG413="Vigente","ACTIVO",IF(ISNUMBER(SEARCH("Inactivo",J413)),"INACTIVO","REVISAR"))</f>
        <v>ACTIVO</v>
      </c>
      <c r="AN413" t="str">
        <f ca="1">IF(OR(AF413="",AF413="null"),"",ROUND((AF413-TODAY())/365.25,2))</f>
        <v/>
      </c>
      <c r="AO413" t="str">
        <f ca="1">IF(AND(AG413="Vigente",OR(AF413="",AF413="null",AF413&gt;TODAY())),"SI",IF(AND(NOT(OR(AF413="",AF413="null")),AF413&lt;=TODAY()),"NO",IF(AG413="Vigente","SI","DESCONOCIDO")))</f>
        <v>SI</v>
      </c>
      <c r="AP413" t="str">
        <f>IF(AND(ISNUMBER(SEARCH("IMPORTAR",AA413)),ISNUMBER(SEARCH("FABRICAR",AA413))),"MIXTO",IF(ISNUMBER(SEARCH("IMPORTAR",AA413)),"IMPORTADO",IF(ISNUMBER(SEARCH("FABRICAR",AA413)),"LOCAL","OTRO")))</f>
        <v>IMPORTADO</v>
      </c>
      <c r="AQ413" t="str">
        <f>IF(AD413="Si","SI",IF(AD413="No","NO",""))</f>
        <v>NO</v>
      </c>
      <c r="AR413" t="str">
        <f>IF(ISNUMBER(SEARCH("®",N413)),"MARCA/INNOVADOR","GENERICO")</f>
        <v>GENERICO</v>
      </c>
      <c r="AS413">
        <f ca="1">IF(AE413&gt;100,RANDBETWEEN(500,5000),IF(AND(AE413&gt;=10,AE413&lt;=100),RANDBETWEEN(100,1000),RANDBETWEEN(10,200)))</f>
        <v>1211</v>
      </c>
      <c r="AT413">
        <f t="shared" ca="1" si="32"/>
        <v>351</v>
      </c>
      <c r="AU413">
        <f ca="1">INT(AS413*RANDBETWEEN(120,200)/100)</f>
        <v>1719</v>
      </c>
      <c r="AV413" s="2">
        <f ca="1">IF(LEFT(Y413,1)="L",RANDBETWEEN(500000,5000000),IF(LEFT(Y413,1)="C",RANDBETWEEN(5000,50000),IF(LEFT(Y413,1)="N",RANDBETWEEN(10000,150000),IF(LEFT(Y413,1)="J",RANDBETWEEN(8000,200000),RANDBETWEEN(5000,100000)))))</f>
        <v>90460</v>
      </c>
      <c r="AW413" s="2">
        <f ca="1">INT(AV413*RANDBETWEEN(30,60)/100)</f>
        <v>30756</v>
      </c>
      <c r="AX413">
        <f ca="1">IF(Z413="ORAL",RANDBETWEEN(1000,10000),IF(OR(Z413="INTRAVENOSA",Z413="INTRAMUSCULAR"),RANDBETWEEN(100,2000),IF(OR(Z413="OFTÁLMICA",Z413="TOPICA (EXTERNA)"),RANDBETWEEN(200,3000),RANDBETWEEN(100,1500))))</f>
        <v>644</v>
      </c>
      <c r="AY413" s="2">
        <f ca="1">INT(AV413*RANDBETWEEN(90,130)/100)</f>
        <v>106742</v>
      </c>
      <c r="AZ413" t="str">
        <f t="shared" ca="1" si="33"/>
        <v>3%</v>
      </c>
      <c r="BA413" t="str">
        <f t="shared" ca="1" si="34"/>
        <v>BAJO</v>
      </c>
    </row>
    <row r="414" spans="4:53" x14ac:dyDescent="0.35">
      <c r="D414" t="s">
        <v>3043</v>
      </c>
      <c r="E414" s="1">
        <v>33537</v>
      </c>
      <c r="F414" t="s">
        <v>3044</v>
      </c>
      <c r="G414" t="s">
        <v>108</v>
      </c>
      <c r="H414" t="s">
        <v>3045</v>
      </c>
      <c r="I414">
        <v>39007</v>
      </c>
      <c r="J414" t="s">
        <v>110</v>
      </c>
      <c r="K414">
        <v>7</v>
      </c>
      <c r="L414" t="s">
        <v>27</v>
      </c>
      <c r="M414" t="s">
        <v>3046</v>
      </c>
      <c r="N414" t="s">
        <v>3047</v>
      </c>
      <c r="O414" t="s">
        <v>3048</v>
      </c>
      <c r="P414" t="s">
        <v>3049</v>
      </c>
      <c r="Q414" s="1">
        <v>42899</v>
      </c>
      <c r="R414" t="s">
        <v>50</v>
      </c>
      <c r="S414" s="1">
        <v>43374</v>
      </c>
      <c r="T414" t="s">
        <v>3050</v>
      </c>
      <c r="U414" t="s">
        <v>115</v>
      </c>
      <c r="V414" t="s">
        <v>3051</v>
      </c>
      <c r="W414">
        <v>50</v>
      </c>
      <c r="X414">
        <v>39007</v>
      </c>
      <c r="Y414" t="s">
        <v>3052</v>
      </c>
      <c r="Z414" t="s">
        <v>3053</v>
      </c>
      <c r="AA414" t="s">
        <v>24</v>
      </c>
      <c r="AB414" t="s">
        <v>120</v>
      </c>
      <c r="AC414" t="s">
        <v>25</v>
      </c>
      <c r="AD414" t="s">
        <v>121</v>
      </c>
      <c r="AE414">
        <v>24</v>
      </c>
      <c r="AF414" t="s">
        <v>27</v>
      </c>
      <c r="AG414" t="s">
        <v>26</v>
      </c>
      <c r="AH414" t="s">
        <v>6799</v>
      </c>
      <c r="AI414" t="str">
        <f t="shared" si="30"/>
        <v>SI</v>
      </c>
      <c r="AJ414" t="str">
        <f t="shared" si="31"/>
        <v>ROPSOHN LABORATORIOS</v>
      </c>
      <c r="AK414" t="str">
        <f>IF(ISNUMBER(SEARCH("FABRICANTE",AC414)),"FABRICANTE",IF(ISNUMBER(SEARCH("IMPORTADOR",AC414)),"IMPORTADOR","OTRO"))</f>
        <v>FABRICANTE</v>
      </c>
      <c r="AL414" t="str">
        <f>IF(LEFT(Y414,1)="A","Sistema digestivo",IF(LEFT(Y414,1)="B","Sangre",IF(LEFT(Y414,1)="C","Cardiovascular",IF(LEFT(Y414,1)="D","Dermatológico",IF(LEFT(Y414,1)="G","Genitourinario",IF(LEFT(Y414,1)="H","Hormonal",IF(LEFT(Y414,1)="J","Antiinfecciosos",IF(LEFT(Y414,1)="L","Oncológicos",IF(LEFT(Y414,1)="M","Musculoesquelético",IF(LEFT(Y414,1)="N","Sistema nervioso",IF(LEFT(Y414,1)="R","Respiratorio",IF(LEFT(Y414,1)="S","Oftálmico",IF(LEFT(Y414,1)="V","Varios","OTRO")))))))))))))</f>
        <v>Sistema nervioso</v>
      </c>
      <c r="AM414" t="str">
        <f>IF(AG414="Vigente","ACTIVO",IF(ISNUMBER(SEARCH("Inactivo",J414)),"INACTIVO","REVISAR"))</f>
        <v>ACTIVO</v>
      </c>
      <c r="AN414" t="str">
        <f ca="1">IF(OR(AF414="",AF414="null"),"",ROUND((AF414-TODAY())/365.25,2))</f>
        <v/>
      </c>
      <c r="AO414" t="str">
        <f ca="1">IF(AND(AG414="Vigente",OR(AF414="",AF414="null",AF414&gt;TODAY())),"SI",IF(AND(NOT(OR(AF414="",AF414="null")),AF414&lt;=TODAY()),"NO",IF(AG414="Vigente","SI","DESCONOCIDO")))</f>
        <v>SI</v>
      </c>
      <c r="AP414" t="str">
        <f>IF(AND(ISNUMBER(SEARCH("IMPORTAR",AA414)),ISNUMBER(SEARCH("FABRICAR",AA414))),"MIXTO",IF(ISNUMBER(SEARCH("IMPORTAR",AA414)),"IMPORTADO",IF(ISNUMBER(SEARCH("FABRICAR",AA414)),"LOCAL","OTRO")))</f>
        <v>LOCAL</v>
      </c>
      <c r="AQ414" t="str">
        <f>IF(AD414="Si","SI",IF(AD414="No","NO",""))</f>
        <v>NO</v>
      </c>
      <c r="AR414" t="str">
        <f>IF(ISNUMBER(SEARCH("®",N414)),"MARCA/INNOVADOR","GENERICO")</f>
        <v>GENERICO</v>
      </c>
      <c r="AS414">
        <f ca="1">IF(AE414&gt;100,RANDBETWEEN(500,5000),IF(AND(AE414&gt;=10,AE414&lt;=100),RANDBETWEEN(100,1000),RANDBETWEEN(10,200)))</f>
        <v>174</v>
      </c>
      <c r="AT414">
        <f t="shared" ca="1" si="32"/>
        <v>40</v>
      </c>
      <c r="AU414">
        <f ca="1">INT(AS414*RANDBETWEEN(120,200)/100)</f>
        <v>288</v>
      </c>
      <c r="AV414" s="2">
        <f ca="1">IF(LEFT(Y414,1)="L",RANDBETWEEN(500000,5000000),IF(LEFT(Y414,1)="C",RANDBETWEEN(5000,50000),IF(LEFT(Y414,1)="N",RANDBETWEEN(10000,150000),IF(LEFT(Y414,1)="J",RANDBETWEEN(8000,200000),RANDBETWEEN(5000,100000)))))</f>
        <v>61996</v>
      </c>
      <c r="AW414" s="2">
        <f ca="1">INT(AV414*RANDBETWEEN(30,60)/100)</f>
        <v>19218</v>
      </c>
      <c r="AX414">
        <f ca="1">IF(Z414="ORAL",RANDBETWEEN(1000,10000),IF(OR(Z414="INTRAVENOSA",Z414="INTRAMUSCULAR"),RANDBETWEEN(100,2000),IF(OR(Z414="OFTÁLMICA",Z414="TOPICA (EXTERNA)"),RANDBETWEEN(200,3000),RANDBETWEEN(100,1500))))</f>
        <v>955</v>
      </c>
      <c r="AY414" s="2">
        <f ca="1">INT(AV414*RANDBETWEEN(90,130)/100)</f>
        <v>76875</v>
      </c>
      <c r="AZ414" t="str">
        <f t="shared" ca="1" si="33"/>
        <v>7.3%</v>
      </c>
      <c r="BA414" t="str">
        <f t="shared" ca="1" si="34"/>
        <v>ALTO</v>
      </c>
    </row>
    <row r="415" spans="4:53" x14ac:dyDescent="0.35">
      <c r="D415" t="s">
        <v>3054</v>
      </c>
      <c r="E415" s="1">
        <v>41087</v>
      </c>
      <c r="F415" t="s">
        <v>473</v>
      </c>
      <c r="G415" t="s">
        <v>108</v>
      </c>
      <c r="H415" t="s">
        <v>146</v>
      </c>
      <c r="I415">
        <v>20039588</v>
      </c>
      <c r="J415" t="s">
        <v>28</v>
      </c>
      <c r="K415">
        <v>27</v>
      </c>
      <c r="L415" t="s">
        <v>27</v>
      </c>
      <c r="M415" t="s">
        <v>474</v>
      </c>
      <c r="N415" t="s">
        <v>475</v>
      </c>
      <c r="O415" t="s">
        <v>3055</v>
      </c>
      <c r="P415" t="s">
        <v>477</v>
      </c>
      <c r="Q415" s="1">
        <v>42669</v>
      </c>
      <c r="R415" t="s">
        <v>67</v>
      </c>
      <c r="S415" t="s">
        <v>27</v>
      </c>
      <c r="T415" t="s">
        <v>80</v>
      </c>
      <c r="U415" t="s">
        <v>247</v>
      </c>
      <c r="V415" t="s">
        <v>248</v>
      </c>
      <c r="W415" t="s">
        <v>478</v>
      </c>
      <c r="X415">
        <v>20039588</v>
      </c>
      <c r="Y415" t="s">
        <v>249</v>
      </c>
      <c r="Z415" t="s">
        <v>119</v>
      </c>
      <c r="AA415" t="s">
        <v>24</v>
      </c>
      <c r="AB415" t="s">
        <v>120</v>
      </c>
      <c r="AC415" t="s">
        <v>25</v>
      </c>
      <c r="AD415" t="s">
        <v>121</v>
      </c>
      <c r="AE415">
        <v>5</v>
      </c>
      <c r="AF415" t="s">
        <v>27</v>
      </c>
      <c r="AG415" t="s">
        <v>26</v>
      </c>
      <c r="AH415" t="s">
        <v>6731</v>
      </c>
      <c r="AI415" t="str">
        <f t="shared" si="30"/>
        <v>NO</v>
      </c>
      <c r="AJ415" t="str">
        <f t="shared" si="31"/>
        <v>TECNOQUIMICAS</v>
      </c>
      <c r="AK415" t="str">
        <f>IF(ISNUMBER(SEARCH("FABRICANTE",AC415)),"FABRICANTE",IF(ISNUMBER(SEARCH("IMPORTADOR",AC415)),"IMPORTADOR","OTRO"))</f>
        <v>FABRICANTE</v>
      </c>
      <c r="AL415" t="str">
        <f>IF(LEFT(Y415,1)="A","Sistema digestivo",IF(LEFT(Y415,1)="B","Sangre",IF(LEFT(Y415,1)="C","Cardiovascular",IF(LEFT(Y415,1)="D","Dermatológico",IF(LEFT(Y415,1)="G","Genitourinario",IF(LEFT(Y415,1)="H","Hormonal",IF(LEFT(Y415,1)="J","Antiinfecciosos",IF(LEFT(Y415,1)="L","Oncológicos",IF(LEFT(Y415,1)="M","Musculoesquelético",IF(LEFT(Y415,1)="N","Sistema nervioso",IF(LEFT(Y415,1)="R","Respiratorio",IF(LEFT(Y415,1)="S","Oftálmico",IF(LEFT(Y415,1)="V","Varios","OTRO")))))))))))))</f>
        <v>Sistema digestivo</v>
      </c>
      <c r="AM415" t="str">
        <f>IF(AG415="Vigente","ACTIVO",IF(ISNUMBER(SEARCH("Inactivo",J415)),"INACTIVO","REVISAR"))</f>
        <v>ACTIVO</v>
      </c>
      <c r="AN415" t="str">
        <f ca="1">IF(OR(AF415="",AF415="null"),"",ROUND((AF415-TODAY())/365.25,2))</f>
        <v/>
      </c>
      <c r="AO415" t="str">
        <f ca="1">IF(AND(AG415="Vigente",OR(AF415="",AF415="null",AF415&gt;TODAY())),"SI",IF(AND(NOT(OR(AF415="",AF415="null")),AF415&lt;=TODAY()),"NO",IF(AG415="Vigente","SI","DESCONOCIDO")))</f>
        <v>SI</v>
      </c>
      <c r="AP415" t="str">
        <f>IF(AND(ISNUMBER(SEARCH("IMPORTAR",AA415)),ISNUMBER(SEARCH("FABRICAR",AA415))),"MIXTO",IF(ISNUMBER(SEARCH("IMPORTAR",AA415)),"IMPORTADO",IF(ISNUMBER(SEARCH("FABRICAR",AA415)),"LOCAL","OTRO")))</f>
        <v>LOCAL</v>
      </c>
      <c r="AQ415" t="str">
        <f>IF(AD415="Si","SI",IF(AD415="No","NO",""))</f>
        <v>NO</v>
      </c>
      <c r="AR415" t="str">
        <f>IF(ISNUMBER(SEARCH("®",N415)),"MARCA/INNOVADOR","GENERICO")</f>
        <v>MARCA/INNOVADOR</v>
      </c>
      <c r="AS415">
        <f ca="1">IF(AE415&gt;100,RANDBETWEEN(500,5000),IF(AND(AE415&gt;=10,AE415&lt;=100),RANDBETWEEN(100,1000),RANDBETWEEN(10,200)))</f>
        <v>160</v>
      </c>
      <c r="AT415">
        <f t="shared" ca="1" si="32"/>
        <v>32</v>
      </c>
      <c r="AU415">
        <f ca="1">INT(AS415*RANDBETWEEN(120,200)/100)</f>
        <v>240</v>
      </c>
      <c r="AV415" s="2">
        <f ca="1">IF(LEFT(Y415,1)="L",RANDBETWEEN(500000,5000000),IF(LEFT(Y415,1)="C",RANDBETWEEN(5000,50000),IF(LEFT(Y415,1)="N",RANDBETWEEN(10000,150000),IF(LEFT(Y415,1)="J",RANDBETWEEN(8000,200000),RANDBETWEEN(5000,100000)))))</f>
        <v>87787</v>
      </c>
      <c r="AW415" s="2">
        <f ca="1">INT(AV415*RANDBETWEEN(30,60)/100)</f>
        <v>37748</v>
      </c>
      <c r="AX415">
        <f ca="1">IF(Z415="ORAL",RANDBETWEEN(1000,10000),IF(OR(Z415="INTRAVENOSA",Z415="INTRAMUSCULAR"),RANDBETWEEN(100,2000),IF(OR(Z415="OFTÁLMICA",Z415="TOPICA (EXTERNA)"),RANDBETWEEN(200,3000),RANDBETWEEN(100,1500))))</f>
        <v>5635</v>
      </c>
      <c r="AY415" s="2">
        <f ca="1">INT(AV415*RANDBETWEEN(90,130)/100)</f>
        <v>103588</v>
      </c>
      <c r="AZ415" t="str">
        <f t="shared" ca="1" si="33"/>
        <v>5.6%</v>
      </c>
      <c r="BA415" t="str">
        <f t="shared" ca="1" si="34"/>
        <v>BAJO</v>
      </c>
    </row>
    <row r="416" spans="4:53" x14ac:dyDescent="0.35">
      <c r="D416" t="s">
        <v>3056</v>
      </c>
      <c r="E416" s="1">
        <v>39840</v>
      </c>
      <c r="F416" t="s">
        <v>71</v>
      </c>
      <c r="G416" t="s">
        <v>108</v>
      </c>
      <c r="H416" t="s">
        <v>367</v>
      </c>
      <c r="I416">
        <v>19993863</v>
      </c>
      <c r="J416" t="s">
        <v>28</v>
      </c>
      <c r="K416">
        <v>43</v>
      </c>
      <c r="L416" t="s">
        <v>27</v>
      </c>
      <c r="M416" t="s">
        <v>363</v>
      </c>
      <c r="N416" t="s">
        <v>364</v>
      </c>
      <c r="O416" t="s">
        <v>3057</v>
      </c>
      <c r="P416" t="s">
        <v>366</v>
      </c>
      <c r="Q416" s="1">
        <v>43631</v>
      </c>
      <c r="R416" t="s">
        <v>67</v>
      </c>
      <c r="S416" t="s">
        <v>27</v>
      </c>
      <c r="T416" t="s">
        <v>367</v>
      </c>
      <c r="U416" t="s">
        <v>247</v>
      </c>
      <c r="V416" t="s">
        <v>248</v>
      </c>
      <c r="W416" t="s">
        <v>3058</v>
      </c>
      <c r="X416">
        <v>19993863</v>
      </c>
      <c r="Y416" t="s">
        <v>249</v>
      </c>
      <c r="Z416" t="s">
        <v>119</v>
      </c>
      <c r="AA416" t="s">
        <v>32</v>
      </c>
      <c r="AB416" t="s">
        <v>250</v>
      </c>
      <c r="AC416" t="s">
        <v>25</v>
      </c>
      <c r="AD416" t="s">
        <v>155</v>
      </c>
      <c r="AE416">
        <v>1</v>
      </c>
      <c r="AF416" s="1">
        <v>401769</v>
      </c>
      <c r="AG416" t="s">
        <v>26</v>
      </c>
      <c r="AH416" t="s">
        <v>6800</v>
      </c>
      <c r="AI416" t="str">
        <f t="shared" si="30"/>
        <v>NO</v>
      </c>
      <c r="AJ416" t="str">
        <f t="shared" si="31"/>
        <v>LABORATORIOS PISA</v>
      </c>
      <c r="AK416" t="str">
        <f>IF(ISNUMBER(SEARCH("FABRICANTE",AC416)),"FABRICANTE",IF(ISNUMBER(SEARCH("IMPORTADOR",AC416)),"IMPORTADOR","OTRO"))</f>
        <v>FABRICANTE</v>
      </c>
      <c r="AL416" t="str">
        <f>IF(LEFT(Y416,1)="A","Sistema digestivo",IF(LEFT(Y416,1)="B","Sangre",IF(LEFT(Y416,1)="C","Cardiovascular",IF(LEFT(Y416,1)="D","Dermatológico",IF(LEFT(Y416,1)="G","Genitourinario",IF(LEFT(Y416,1)="H","Hormonal",IF(LEFT(Y416,1)="J","Antiinfecciosos",IF(LEFT(Y416,1)="L","Oncológicos",IF(LEFT(Y416,1)="M","Musculoesquelético",IF(LEFT(Y416,1)="N","Sistema nervioso",IF(LEFT(Y416,1)="R","Respiratorio",IF(LEFT(Y416,1)="S","Oftálmico",IF(LEFT(Y416,1)="V","Varios","OTRO")))))))))))))</f>
        <v>Sistema digestivo</v>
      </c>
      <c r="AM416" t="str">
        <f>IF(AG416="Vigente","ACTIVO",IF(ISNUMBER(SEARCH("Inactivo",J416)),"INACTIVO","REVISAR"))</f>
        <v>ACTIVO</v>
      </c>
      <c r="AN416">
        <f ca="1">IF(OR(AF416="",AF416="null"),"",ROUND((AF416-TODAY())/365.25,2))</f>
        <v>973.58</v>
      </c>
      <c r="AO416" t="str">
        <f ca="1">IF(AND(AG416="Vigente",OR(AF416="",AF416="null",AF416&gt;TODAY())),"SI",IF(AND(NOT(OR(AF416="",AF416="null")),AF416&lt;=TODAY()),"NO",IF(AG416="Vigente","SI","DESCONOCIDO")))</f>
        <v>SI</v>
      </c>
      <c r="AP416" t="str">
        <f>IF(AND(ISNUMBER(SEARCH("IMPORTAR",AA416)),ISNUMBER(SEARCH("FABRICAR",AA416))),"MIXTO",IF(ISNUMBER(SEARCH("IMPORTAR",AA416)),"IMPORTADO",IF(ISNUMBER(SEARCH("FABRICAR",AA416)),"LOCAL","OTRO")))</f>
        <v>IMPORTADO</v>
      </c>
      <c r="AQ416" t="str">
        <f>IF(AD416="Si","SI",IF(AD416="No","NO",""))</f>
        <v>SI</v>
      </c>
      <c r="AR416" t="str">
        <f>IF(ISNUMBER(SEARCH("®",N416)),"MARCA/INNOVADOR","GENERICO")</f>
        <v>MARCA/INNOVADOR</v>
      </c>
      <c r="AS416">
        <f ca="1">IF(AE416&gt;100,RANDBETWEEN(500,5000),IF(AND(AE416&gt;=10,AE416&lt;=100),RANDBETWEEN(100,1000),RANDBETWEEN(10,200)))</f>
        <v>172</v>
      </c>
      <c r="AT416">
        <f t="shared" ca="1" si="32"/>
        <v>18</v>
      </c>
      <c r="AU416">
        <f ca="1">INT(AS416*RANDBETWEEN(120,200)/100)</f>
        <v>280</v>
      </c>
      <c r="AV416" s="2">
        <f ca="1">IF(LEFT(Y416,1)="L",RANDBETWEEN(500000,5000000),IF(LEFT(Y416,1)="C",RANDBETWEEN(5000,50000),IF(LEFT(Y416,1)="N",RANDBETWEEN(10000,150000),IF(LEFT(Y416,1)="J",RANDBETWEEN(8000,200000),RANDBETWEEN(5000,100000)))))</f>
        <v>42785</v>
      </c>
      <c r="AW416" s="2">
        <f ca="1">INT(AV416*RANDBETWEEN(30,60)/100)</f>
        <v>24815</v>
      </c>
      <c r="AX416">
        <f ca="1">IF(Z416="ORAL",RANDBETWEEN(1000,10000),IF(OR(Z416="INTRAVENOSA",Z416="INTRAMUSCULAR"),RANDBETWEEN(100,2000),IF(OR(Z416="OFTÁLMICA",Z416="TOPICA (EXTERNA)"),RANDBETWEEN(200,3000),RANDBETWEEN(100,1500))))</f>
        <v>3926</v>
      </c>
      <c r="AY416" s="2">
        <f ca="1">INT(AV416*RANDBETWEEN(90,130)/100)</f>
        <v>51769</v>
      </c>
      <c r="AZ416" t="str">
        <f t="shared" ca="1" si="33"/>
        <v>6.8%</v>
      </c>
      <c r="BA416" t="str">
        <f t="shared" ca="1" si="34"/>
        <v>BAJO</v>
      </c>
    </row>
    <row r="417" spans="4:53" x14ac:dyDescent="0.35">
      <c r="D417" t="s">
        <v>3059</v>
      </c>
      <c r="E417" s="1">
        <v>38124</v>
      </c>
      <c r="F417" t="s">
        <v>3060</v>
      </c>
      <c r="G417" t="s">
        <v>108</v>
      </c>
      <c r="H417" t="s">
        <v>454</v>
      </c>
      <c r="I417">
        <v>19945077</v>
      </c>
      <c r="J417" t="s">
        <v>28</v>
      </c>
      <c r="K417">
        <v>5</v>
      </c>
      <c r="L417" t="s">
        <v>27</v>
      </c>
      <c r="M417" t="s">
        <v>3061</v>
      </c>
      <c r="N417" t="s">
        <v>3062</v>
      </c>
      <c r="O417" t="s">
        <v>3063</v>
      </c>
      <c r="P417" t="s">
        <v>432</v>
      </c>
      <c r="Q417" s="1">
        <v>41690</v>
      </c>
      <c r="R417" t="s">
        <v>33</v>
      </c>
      <c r="S417" t="s">
        <v>27</v>
      </c>
      <c r="T417" t="s">
        <v>454</v>
      </c>
      <c r="U417" t="s">
        <v>115</v>
      </c>
      <c r="V417" t="s">
        <v>3060</v>
      </c>
      <c r="W417">
        <v>40</v>
      </c>
      <c r="X417">
        <v>19945077</v>
      </c>
      <c r="Y417" t="s">
        <v>3064</v>
      </c>
      <c r="Z417" t="s">
        <v>119</v>
      </c>
      <c r="AA417" t="s">
        <v>24</v>
      </c>
      <c r="AB417" t="s">
        <v>120</v>
      </c>
      <c r="AC417" t="s">
        <v>25</v>
      </c>
      <c r="AD417" t="s">
        <v>121</v>
      </c>
      <c r="AE417">
        <v>20</v>
      </c>
      <c r="AF417" t="s">
        <v>27</v>
      </c>
      <c r="AG417" t="s">
        <v>26</v>
      </c>
      <c r="AH417" t="s">
        <v>3060</v>
      </c>
      <c r="AI417" t="str">
        <f t="shared" si="30"/>
        <v>NO</v>
      </c>
      <c r="AJ417" t="str">
        <f t="shared" si="31"/>
        <v>PROCAPS</v>
      </c>
      <c r="AK417" t="str">
        <f>IF(ISNUMBER(SEARCH("FABRICANTE",AC417)),"FABRICANTE",IF(ISNUMBER(SEARCH("IMPORTADOR",AC417)),"IMPORTADOR","OTRO"))</f>
        <v>FABRICANTE</v>
      </c>
      <c r="AL417" t="str">
        <f>IF(LEFT(Y417,1)="A","Sistema digestivo",IF(LEFT(Y417,1)="B","Sangre",IF(LEFT(Y417,1)="C","Cardiovascular",IF(LEFT(Y417,1)="D","Dermatológico",IF(LEFT(Y417,1)="G","Genitourinario",IF(LEFT(Y417,1)="H","Hormonal",IF(LEFT(Y417,1)="J","Antiinfecciosos",IF(LEFT(Y417,1)="L","Oncológicos",IF(LEFT(Y417,1)="M","Musculoesquelético",IF(LEFT(Y417,1)="N","Sistema nervioso",IF(LEFT(Y417,1)="R","Respiratorio",IF(LEFT(Y417,1)="S","Oftálmico",IF(LEFT(Y417,1)="V","Varios","OTRO")))))))))))))</f>
        <v>Cardiovascular</v>
      </c>
      <c r="AM417" t="str">
        <f>IF(AG417="Vigente","ACTIVO",IF(ISNUMBER(SEARCH("Inactivo",J417)),"INACTIVO","REVISAR"))</f>
        <v>ACTIVO</v>
      </c>
      <c r="AN417" t="str">
        <f ca="1">IF(OR(AF417="",AF417="null"),"",ROUND((AF417-TODAY())/365.25,2))</f>
        <v/>
      </c>
      <c r="AO417" t="str">
        <f ca="1">IF(AND(AG417="Vigente",OR(AF417="",AF417="null",AF417&gt;TODAY())),"SI",IF(AND(NOT(OR(AF417="",AF417="null")),AF417&lt;=TODAY()),"NO",IF(AG417="Vigente","SI","DESCONOCIDO")))</f>
        <v>SI</v>
      </c>
      <c r="AP417" t="str">
        <f>IF(AND(ISNUMBER(SEARCH("IMPORTAR",AA417)),ISNUMBER(SEARCH("FABRICAR",AA417))),"MIXTO",IF(ISNUMBER(SEARCH("IMPORTAR",AA417)),"IMPORTADO",IF(ISNUMBER(SEARCH("FABRICAR",AA417)),"LOCAL","OTRO")))</f>
        <v>LOCAL</v>
      </c>
      <c r="AQ417" t="str">
        <f>IF(AD417="Si","SI",IF(AD417="No","NO",""))</f>
        <v>NO</v>
      </c>
      <c r="AR417" t="str">
        <f>IF(ISNUMBER(SEARCH("®",N417)),"MARCA/INNOVADOR","GENERICO")</f>
        <v>GENERICO</v>
      </c>
      <c r="AS417">
        <f ca="1">IF(AE417&gt;100,RANDBETWEEN(500,5000),IF(AND(AE417&gt;=10,AE417&lt;=100),RANDBETWEEN(100,1000),RANDBETWEEN(10,200)))</f>
        <v>882</v>
      </c>
      <c r="AT417">
        <f t="shared" ca="1" si="32"/>
        <v>238</v>
      </c>
      <c r="AU417">
        <f ca="1">INT(AS417*RANDBETWEEN(120,200)/100)</f>
        <v>1173</v>
      </c>
      <c r="AV417" s="2">
        <f ca="1">IF(LEFT(Y417,1)="L",RANDBETWEEN(500000,5000000),IF(LEFT(Y417,1)="C",RANDBETWEEN(5000,50000),IF(LEFT(Y417,1)="N",RANDBETWEEN(10000,150000),IF(LEFT(Y417,1)="J",RANDBETWEEN(8000,200000),RANDBETWEEN(5000,100000)))))</f>
        <v>18150</v>
      </c>
      <c r="AW417" s="2">
        <f ca="1">INT(AV417*RANDBETWEEN(30,60)/100)</f>
        <v>9801</v>
      </c>
      <c r="AX417">
        <f ca="1">IF(Z417="ORAL",RANDBETWEEN(1000,10000),IF(OR(Z417="INTRAVENOSA",Z417="INTRAMUSCULAR"),RANDBETWEEN(100,2000),IF(OR(Z417="OFTÁLMICA",Z417="TOPICA (EXTERNA)"),RANDBETWEEN(200,3000),RANDBETWEEN(100,1500))))</f>
        <v>7442</v>
      </c>
      <c r="AY417" s="2">
        <f ca="1">INT(AV417*RANDBETWEEN(90,130)/100)</f>
        <v>19965</v>
      </c>
      <c r="AZ417" t="str">
        <f t="shared" ca="1" si="33"/>
        <v>22.4%</v>
      </c>
      <c r="BA417" t="str">
        <f t="shared" ca="1" si="34"/>
        <v>BAJO</v>
      </c>
    </row>
    <row r="418" spans="4:53" x14ac:dyDescent="0.35">
      <c r="D418" t="s">
        <v>3065</v>
      </c>
      <c r="E418" s="1">
        <v>40212</v>
      </c>
      <c r="F418" t="s">
        <v>3066</v>
      </c>
      <c r="G418" t="s">
        <v>108</v>
      </c>
      <c r="H418" t="s">
        <v>1001</v>
      </c>
      <c r="I418">
        <v>20006314</v>
      </c>
      <c r="J418" t="s">
        <v>28</v>
      </c>
      <c r="K418">
        <v>1</v>
      </c>
      <c r="L418" t="s">
        <v>3067</v>
      </c>
      <c r="M418" t="s">
        <v>3068</v>
      </c>
      <c r="N418" t="s">
        <v>3069</v>
      </c>
      <c r="O418" t="s">
        <v>3070</v>
      </c>
      <c r="P418" t="s">
        <v>358</v>
      </c>
      <c r="Q418" s="1">
        <v>40015</v>
      </c>
      <c r="R418" t="s">
        <v>37</v>
      </c>
      <c r="S418" t="s">
        <v>27</v>
      </c>
      <c r="T418" t="s">
        <v>2414</v>
      </c>
      <c r="U418" t="s">
        <v>115</v>
      </c>
      <c r="V418" t="s">
        <v>3066</v>
      </c>
      <c r="W418">
        <v>400</v>
      </c>
      <c r="X418">
        <v>20006314</v>
      </c>
      <c r="Y418" t="s">
        <v>3071</v>
      </c>
      <c r="Z418" t="s">
        <v>119</v>
      </c>
      <c r="AA418" t="s">
        <v>32</v>
      </c>
      <c r="AB418" t="s">
        <v>120</v>
      </c>
      <c r="AC418" t="s">
        <v>38</v>
      </c>
      <c r="AD418" t="s">
        <v>121</v>
      </c>
      <c r="AE418">
        <v>30</v>
      </c>
      <c r="AF418" s="1">
        <v>401769</v>
      </c>
      <c r="AG418" t="s">
        <v>26</v>
      </c>
      <c r="AH418" t="s">
        <v>3066</v>
      </c>
      <c r="AI418" t="str">
        <f t="shared" si="30"/>
        <v>NO</v>
      </c>
      <c r="AJ418" t="str">
        <f t="shared" si="31"/>
        <v>ASPEN COLOMBIANA</v>
      </c>
      <c r="AK418" t="str">
        <f>IF(ISNUMBER(SEARCH("FABRICANTE",AC418)),"FABRICANTE",IF(ISNUMBER(SEARCH("IMPORTADOR",AC418)),"IMPORTADOR","OTRO"))</f>
        <v>IMPORTADOR</v>
      </c>
      <c r="AL418" t="str">
        <f>IF(LEFT(Y418,1)="A","Sistema digestivo",IF(LEFT(Y418,1)="B","Sangre",IF(LEFT(Y418,1)="C","Cardiovascular",IF(LEFT(Y418,1)="D","Dermatológico",IF(LEFT(Y418,1)="G","Genitourinario",IF(LEFT(Y418,1)="H","Hormonal",IF(LEFT(Y418,1)="J","Antiinfecciosos",IF(LEFT(Y418,1)="L","Oncológicos",IF(LEFT(Y418,1)="M","Musculoesquelético",IF(LEFT(Y418,1)="N","Sistema nervioso",IF(LEFT(Y418,1)="R","Respiratorio",IF(LEFT(Y418,1)="S","Oftálmico",IF(LEFT(Y418,1)="V","Varios","OTRO")))))))))))))</f>
        <v>Sistema nervioso</v>
      </c>
      <c r="AM418" t="str">
        <f>IF(AG418="Vigente","ACTIVO",IF(ISNUMBER(SEARCH("Inactivo",J418)),"INACTIVO","REVISAR"))</f>
        <v>ACTIVO</v>
      </c>
      <c r="AN418">
        <f ca="1">IF(OR(AF418="",AF418="null"),"",ROUND((AF418-TODAY())/365.25,2))</f>
        <v>973.58</v>
      </c>
      <c r="AO418" t="str">
        <f ca="1">IF(AND(AG418="Vigente",OR(AF418="",AF418="null",AF418&gt;TODAY())),"SI",IF(AND(NOT(OR(AF418="",AF418="null")),AF418&lt;=TODAY()),"NO",IF(AG418="Vigente","SI","DESCONOCIDO")))</f>
        <v>SI</v>
      </c>
      <c r="AP418" t="str">
        <f>IF(AND(ISNUMBER(SEARCH("IMPORTAR",AA418)),ISNUMBER(SEARCH("FABRICAR",AA418))),"MIXTO",IF(ISNUMBER(SEARCH("IMPORTAR",AA418)),"IMPORTADO",IF(ISNUMBER(SEARCH("FABRICAR",AA418)),"LOCAL","OTRO")))</f>
        <v>IMPORTADO</v>
      </c>
      <c r="AQ418" t="str">
        <f>IF(AD418="Si","SI",IF(AD418="No","NO",""))</f>
        <v>NO</v>
      </c>
      <c r="AR418" t="str">
        <f>IF(ISNUMBER(SEARCH("®",N418)),"MARCA/INNOVADOR","GENERICO")</f>
        <v>GENERICO</v>
      </c>
      <c r="AS418">
        <f ca="1">IF(AE418&gt;100,RANDBETWEEN(500,5000),IF(AND(AE418&gt;=10,AE418&lt;=100),RANDBETWEEN(100,1000),RANDBETWEEN(10,200)))</f>
        <v>289</v>
      </c>
      <c r="AT418">
        <f t="shared" ca="1" si="32"/>
        <v>86</v>
      </c>
      <c r="AU418">
        <f ca="1">INT(AS418*RANDBETWEEN(120,200)/100)</f>
        <v>445</v>
      </c>
      <c r="AV418" s="2">
        <f ca="1">IF(LEFT(Y418,1)="L",RANDBETWEEN(500000,5000000),IF(LEFT(Y418,1)="C",RANDBETWEEN(5000,50000),IF(LEFT(Y418,1)="N",RANDBETWEEN(10000,150000),IF(LEFT(Y418,1)="J",RANDBETWEEN(8000,200000),RANDBETWEEN(5000,100000)))))</f>
        <v>127756</v>
      </c>
      <c r="AW418" s="2">
        <f ca="1">INT(AV418*RANDBETWEEN(30,60)/100)</f>
        <v>48547</v>
      </c>
      <c r="AX418">
        <f ca="1">IF(Z418="ORAL",RANDBETWEEN(1000,10000),IF(OR(Z418="INTRAVENOSA",Z418="INTRAMUSCULAR"),RANDBETWEEN(100,2000),IF(OR(Z418="OFTÁLMICA",Z418="TOPICA (EXTERNA)"),RANDBETWEEN(200,3000),RANDBETWEEN(100,1500))))</f>
        <v>2377</v>
      </c>
      <c r="AY418" s="2">
        <f ca="1">INT(AV418*RANDBETWEEN(90,130)/100)</f>
        <v>123923</v>
      </c>
      <c r="AZ418" t="str">
        <f t="shared" ca="1" si="33"/>
        <v>15.4%</v>
      </c>
      <c r="BA418" t="str">
        <f t="shared" ca="1" si="34"/>
        <v>BAJO</v>
      </c>
    </row>
    <row r="419" spans="4:53" x14ac:dyDescent="0.35">
      <c r="D419" t="s">
        <v>3072</v>
      </c>
      <c r="E419" s="1">
        <v>45065</v>
      </c>
      <c r="F419" t="s">
        <v>3073</v>
      </c>
      <c r="G419" t="s">
        <v>108</v>
      </c>
      <c r="H419" t="s">
        <v>354</v>
      </c>
      <c r="I419">
        <v>20165652</v>
      </c>
      <c r="J419" t="s">
        <v>28</v>
      </c>
      <c r="K419">
        <v>11</v>
      </c>
      <c r="L419" t="s">
        <v>3074</v>
      </c>
      <c r="M419" t="s">
        <v>3075</v>
      </c>
      <c r="N419" t="s">
        <v>3076</v>
      </c>
      <c r="O419" t="s">
        <v>3077</v>
      </c>
      <c r="P419" t="s">
        <v>358</v>
      </c>
      <c r="Q419" s="1">
        <v>45007</v>
      </c>
      <c r="R419" t="s">
        <v>37</v>
      </c>
      <c r="S419" t="s">
        <v>27</v>
      </c>
      <c r="T419" t="s">
        <v>354</v>
      </c>
      <c r="U419" t="s">
        <v>115</v>
      </c>
      <c r="V419" t="s">
        <v>3078</v>
      </c>
      <c r="W419" t="s">
        <v>3079</v>
      </c>
      <c r="X419">
        <v>20165652</v>
      </c>
      <c r="Y419" t="s">
        <v>3080</v>
      </c>
      <c r="Z419" t="s">
        <v>119</v>
      </c>
      <c r="AA419" t="s">
        <v>32</v>
      </c>
      <c r="AB419" t="s">
        <v>120</v>
      </c>
      <c r="AC419" t="s">
        <v>38</v>
      </c>
      <c r="AD419" t="s">
        <v>155</v>
      </c>
      <c r="AE419">
        <v>50</v>
      </c>
      <c r="AF419" t="s">
        <v>27</v>
      </c>
      <c r="AG419" t="s">
        <v>26</v>
      </c>
      <c r="AH419" t="s">
        <v>3078</v>
      </c>
      <c r="AI419" t="str">
        <f t="shared" si="30"/>
        <v>SI</v>
      </c>
      <c r="AJ419" t="str">
        <f t="shared" si="31"/>
        <v>PFIZER</v>
      </c>
      <c r="AK419" t="str">
        <f>IF(ISNUMBER(SEARCH("FABRICANTE",AC419)),"FABRICANTE",IF(ISNUMBER(SEARCH("IMPORTADOR",AC419)),"IMPORTADOR","OTRO"))</f>
        <v>IMPORTADOR</v>
      </c>
      <c r="AL419" t="str">
        <f>IF(LEFT(Y419,1)="A","Sistema digestivo",IF(LEFT(Y419,1)="B","Sangre",IF(LEFT(Y419,1)="C","Cardiovascular",IF(LEFT(Y419,1)="D","Dermatológico",IF(LEFT(Y419,1)="G","Genitourinario",IF(LEFT(Y419,1)="H","Hormonal",IF(LEFT(Y419,1)="J","Antiinfecciosos",IF(LEFT(Y419,1)="L","Oncológicos",IF(LEFT(Y419,1)="M","Musculoesquelético",IF(LEFT(Y419,1)="N","Sistema nervioso",IF(LEFT(Y419,1)="R","Respiratorio",IF(LEFT(Y419,1)="S","Oftálmico",IF(LEFT(Y419,1)="V","Varios","OTRO")))))))))))))</f>
        <v>Oncológicos</v>
      </c>
      <c r="AM419" t="str">
        <f>IF(AG419="Vigente","ACTIVO",IF(ISNUMBER(SEARCH("Inactivo",J419)),"INACTIVO","REVISAR"))</f>
        <v>ACTIVO</v>
      </c>
      <c r="AN419" t="str">
        <f ca="1">IF(OR(AF419="",AF419="null"),"",ROUND((AF419-TODAY())/365.25,2))</f>
        <v/>
      </c>
      <c r="AO419" t="str">
        <f ca="1">IF(AND(AG419="Vigente",OR(AF419="",AF419="null",AF419&gt;TODAY())),"SI",IF(AND(NOT(OR(AF419="",AF419="null")),AF419&lt;=TODAY()),"NO",IF(AG419="Vigente","SI","DESCONOCIDO")))</f>
        <v>SI</v>
      </c>
      <c r="AP419" t="str">
        <f>IF(AND(ISNUMBER(SEARCH("IMPORTAR",AA419)),ISNUMBER(SEARCH("FABRICAR",AA419))),"MIXTO",IF(ISNUMBER(SEARCH("IMPORTAR",AA419)),"IMPORTADO",IF(ISNUMBER(SEARCH("FABRICAR",AA419)),"LOCAL","OTRO")))</f>
        <v>IMPORTADO</v>
      </c>
      <c r="AQ419" t="str">
        <f>IF(AD419="Si","SI",IF(AD419="No","NO",""))</f>
        <v>SI</v>
      </c>
      <c r="AR419" t="str">
        <f>IF(ISNUMBER(SEARCH("®",N419)),"MARCA/INNOVADOR","GENERICO")</f>
        <v>MARCA/INNOVADOR</v>
      </c>
      <c r="AS419">
        <f ca="1">IF(AE419&gt;100,RANDBETWEEN(500,5000),IF(AND(AE419&gt;=10,AE419&lt;=100),RANDBETWEEN(100,1000),RANDBETWEEN(10,200)))</f>
        <v>194</v>
      </c>
      <c r="AT419">
        <f t="shared" ca="1" si="32"/>
        <v>40</v>
      </c>
      <c r="AU419">
        <f ca="1">INT(AS419*RANDBETWEEN(120,200)/100)</f>
        <v>318</v>
      </c>
      <c r="AV419" s="2">
        <f ca="1">IF(LEFT(Y419,1)="L",RANDBETWEEN(500000,5000000),IF(LEFT(Y419,1)="C",RANDBETWEEN(5000,50000),IF(LEFT(Y419,1)="N",RANDBETWEEN(10000,150000),IF(LEFT(Y419,1)="J",RANDBETWEEN(8000,200000),RANDBETWEEN(5000,100000)))))</f>
        <v>4887258</v>
      </c>
      <c r="AW419" s="2">
        <f ca="1">INT(AV419*RANDBETWEEN(30,60)/100)</f>
        <v>1563922</v>
      </c>
      <c r="AX419">
        <f ca="1">IF(Z419="ORAL",RANDBETWEEN(1000,10000),IF(OR(Z419="INTRAVENOSA",Z419="INTRAMUSCULAR"),RANDBETWEEN(100,2000),IF(OR(Z419="OFTÁLMICA",Z419="TOPICA (EXTERNA)"),RANDBETWEEN(200,3000),RANDBETWEEN(100,1500))))</f>
        <v>2643</v>
      </c>
      <c r="AY419" s="2">
        <f ca="1">INT(AV419*RANDBETWEEN(90,130)/100)</f>
        <v>4936130</v>
      </c>
      <c r="AZ419" t="str">
        <f t="shared" ca="1" si="33"/>
        <v>19.4%</v>
      </c>
      <c r="BA419" t="str">
        <f t="shared" ca="1" si="34"/>
        <v>BAJO</v>
      </c>
    </row>
    <row r="420" spans="4:53" x14ac:dyDescent="0.35">
      <c r="D420" t="s">
        <v>3081</v>
      </c>
      <c r="E420" s="1">
        <v>36518</v>
      </c>
      <c r="F420" t="s">
        <v>3082</v>
      </c>
      <c r="G420" t="s">
        <v>108</v>
      </c>
      <c r="H420" t="s">
        <v>3083</v>
      </c>
      <c r="I420">
        <v>35448</v>
      </c>
      <c r="J420" t="s">
        <v>28</v>
      </c>
      <c r="K420">
        <v>4</v>
      </c>
      <c r="L420" t="s">
        <v>27</v>
      </c>
      <c r="M420" t="s">
        <v>3084</v>
      </c>
      <c r="N420" t="s">
        <v>3085</v>
      </c>
      <c r="O420" t="s">
        <v>3086</v>
      </c>
      <c r="P420" t="s">
        <v>3087</v>
      </c>
      <c r="Q420" s="1">
        <v>43110</v>
      </c>
      <c r="R420" t="s">
        <v>29</v>
      </c>
      <c r="S420" t="s">
        <v>27</v>
      </c>
      <c r="T420" t="s">
        <v>3088</v>
      </c>
      <c r="U420" t="s">
        <v>115</v>
      </c>
      <c r="V420" t="s">
        <v>3089</v>
      </c>
      <c r="W420">
        <v>20</v>
      </c>
      <c r="X420">
        <v>35448</v>
      </c>
      <c r="Y420" t="s">
        <v>3090</v>
      </c>
      <c r="Z420" t="s">
        <v>119</v>
      </c>
      <c r="AA420" t="s">
        <v>32</v>
      </c>
      <c r="AB420" t="s">
        <v>120</v>
      </c>
      <c r="AC420" t="s">
        <v>25</v>
      </c>
      <c r="AD420" t="s">
        <v>121</v>
      </c>
      <c r="AE420">
        <v>100</v>
      </c>
      <c r="AF420" t="s">
        <v>27</v>
      </c>
      <c r="AG420" t="s">
        <v>26</v>
      </c>
      <c r="AH420" t="s">
        <v>3089</v>
      </c>
      <c r="AI420" t="str">
        <f t="shared" si="30"/>
        <v>NO</v>
      </c>
      <c r="AJ420" t="str">
        <f t="shared" si="31"/>
        <v>ASOFARMA</v>
      </c>
      <c r="AK420" t="str">
        <f>IF(ISNUMBER(SEARCH("FABRICANTE",AC420)),"FABRICANTE",IF(ISNUMBER(SEARCH("IMPORTADOR",AC420)),"IMPORTADOR","OTRO"))</f>
        <v>FABRICANTE</v>
      </c>
      <c r="AL420" t="str">
        <f>IF(LEFT(Y420,1)="A","Sistema digestivo",IF(LEFT(Y420,1)="B","Sangre",IF(LEFT(Y420,1)="C","Cardiovascular",IF(LEFT(Y420,1)="D","Dermatológico",IF(LEFT(Y420,1)="G","Genitourinario",IF(LEFT(Y420,1)="H","Hormonal",IF(LEFT(Y420,1)="J","Antiinfecciosos",IF(LEFT(Y420,1)="L","Oncológicos",IF(LEFT(Y420,1)="M","Musculoesquelético",IF(LEFT(Y420,1)="N","Sistema nervioso",IF(LEFT(Y420,1)="R","Respiratorio",IF(LEFT(Y420,1)="S","Oftálmico",IF(LEFT(Y420,1)="V","Varios","OTRO")))))))))))))</f>
        <v>Oncológicos</v>
      </c>
      <c r="AM420" t="str">
        <f>IF(AG420="Vigente","ACTIVO",IF(ISNUMBER(SEARCH("Inactivo",J420)),"INACTIVO","REVISAR"))</f>
        <v>ACTIVO</v>
      </c>
      <c r="AN420" t="str">
        <f ca="1">IF(OR(AF420="",AF420="null"),"",ROUND((AF420-TODAY())/365.25,2))</f>
        <v/>
      </c>
      <c r="AO420" t="str">
        <f ca="1">IF(AND(AG420="Vigente",OR(AF420="",AF420="null",AF420&gt;TODAY())),"SI",IF(AND(NOT(OR(AF420="",AF420="null")),AF420&lt;=TODAY()),"NO",IF(AG420="Vigente","SI","DESCONOCIDO")))</f>
        <v>SI</v>
      </c>
      <c r="AP420" t="str">
        <f>IF(AND(ISNUMBER(SEARCH("IMPORTAR",AA420)),ISNUMBER(SEARCH("FABRICAR",AA420))),"MIXTO",IF(ISNUMBER(SEARCH("IMPORTAR",AA420)),"IMPORTADO",IF(ISNUMBER(SEARCH("FABRICAR",AA420)),"LOCAL","OTRO")))</f>
        <v>IMPORTADO</v>
      </c>
      <c r="AQ420" t="str">
        <f>IF(AD420="Si","SI",IF(AD420="No","NO",""))</f>
        <v>NO</v>
      </c>
      <c r="AR420" t="str">
        <f>IF(ISNUMBER(SEARCH("®",N420)),"MARCA/INNOVADOR","GENERICO")</f>
        <v>MARCA/INNOVADOR</v>
      </c>
      <c r="AS420">
        <f ca="1">IF(AE420&gt;100,RANDBETWEEN(500,5000),IF(AND(AE420&gt;=10,AE420&lt;=100),RANDBETWEEN(100,1000),RANDBETWEEN(10,200)))</f>
        <v>725</v>
      </c>
      <c r="AT420">
        <f t="shared" ca="1" si="32"/>
        <v>108</v>
      </c>
      <c r="AU420">
        <f ca="1">INT(AS420*RANDBETWEEN(120,200)/100)</f>
        <v>1290</v>
      </c>
      <c r="AV420" s="2">
        <f ca="1">IF(LEFT(Y420,1)="L",RANDBETWEEN(500000,5000000),IF(LEFT(Y420,1)="C",RANDBETWEEN(5000,50000),IF(LEFT(Y420,1)="N",RANDBETWEEN(10000,150000),IF(LEFT(Y420,1)="J",RANDBETWEEN(8000,200000),RANDBETWEEN(5000,100000)))))</f>
        <v>3871004</v>
      </c>
      <c r="AW420" s="2">
        <f ca="1">INT(AV420*RANDBETWEEN(30,60)/100)</f>
        <v>2206472</v>
      </c>
      <c r="AX420">
        <f ca="1">IF(Z420="ORAL",RANDBETWEEN(1000,10000),IF(OR(Z420="INTRAVENOSA",Z420="INTRAMUSCULAR"),RANDBETWEEN(100,2000),IF(OR(Z420="OFTÁLMICA",Z420="TOPICA (EXTERNA)"),RANDBETWEEN(200,3000),RANDBETWEEN(100,1500))))</f>
        <v>7320</v>
      </c>
      <c r="AY420" s="2">
        <f ca="1">INT(AV420*RANDBETWEEN(90,130)/100)</f>
        <v>4761334</v>
      </c>
      <c r="AZ420" t="str">
        <f t="shared" ca="1" si="33"/>
        <v>6.1%</v>
      </c>
      <c r="BA420" t="str">
        <f t="shared" ca="1" si="34"/>
        <v>BAJO</v>
      </c>
    </row>
    <row r="421" spans="4:53" x14ac:dyDescent="0.35">
      <c r="D421" t="s">
        <v>3091</v>
      </c>
      <c r="E421" s="1">
        <v>39952</v>
      </c>
      <c r="F421" t="s">
        <v>515</v>
      </c>
      <c r="G421" t="s">
        <v>502</v>
      </c>
      <c r="H421" t="s">
        <v>44</v>
      </c>
      <c r="I421">
        <v>19984848</v>
      </c>
      <c r="J421" t="s">
        <v>28</v>
      </c>
      <c r="K421">
        <v>1</v>
      </c>
      <c r="L421" t="s">
        <v>27</v>
      </c>
      <c r="M421" t="s">
        <v>3092</v>
      </c>
      <c r="N421" t="s">
        <v>3093</v>
      </c>
      <c r="O421" t="s">
        <v>3094</v>
      </c>
      <c r="P421" t="s">
        <v>1731</v>
      </c>
      <c r="Q421" s="1">
        <v>39422</v>
      </c>
      <c r="R421" t="s">
        <v>78</v>
      </c>
      <c r="S421" t="s">
        <v>27</v>
      </c>
      <c r="T421" t="s">
        <v>3095</v>
      </c>
      <c r="U421" t="s">
        <v>247</v>
      </c>
      <c r="V421" t="s">
        <v>515</v>
      </c>
      <c r="W421">
        <v>2</v>
      </c>
      <c r="X421">
        <v>19984848</v>
      </c>
      <c r="Y421" t="s">
        <v>1567</v>
      </c>
      <c r="Z421" t="s">
        <v>119</v>
      </c>
      <c r="AA421" t="s">
        <v>24</v>
      </c>
      <c r="AB421" t="s">
        <v>250</v>
      </c>
      <c r="AC421" t="s">
        <v>25</v>
      </c>
      <c r="AD421" t="s">
        <v>121</v>
      </c>
      <c r="AE421">
        <v>120</v>
      </c>
      <c r="AF421" t="s">
        <v>27</v>
      </c>
      <c r="AG421" t="s">
        <v>26</v>
      </c>
      <c r="AH421" t="s">
        <v>515</v>
      </c>
      <c r="AI421" t="str">
        <f t="shared" si="30"/>
        <v>NO</v>
      </c>
      <c r="AJ421" t="str">
        <f t="shared" si="31"/>
        <v>FARMACOOP</v>
      </c>
      <c r="AK421" t="str">
        <f>IF(ISNUMBER(SEARCH("FABRICANTE",AC421)),"FABRICANTE",IF(ISNUMBER(SEARCH("IMPORTADOR",AC421)),"IMPORTADOR","OTRO"))</f>
        <v>FABRICANTE</v>
      </c>
      <c r="AL421" t="str">
        <f>IF(LEFT(Y421,1)="A","Sistema digestivo",IF(LEFT(Y421,1)="B","Sangre",IF(LEFT(Y421,1)="C","Cardiovascular",IF(LEFT(Y421,1)="D","Dermatológico",IF(LEFT(Y421,1)="G","Genitourinario",IF(LEFT(Y421,1)="H","Hormonal",IF(LEFT(Y421,1)="J","Antiinfecciosos",IF(LEFT(Y421,1)="L","Oncológicos",IF(LEFT(Y421,1)="M","Musculoesquelético",IF(LEFT(Y421,1)="N","Sistema nervioso",IF(LEFT(Y421,1)="R","Respiratorio",IF(LEFT(Y421,1)="S","Oftálmico",IF(LEFT(Y421,1)="V","Varios","OTRO")))))))))))))</f>
        <v>Musculoesquelético</v>
      </c>
      <c r="AM421" t="str">
        <f>IF(AG421="Vigente","ACTIVO",IF(ISNUMBER(SEARCH("Inactivo",J421)),"INACTIVO","REVISAR"))</f>
        <v>ACTIVO</v>
      </c>
      <c r="AN421" t="str">
        <f ca="1">IF(OR(AF421="",AF421="null"),"",ROUND((AF421-TODAY())/365.25,2))</f>
        <v/>
      </c>
      <c r="AO421" t="str">
        <f ca="1">IF(AND(AG421="Vigente",OR(AF421="",AF421="null",AF421&gt;TODAY())),"SI",IF(AND(NOT(OR(AF421="",AF421="null")),AF421&lt;=TODAY()),"NO",IF(AG421="Vigente","SI","DESCONOCIDO")))</f>
        <v>SI</v>
      </c>
      <c r="AP421" t="str">
        <f>IF(AND(ISNUMBER(SEARCH("IMPORTAR",AA421)),ISNUMBER(SEARCH("FABRICAR",AA421))),"MIXTO",IF(ISNUMBER(SEARCH("IMPORTAR",AA421)),"IMPORTADO",IF(ISNUMBER(SEARCH("FABRICAR",AA421)),"LOCAL","OTRO")))</f>
        <v>LOCAL</v>
      </c>
      <c r="AQ421" t="str">
        <f>IF(AD421="Si","SI",IF(AD421="No","NO",""))</f>
        <v>NO</v>
      </c>
      <c r="AR421" t="str">
        <f>IF(ISNUMBER(SEARCH("®",N421)),"MARCA/INNOVADOR","GENERICO")</f>
        <v>MARCA/INNOVADOR</v>
      </c>
      <c r="AS421">
        <f ca="1">IF(AE421&gt;100,RANDBETWEEN(500,5000),IF(AND(AE421&gt;=10,AE421&lt;=100),RANDBETWEEN(100,1000),RANDBETWEEN(10,200)))</f>
        <v>4193</v>
      </c>
      <c r="AT421">
        <f t="shared" ca="1" si="32"/>
        <v>754</v>
      </c>
      <c r="AU421">
        <f ca="1">INT(AS421*RANDBETWEEN(120,200)/100)</f>
        <v>5073</v>
      </c>
      <c r="AV421" s="2">
        <f ca="1">IF(LEFT(Y421,1)="L",RANDBETWEEN(500000,5000000),IF(LEFT(Y421,1)="C",RANDBETWEEN(5000,50000),IF(LEFT(Y421,1)="N",RANDBETWEEN(10000,150000),IF(LEFT(Y421,1)="J",RANDBETWEEN(8000,200000),RANDBETWEEN(5000,100000)))))</f>
        <v>12183</v>
      </c>
      <c r="AW421" s="2">
        <f ca="1">INT(AV421*RANDBETWEEN(30,60)/100)</f>
        <v>5482</v>
      </c>
      <c r="AX421">
        <f ca="1">IF(Z421="ORAL",RANDBETWEEN(1000,10000),IF(OR(Z421="INTRAVENOSA",Z421="INTRAMUSCULAR"),RANDBETWEEN(100,2000),IF(OR(Z421="OFTÁLMICA",Z421="TOPICA (EXTERNA)"),RANDBETWEEN(200,3000),RANDBETWEEN(100,1500))))</f>
        <v>3850</v>
      </c>
      <c r="AY421" s="2">
        <f ca="1">INT(AV421*RANDBETWEEN(90,130)/100)</f>
        <v>14254</v>
      </c>
      <c r="AZ421" t="str">
        <f t="shared" ca="1" si="33"/>
        <v>17%</v>
      </c>
      <c r="BA421" t="str">
        <f t="shared" ca="1" si="34"/>
        <v>BAJO</v>
      </c>
    </row>
    <row r="422" spans="4:53" x14ac:dyDescent="0.35">
      <c r="D422" t="s">
        <v>3096</v>
      </c>
      <c r="E422" s="1">
        <v>41156</v>
      </c>
      <c r="F422" t="s">
        <v>3097</v>
      </c>
      <c r="G422" t="s">
        <v>108</v>
      </c>
      <c r="H422" t="s">
        <v>3098</v>
      </c>
      <c r="I422">
        <v>20043596</v>
      </c>
      <c r="J422" t="s">
        <v>28</v>
      </c>
      <c r="K422">
        <v>4</v>
      </c>
      <c r="L422" t="s">
        <v>27</v>
      </c>
      <c r="M422" t="s">
        <v>3099</v>
      </c>
      <c r="N422" t="s">
        <v>3100</v>
      </c>
      <c r="O422" t="s">
        <v>3101</v>
      </c>
      <c r="P422" t="s">
        <v>33</v>
      </c>
      <c r="Q422" s="1">
        <v>44042</v>
      </c>
      <c r="R422" t="s">
        <v>33</v>
      </c>
      <c r="S422" t="s">
        <v>27</v>
      </c>
      <c r="T422" t="s">
        <v>464</v>
      </c>
      <c r="U422" t="s">
        <v>115</v>
      </c>
      <c r="V422" t="s">
        <v>2619</v>
      </c>
      <c r="W422">
        <v>400</v>
      </c>
      <c r="X422">
        <v>20043596</v>
      </c>
      <c r="Y422" t="s">
        <v>2620</v>
      </c>
      <c r="Z422" t="s">
        <v>119</v>
      </c>
      <c r="AA422" t="s">
        <v>32</v>
      </c>
      <c r="AB422" t="s">
        <v>120</v>
      </c>
      <c r="AC422" t="s">
        <v>25</v>
      </c>
      <c r="AD422" t="s">
        <v>155</v>
      </c>
      <c r="AE422">
        <v>30</v>
      </c>
      <c r="AF422" t="s">
        <v>27</v>
      </c>
      <c r="AG422" t="s">
        <v>26</v>
      </c>
      <c r="AH422" t="s">
        <v>2619</v>
      </c>
      <c r="AI422" t="str">
        <f t="shared" si="30"/>
        <v>SI</v>
      </c>
      <c r="AJ422" t="str">
        <f t="shared" si="31"/>
        <v>MEGALABS COLOMBIA</v>
      </c>
      <c r="AK422" t="str">
        <f>IF(ISNUMBER(SEARCH("FABRICANTE",AC422)),"FABRICANTE",IF(ISNUMBER(SEARCH("IMPORTADOR",AC422)),"IMPORTADOR","OTRO"))</f>
        <v>FABRICANTE</v>
      </c>
      <c r="AL422" t="str">
        <f>IF(LEFT(Y422,1)="A","Sistema digestivo",IF(LEFT(Y422,1)="B","Sangre",IF(LEFT(Y422,1)="C","Cardiovascular",IF(LEFT(Y422,1)="D","Dermatológico",IF(LEFT(Y422,1)="G","Genitourinario",IF(LEFT(Y422,1)="H","Hormonal",IF(LEFT(Y422,1)="J","Antiinfecciosos",IF(LEFT(Y422,1)="L","Oncológicos",IF(LEFT(Y422,1)="M","Musculoesquelético",IF(LEFT(Y422,1)="N","Sistema nervioso",IF(LEFT(Y422,1)="R","Respiratorio",IF(LEFT(Y422,1)="S","Oftálmico",IF(LEFT(Y422,1)="V","Varios","OTRO")))))))))))))</f>
        <v>Oncológicos</v>
      </c>
      <c r="AM422" t="str">
        <f>IF(AG422="Vigente","ACTIVO",IF(ISNUMBER(SEARCH("Inactivo",J422)),"INACTIVO","REVISAR"))</f>
        <v>ACTIVO</v>
      </c>
      <c r="AN422" t="str">
        <f ca="1">IF(OR(AF422="",AF422="null"),"",ROUND((AF422-TODAY())/365.25,2))</f>
        <v/>
      </c>
      <c r="AO422" t="str">
        <f ca="1">IF(AND(AG422="Vigente",OR(AF422="",AF422="null",AF422&gt;TODAY())),"SI",IF(AND(NOT(OR(AF422="",AF422="null")),AF422&lt;=TODAY()),"NO",IF(AG422="Vigente","SI","DESCONOCIDO")))</f>
        <v>SI</v>
      </c>
      <c r="AP422" t="str">
        <f>IF(AND(ISNUMBER(SEARCH("IMPORTAR",AA422)),ISNUMBER(SEARCH("FABRICAR",AA422))),"MIXTO",IF(ISNUMBER(SEARCH("IMPORTAR",AA422)),"IMPORTADO",IF(ISNUMBER(SEARCH("FABRICAR",AA422)),"LOCAL","OTRO")))</f>
        <v>IMPORTADO</v>
      </c>
      <c r="AQ422" t="str">
        <f>IF(AD422="Si","SI",IF(AD422="No","NO",""))</f>
        <v>SI</v>
      </c>
      <c r="AR422" t="str">
        <f>IF(ISNUMBER(SEARCH("®",N422)),"MARCA/INNOVADOR","GENERICO")</f>
        <v>MARCA/INNOVADOR</v>
      </c>
      <c r="AS422">
        <f ca="1">IF(AE422&gt;100,RANDBETWEEN(500,5000),IF(AND(AE422&gt;=10,AE422&lt;=100),RANDBETWEEN(100,1000),RANDBETWEEN(10,200)))</f>
        <v>431</v>
      </c>
      <c r="AT422">
        <f t="shared" ca="1" si="32"/>
        <v>68</v>
      </c>
      <c r="AU422">
        <f ca="1">INT(AS422*RANDBETWEEN(120,200)/100)</f>
        <v>646</v>
      </c>
      <c r="AV422" s="2">
        <f ca="1">IF(LEFT(Y422,1)="L",RANDBETWEEN(500000,5000000),IF(LEFT(Y422,1)="C",RANDBETWEEN(5000,50000),IF(LEFT(Y422,1)="N",RANDBETWEEN(10000,150000),IF(LEFT(Y422,1)="J",RANDBETWEEN(8000,200000),RANDBETWEEN(5000,100000)))))</f>
        <v>2057694</v>
      </c>
      <c r="AW422" s="2">
        <f ca="1">INT(AV422*RANDBETWEEN(30,60)/100)</f>
        <v>1152308</v>
      </c>
      <c r="AX422">
        <f ca="1">IF(Z422="ORAL",RANDBETWEEN(1000,10000),IF(OR(Z422="INTRAVENOSA",Z422="INTRAMUSCULAR"),RANDBETWEEN(100,2000),IF(OR(Z422="OFTÁLMICA",Z422="TOPICA (EXTERNA)"),RANDBETWEEN(200,3000),RANDBETWEEN(100,1500))))</f>
        <v>8995</v>
      </c>
      <c r="AY422" s="2">
        <f ca="1">INT(AV422*RANDBETWEEN(90,130)/100)</f>
        <v>2613271</v>
      </c>
      <c r="AZ422" t="str">
        <f t="shared" ca="1" si="33"/>
        <v>24.5%</v>
      </c>
      <c r="BA422" t="str">
        <f t="shared" ca="1" si="34"/>
        <v>BAJO</v>
      </c>
    </row>
    <row r="423" spans="4:53" x14ac:dyDescent="0.35">
      <c r="D423" t="s">
        <v>3102</v>
      </c>
      <c r="E423" s="1">
        <v>41653</v>
      </c>
      <c r="F423" t="s">
        <v>722</v>
      </c>
      <c r="G423" t="s">
        <v>108</v>
      </c>
      <c r="H423" t="s">
        <v>1380</v>
      </c>
      <c r="I423">
        <v>20057384</v>
      </c>
      <c r="J423" t="s">
        <v>110</v>
      </c>
      <c r="K423">
        <v>17</v>
      </c>
      <c r="L423" t="s">
        <v>27</v>
      </c>
      <c r="M423" t="s">
        <v>3103</v>
      </c>
      <c r="N423" t="s">
        <v>3104</v>
      </c>
      <c r="O423" t="s">
        <v>3105</v>
      </c>
      <c r="P423" t="s">
        <v>358</v>
      </c>
      <c r="Q423" s="1">
        <v>41624</v>
      </c>
      <c r="R423" t="s">
        <v>37</v>
      </c>
      <c r="S423" t="s">
        <v>27</v>
      </c>
      <c r="T423" t="s">
        <v>172</v>
      </c>
      <c r="U423" t="s">
        <v>115</v>
      </c>
      <c r="V423" t="s">
        <v>722</v>
      </c>
      <c r="W423">
        <v>30</v>
      </c>
      <c r="X423">
        <v>20057384</v>
      </c>
      <c r="Y423" t="s">
        <v>723</v>
      </c>
      <c r="Z423" t="s">
        <v>119</v>
      </c>
      <c r="AA423" t="s">
        <v>165</v>
      </c>
      <c r="AB423" t="s">
        <v>120</v>
      </c>
      <c r="AC423" t="s">
        <v>38</v>
      </c>
      <c r="AD423" t="s">
        <v>121</v>
      </c>
      <c r="AE423">
        <v>200</v>
      </c>
      <c r="AF423" t="s">
        <v>27</v>
      </c>
      <c r="AG423" t="s">
        <v>26</v>
      </c>
      <c r="AH423" t="s">
        <v>722</v>
      </c>
      <c r="AI423" t="str">
        <f t="shared" si="30"/>
        <v>NO</v>
      </c>
      <c r="AJ423" t="str">
        <f t="shared" si="31"/>
        <v>NOVAMED</v>
      </c>
      <c r="AK423" t="str">
        <f>IF(ISNUMBER(SEARCH("FABRICANTE",AC423)),"FABRICANTE",IF(ISNUMBER(SEARCH("IMPORTADOR",AC423)),"IMPORTADOR","OTRO"))</f>
        <v>IMPORTADOR</v>
      </c>
      <c r="AL423" t="str">
        <f>IF(LEFT(Y423,1)="A","Sistema digestivo",IF(LEFT(Y423,1)="B","Sangre",IF(LEFT(Y423,1)="C","Cardiovascular",IF(LEFT(Y423,1)="D","Dermatológico",IF(LEFT(Y423,1)="G","Genitourinario",IF(LEFT(Y423,1)="H","Hormonal",IF(LEFT(Y423,1)="J","Antiinfecciosos",IF(LEFT(Y423,1)="L","Oncológicos",IF(LEFT(Y423,1)="M","Musculoesquelético",IF(LEFT(Y423,1)="N","Sistema nervioso",IF(LEFT(Y423,1)="R","Respiratorio",IF(LEFT(Y423,1)="S","Oftálmico",IF(LEFT(Y423,1)="V","Varios","OTRO")))))))))))))</f>
        <v>Sistema digestivo</v>
      </c>
      <c r="AM423" t="str">
        <f>IF(AG423="Vigente","ACTIVO",IF(ISNUMBER(SEARCH("Inactivo",J423)),"INACTIVO","REVISAR"))</f>
        <v>ACTIVO</v>
      </c>
      <c r="AN423" t="str">
        <f ca="1">IF(OR(AF423="",AF423="null"),"",ROUND((AF423-TODAY())/365.25,2))</f>
        <v/>
      </c>
      <c r="AO423" t="str">
        <f ca="1">IF(AND(AG423="Vigente",OR(AF423="",AF423="null",AF423&gt;TODAY())),"SI",IF(AND(NOT(OR(AF423="",AF423="null")),AF423&lt;=TODAY()),"NO",IF(AG423="Vigente","SI","DESCONOCIDO")))</f>
        <v>SI</v>
      </c>
      <c r="AP423" t="str">
        <f>IF(AND(ISNUMBER(SEARCH("IMPORTAR",AA423)),ISNUMBER(SEARCH("FABRICAR",AA423))),"MIXTO",IF(ISNUMBER(SEARCH("IMPORTAR",AA423)),"IMPORTADO",IF(ISNUMBER(SEARCH("FABRICAR",AA423)),"LOCAL","OTRO")))</f>
        <v>IMPORTADO</v>
      </c>
      <c r="AQ423" t="str">
        <f>IF(AD423="Si","SI",IF(AD423="No","NO",""))</f>
        <v>NO</v>
      </c>
      <c r="AR423" t="str">
        <f>IF(ISNUMBER(SEARCH("®",N423)),"MARCA/INNOVADOR","GENERICO")</f>
        <v>MARCA/INNOVADOR</v>
      </c>
      <c r="AS423">
        <f ca="1">IF(AE423&gt;100,RANDBETWEEN(500,5000),IF(AND(AE423&gt;=10,AE423&lt;=100),RANDBETWEEN(100,1000),RANDBETWEEN(10,200)))</f>
        <v>2436</v>
      </c>
      <c r="AT423">
        <f t="shared" ca="1" si="32"/>
        <v>365</v>
      </c>
      <c r="AU423">
        <f ca="1">INT(AS423*RANDBETWEEN(120,200)/100)</f>
        <v>4433</v>
      </c>
      <c r="AV423" s="2">
        <f ca="1">IF(LEFT(Y423,1)="L",RANDBETWEEN(500000,5000000),IF(LEFT(Y423,1)="C",RANDBETWEEN(5000,50000),IF(LEFT(Y423,1)="N",RANDBETWEEN(10000,150000),IF(LEFT(Y423,1)="J",RANDBETWEEN(8000,200000),RANDBETWEEN(5000,100000)))))</f>
        <v>70185</v>
      </c>
      <c r="AW423" s="2">
        <f ca="1">INT(AV423*RANDBETWEEN(30,60)/100)</f>
        <v>22459</v>
      </c>
      <c r="AX423">
        <f ca="1">IF(Z423="ORAL",RANDBETWEEN(1000,10000),IF(OR(Z423="INTRAVENOSA",Z423="INTRAMUSCULAR"),RANDBETWEEN(100,2000),IF(OR(Z423="OFTÁLMICA",Z423="TOPICA (EXTERNA)"),RANDBETWEEN(200,3000),RANDBETWEEN(100,1500))))</f>
        <v>6702</v>
      </c>
      <c r="AY423" s="2">
        <f ca="1">INT(AV423*RANDBETWEEN(90,130)/100)</f>
        <v>70185</v>
      </c>
      <c r="AZ423" t="str">
        <f t="shared" ca="1" si="33"/>
        <v>21.1%</v>
      </c>
      <c r="BA423" t="str">
        <f t="shared" ca="1" si="34"/>
        <v>ALTO</v>
      </c>
    </row>
    <row r="424" spans="4:53" x14ac:dyDescent="0.35">
      <c r="D424" t="s">
        <v>3106</v>
      </c>
      <c r="E424" s="1">
        <v>40479</v>
      </c>
      <c r="F424" t="s">
        <v>3107</v>
      </c>
      <c r="G424" t="s">
        <v>108</v>
      </c>
      <c r="H424" t="s">
        <v>428</v>
      </c>
      <c r="I424">
        <v>20022220</v>
      </c>
      <c r="J424" t="s">
        <v>110</v>
      </c>
      <c r="K424">
        <v>7</v>
      </c>
      <c r="L424" t="s">
        <v>27</v>
      </c>
      <c r="M424" t="s">
        <v>3108</v>
      </c>
      <c r="N424" t="s">
        <v>3109</v>
      </c>
      <c r="O424" t="s">
        <v>3110</v>
      </c>
      <c r="P424" t="s">
        <v>33</v>
      </c>
      <c r="Q424" s="1">
        <v>40792</v>
      </c>
      <c r="R424" t="s">
        <v>33</v>
      </c>
      <c r="S424" s="1">
        <v>42311</v>
      </c>
      <c r="T424" t="s">
        <v>428</v>
      </c>
      <c r="U424" t="s">
        <v>115</v>
      </c>
      <c r="V424" t="s">
        <v>667</v>
      </c>
      <c r="W424">
        <v>20</v>
      </c>
      <c r="X424">
        <v>20022220</v>
      </c>
      <c r="Y424" t="s">
        <v>668</v>
      </c>
      <c r="Z424" t="s">
        <v>119</v>
      </c>
      <c r="AA424" t="s">
        <v>24</v>
      </c>
      <c r="AB424" t="s">
        <v>120</v>
      </c>
      <c r="AC424" t="s">
        <v>25</v>
      </c>
      <c r="AD424" t="s">
        <v>121</v>
      </c>
      <c r="AE424">
        <v>4</v>
      </c>
      <c r="AF424" t="s">
        <v>27</v>
      </c>
      <c r="AG424" t="s">
        <v>26</v>
      </c>
      <c r="AH424" t="s">
        <v>667</v>
      </c>
      <c r="AI424" t="str">
        <f t="shared" si="30"/>
        <v>NO</v>
      </c>
      <c r="AJ424" t="str">
        <f t="shared" si="31"/>
        <v>LABORATORIOS SIEGFRIED</v>
      </c>
      <c r="AK424" t="str">
        <f>IF(ISNUMBER(SEARCH("FABRICANTE",AC424)),"FABRICANTE",IF(ISNUMBER(SEARCH("IMPORTADOR",AC424)),"IMPORTADOR","OTRO"))</f>
        <v>FABRICANTE</v>
      </c>
      <c r="AL424" t="str">
        <f>IF(LEFT(Y424,1)="A","Sistema digestivo",IF(LEFT(Y424,1)="B","Sangre",IF(LEFT(Y424,1)="C","Cardiovascular",IF(LEFT(Y424,1)="D","Dermatológico",IF(LEFT(Y424,1)="G","Genitourinario",IF(LEFT(Y424,1)="H","Hormonal",IF(LEFT(Y424,1)="J","Antiinfecciosos",IF(LEFT(Y424,1)="L","Oncológicos",IF(LEFT(Y424,1)="M","Musculoesquelético",IF(LEFT(Y424,1)="N","Sistema nervioso",IF(LEFT(Y424,1)="R","Respiratorio",IF(LEFT(Y424,1)="S","Oftálmico",IF(LEFT(Y424,1)="V","Varios","OTRO")))))))))))))</f>
        <v>Cardiovascular</v>
      </c>
      <c r="AM424" t="str">
        <f>IF(AG424="Vigente","ACTIVO",IF(ISNUMBER(SEARCH("Inactivo",J424)),"INACTIVO","REVISAR"))</f>
        <v>ACTIVO</v>
      </c>
      <c r="AN424" t="str">
        <f ca="1">IF(OR(AF424="",AF424="null"),"",ROUND((AF424-TODAY())/365.25,2))</f>
        <v/>
      </c>
      <c r="AO424" t="str">
        <f ca="1">IF(AND(AG424="Vigente",OR(AF424="",AF424="null",AF424&gt;TODAY())),"SI",IF(AND(NOT(OR(AF424="",AF424="null")),AF424&lt;=TODAY()),"NO",IF(AG424="Vigente","SI","DESCONOCIDO")))</f>
        <v>SI</v>
      </c>
      <c r="AP424" t="str">
        <f>IF(AND(ISNUMBER(SEARCH("IMPORTAR",AA424)),ISNUMBER(SEARCH("FABRICAR",AA424))),"MIXTO",IF(ISNUMBER(SEARCH("IMPORTAR",AA424)),"IMPORTADO",IF(ISNUMBER(SEARCH("FABRICAR",AA424)),"LOCAL","OTRO")))</f>
        <v>LOCAL</v>
      </c>
      <c r="AQ424" t="str">
        <f>IF(AD424="Si","SI",IF(AD424="No","NO",""))</f>
        <v>NO</v>
      </c>
      <c r="AR424" t="str">
        <f>IF(ISNUMBER(SEARCH("®",N424)),"MARCA/INNOVADOR","GENERICO")</f>
        <v>MARCA/INNOVADOR</v>
      </c>
      <c r="AS424">
        <f ca="1">IF(AE424&gt;100,RANDBETWEEN(500,5000),IF(AND(AE424&gt;=10,AE424&lt;=100),RANDBETWEEN(100,1000),RANDBETWEEN(10,200)))</f>
        <v>99</v>
      </c>
      <c r="AT424">
        <f t="shared" ca="1" si="32"/>
        <v>22</v>
      </c>
      <c r="AU424">
        <f ca="1">INT(AS424*RANDBETWEEN(120,200)/100)</f>
        <v>138</v>
      </c>
      <c r="AV424" s="2">
        <f ca="1">IF(LEFT(Y424,1)="L",RANDBETWEEN(500000,5000000),IF(LEFT(Y424,1)="C",RANDBETWEEN(5000,50000),IF(LEFT(Y424,1)="N",RANDBETWEEN(10000,150000),IF(LEFT(Y424,1)="J",RANDBETWEEN(8000,200000),RANDBETWEEN(5000,100000)))))</f>
        <v>33903</v>
      </c>
      <c r="AW424" s="2">
        <f ca="1">INT(AV424*RANDBETWEEN(30,60)/100)</f>
        <v>11866</v>
      </c>
      <c r="AX424">
        <f ca="1">IF(Z424="ORAL",RANDBETWEEN(1000,10000),IF(OR(Z424="INTRAVENOSA",Z424="INTRAMUSCULAR"),RANDBETWEEN(100,2000),IF(OR(Z424="OFTÁLMICA",Z424="TOPICA (EXTERNA)"),RANDBETWEEN(200,3000),RANDBETWEEN(100,1500))))</f>
        <v>8321</v>
      </c>
      <c r="AY424" s="2">
        <f ca="1">INT(AV424*RANDBETWEEN(90,130)/100)</f>
        <v>40344</v>
      </c>
      <c r="AZ424" t="str">
        <f t="shared" ca="1" si="33"/>
        <v>13.6%</v>
      </c>
      <c r="BA424" t="str">
        <f t="shared" ca="1" si="34"/>
        <v>ALTO</v>
      </c>
    </row>
    <row r="425" spans="4:53" x14ac:dyDescent="0.35">
      <c r="D425" t="s">
        <v>3111</v>
      </c>
      <c r="E425" s="1">
        <v>42293</v>
      </c>
      <c r="F425" t="s">
        <v>3112</v>
      </c>
      <c r="G425" t="s">
        <v>108</v>
      </c>
      <c r="H425" t="s">
        <v>3113</v>
      </c>
      <c r="I425">
        <v>20079787</v>
      </c>
      <c r="J425" t="s">
        <v>28</v>
      </c>
      <c r="K425">
        <v>6</v>
      </c>
      <c r="L425" t="s">
        <v>27</v>
      </c>
      <c r="M425" t="s">
        <v>3114</v>
      </c>
      <c r="N425" t="s">
        <v>3115</v>
      </c>
      <c r="O425" t="s">
        <v>3116</v>
      </c>
      <c r="P425" t="s">
        <v>3117</v>
      </c>
      <c r="Q425" s="1">
        <v>42152</v>
      </c>
      <c r="R425" t="s">
        <v>78</v>
      </c>
      <c r="S425" t="s">
        <v>27</v>
      </c>
      <c r="T425" t="s">
        <v>3118</v>
      </c>
      <c r="U425" t="s">
        <v>115</v>
      </c>
      <c r="V425" t="s">
        <v>3119</v>
      </c>
      <c r="W425">
        <v>1000</v>
      </c>
      <c r="X425">
        <v>20079787</v>
      </c>
      <c r="Y425" t="s">
        <v>3120</v>
      </c>
      <c r="Z425" t="s">
        <v>119</v>
      </c>
      <c r="AA425" t="s">
        <v>32</v>
      </c>
      <c r="AB425" t="s">
        <v>120</v>
      </c>
      <c r="AC425" t="s">
        <v>25</v>
      </c>
      <c r="AD425" t="s">
        <v>121</v>
      </c>
      <c r="AE425">
        <v>100</v>
      </c>
      <c r="AF425" t="s">
        <v>27</v>
      </c>
      <c r="AG425" t="s">
        <v>26</v>
      </c>
      <c r="AH425" t="s">
        <v>6801</v>
      </c>
      <c r="AI425" t="str">
        <f t="shared" si="30"/>
        <v>NO</v>
      </c>
      <c r="AJ425" t="str">
        <f t="shared" si="31"/>
        <v>LES LABORATOIRES SERVIER</v>
      </c>
      <c r="AK425" t="str">
        <f>IF(ISNUMBER(SEARCH("FABRICANTE",AC425)),"FABRICANTE",IF(ISNUMBER(SEARCH("IMPORTADOR",AC425)),"IMPORTADOR","OTRO"))</f>
        <v>FABRICANTE</v>
      </c>
      <c r="AL425" t="str">
        <f>IF(LEFT(Y425,1)="A","Sistema digestivo",IF(LEFT(Y425,1)="B","Sangre",IF(LEFT(Y425,1)="C","Cardiovascular",IF(LEFT(Y425,1)="D","Dermatológico",IF(LEFT(Y425,1)="G","Genitourinario",IF(LEFT(Y425,1)="H","Hormonal",IF(LEFT(Y425,1)="J","Antiinfecciosos",IF(LEFT(Y425,1)="L","Oncológicos",IF(LEFT(Y425,1)="M","Musculoesquelético",IF(LEFT(Y425,1)="N","Sistema nervioso",IF(LEFT(Y425,1)="R","Respiratorio",IF(LEFT(Y425,1)="S","Oftálmico",IF(LEFT(Y425,1)="V","Varios","OTRO")))))))))))))</f>
        <v>Cardiovascular</v>
      </c>
      <c r="AM425" t="str">
        <f>IF(AG425="Vigente","ACTIVO",IF(ISNUMBER(SEARCH("Inactivo",J425)),"INACTIVO","REVISAR"))</f>
        <v>ACTIVO</v>
      </c>
      <c r="AN425" t="str">
        <f ca="1">IF(OR(AF425="",AF425="null"),"",ROUND((AF425-TODAY())/365.25,2))</f>
        <v/>
      </c>
      <c r="AO425" t="str">
        <f ca="1">IF(AND(AG425="Vigente",OR(AF425="",AF425="null",AF425&gt;TODAY())),"SI",IF(AND(NOT(OR(AF425="",AF425="null")),AF425&lt;=TODAY()),"NO",IF(AG425="Vigente","SI","DESCONOCIDO")))</f>
        <v>SI</v>
      </c>
      <c r="AP425" t="str">
        <f>IF(AND(ISNUMBER(SEARCH("IMPORTAR",AA425)),ISNUMBER(SEARCH("FABRICAR",AA425))),"MIXTO",IF(ISNUMBER(SEARCH("IMPORTAR",AA425)),"IMPORTADO",IF(ISNUMBER(SEARCH("FABRICAR",AA425)),"LOCAL","OTRO")))</f>
        <v>IMPORTADO</v>
      </c>
      <c r="AQ425" t="str">
        <f>IF(AD425="Si","SI",IF(AD425="No","NO",""))</f>
        <v>NO</v>
      </c>
      <c r="AR425" t="str">
        <f>IF(ISNUMBER(SEARCH("®",N425)),"MARCA/INNOVADOR","GENERICO")</f>
        <v>MARCA/INNOVADOR</v>
      </c>
      <c r="AS425">
        <f ca="1">IF(AE425&gt;100,RANDBETWEEN(500,5000),IF(AND(AE425&gt;=10,AE425&lt;=100),RANDBETWEEN(100,1000),RANDBETWEEN(10,200)))</f>
        <v>621</v>
      </c>
      <c r="AT425">
        <f t="shared" ca="1" si="32"/>
        <v>117</v>
      </c>
      <c r="AU425">
        <f ca="1">INT(AS425*RANDBETWEEN(120,200)/100)</f>
        <v>1155</v>
      </c>
      <c r="AV425" s="2">
        <f ca="1">IF(LEFT(Y425,1)="L",RANDBETWEEN(500000,5000000),IF(LEFT(Y425,1)="C",RANDBETWEEN(5000,50000),IF(LEFT(Y425,1)="N",RANDBETWEEN(10000,150000),IF(LEFT(Y425,1)="J",RANDBETWEEN(8000,200000),RANDBETWEEN(5000,100000)))))</f>
        <v>31792</v>
      </c>
      <c r="AW425" s="2">
        <f ca="1">INT(AV425*RANDBETWEEN(30,60)/100)</f>
        <v>16213</v>
      </c>
      <c r="AX425">
        <f ca="1">IF(Z425="ORAL",RANDBETWEEN(1000,10000),IF(OR(Z425="INTRAVENOSA",Z425="INTRAMUSCULAR"),RANDBETWEEN(100,2000),IF(OR(Z425="OFTÁLMICA",Z425="TOPICA (EXTERNA)"),RANDBETWEEN(200,3000),RANDBETWEEN(100,1500))))</f>
        <v>2138</v>
      </c>
      <c r="AY425" s="2">
        <f ca="1">INT(AV425*RANDBETWEEN(90,130)/100)</f>
        <v>37514</v>
      </c>
      <c r="AZ425" t="str">
        <f t="shared" ca="1" si="33"/>
        <v>20.5%</v>
      </c>
      <c r="BA425" t="str">
        <f t="shared" ca="1" si="34"/>
        <v>BAJO</v>
      </c>
    </row>
    <row r="426" spans="4:53" x14ac:dyDescent="0.35">
      <c r="D426" t="s">
        <v>3121</v>
      </c>
      <c r="E426" s="1">
        <v>39861</v>
      </c>
      <c r="F426" t="s">
        <v>3122</v>
      </c>
      <c r="G426" t="s">
        <v>108</v>
      </c>
      <c r="H426" t="s">
        <v>710</v>
      </c>
      <c r="I426">
        <v>19995395</v>
      </c>
      <c r="J426" t="s">
        <v>28</v>
      </c>
      <c r="K426">
        <v>5</v>
      </c>
      <c r="L426" t="s">
        <v>27</v>
      </c>
      <c r="M426" t="s">
        <v>3123</v>
      </c>
      <c r="N426" t="s">
        <v>3124</v>
      </c>
      <c r="O426" t="s">
        <v>3125</v>
      </c>
      <c r="P426" t="s">
        <v>29</v>
      </c>
      <c r="Q426" s="1">
        <v>43308</v>
      </c>
      <c r="R426" t="s">
        <v>29</v>
      </c>
      <c r="S426" t="s">
        <v>27</v>
      </c>
      <c r="T426" t="s">
        <v>464</v>
      </c>
      <c r="U426" t="s">
        <v>115</v>
      </c>
      <c r="V426" t="s">
        <v>3126</v>
      </c>
      <c r="W426">
        <v>16</v>
      </c>
      <c r="X426">
        <v>19995395</v>
      </c>
      <c r="Y426" t="s">
        <v>3127</v>
      </c>
      <c r="Z426" t="s">
        <v>119</v>
      </c>
      <c r="AA426" t="s">
        <v>24</v>
      </c>
      <c r="AB426" t="s">
        <v>120</v>
      </c>
      <c r="AC426" t="s">
        <v>25</v>
      </c>
      <c r="AD426" t="s">
        <v>155</v>
      </c>
      <c r="AE426">
        <v>30</v>
      </c>
      <c r="AF426" t="s">
        <v>27</v>
      </c>
      <c r="AG426" t="s">
        <v>26</v>
      </c>
      <c r="AH426" t="s">
        <v>3122</v>
      </c>
      <c r="AI426" t="str">
        <f t="shared" si="30"/>
        <v>NO</v>
      </c>
      <c r="AJ426" t="str">
        <f t="shared" si="31"/>
        <v>MEGALABS COLOMBIA</v>
      </c>
      <c r="AK426" t="str">
        <f>IF(ISNUMBER(SEARCH("FABRICANTE",AC426)),"FABRICANTE",IF(ISNUMBER(SEARCH("IMPORTADOR",AC426)),"IMPORTADOR","OTRO"))</f>
        <v>FABRICANTE</v>
      </c>
      <c r="AL426" t="str">
        <f>IF(LEFT(Y426,1)="A","Sistema digestivo",IF(LEFT(Y426,1)="B","Sangre",IF(LEFT(Y426,1)="C","Cardiovascular",IF(LEFT(Y426,1)="D","Dermatológico",IF(LEFT(Y426,1)="G","Genitourinario",IF(LEFT(Y426,1)="H","Hormonal",IF(LEFT(Y426,1)="J","Antiinfecciosos",IF(LEFT(Y426,1)="L","Oncológicos",IF(LEFT(Y426,1)="M","Musculoesquelético",IF(LEFT(Y426,1)="N","Sistema nervioso",IF(LEFT(Y426,1)="R","Respiratorio",IF(LEFT(Y426,1)="S","Oftálmico",IF(LEFT(Y426,1)="V","Varios","OTRO")))))))))))))</f>
        <v>Cardiovascular</v>
      </c>
      <c r="AM426" t="str">
        <f>IF(AG426="Vigente","ACTIVO",IF(ISNUMBER(SEARCH("Inactivo",J426)),"INACTIVO","REVISAR"))</f>
        <v>ACTIVO</v>
      </c>
      <c r="AN426" t="str">
        <f ca="1">IF(OR(AF426="",AF426="null"),"",ROUND((AF426-TODAY())/365.25,2))</f>
        <v/>
      </c>
      <c r="AO426" t="str">
        <f ca="1">IF(AND(AG426="Vigente",OR(AF426="",AF426="null",AF426&gt;TODAY())),"SI",IF(AND(NOT(OR(AF426="",AF426="null")),AF426&lt;=TODAY()),"NO",IF(AG426="Vigente","SI","DESCONOCIDO")))</f>
        <v>SI</v>
      </c>
      <c r="AP426" t="str">
        <f>IF(AND(ISNUMBER(SEARCH("IMPORTAR",AA426)),ISNUMBER(SEARCH("FABRICAR",AA426))),"MIXTO",IF(ISNUMBER(SEARCH("IMPORTAR",AA426)),"IMPORTADO",IF(ISNUMBER(SEARCH("FABRICAR",AA426)),"LOCAL","OTRO")))</f>
        <v>LOCAL</v>
      </c>
      <c r="AQ426" t="str">
        <f>IF(AD426="Si","SI",IF(AD426="No","NO",""))</f>
        <v>SI</v>
      </c>
      <c r="AR426" t="str">
        <f>IF(ISNUMBER(SEARCH("®",N426)),"MARCA/INNOVADOR","GENERICO")</f>
        <v>MARCA/INNOVADOR</v>
      </c>
      <c r="AS426">
        <f ca="1">IF(AE426&gt;100,RANDBETWEEN(500,5000),IF(AND(AE426&gt;=10,AE426&lt;=100),RANDBETWEEN(100,1000),RANDBETWEEN(10,200)))</f>
        <v>835</v>
      </c>
      <c r="AT426">
        <f t="shared" ca="1" si="32"/>
        <v>141</v>
      </c>
      <c r="AU426">
        <f ca="1">INT(AS426*RANDBETWEEN(120,200)/100)</f>
        <v>1294</v>
      </c>
      <c r="AV426" s="2">
        <f ca="1">IF(LEFT(Y426,1)="L",RANDBETWEEN(500000,5000000),IF(LEFT(Y426,1)="C",RANDBETWEEN(5000,50000),IF(LEFT(Y426,1)="N",RANDBETWEEN(10000,150000),IF(LEFT(Y426,1)="J",RANDBETWEEN(8000,200000),RANDBETWEEN(5000,100000)))))</f>
        <v>45489</v>
      </c>
      <c r="AW426" s="2">
        <f ca="1">INT(AV426*RANDBETWEEN(30,60)/100)</f>
        <v>26838</v>
      </c>
      <c r="AX426">
        <f ca="1">IF(Z426="ORAL",RANDBETWEEN(1000,10000),IF(OR(Z426="INTRAVENOSA",Z426="INTRAMUSCULAR"),RANDBETWEEN(100,2000),IF(OR(Z426="OFTÁLMICA",Z426="TOPICA (EXTERNA)"),RANDBETWEEN(200,3000),RANDBETWEEN(100,1500))))</f>
        <v>4014</v>
      </c>
      <c r="AY426" s="2">
        <f ca="1">INT(AV426*RANDBETWEEN(90,130)/100)</f>
        <v>43214</v>
      </c>
      <c r="AZ426" t="str">
        <f t="shared" ca="1" si="33"/>
        <v>20.4%</v>
      </c>
      <c r="BA426" t="str">
        <f t="shared" ca="1" si="34"/>
        <v>BAJO</v>
      </c>
    </row>
    <row r="427" spans="4:53" x14ac:dyDescent="0.35">
      <c r="D427" t="s">
        <v>3128</v>
      </c>
      <c r="E427" s="1">
        <v>40948</v>
      </c>
      <c r="F427" t="s">
        <v>3021</v>
      </c>
      <c r="G427" t="s">
        <v>108</v>
      </c>
      <c r="H427" t="s">
        <v>549</v>
      </c>
      <c r="I427">
        <v>20033258</v>
      </c>
      <c r="J427" t="s">
        <v>28</v>
      </c>
      <c r="K427">
        <v>1</v>
      </c>
      <c r="L427" t="s">
        <v>27</v>
      </c>
      <c r="M427" t="s">
        <v>2034</v>
      </c>
      <c r="N427" t="s">
        <v>2035</v>
      </c>
      <c r="O427" t="s">
        <v>3129</v>
      </c>
      <c r="P427" t="s">
        <v>2037</v>
      </c>
      <c r="Q427" s="1">
        <v>40760</v>
      </c>
      <c r="R427" t="s">
        <v>258</v>
      </c>
      <c r="S427" t="s">
        <v>27</v>
      </c>
      <c r="T427" t="s">
        <v>549</v>
      </c>
      <c r="U427" t="s">
        <v>247</v>
      </c>
      <c r="V427" t="s">
        <v>64</v>
      </c>
      <c r="W427" t="s">
        <v>3130</v>
      </c>
      <c r="X427">
        <v>20033258</v>
      </c>
      <c r="Y427" t="s">
        <v>259</v>
      </c>
      <c r="Z427" t="s">
        <v>260</v>
      </c>
      <c r="AA427" t="s">
        <v>32</v>
      </c>
      <c r="AB427" t="s">
        <v>133</v>
      </c>
      <c r="AC427" t="s">
        <v>38</v>
      </c>
      <c r="AD427" t="s">
        <v>121</v>
      </c>
      <c r="AE427">
        <v>1</v>
      </c>
      <c r="AF427" t="s">
        <v>27</v>
      </c>
      <c r="AG427" t="s">
        <v>26</v>
      </c>
      <c r="AH427" t="s">
        <v>3021</v>
      </c>
      <c r="AI427" t="str">
        <f t="shared" si="30"/>
        <v>NO</v>
      </c>
      <c r="AJ427" t="str">
        <f t="shared" si="31"/>
        <v>LABORATORIOS BAXTER</v>
      </c>
      <c r="AK427" t="str">
        <f>IF(ISNUMBER(SEARCH("FABRICANTE",AC427)),"FABRICANTE",IF(ISNUMBER(SEARCH("IMPORTADOR",AC427)),"IMPORTADOR","OTRO"))</f>
        <v>IMPORTADOR</v>
      </c>
      <c r="AL427" t="str">
        <f>IF(LEFT(Y427,1)="A","Sistema digestivo",IF(LEFT(Y427,1)="B","Sangre",IF(LEFT(Y427,1)="C","Cardiovascular",IF(LEFT(Y427,1)="D","Dermatológico",IF(LEFT(Y427,1)="G","Genitourinario",IF(LEFT(Y427,1)="H","Hormonal",IF(LEFT(Y427,1)="J","Antiinfecciosos",IF(LEFT(Y427,1)="L","Oncológicos",IF(LEFT(Y427,1)="M","Musculoesquelético",IF(LEFT(Y427,1)="N","Sistema nervioso",IF(LEFT(Y427,1)="R","Respiratorio",IF(LEFT(Y427,1)="S","Oftálmico",IF(LEFT(Y427,1)="V","Varios","OTRO")))))))))))))</f>
        <v>Sangre</v>
      </c>
      <c r="AM427" t="str">
        <f>IF(AG427="Vigente","ACTIVO",IF(ISNUMBER(SEARCH("Inactivo",J427)),"INACTIVO","REVISAR"))</f>
        <v>ACTIVO</v>
      </c>
      <c r="AN427" t="str">
        <f ca="1">IF(OR(AF427="",AF427="null"),"",ROUND((AF427-TODAY())/365.25,2))</f>
        <v/>
      </c>
      <c r="AO427" t="str">
        <f ca="1">IF(AND(AG427="Vigente",OR(AF427="",AF427="null",AF427&gt;TODAY())),"SI",IF(AND(NOT(OR(AF427="",AF427="null")),AF427&lt;=TODAY()),"NO",IF(AG427="Vigente","SI","DESCONOCIDO")))</f>
        <v>SI</v>
      </c>
      <c r="AP427" t="str">
        <f>IF(AND(ISNUMBER(SEARCH("IMPORTAR",AA427)),ISNUMBER(SEARCH("FABRICAR",AA427))),"MIXTO",IF(ISNUMBER(SEARCH("IMPORTAR",AA427)),"IMPORTADO",IF(ISNUMBER(SEARCH("FABRICAR",AA427)),"LOCAL","OTRO")))</f>
        <v>IMPORTADO</v>
      </c>
      <c r="AQ427" t="str">
        <f>IF(AD427="Si","SI",IF(AD427="No","NO",""))</f>
        <v>NO</v>
      </c>
      <c r="AR427" t="str">
        <f>IF(ISNUMBER(SEARCH("®",N427)),"MARCA/INNOVADOR","GENERICO")</f>
        <v>GENERICO</v>
      </c>
      <c r="AS427">
        <f ca="1">IF(AE427&gt;100,RANDBETWEEN(500,5000),IF(AND(AE427&gt;=10,AE427&lt;=100),RANDBETWEEN(100,1000),RANDBETWEEN(10,200)))</f>
        <v>184</v>
      </c>
      <c r="AT427">
        <f t="shared" ca="1" si="32"/>
        <v>33</v>
      </c>
      <c r="AU427">
        <f ca="1">INT(AS427*RANDBETWEEN(120,200)/100)</f>
        <v>301</v>
      </c>
      <c r="AV427" s="2">
        <f ca="1">IF(LEFT(Y427,1)="L",RANDBETWEEN(500000,5000000),IF(LEFT(Y427,1)="C",RANDBETWEEN(5000,50000),IF(LEFT(Y427,1)="N",RANDBETWEEN(10000,150000),IF(LEFT(Y427,1)="J",RANDBETWEEN(8000,200000),RANDBETWEEN(5000,100000)))))</f>
        <v>62724</v>
      </c>
      <c r="AW427" s="2">
        <f ca="1">INT(AV427*RANDBETWEEN(30,60)/100)</f>
        <v>22580</v>
      </c>
      <c r="AX427">
        <f ca="1">IF(Z427="ORAL",RANDBETWEEN(1000,10000),IF(OR(Z427="INTRAVENOSA",Z427="INTRAMUSCULAR"),RANDBETWEEN(100,2000),IF(OR(Z427="OFTÁLMICA",Z427="TOPICA (EXTERNA)"),RANDBETWEEN(200,3000),RANDBETWEEN(100,1500))))</f>
        <v>1011</v>
      </c>
      <c r="AY427" s="2">
        <f ca="1">INT(AV427*RANDBETWEEN(90,130)/100)</f>
        <v>57078</v>
      </c>
      <c r="AZ427" t="str">
        <f t="shared" ca="1" si="33"/>
        <v>0.8%</v>
      </c>
      <c r="BA427" t="str">
        <f t="shared" ca="1" si="34"/>
        <v>BAJO</v>
      </c>
    </row>
    <row r="428" spans="4:53" x14ac:dyDescent="0.35">
      <c r="D428" t="s">
        <v>3131</v>
      </c>
      <c r="E428" s="1">
        <v>37881</v>
      </c>
      <c r="F428" t="s">
        <v>922</v>
      </c>
      <c r="G428" t="s">
        <v>108</v>
      </c>
      <c r="H428" t="s">
        <v>109</v>
      </c>
      <c r="I428">
        <v>19940076</v>
      </c>
      <c r="J428" t="s">
        <v>28</v>
      </c>
      <c r="K428">
        <v>107</v>
      </c>
      <c r="L428" t="s">
        <v>27</v>
      </c>
      <c r="M428" t="s">
        <v>923</v>
      </c>
      <c r="N428" t="s">
        <v>924</v>
      </c>
      <c r="O428" t="s">
        <v>3132</v>
      </c>
      <c r="P428" t="s">
        <v>181</v>
      </c>
      <c r="Q428" s="1">
        <v>43816</v>
      </c>
      <c r="R428" t="s">
        <v>37</v>
      </c>
      <c r="S428" t="s">
        <v>27</v>
      </c>
      <c r="T428" t="s">
        <v>114</v>
      </c>
      <c r="U428" t="s">
        <v>115</v>
      </c>
      <c r="V428" t="s">
        <v>585</v>
      </c>
      <c r="W428">
        <v>40</v>
      </c>
      <c r="X428">
        <v>19940076</v>
      </c>
      <c r="Y428" t="s">
        <v>586</v>
      </c>
      <c r="Z428" t="s">
        <v>119</v>
      </c>
      <c r="AA428" t="s">
        <v>165</v>
      </c>
      <c r="AB428" t="s">
        <v>120</v>
      </c>
      <c r="AC428" t="s">
        <v>25</v>
      </c>
      <c r="AD428" t="s">
        <v>121</v>
      </c>
      <c r="AE428">
        <v>14</v>
      </c>
      <c r="AF428" t="s">
        <v>27</v>
      </c>
      <c r="AG428" t="s">
        <v>26</v>
      </c>
      <c r="AH428" t="s">
        <v>585</v>
      </c>
      <c r="AI428" t="str">
        <f t="shared" si="30"/>
        <v>SI</v>
      </c>
      <c r="AJ428" t="str">
        <f t="shared" si="31"/>
        <v>LABORATORIOS LEGRAND</v>
      </c>
      <c r="AK428" t="str">
        <f>IF(ISNUMBER(SEARCH("FABRICANTE",AC428)),"FABRICANTE",IF(ISNUMBER(SEARCH("IMPORTADOR",AC428)),"IMPORTADOR","OTRO"))</f>
        <v>FABRICANTE</v>
      </c>
      <c r="AL428" t="str">
        <f>IF(LEFT(Y428,1)="A","Sistema digestivo",IF(LEFT(Y428,1)="B","Sangre",IF(LEFT(Y428,1)="C","Cardiovascular",IF(LEFT(Y428,1)="D","Dermatológico",IF(LEFT(Y428,1)="G","Genitourinario",IF(LEFT(Y428,1)="H","Hormonal",IF(LEFT(Y428,1)="J","Antiinfecciosos",IF(LEFT(Y428,1)="L","Oncológicos",IF(LEFT(Y428,1)="M","Musculoesquelético",IF(LEFT(Y428,1)="N","Sistema nervioso",IF(LEFT(Y428,1)="R","Respiratorio",IF(LEFT(Y428,1)="S","Oftálmico",IF(LEFT(Y428,1)="V","Varios","OTRO")))))))))))))</f>
        <v>Sistema digestivo</v>
      </c>
      <c r="AM428" t="str">
        <f>IF(AG428="Vigente","ACTIVO",IF(ISNUMBER(SEARCH("Inactivo",J428)),"INACTIVO","REVISAR"))</f>
        <v>ACTIVO</v>
      </c>
      <c r="AN428" t="str">
        <f ca="1">IF(OR(AF428="",AF428="null"),"",ROUND((AF428-TODAY())/365.25,2))</f>
        <v/>
      </c>
      <c r="AO428" t="str">
        <f ca="1">IF(AND(AG428="Vigente",OR(AF428="",AF428="null",AF428&gt;TODAY())),"SI",IF(AND(NOT(OR(AF428="",AF428="null")),AF428&lt;=TODAY()),"NO",IF(AG428="Vigente","SI","DESCONOCIDO")))</f>
        <v>SI</v>
      </c>
      <c r="AP428" t="str">
        <f>IF(AND(ISNUMBER(SEARCH("IMPORTAR",AA428)),ISNUMBER(SEARCH("FABRICAR",AA428))),"MIXTO",IF(ISNUMBER(SEARCH("IMPORTAR",AA428)),"IMPORTADO",IF(ISNUMBER(SEARCH("FABRICAR",AA428)),"LOCAL","OTRO")))</f>
        <v>IMPORTADO</v>
      </c>
      <c r="AQ428" t="str">
        <f>IF(AD428="Si","SI",IF(AD428="No","NO",""))</f>
        <v>NO</v>
      </c>
      <c r="AR428" t="str">
        <f>IF(ISNUMBER(SEARCH("®",N428)),"MARCA/INNOVADOR","GENERICO")</f>
        <v>MARCA/INNOVADOR</v>
      </c>
      <c r="AS428">
        <f ca="1">IF(AE428&gt;100,RANDBETWEEN(500,5000),IF(AND(AE428&gt;=10,AE428&lt;=100),RANDBETWEEN(100,1000),RANDBETWEEN(10,200)))</f>
        <v>165</v>
      </c>
      <c r="AT428">
        <f t="shared" ca="1" si="32"/>
        <v>31</v>
      </c>
      <c r="AU428">
        <f ca="1">INT(AS428*RANDBETWEEN(120,200)/100)</f>
        <v>288</v>
      </c>
      <c r="AV428" s="2">
        <f ca="1">IF(LEFT(Y428,1)="L",RANDBETWEEN(500000,5000000),IF(LEFT(Y428,1)="C",RANDBETWEEN(5000,50000),IF(LEFT(Y428,1)="N",RANDBETWEEN(10000,150000),IF(LEFT(Y428,1)="J",RANDBETWEEN(8000,200000),RANDBETWEEN(5000,100000)))))</f>
        <v>60470</v>
      </c>
      <c r="AW428" s="2">
        <f ca="1">INT(AV428*RANDBETWEEN(30,60)/100)</f>
        <v>19955</v>
      </c>
      <c r="AX428">
        <f ca="1">IF(Z428="ORAL",RANDBETWEEN(1000,10000),IF(OR(Z428="INTRAVENOSA",Z428="INTRAMUSCULAR"),RANDBETWEEN(100,2000),IF(OR(Z428="OFTÁLMICA",Z428="TOPICA (EXTERNA)"),RANDBETWEEN(200,3000),RANDBETWEEN(100,1500))))</f>
        <v>4863</v>
      </c>
      <c r="AY428" s="2">
        <f ca="1">INT(AV428*RANDBETWEEN(90,130)/100)</f>
        <v>59865</v>
      </c>
      <c r="AZ428" t="str">
        <f t="shared" ca="1" si="33"/>
        <v>20%</v>
      </c>
      <c r="BA428" t="str">
        <f t="shared" ca="1" si="34"/>
        <v>BAJO</v>
      </c>
    </row>
    <row r="429" spans="4:53" x14ac:dyDescent="0.35">
      <c r="D429" t="s">
        <v>3133</v>
      </c>
      <c r="E429" s="1">
        <v>41975</v>
      </c>
      <c r="F429" t="s">
        <v>3134</v>
      </c>
      <c r="G429" t="s">
        <v>108</v>
      </c>
      <c r="H429" t="s">
        <v>1325</v>
      </c>
      <c r="I429">
        <v>20061746</v>
      </c>
      <c r="J429" t="s">
        <v>28</v>
      </c>
      <c r="K429">
        <v>10</v>
      </c>
      <c r="L429" t="s">
        <v>27</v>
      </c>
      <c r="M429" t="s">
        <v>1326</v>
      </c>
      <c r="N429" t="s">
        <v>1327</v>
      </c>
      <c r="O429" t="s">
        <v>3135</v>
      </c>
      <c r="P429" t="s">
        <v>234</v>
      </c>
      <c r="Q429" s="1">
        <v>44488</v>
      </c>
      <c r="R429" t="s">
        <v>258</v>
      </c>
      <c r="S429" t="s">
        <v>27</v>
      </c>
      <c r="T429" t="s">
        <v>1329</v>
      </c>
      <c r="U429" t="s">
        <v>115</v>
      </c>
      <c r="V429" t="s">
        <v>64</v>
      </c>
      <c r="W429" t="s">
        <v>3136</v>
      </c>
      <c r="X429">
        <v>20061746</v>
      </c>
      <c r="Y429" t="s">
        <v>259</v>
      </c>
      <c r="Z429" t="s">
        <v>260</v>
      </c>
      <c r="AA429" t="s">
        <v>32</v>
      </c>
      <c r="AB429" t="s">
        <v>133</v>
      </c>
      <c r="AC429" t="s">
        <v>38</v>
      </c>
      <c r="AD429" t="s">
        <v>155</v>
      </c>
      <c r="AE429">
        <v>1</v>
      </c>
      <c r="AF429" s="1">
        <v>401769</v>
      </c>
      <c r="AG429" t="s">
        <v>26</v>
      </c>
      <c r="AH429" t="s">
        <v>6663</v>
      </c>
      <c r="AI429" t="str">
        <f t="shared" si="30"/>
        <v>NO</v>
      </c>
      <c r="AJ429" t="str">
        <f t="shared" si="31"/>
        <v>FRESENIUS KABI AB</v>
      </c>
      <c r="AK429" t="str">
        <f>IF(ISNUMBER(SEARCH("FABRICANTE",AC429)),"FABRICANTE",IF(ISNUMBER(SEARCH("IMPORTADOR",AC429)),"IMPORTADOR","OTRO"))</f>
        <v>IMPORTADOR</v>
      </c>
      <c r="AL429" t="str">
        <f>IF(LEFT(Y429,1)="A","Sistema digestivo",IF(LEFT(Y429,1)="B","Sangre",IF(LEFT(Y429,1)="C","Cardiovascular",IF(LEFT(Y429,1)="D","Dermatológico",IF(LEFT(Y429,1)="G","Genitourinario",IF(LEFT(Y429,1)="H","Hormonal",IF(LEFT(Y429,1)="J","Antiinfecciosos",IF(LEFT(Y429,1)="L","Oncológicos",IF(LEFT(Y429,1)="M","Musculoesquelético",IF(LEFT(Y429,1)="N","Sistema nervioso",IF(LEFT(Y429,1)="R","Respiratorio",IF(LEFT(Y429,1)="S","Oftálmico",IF(LEFT(Y429,1)="V","Varios","OTRO")))))))))))))</f>
        <v>Sangre</v>
      </c>
      <c r="AM429" t="str">
        <f>IF(AG429="Vigente","ACTIVO",IF(ISNUMBER(SEARCH("Inactivo",J429)),"INACTIVO","REVISAR"))</f>
        <v>ACTIVO</v>
      </c>
      <c r="AN429">
        <f ca="1">IF(OR(AF429="",AF429="null"),"",ROUND((AF429-TODAY())/365.25,2))</f>
        <v>973.58</v>
      </c>
      <c r="AO429" t="str">
        <f ca="1">IF(AND(AG429="Vigente",OR(AF429="",AF429="null",AF429&gt;TODAY())),"SI",IF(AND(NOT(OR(AF429="",AF429="null")),AF429&lt;=TODAY()),"NO",IF(AG429="Vigente","SI","DESCONOCIDO")))</f>
        <v>SI</v>
      </c>
      <c r="AP429" t="str">
        <f>IF(AND(ISNUMBER(SEARCH("IMPORTAR",AA429)),ISNUMBER(SEARCH("FABRICAR",AA429))),"MIXTO",IF(ISNUMBER(SEARCH("IMPORTAR",AA429)),"IMPORTADO",IF(ISNUMBER(SEARCH("FABRICAR",AA429)),"LOCAL","OTRO")))</f>
        <v>IMPORTADO</v>
      </c>
      <c r="AQ429" t="str">
        <f>IF(AD429="Si","SI",IF(AD429="No","NO",""))</f>
        <v>SI</v>
      </c>
      <c r="AR429" t="str">
        <f>IF(ISNUMBER(SEARCH("®",N429)),"MARCA/INNOVADOR","GENERICO")</f>
        <v>MARCA/INNOVADOR</v>
      </c>
      <c r="AS429">
        <f ca="1">IF(AE429&gt;100,RANDBETWEEN(500,5000),IF(AND(AE429&gt;=10,AE429&lt;=100),RANDBETWEEN(100,1000),RANDBETWEEN(10,200)))</f>
        <v>40</v>
      </c>
      <c r="AT429">
        <f t="shared" ca="1" si="32"/>
        <v>5</v>
      </c>
      <c r="AU429">
        <f ca="1">INT(AS429*RANDBETWEEN(120,200)/100)</f>
        <v>49</v>
      </c>
      <c r="AV429" s="2">
        <f ca="1">IF(LEFT(Y429,1)="L",RANDBETWEEN(500000,5000000),IF(LEFT(Y429,1)="C",RANDBETWEEN(5000,50000),IF(LEFT(Y429,1)="N",RANDBETWEEN(10000,150000),IF(LEFT(Y429,1)="J",RANDBETWEEN(8000,200000),RANDBETWEEN(5000,100000)))))</f>
        <v>44195</v>
      </c>
      <c r="AW429" s="2">
        <f ca="1">INT(AV429*RANDBETWEEN(30,60)/100)</f>
        <v>21655</v>
      </c>
      <c r="AX429">
        <f ca="1">IF(Z429="ORAL",RANDBETWEEN(1000,10000),IF(OR(Z429="INTRAVENOSA",Z429="INTRAMUSCULAR"),RANDBETWEEN(100,2000),IF(OR(Z429="OFTÁLMICA",Z429="TOPICA (EXTERNA)"),RANDBETWEEN(200,3000),RANDBETWEEN(100,1500))))</f>
        <v>1185</v>
      </c>
      <c r="AY429" s="2">
        <f ca="1">INT(AV429*RANDBETWEEN(90,130)/100)</f>
        <v>48614</v>
      </c>
      <c r="AZ429" t="str">
        <f t="shared" ca="1" si="33"/>
        <v>4.5%</v>
      </c>
      <c r="BA429" t="str">
        <f t="shared" ca="1" si="34"/>
        <v>BAJO</v>
      </c>
    </row>
    <row r="430" spans="4:53" x14ac:dyDescent="0.35">
      <c r="D430" t="s">
        <v>3137</v>
      </c>
      <c r="E430" s="1">
        <v>38580</v>
      </c>
      <c r="F430" t="s">
        <v>936</v>
      </c>
      <c r="G430" t="s">
        <v>108</v>
      </c>
      <c r="H430" t="s">
        <v>428</v>
      </c>
      <c r="I430">
        <v>19951640</v>
      </c>
      <c r="J430" t="s">
        <v>110</v>
      </c>
      <c r="K430">
        <v>5</v>
      </c>
      <c r="L430" t="s">
        <v>27</v>
      </c>
      <c r="M430" t="s">
        <v>3138</v>
      </c>
      <c r="N430" t="s">
        <v>3139</v>
      </c>
      <c r="O430" t="s">
        <v>3140</v>
      </c>
      <c r="P430" t="s">
        <v>29</v>
      </c>
      <c r="Q430" s="1">
        <v>39352</v>
      </c>
      <c r="R430" t="s">
        <v>29</v>
      </c>
      <c r="S430" s="1">
        <v>39352</v>
      </c>
      <c r="T430" t="s">
        <v>428</v>
      </c>
      <c r="U430" t="s">
        <v>115</v>
      </c>
      <c r="V430" t="s">
        <v>936</v>
      </c>
      <c r="W430">
        <v>300</v>
      </c>
      <c r="X430">
        <v>19951640</v>
      </c>
      <c r="Y430" t="s">
        <v>940</v>
      </c>
      <c r="Z430" t="s">
        <v>119</v>
      </c>
      <c r="AA430" t="s">
        <v>24</v>
      </c>
      <c r="AB430" t="s">
        <v>120</v>
      </c>
      <c r="AC430" t="s">
        <v>25</v>
      </c>
      <c r="AD430" t="s">
        <v>121</v>
      </c>
      <c r="AE430">
        <v>16</v>
      </c>
      <c r="AF430" t="s">
        <v>27</v>
      </c>
      <c r="AG430" t="s">
        <v>26</v>
      </c>
      <c r="AH430" t="s">
        <v>936</v>
      </c>
      <c r="AI430" t="str">
        <f t="shared" si="30"/>
        <v>NO</v>
      </c>
      <c r="AJ430" t="str">
        <f t="shared" si="31"/>
        <v>LABORATORIOS SIEGFRIED</v>
      </c>
      <c r="AK430" t="str">
        <f>IF(ISNUMBER(SEARCH("FABRICANTE",AC430)),"FABRICANTE",IF(ISNUMBER(SEARCH("IMPORTADOR",AC430)),"IMPORTADOR","OTRO"))</f>
        <v>FABRICANTE</v>
      </c>
      <c r="AL430" t="str">
        <f>IF(LEFT(Y430,1)="A","Sistema digestivo",IF(LEFT(Y430,1)="B","Sangre",IF(LEFT(Y430,1)="C","Cardiovascular",IF(LEFT(Y430,1)="D","Dermatológico",IF(LEFT(Y430,1)="G","Genitourinario",IF(LEFT(Y430,1)="H","Hormonal",IF(LEFT(Y430,1)="J","Antiinfecciosos",IF(LEFT(Y430,1)="L","Oncológicos",IF(LEFT(Y430,1)="M","Musculoesquelético",IF(LEFT(Y430,1)="N","Sistema nervioso",IF(LEFT(Y430,1)="R","Respiratorio",IF(LEFT(Y430,1)="S","Oftálmico",IF(LEFT(Y430,1)="V","Varios","OTRO")))))))))))))</f>
        <v>Cardiovascular</v>
      </c>
      <c r="AM430" t="str">
        <f>IF(AG430="Vigente","ACTIVO",IF(ISNUMBER(SEARCH("Inactivo",J430)),"INACTIVO","REVISAR"))</f>
        <v>ACTIVO</v>
      </c>
      <c r="AN430" t="str">
        <f ca="1">IF(OR(AF430="",AF430="null"),"",ROUND((AF430-TODAY())/365.25,2))</f>
        <v/>
      </c>
      <c r="AO430" t="str">
        <f ca="1">IF(AND(AG430="Vigente",OR(AF430="",AF430="null",AF430&gt;TODAY())),"SI",IF(AND(NOT(OR(AF430="",AF430="null")),AF430&lt;=TODAY()),"NO",IF(AG430="Vigente","SI","DESCONOCIDO")))</f>
        <v>SI</v>
      </c>
      <c r="AP430" t="str">
        <f>IF(AND(ISNUMBER(SEARCH("IMPORTAR",AA430)),ISNUMBER(SEARCH("FABRICAR",AA430))),"MIXTO",IF(ISNUMBER(SEARCH("IMPORTAR",AA430)),"IMPORTADO",IF(ISNUMBER(SEARCH("FABRICAR",AA430)),"LOCAL","OTRO")))</f>
        <v>LOCAL</v>
      </c>
      <c r="AQ430" t="str">
        <f>IF(AD430="Si","SI",IF(AD430="No","NO",""))</f>
        <v>NO</v>
      </c>
      <c r="AR430" t="str">
        <f>IF(ISNUMBER(SEARCH("®",N430)),"MARCA/INNOVADOR","GENERICO")</f>
        <v>GENERICO</v>
      </c>
      <c r="AS430">
        <f ca="1">IF(AE430&gt;100,RANDBETWEEN(500,5000),IF(AND(AE430&gt;=10,AE430&lt;=100),RANDBETWEEN(100,1000),RANDBETWEEN(10,200)))</f>
        <v>266</v>
      </c>
      <c r="AT430">
        <f t="shared" ca="1" si="32"/>
        <v>61</v>
      </c>
      <c r="AU430">
        <f ca="1">INT(AS430*RANDBETWEEN(120,200)/100)</f>
        <v>529</v>
      </c>
      <c r="AV430" s="2">
        <f ca="1">IF(LEFT(Y430,1)="L",RANDBETWEEN(500000,5000000),IF(LEFT(Y430,1)="C",RANDBETWEEN(5000,50000),IF(LEFT(Y430,1)="N",RANDBETWEEN(10000,150000),IF(LEFT(Y430,1)="J",RANDBETWEEN(8000,200000),RANDBETWEEN(5000,100000)))))</f>
        <v>20605</v>
      </c>
      <c r="AW430" s="2">
        <f ca="1">INT(AV430*RANDBETWEEN(30,60)/100)</f>
        <v>10508</v>
      </c>
      <c r="AX430">
        <f ca="1">IF(Z430="ORAL",RANDBETWEEN(1000,10000),IF(OR(Z430="INTRAVENOSA",Z430="INTRAMUSCULAR"),RANDBETWEEN(100,2000),IF(OR(Z430="OFTÁLMICA",Z430="TOPICA (EXTERNA)"),RANDBETWEEN(200,3000),RANDBETWEEN(100,1500))))</f>
        <v>9421</v>
      </c>
      <c r="AY430" s="2">
        <f ca="1">INT(AV430*RANDBETWEEN(90,130)/100)</f>
        <v>23283</v>
      </c>
      <c r="AZ430" t="str">
        <f t="shared" ca="1" si="33"/>
        <v>24.5%</v>
      </c>
      <c r="BA430" t="str">
        <f t="shared" ca="1" si="34"/>
        <v>ALTO</v>
      </c>
    </row>
    <row r="431" spans="4:53" x14ac:dyDescent="0.35">
      <c r="D431" t="s">
        <v>3141</v>
      </c>
      <c r="E431" s="1">
        <v>44168</v>
      </c>
      <c r="F431" t="s">
        <v>3142</v>
      </c>
      <c r="G431" t="s">
        <v>108</v>
      </c>
      <c r="H431" t="s">
        <v>549</v>
      </c>
      <c r="I431">
        <v>20175482</v>
      </c>
      <c r="J431" t="s">
        <v>28</v>
      </c>
      <c r="K431">
        <v>3</v>
      </c>
      <c r="L431" t="s">
        <v>3143</v>
      </c>
      <c r="M431" t="s">
        <v>3144</v>
      </c>
      <c r="N431" t="s">
        <v>3145</v>
      </c>
      <c r="O431" t="s">
        <v>3146</v>
      </c>
      <c r="P431" t="s">
        <v>3147</v>
      </c>
      <c r="Q431" s="1">
        <v>44162</v>
      </c>
      <c r="R431" t="s">
        <v>258</v>
      </c>
      <c r="S431" t="s">
        <v>27</v>
      </c>
      <c r="T431" t="s">
        <v>549</v>
      </c>
      <c r="U431" t="s">
        <v>115</v>
      </c>
      <c r="V431" t="s">
        <v>64</v>
      </c>
      <c r="W431">
        <v>35</v>
      </c>
      <c r="X431">
        <v>20175482</v>
      </c>
      <c r="Y431" t="s">
        <v>259</v>
      </c>
      <c r="Z431" t="s">
        <v>260</v>
      </c>
      <c r="AA431" t="s">
        <v>32</v>
      </c>
      <c r="AB431" t="s">
        <v>133</v>
      </c>
      <c r="AC431" t="s">
        <v>38</v>
      </c>
      <c r="AD431" t="s">
        <v>121</v>
      </c>
      <c r="AE431">
        <v>1</v>
      </c>
      <c r="AF431" t="s">
        <v>27</v>
      </c>
      <c r="AG431" t="s">
        <v>26</v>
      </c>
      <c r="AH431" t="s">
        <v>6802</v>
      </c>
      <c r="AI431" t="str">
        <f t="shared" si="30"/>
        <v>SI</v>
      </c>
      <c r="AJ431" t="str">
        <f t="shared" si="31"/>
        <v>LABORATORIOS BAXTER</v>
      </c>
      <c r="AK431" t="str">
        <f>IF(ISNUMBER(SEARCH("FABRICANTE",AC431)),"FABRICANTE",IF(ISNUMBER(SEARCH("IMPORTADOR",AC431)),"IMPORTADOR","OTRO"))</f>
        <v>IMPORTADOR</v>
      </c>
      <c r="AL431" t="str">
        <f>IF(LEFT(Y431,1)="A","Sistema digestivo",IF(LEFT(Y431,1)="B","Sangre",IF(LEFT(Y431,1)="C","Cardiovascular",IF(LEFT(Y431,1)="D","Dermatológico",IF(LEFT(Y431,1)="G","Genitourinario",IF(LEFT(Y431,1)="H","Hormonal",IF(LEFT(Y431,1)="J","Antiinfecciosos",IF(LEFT(Y431,1)="L","Oncológicos",IF(LEFT(Y431,1)="M","Musculoesquelético",IF(LEFT(Y431,1)="N","Sistema nervioso",IF(LEFT(Y431,1)="R","Respiratorio",IF(LEFT(Y431,1)="S","Oftálmico",IF(LEFT(Y431,1)="V","Varios","OTRO")))))))))))))</f>
        <v>Sangre</v>
      </c>
      <c r="AM431" t="str">
        <f>IF(AG431="Vigente","ACTIVO",IF(ISNUMBER(SEARCH("Inactivo",J431)),"INACTIVO","REVISAR"))</f>
        <v>ACTIVO</v>
      </c>
      <c r="AN431" t="str">
        <f ca="1">IF(OR(AF431="",AF431="null"),"",ROUND((AF431-TODAY())/365.25,2))</f>
        <v/>
      </c>
      <c r="AO431" t="str">
        <f ca="1">IF(AND(AG431="Vigente",OR(AF431="",AF431="null",AF431&gt;TODAY())),"SI",IF(AND(NOT(OR(AF431="",AF431="null")),AF431&lt;=TODAY()),"NO",IF(AG431="Vigente","SI","DESCONOCIDO")))</f>
        <v>SI</v>
      </c>
      <c r="AP431" t="str">
        <f>IF(AND(ISNUMBER(SEARCH("IMPORTAR",AA431)),ISNUMBER(SEARCH("FABRICAR",AA431))),"MIXTO",IF(ISNUMBER(SEARCH("IMPORTAR",AA431)),"IMPORTADO",IF(ISNUMBER(SEARCH("FABRICAR",AA431)),"LOCAL","OTRO")))</f>
        <v>IMPORTADO</v>
      </c>
      <c r="AQ431" t="str">
        <f>IF(AD431="Si","SI",IF(AD431="No","NO",""))</f>
        <v>NO</v>
      </c>
      <c r="AR431" t="str">
        <f>IF(ISNUMBER(SEARCH("®",N431)),"MARCA/INNOVADOR","GENERICO")</f>
        <v>GENERICO</v>
      </c>
      <c r="AS431">
        <f ca="1">IF(AE431&gt;100,RANDBETWEEN(500,5000),IF(AND(AE431&gt;=10,AE431&lt;=100),RANDBETWEEN(100,1000),RANDBETWEEN(10,200)))</f>
        <v>101</v>
      </c>
      <c r="AT431">
        <f t="shared" ca="1" si="32"/>
        <v>16</v>
      </c>
      <c r="AU431">
        <f ca="1">INT(AS431*RANDBETWEEN(120,200)/100)</f>
        <v>188</v>
      </c>
      <c r="AV431" s="2">
        <f ca="1">IF(LEFT(Y431,1)="L",RANDBETWEEN(500000,5000000),IF(LEFT(Y431,1)="C",RANDBETWEEN(5000,50000),IF(LEFT(Y431,1)="N",RANDBETWEEN(10000,150000),IF(LEFT(Y431,1)="J",RANDBETWEEN(8000,200000),RANDBETWEEN(5000,100000)))))</f>
        <v>76135</v>
      </c>
      <c r="AW431" s="2">
        <f ca="1">INT(AV431*RANDBETWEEN(30,60)/100)</f>
        <v>25124</v>
      </c>
      <c r="AX431">
        <f ca="1">IF(Z431="ORAL",RANDBETWEEN(1000,10000),IF(OR(Z431="INTRAVENOSA",Z431="INTRAMUSCULAR"),RANDBETWEEN(100,2000),IF(OR(Z431="OFTÁLMICA",Z431="TOPICA (EXTERNA)"),RANDBETWEEN(200,3000),RANDBETWEEN(100,1500))))</f>
        <v>538</v>
      </c>
      <c r="AY431" s="2">
        <f ca="1">INT(AV431*RANDBETWEEN(90,130)/100)</f>
        <v>68521</v>
      </c>
      <c r="AZ431" t="str">
        <f t="shared" ca="1" si="33"/>
        <v>2.6%</v>
      </c>
      <c r="BA431" t="str">
        <f t="shared" ca="1" si="34"/>
        <v>BAJO</v>
      </c>
    </row>
    <row r="432" spans="4:53" x14ac:dyDescent="0.35">
      <c r="D432" t="s">
        <v>3148</v>
      </c>
      <c r="E432" s="1">
        <v>43173</v>
      </c>
      <c r="F432" t="s">
        <v>2324</v>
      </c>
      <c r="G432" t="s">
        <v>108</v>
      </c>
      <c r="H432" t="s">
        <v>2325</v>
      </c>
      <c r="I432">
        <v>20112120</v>
      </c>
      <c r="J432" t="s">
        <v>28</v>
      </c>
      <c r="K432">
        <v>4</v>
      </c>
      <c r="L432" t="s">
        <v>3149</v>
      </c>
      <c r="M432" t="s">
        <v>2327</v>
      </c>
      <c r="N432" t="s">
        <v>2328</v>
      </c>
      <c r="O432" t="s">
        <v>3150</v>
      </c>
      <c r="P432" t="s">
        <v>33</v>
      </c>
      <c r="Q432" s="1">
        <v>42790</v>
      </c>
      <c r="R432" t="s">
        <v>33</v>
      </c>
      <c r="S432" t="s">
        <v>27</v>
      </c>
      <c r="T432" t="s">
        <v>354</v>
      </c>
      <c r="U432" t="s">
        <v>115</v>
      </c>
      <c r="V432" t="s">
        <v>2330</v>
      </c>
      <c r="W432">
        <v>500</v>
      </c>
      <c r="X432">
        <v>20112120</v>
      </c>
      <c r="Y432" t="s">
        <v>2331</v>
      </c>
      <c r="Z432" t="s">
        <v>119</v>
      </c>
      <c r="AA432" t="s">
        <v>32</v>
      </c>
      <c r="AB432" t="s">
        <v>120</v>
      </c>
      <c r="AC432" t="s">
        <v>25</v>
      </c>
      <c r="AD432" t="s">
        <v>121</v>
      </c>
      <c r="AE432">
        <v>14</v>
      </c>
      <c r="AF432" t="s">
        <v>27</v>
      </c>
      <c r="AG432" t="s">
        <v>26</v>
      </c>
      <c r="AH432" t="s">
        <v>6774</v>
      </c>
      <c r="AI432" t="str">
        <f t="shared" si="30"/>
        <v>NO</v>
      </c>
      <c r="AJ432" t="str">
        <f t="shared" si="31"/>
        <v>PFIZER</v>
      </c>
      <c r="AK432" t="str">
        <f>IF(ISNUMBER(SEARCH("FABRICANTE",AC432)),"FABRICANTE",IF(ISNUMBER(SEARCH("IMPORTADOR",AC432)),"IMPORTADOR","OTRO"))</f>
        <v>FABRICANTE</v>
      </c>
      <c r="AL432" t="str">
        <f>IF(LEFT(Y432,1)="A","Sistema digestivo",IF(LEFT(Y432,1)="B","Sangre",IF(LEFT(Y432,1)="C","Cardiovascular",IF(LEFT(Y432,1)="D","Dermatológico",IF(LEFT(Y432,1)="G","Genitourinario",IF(LEFT(Y432,1)="H","Hormonal",IF(LEFT(Y432,1)="J","Antiinfecciosos",IF(LEFT(Y432,1)="L","Oncológicos",IF(LEFT(Y432,1)="M","Musculoesquelético",IF(LEFT(Y432,1)="N","Sistema nervioso",IF(LEFT(Y432,1)="R","Respiratorio",IF(LEFT(Y432,1)="S","Oftálmico",IF(LEFT(Y432,1)="V","Varios","OTRO")))))))))))))</f>
        <v>Oncológicos</v>
      </c>
      <c r="AM432" t="str">
        <f>IF(AG432="Vigente","ACTIVO",IF(ISNUMBER(SEARCH("Inactivo",J432)),"INACTIVO","REVISAR"))</f>
        <v>ACTIVO</v>
      </c>
      <c r="AN432" t="str">
        <f ca="1">IF(OR(AF432="",AF432="null"),"",ROUND((AF432-TODAY())/365.25,2))</f>
        <v/>
      </c>
      <c r="AO432" t="str">
        <f ca="1">IF(AND(AG432="Vigente",OR(AF432="",AF432="null",AF432&gt;TODAY())),"SI",IF(AND(NOT(OR(AF432="",AF432="null")),AF432&lt;=TODAY()),"NO",IF(AG432="Vigente","SI","DESCONOCIDO")))</f>
        <v>SI</v>
      </c>
      <c r="AP432" t="str">
        <f>IF(AND(ISNUMBER(SEARCH("IMPORTAR",AA432)),ISNUMBER(SEARCH("FABRICAR",AA432))),"MIXTO",IF(ISNUMBER(SEARCH("IMPORTAR",AA432)),"IMPORTADO",IF(ISNUMBER(SEARCH("FABRICAR",AA432)),"LOCAL","OTRO")))</f>
        <v>IMPORTADO</v>
      </c>
      <c r="AQ432" t="str">
        <f>IF(AD432="Si","SI",IF(AD432="No","NO",""))</f>
        <v>NO</v>
      </c>
      <c r="AR432" t="str">
        <f>IF(ISNUMBER(SEARCH("®",N432)),"MARCA/INNOVADOR","GENERICO")</f>
        <v>MARCA/INNOVADOR</v>
      </c>
      <c r="AS432">
        <f ca="1">IF(AE432&gt;100,RANDBETWEEN(500,5000),IF(AND(AE432&gt;=10,AE432&lt;=100),RANDBETWEEN(100,1000),RANDBETWEEN(10,200)))</f>
        <v>926</v>
      </c>
      <c r="AT432">
        <f t="shared" ca="1" si="32"/>
        <v>185</v>
      </c>
      <c r="AU432">
        <f ca="1">INT(AS432*RANDBETWEEN(120,200)/100)</f>
        <v>1824</v>
      </c>
      <c r="AV432" s="2">
        <f ca="1">IF(LEFT(Y432,1)="L",RANDBETWEEN(500000,5000000),IF(LEFT(Y432,1)="C",RANDBETWEEN(5000,50000),IF(LEFT(Y432,1)="N",RANDBETWEEN(10000,150000),IF(LEFT(Y432,1)="J",RANDBETWEEN(8000,200000),RANDBETWEEN(5000,100000)))))</f>
        <v>1200308</v>
      </c>
      <c r="AW432" s="2">
        <f ca="1">INT(AV432*RANDBETWEEN(30,60)/100)</f>
        <v>480123</v>
      </c>
      <c r="AX432">
        <f ca="1">IF(Z432="ORAL",RANDBETWEEN(1000,10000),IF(OR(Z432="INTRAVENOSA",Z432="INTRAMUSCULAR"),RANDBETWEEN(100,2000),IF(OR(Z432="OFTÁLMICA",Z432="TOPICA (EXTERNA)"),RANDBETWEEN(200,3000),RANDBETWEEN(100,1500))))</f>
        <v>1886</v>
      </c>
      <c r="AY432" s="2">
        <f ca="1">INT(AV432*RANDBETWEEN(90,130)/100)</f>
        <v>1164298</v>
      </c>
      <c r="AZ432" t="str">
        <f t="shared" ca="1" si="33"/>
        <v>8.6%</v>
      </c>
      <c r="BA432" t="str">
        <f t="shared" ca="1" si="34"/>
        <v>BAJO</v>
      </c>
    </row>
    <row r="433" spans="4:53" x14ac:dyDescent="0.35">
      <c r="D433" t="s">
        <v>3151</v>
      </c>
      <c r="E433" s="1">
        <v>39513</v>
      </c>
      <c r="F433" t="s">
        <v>22</v>
      </c>
      <c r="G433" t="s">
        <v>108</v>
      </c>
      <c r="H433" t="s">
        <v>854</v>
      </c>
      <c r="I433">
        <v>19987943</v>
      </c>
      <c r="J433" t="s">
        <v>28</v>
      </c>
      <c r="K433">
        <v>4</v>
      </c>
      <c r="L433" t="s">
        <v>27</v>
      </c>
      <c r="M433" t="s">
        <v>3152</v>
      </c>
      <c r="N433" t="s">
        <v>3153</v>
      </c>
      <c r="O433" t="s">
        <v>3154</v>
      </c>
      <c r="P433" t="s">
        <v>29</v>
      </c>
      <c r="Q433" s="1">
        <v>39511</v>
      </c>
      <c r="R433" t="s">
        <v>29</v>
      </c>
      <c r="S433" s="1">
        <v>45370</v>
      </c>
      <c r="T433" t="s">
        <v>854</v>
      </c>
      <c r="U433" t="s">
        <v>807</v>
      </c>
      <c r="V433" t="s">
        <v>30</v>
      </c>
      <c r="W433">
        <v>137</v>
      </c>
      <c r="X433">
        <v>19987943</v>
      </c>
      <c r="Y433" t="s">
        <v>23</v>
      </c>
      <c r="Z433" t="s">
        <v>119</v>
      </c>
      <c r="AA433" t="s">
        <v>32</v>
      </c>
      <c r="AB433" t="s">
        <v>120</v>
      </c>
      <c r="AC433" t="s">
        <v>38</v>
      </c>
      <c r="AD433" t="s">
        <v>121</v>
      </c>
      <c r="AE433">
        <v>5</v>
      </c>
      <c r="AF433" s="1">
        <v>401769</v>
      </c>
      <c r="AG433" t="s">
        <v>26</v>
      </c>
      <c r="AH433" t="s">
        <v>22</v>
      </c>
      <c r="AI433" t="str">
        <f t="shared" si="30"/>
        <v>NO</v>
      </c>
      <c r="AJ433" t="str">
        <f t="shared" si="31"/>
        <v>MERCK</v>
      </c>
      <c r="AK433" t="str">
        <f>IF(ISNUMBER(SEARCH("FABRICANTE",AC433)),"FABRICANTE",IF(ISNUMBER(SEARCH("IMPORTADOR",AC433)),"IMPORTADOR","OTRO"))</f>
        <v>IMPORTADOR</v>
      </c>
      <c r="AL433" t="str">
        <f>IF(LEFT(Y433,1)="A","Sistema digestivo",IF(LEFT(Y433,1)="B","Sangre",IF(LEFT(Y433,1)="C","Cardiovascular",IF(LEFT(Y433,1)="D","Dermatológico",IF(LEFT(Y433,1)="G","Genitourinario",IF(LEFT(Y433,1)="H","Hormonal",IF(LEFT(Y433,1)="J","Antiinfecciosos",IF(LEFT(Y433,1)="L","Oncológicos",IF(LEFT(Y433,1)="M","Musculoesquelético",IF(LEFT(Y433,1)="N","Sistema nervioso",IF(LEFT(Y433,1)="R","Respiratorio",IF(LEFT(Y433,1)="S","Oftálmico",IF(LEFT(Y433,1)="V","Varios","OTRO")))))))))))))</f>
        <v>Hormonal</v>
      </c>
      <c r="AM433" t="str">
        <f>IF(AG433="Vigente","ACTIVO",IF(ISNUMBER(SEARCH("Inactivo",J433)),"INACTIVO","REVISAR"))</f>
        <v>ACTIVO</v>
      </c>
      <c r="AN433">
        <f ca="1">IF(OR(AF433="",AF433="null"),"",ROUND((AF433-TODAY())/365.25,2))</f>
        <v>973.58</v>
      </c>
      <c r="AO433" t="str">
        <f ca="1">IF(AND(AG433="Vigente",OR(AF433="",AF433="null",AF433&gt;TODAY())),"SI",IF(AND(NOT(OR(AF433="",AF433="null")),AF433&lt;=TODAY()),"NO",IF(AG433="Vigente","SI","DESCONOCIDO")))</f>
        <v>SI</v>
      </c>
      <c r="AP433" t="str">
        <f>IF(AND(ISNUMBER(SEARCH("IMPORTAR",AA433)),ISNUMBER(SEARCH("FABRICAR",AA433))),"MIXTO",IF(ISNUMBER(SEARCH("IMPORTAR",AA433)),"IMPORTADO",IF(ISNUMBER(SEARCH("FABRICAR",AA433)),"LOCAL","OTRO")))</f>
        <v>IMPORTADO</v>
      </c>
      <c r="AQ433" t="str">
        <f>IF(AD433="Si","SI",IF(AD433="No","NO",""))</f>
        <v>NO</v>
      </c>
      <c r="AR433" t="str">
        <f>IF(ISNUMBER(SEARCH("®",N433)),"MARCA/INNOVADOR","GENERICO")</f>
        <v>MARCA/INNOVADOR</v>
      </c>
      <c r="AS433">
        <f ca="1">IF(AE433&gt;100,RANDBETWEEN(500,5000),IF(AND(AE433&gt;=10,AE433&lt;=100),RANDBETWEEN(100,1000),RANDBETWEEN(10,200)))</f>
        <v>158</v>
      </c>
      <c r="AT433">
        <f t="shared" ca="1" si="32"/>
        <v>33</v>
      </c>
      <c r="AU433">
        <f ca="1">INT(AS433*RANDBETWEEN(120,200)/100)</f>
        <v>293</v>
      </c>
      <c r="AV433" s="2">
        <f ca="1">IF(LEFT(Y433,1)="L",RANDBETWEEN(500000,5000000),IF(LEFT(Y433,1)="C",RANDBETWEEN(5000,50000),IF(LEFT(Y433,1)="N",RANDBETWEEN(10000,150000),IF(LEFT(Y433,1)="J",RANDBETWEEN(8000,200000),RANDBETWEEN(5000,100000)))))</f>
        <v>87283</v>
      </c>
      <c r="AW433" s="2">
        <f ca="1">INT(AV433*RANDBETWEEN(30,60)/100)</f>
        <v>34040</v>
      </c>
      <c r="AX433">
        <f ca="1">IF(Z433="ORAL",RANDBETWEEN(1000,10000),IF(OR(Z433="INTRAVENOSA",Z433="INTRAMUSCULAR"),RANDBETWEEN(100,2000),IF(OR(Z433="OFTÁLMICA",Z433="TOPICA (EXTERNA)"),RANDBETWEEN(200,3000),RANDBETWEEN(100,1500))))</f>
        <v>8137</v>
      </c>
      <c r="AY433" s="2">
        <f ca="1">INT(AV433*RANDBETWEEN(90,130)/100)</f>
        <v>110849</v>
      </c>
      <c r="AZ433" t="str">
        <f t="shared" ca="1" si="33"/>
        <v>21.8%</v>
      </c>
      <c r="BA433" t="str">
        <f t="shared" ca="1" si="34"/>
        <v>BAJO</v>
      </c>
    </row>
    <row r="434" spans="4:53" x14ac:dyDescent="0.35">
      <c r="D434" t="s">
        <v>3155</v>
      </c>
      <c r="E434" s="1">
        <v>39840</v>
      </c>
      <c r="F434" t="s">
        <v>70</v>
      </c>
      <c r="G434" t="s">
        <v>108</v>
      </c>
      <c r="H434" t="s">
        <v>362</v>
      </c>
      <c r="I434">
        <v>19993863</v>
      </c>
      <c r="J434" t="s">
        <v>28</v>
      </c>
      <c r="K434">
        <v>23</v>
      </c>
      <c r="L434" t="s">
        <v>2115</v>
      </c>
      <c r="M434" t="s">
        <v>363</v>
      </c>
      <c r="N434" t="s">
        <v>364</v>
      </c>
      <c r="O434" t="s">
        <v>3156</v>
      </c>
      <c r="P434" t="s">
        <v>366</v>
      </c>
      <c r="Q434" s="1">
        <v>42200</v>
      </c>
      <c r="R434" t="s">
        <v>67</v>
      </c>
      <c r="S434" t="s">
        <v>27</v>
      </c>
      <c r="T434" t="s">
        <v>367</v>
      </c>
      <c r="U434" t="s">
        <v>247</v>
      </c>
      <c r="V434" t="s">
        <v>248</v>
      </c>
      <c r="W434" t="s">
        <v>733</v>
      </c>
      <c r="X434">
        <v>19993863</v>
      </c>
      <c r="Y434" t="s">
        <v>249</v>
      </c>
      <c r="Z434" t="s">
        <v>119</v>
      </c>
      <c r="AA434" t="s">
        <v>32</v>
      </c>
      <c r="AB434" t="s">
        <v>250</v>
      </c>
      <c r="AC434" t="s">
        <v>38</v>
      </c>
      <c r="AD434" t="s">
        <v>121</v>
      </c>
      <c r="AE434">
        <v>1</v>
      </c>
      <c r="AF434" s="1">
        <v>401769</v>
      </c>
      <c r="AG434" t="s">
        <v>26</v>
      </c>
      <c r="AH434" t="s">
        <v>6735</v>
      </c>
      <c r="AI434" t="str">
        <f t="shared" si="30"/>
        <v>NO</v>
      </c>
      <c r="AJ434" t="str">
        <f t="shared" si="31"/>
        <v>LABORATORIOS PISA</v>
      </c>
      <c r="AK434" t="str">
        <f>IF(ISNUMBER(SEARCH("FABRICANTE",AC434)),"FABRICANTE",IF(ISNUMBER(SEARCH("IMPORTADOR",AC434)),"IMPORTADOR","OTRO"))</f>
        <v>IMPORTADOR</v>
      </c>
      <c r="AL434" t="str">
        <f>IF(LEFT(Y434,1)="A","Sistema digestivo",IF(LEFT(Y434,1)="B","Sangre",IF(LEFT(Y434,1)="C","Cardiovascular",IF(LEFT(Y434,1)="D","Dermatológico",IF(LEFT(Y434,1)="G","Genitourinario",IF(LEFT(Y434,1)="H","Hormonal",IF(LEFT(Y434,1)="J","Antiinfecciosos",IF(LEFT(Y434,1)="L","Oncológicos",IF(LEFT(Y434,1)="M","Musculoesquelético",IF(LEFT(Y434,1)="N","Sistema nervioso",IF(LEFT(Y434,1)="R","Respiratorio",IF(LEFT(Y434,1)="S","Oftálmico",IF(LEFT(Y434,1)="V","Varios","OTRO")))))))))))))</f>
        <v>Sistema digestivo</v>
      </c>
      <c r="AM434" t="str">
        <f>IF(AG434="Vigente","ACTIVO",IF(ISNUMBER(SEARCH("Inactivo",J434)),"INACTIVO","REVISAR"))</f>
        <v>ACTIVO</v>
      </c>
      <c r="AN434">
        <f ca="1">IF(OR(AF434="",AF434="null"),"",ROUND((AF434-TODAY())/365.25,2))</f>
        <v>973.58</v>
      </c>
      <c r="AO434" t="str">
        <f ca="1">IF(AND(AG434="Vigente",OR(AF434="",AF434="null",AF434&gt;TODAY())),"SI",IF(AND(NOT(OR(AF434="",AF434="null")),AF434&lt;=TODAY()),"NO",IF(AG434="Vigente","SI","DESCONOCIDO")))</f>
        <v>SI</v>
      </c>
      <c r="AP434" t="str">
        <f>IF(AND(ISNUMBER(SEARCH("IMPORTAR",AA434)),ISNUMBER(SEARCH("FABRICAR",AA434))),"MIXTO",IF(ISNUMBER(SEARCH("IMPORTAR",AA434)),"IMPORTADO",IF(ISNUMBER(SEARCH("FABRICAR",AA434)),"LOCAL","OTRO")))</f>
        <v>IMPORTADO</v>
      </c>
      <c r="AQ434" t="str">
        <f>IF(AD434="Si","SI",IF(AD434="No","NO",""))</f>
        <v>NO</v>
      </c>
      <c r="AR434" t="str">
        <f>IF(ISNUMBER(SEARCH("®",N434)),"MARCA/INNOVADOR","GENERICO")</f>
        <v>MARCA/INNOVADOR</v>
      </c>
      <c r="AS434">
        <f ca="1">IF(AE434&gt;100,RANDBETWEEN(500,5000),IF(AND(AE434&gt;=10,AE434&lt;=100),RANDBETWEEN(100,1000),RANDBETWEEN(10,200)))</f>
        <v>194</v>
      </c>
      <c r="AT434">
        <f t="shared" ca="1" si="32"/>
        <v>58</v>
      </c>
      <c r="AU434">
        <f ca="1">INT(AS434*RANDBETWEEN(120,200)/100)</f>
        <v>294</v>
      </c>
      <c r="AV434" s="2">
        <f ca="1">IF(LEFT(Y434,1)="L",RANDBETWEEN(500000,5000000),IF(LEFT(Y434,1)="C",RANDBETWEEN(5000,50000),IF(LEFT(Y434,1)="N",RANDBETWEEN(10000,150000),IF(LEFT(Y434,1)="J",RANDBETWEEN(8000,200000),RANDBETWEEN(5000,100000)))))</f>
        <v>79882</v>
      </c>
      <c r="AW434" s="2">
        <f ca="1">INT(AV434*RANDBETWEEN(30,60)/100)</f>
        <v>38343</v>
      </c>
      <c r="AX434">
        <f ca="1">IF(Z434="ORAL",RANDBETWEEN(1000,10000),IF(OR(Z434="INTRAVENOSA",Z434="INTRAMUSCULAR"),RANDBETWEEN(100,2000),IF(OR(Z434="OFTÁLMICA",Z434="TOPICA (EXTERNA)"),RANDBETWEEN(200,3000),RANDBETWEEN(100,1500))))</f>
        <v>4833</v>
      </c>
      <c r="AY434" s="2">
        <f ca="1">INT(AV434*RANDBETWEEN(90,130)/100)</f>
        <v>75089</v>
      </c>
      <c r="AZ434" t="str">
        <f t="shared" ca="1" si="33"/>
        <v>20.4%</v>
      </c>
      <c r="BA434" t="str">
        <f t="shared" ca="1" si="34"/>
        <v>BAJO</v>
      </c>
    </row>
    <row r="435" spans="4:53" x14ac:dyDescent="0.35">
      <c r="D435" t="s">
        <v>3157</v>
      </c>
      <c r="E435" s="1">
        <v>38533</v>
      </c>
      <c r="F435" t="s">
        <v>3158</v>
      </c>
      <c r="G435" t="s">
        <v>108</v>
      </c>
      <c r="H435" t="s">
        <v>928</v>
      </c>
      <c r="I435">
        <v>19950727</v>
      </c>
      <c r="J435" t="s">
        <v>28</v>
      </c>
      <c r="K435">
        <v>269</v>
      </c>
      <c r="L435" t="s">
        <v>27</v>
      </c>
      <c r="M435" t="s">
        <v>929</v>
      </c>
      <c r="N435" t="s">
        <v>930</v>
      </c>
      <c r="O435" t="s">
        <v>3159</v>
      </c>
      <c r="P435" t="s">
        <v>932</v>
      </c>
      <c r="Q435" s="1">
        <v>42440</v>
      </c>
      <c r="R435" t="s">
        <v>932</v>
      </c>
      <c r="S435" t="s">
        <v>27</v>
      </c>
      <c r="T435" t="s">
        <v>928</v>
      </c>
      <c r="U435" t="s">
        <v>115</v>
      </c>
      <c r="V435" t="s">
        <v>933</v>
      </c>
      <c r="W435">
        <v>230</v>
      </c>
      <c r="X435">
        <v>19950727</v>
      </c>
      <c r="Y435" t="s">
        <v>934</v>
      </c>
      <c r="Z435" t="s">
        <v>499</v>
      </c>
      <c r="AA435" t="s">
        <v>24</v>
      </c>
      <c r="AB435" t="s">
        <v>120</v>
      </c>
      <c r="AC435" t="s">
        <v>25</v>
      </c>
      <c r="AD435" t="s">
        <v>121</v>
      </c>
      <c r="AE435">
        <v>1020</v>
      </c>
      <c r="AF435" t="s">
        <v>27</v>
      </c>
      <c r="AG435" t="s">
        <v>26</v>
      </c>
      <c r="AH435" t="s">
        <v>3158</v>
      </c>
      <c r="AI435" t="str">
        <f t="shared" si="30"/>
        <v>NO</v>
      </c>
      <c r="AJ435" t="str">
        <f t="shared" si="31"/>
        <v>LABORATORIOS ECAR</v>
      </c>
      <c r="AK435" t="str">
        <f>IF(ISNUMBER(SEARCH("FABRICANTE",AC435)),"FABRICANTE",IF(ISNUMBER(SEARCH("IMPORTADOR",AC435)),"IMPORTADOR","OTRO"))</f>
        <v>FABRICANTE</v>
      </c>
      <c r="AL435" t="str">
        <f>IF(LEFT(Y435,1)="A","Sistema digestivo",IF(LEFT(Y435,1)="B","Sangre",IF(LEFT(Y435,1)="C","Cardiovascular",IF(LEFT(Y435,1)="D","Dermatológico",IF(LEFT(Y435,1)="G","Genitourinario",IF(LEFT(Y435,1)="H","Hormonal",IF(LEFT(Y435,1)="J","Antiinfecciosos",IF(LEFT(Y435,1)="L","Oncológicos",IF(LEFT(Y435,1)="M","Musculoesquelético",IF(LEFT(Y435,1)="N","Sistema nervioso",IF(LEFT(Y435,1)="R","Respiratorio",IF(LEFT(Y435,1)="S","Oftálmico",IF(LEFT(Y435,1)="V","Varios","OTRO")))))))))))))</f>
        <v>Sistema digestivo</v>
      </c>
      <c r="AM435" t="str">
        <f>IF(AG435="Vigente","ACTIVO",IF(ISNUMBER(SEARCH("Inactivo",J435)),"INACTIVO","REVISAR"))</f>
        <v>ACTIVO</v>
      </c>
      <c r="AN435" t="str">
        <f ca="1">IF(OR(AF435="",AF435="null"),"",ROUND((AF435-TODAY())/365.25,2))</f>
        <v/>
      </c>
      <c r="AO435" t="str">
        <f ca="1">IF(AND(AG435="Vigente",OR(AF435="",AF435="null",AF435&gt;TODAY())),"SI",IF(AND(NOT(OR(AF435="",AF435="null")),AF435&lt;=TODAY()),"NO",IF(AG435="Vigente","SI","DESCONOCIDO")))</f>
        <v>SI</v>
      </c>
      <c r="AP435" t="str">
        <f>IF(AND(ISNUMBER(SEARCH("IMPORTAR",AA435)),ISNUMBER(SEARCH("FABRICAR",AA435))),"MIXTO",IF(ISNUMBER(SEARCH("IMPORTAR",AA435)),"IMPORTADO",IF(ISNUMBER(SEARCH("FABRICAR",AA435)),"LOCAL","OTRO")))</f>
        <v>LOCAL</v>
      </c>
      <c r="AQ435" t="str">
        <f>IF(AD435="Si","SI",IF(AD435="No","NO",""))</f>
        <v>NO</v>
      </c>
      <c r="AR435" t="str">
        <f>IF(ISNUMBER(SEARCH("®",N435)),"MARCA/INNOVADOR","GENERICO")</f>
        <v>MARCA/INNOVADOR</v>
      </c>
      <c r="AS435">
        <f ca="1">IF(AE435&gt;100,RANDBETWEEN(500,5000),IF(AND(AE435&gt;=10,AE435&lt;=100),RANDBETWEEN(100,1000),RANDBETWEEN(10,200)))</f>
        <v>1081</v>
      </c>
      <c r="AT435">
        <f t="shared" ca="1" si="32"/>
        <v>205</v>
      </c>
      <c r="AU435">
        <f ca="1">INT(AS435*RANDBETWEEN(120,200)/100)</f>
        <v>1383</v>
      </c>
      <c r="AV435" s="2">
        <f ca="1">IF(LEFT(Y435,1)="L",RANDBETWEEN(500000,5000000),IF(LEFT(Y435,1)="C",RANDBETWEEN(5000,50000),IF(LEFT(Y435,1)="N",RANDBETWEEN(10000,150000),IF(LEFT(Y435,1)="J",RANDBETWEEN(8000,200000),RANDBETWEEN(5000,100000)))))</f>
        <v>42410</v>
      </c>
      <c r="AW435" s="2">
        <f ca="1">INT(AV435*RANDBETWEEN(30,60)/100)</f>
        <v>17812</v>
      </c>
      <c r="AX435">
        <f ca="1">IF(Z435="ORAL",RANDBETWEEN(1000,10000),IF(OR(Z435="INTRAVENOSA",Z435="INTRAMUSCULAR"),RANDBETWEEN(100,2000),IF(OR(Z435="OFTÁLMICA",Z435="TOPICA (EXTERNA)"),RANDBETWEEN(200,3000),RANDBETWEEN(100,1500))))</f>
        <v>800</v>
      </c>
      <c r="AY435" s="2">
        <f ca="1">INT(AV435*RANDBETWEEN(90,130)/100)</f>
        <v>43682</v>
      </c>
      <c r="AZ435" t="str">
        <f t="shared" ca="1" si="33"/>
        <v>5.9%</v>
      </c>
      <c r="BA435" t="str">
        <f t="shared" ca="1" si="34"/>
        <v>BAJO</v>
      </c>
    </row>
    <row r="436" spans="4:53" x14ac:dyDescent="0.35">
      <c r="D436" t="s">
        <v>3160</v>
      </c>
      <c r="E436" s="1">
        <v>36294</v>
      </c>
      <c r="F436" t="s">
        <v>22</v>
      </c>
      <c r="G436" t="s">
        <v>108</v>
      </c>
      <c r="H436" t="s">
        <v>854</v>
      </c>
      <c r="I436">
        <v>32602</v>
      </c>
      <c r="J436" t="s">
        <v>28</v>
      </c>
      <c r="K436">
        <v>1</v>
      </c>
      <c r="L436" t="s">
        <v>27</v>
      </c>
      <c r="M436" t="s">
        <v>3161</v>
      </c>
      <c r="N436" t="s">
        <v>3162</v>
      </c>
      <c r="O436" t="s">
        <v>3163</v>
      </c>
      <c r="P436" t="s">
        <v>29</v>
      </c>
      <c r="Q436" s="1">
        <v>39031</v>
      </c>
      <c r="R436" t="s">
        <v>29</v>
      </c>
      <c r="S436" t="s">
        <v>27</v>
      </c>
      <c r="T436" t="s">
        <v>854</v>
      </c>
      <c r="U436" t="s">
        <v>115</v>
      </c>
      <c r="V436" t="s">
        <v>30</v>
      </c>
      <c r="W436" t="s">
        <v>3164</v>
      </c>
      <c r="X436">
        <v>32602</v>
      </c>
      <c r="Y436" t="s">
        <v>23</v>
      </c>
      <c r="Z436" t="s">
        <v>119</v>
      </c>
      <c r="AA436" t="s">
        <v>32</v>
      </c>
      <c r="AB436" t="s">
        <v>120</v>
      </c>
      <c r="AC436" t="s">
        <v>38</v>
      </c>
      <c r="AD436" t="s">
        <v>121</v>
      </c>
      <c r="AE436">
        <v>30</v>
      </c>
      <c r="AF436" t="s">
        <v>27</v>
      </c>
      <c r="AG436" t="s">
        <v>26</v>
      </c>
      <c r="AH436" t="s">
        <v>22</v>
      </c>
      <c r="AI436" t="str">
        <f t="shared" si="30"/>
        <v>NO</v>
      </c>
      <c r="AJ436" t="str">
        <f t="shared" si="31"/>
        <v>MERCK</v>
      </c>
      <c r="AK436" t="str">
        <f>IF(ISNUMBER(SEARCH("FABRICANTE",AC436)),"FABRICANTE",IF(ISNUMBER(SEARCH("IMPORTADOR",AC436)),"IMPORTADOR","OTRO"))</f>
        <v>IMPORTADOR</v>
      </c>
      <c r="AL436" t="str">
        <f>IF(LEFT(Y436,1)="A","Sistema digestivo",IF(LEFT(Y436,1)="B","Sangre",IF(LEFT(Y436,1)="C","Cardiovascular",IF(LEFT(Y436,1)="D","Dermatológico",IF(LEFT(Y436,1)="G","Genitourinario",IF(LEFT(Y436,1)="H","Hormonal",IF(LEFT(Y436,1)="J","Antiinfecciosos",IF(LEFT(Y436,1)="L","Oncológicos",IF(LEFT(Y436,1)="M","Musculoesquelético",IF(LEFT(Y436,1)="N","Sistema nervioso",IF(LEFT(Y436,1)="R","Respiratorio",IF(LEFT(Y436,1)="S","Oftálmico",IF(LEFT(Y436,1)="V","Varios","OTRO")))))))))))))</f>
        <v>Hormonal</v>
      </c>
      <c r="AM436" t="str">
        <f>IF(AG436="Vigente","ACTIVO",IF(ISNUMBER(SEARCH("Inactivo",J436)),"INACTIVO","REVISAR"))</f>
        <v>ACTIVO</v>
      </c>
      <c r="AN436" t="str">
        <f ca="1">IF(OR(AF436="",AF436="null"),"",ROUND((AF436-TODAY())/365.25,2))</f>
        <v/>
      </c>
      <c r="AO436" t="str">
        <f ca="1">IF(AND(AG436="Vigente",OR(AF436="",AF436="null",AF436&gt;TODAY())),"SI",IF(AND(NOT(OR(AF436="",AF436="null")),AF436&lt;=TODAY()),"NO",IF(AG436="Vigente","SI","DESCONOCIDO")))</f>
        <v>SI</v>
      </c>
      <c r="AP436" t="str">
        <f>IF(AND(ISNUMBER(SEARCH("IMPORTAR",AA436)),ISNUMBER(SEARCH("FABRICAR",AA436))),"MIXTO",IF(ISNUMBER(SEARCH("IMPORTAR",AA436)),"IMPORTADO",IF(ISNUMBER(SEARCH("FABRICAR",AA436)),"LOCAL","OTRO")))</f>
        <v>IMPORTADO</v>
      </c>
      <c r="AQ436" t="str">
        <f>IF(AD436="Si","SI",IF(AD436="No","NO",""))</f>
        <v>NO</v>
      </c>
      <c r="AR436" t="str">
        <f>IF(ISNUMBER(SEARCH("®",N436)),"MARCA/INNOVADOR","GENERICO")</f>
        <v>MARCA/INNOVADOR</v>
      </c>
      <c r="AS436">
        <f ca="1">IF(AE436&gt;100,RANDBETWEEN(500,5000),IF(AND(AE436&gt;=10,AE436&lt;=100),RANDBETWEEN(100,1000),RANDBETWEEN(10,200)))</f>
        <v>909</v>
      </c>
      <c r="AT436">
        <f t="shared" ca="1" si="32"/>
        <v>236</v>
      </c>
      <c r="AU436">
        <f ca="1">INT(AS436*RANDBETWEEN(120,200)/100)</f>
        <v>1645</v>
      </c>
      <c r="AV436" s="2">
        <f ca="1">IF(LEFT(Y436,1)="L",RANDBETWEEN(500000,5000000),IF(LEFT(Y436,1)="C",RANDBETWEEN(5000,50000),IF(LEFT(Y436,1)="N",RANDBETWEEN(10000,150000),IF(LEFT(Y436,1)="J",RANDBETWEEN(8000,200000),RANDBETWEEN(5000,100000)))))</f>
        <v>10981</v>
      </c>
      <c r="AW436" s="2">
        <f ca="1">INT(AV436*RANDBETWEEN(30,60)/100)</f>
        <v>4062</v>
      </c>
      <c r="AX436">
        <f ca="1">IF(Z436="ORAL",RANDBETWEEN(1000,10000),IF(OR(Z436="INTRAVENOSA",Z436="INTRAMUSCULAR"),RANDBETWEEN(100,2000),IF(OR(Z436="OFTÁLMICA",Z436="TOPICA (EXTERNA)"),RANDBETWEEN(200,3000),RANDBETWEEN(100,1500))))</f>
        <v>2932</v>
      </c>
      <c r="AY436" s="2">
        <f ca="1">INT(AV436*RANDBETWEEN(90,130)/100)</f>
        <v>11969</v>
      </c>
      <c r="AZ436" t="str">
        <f t="shared" ca="1" si="33"/>
        <v>15.4%</v>
      </c>
      <c r="BA436" t="str">
        <f t="shared" ca="1" si="34"/>
        <v>BAJO</v>
      </c>
    </row>
    <row r="437" spans="4:53" x14ac:dyDescent="0.35">
      <c r="D437" t="s">
        <v>3165</v>
      </c>
      <c r="E437" s="1">
        <v>41477</v>
      </c>
      <c r="F437" t="s">
        <v>1959</v>
      </c>
      <c r="G437" t="s">
        <v>108</v>
      </c>
      <c r="H437" t="s">
        <v>3166</v>
      </c>
      <c r="I437">
        <v>20042629</v>
      </c>
      <c r="J437" t="s">
        <v>28</v>
      </c>
      <c r="K437">
        <v>2</v>
      </c>
      <c r="L437" t="s">
        <v>27</v>
      </c>
      <c r="M437" t="s">
        <v>3167</v>
      </c>
      <c r="N437" t="s">
        <v>3168</v>
      </c>
      <c r="O437" t="s">
        <v>3169</v>
      </c>
      <c r="P437" t="s">
        <v>3170</v>
      </c>
      <c r="Q437" s="1">
        <v>41022</v>
      </c>
      <c r="R437" t="s">
        <v>67</v>
      </c>
      <c r="S437" t="s">
        <v>27</v>
      </c>
      <c r="T437" t="s">
        <v>2408</v>
      </c>
      <c r="U437" t="s">
        <v>115</v>
      </c>
      <c r="V437" t="s">
        <v>69</v>
      </c>
      <c r="W437">
        <v>314</v>
      </c>
      <c r="X437">
        <v>20042629</v>
      </c>
      <c r="Y437" t="s">
        <v>66</v>
      </c>
      <c r="Z437" t="s">
        <v>119</v>
      </c>
      <c r="AA437" t="s">
        <v>24</v>
      </c>
      <c r="AB437" t="s">
        <v>250</v>
      </c>
      <c r="AC437" t="s">
        <v>25</v>
      </c>
      <c r="AD437" t="s">
        <v>121</v>
      </c>
      <c r="AE437">
        <v>1</v>
      </c>
      <c r="AF437" t="s">
        <v>27</v>
      </c>
      <c r="AG437" t="s">
        <v>26</v>
      </c>
      <c r="AH437" t="s">
        <v>6726</v>
      </c>
      <c r="AI437" t="str">
        <f t="shared" si="30"/>
        <v>NO</v>
      </c>
      <c r="AJ437" t="str">
        <f t="shared" si="31"/>
        <v>BIOFLUIDOS &amp; FARMA</v>
      </c>
      <c r="AK437" t="str">
        <f>IF(ISNUMBER(SEARCH("FABRICANTE",AC437)),"FABRICANTE",IF(ISNUMBER(SEARCH("IMPORTADOR",AC437)),"IMPORTADOR","OTRO"))</f>
        <v>FABRICANTE</v>
      </c>
      <c r="AL437" t="str">
        <f>IF(LEFT(Y437,1)="A","Sistema digestivo",IF(LEFT(Y437,1)="B","Sangre",IF(LEFT(Y437,1)="C","Cardiovascular",IF(LEFT(Y437,1)="D","Dermatológico",IF(LEFT(Y437,1)="G","Genitourinario",IF(LEFT(Y437,1)="H","Hormonal",IF(LEFT(Y437,1)="J","Antiinfecciosos",IF(LEFT(Y437,1)="L","Oncológicos",IF(LEFT(Y437,1)="M","Musculoesquelético",IF(LEFT(Y437,1)="N","Sistema nervioso",IF(LEFT(Y437,1)="R","Respiratorio",IF(LEFT(Y437,1)="S","Oftálmico",IF(LEFT(Y437,1)="V","Varios","OTRO")))))))))))))</f>
        <v>Sangre</v>
      </c>
      <c r="AM437" t="str">
        <f>IF(AG437="Vigente","ACTIVO",IF(ISNUMBER(SEARCH("Inactivo",J437)),"INACTIVO","REVISAR"))</f>
        <v>ACTIVO</v>
      </c>
      <c r="AN437" t="str">
        <f ca="1">IF(OR(AF437="",AF437="null"),"",ROUND((AF437-TODAY())/365.25,2))</f>
        <v/>
      </c>
      <c r="AO437" t="str">
        <f ca="1">IF(AND(AG437="Vigente",OR(AF437="",AF437="null",AF437&gt;TODAY())),"SI",IF(AND(NOT(OR(AF437="",AF437="null")),AF437&lt;=TODAY()),"NO",IF(AG437="Vigente","SI","DESCONOCIDO")))</f>
        <v>SI</v>
      </c>
      <c r="AP437" t="str">
        <f>IF(AND(ISNUMBER(SEARCH("IMPORTAR",AA437)),ISNUMBER(SEARCH("FABRICAR",AA437))),"MIXTO",IF(ISNUMBER(SEARCH("IMPORTAR",AA437)),"IMPORTADO",IF(ISNUMBER(SEARCH("FABRICAR",AA437)),"LOCAL","OTRO")))</f>
        <v>LOCAL</v>
      </c>
      <c r="AQ437" t="str">
        <f>IF(AD437="Si","SI",IF(AD437="No","NO",""))</f>
        <v>NO</v>
      </c>
      <c r="AR437" t="str">
        <f>IF(ISNUMBER(SEARCH("®",N437)),"MARCA/INNOVADOR","GENERICO")</f>
        <v>MARCA/INNOVADOR</v>
      </c>
      <c r="AS437">
        <f ca="1">IF(AE437&gt;100,RANDBETWEEN(500,5000),IF(AND(AE437&gt;=10,AE437&lt;=100),RANDBETWEEN(100,1000),RANDBETWEEN(10,200)))</f>
        <v>74</v>
      </c>
      <c r="AT437">
        <f t="shared" ca="1" si="32"/>
        <v>8</v>
      </c>
      <c r="AU437">
        <f ca="1">INT(AS437*RANDBETWEEN(120,200)/100)</f>
        <v>91</v>
      </c>
      <c r="AV437" s="2">
        <f ca="1">IF(LEFT(Y437,1)="L",RANDBETWEEN(500000,5000000),IF(LEFT(Y437,1)="C",RANDBETWEEN(5000,50000),IF(LEFT(Y437,1)="N",RANDBETWEEN(10000,150000),IF(LEFT(Y437,1)="J",RANDBETWEEN(8000,200000),RANDBETWEEN(5000,100000)))))</f>
        <v>22115</v>
      </c>
      <c r="AW437" s="2">
        <f ca="1">INT(AV437*RANDBETWEEN(30,60)/100)</f>
        <v>11499</v>
      </c>
      <c r="AX437">
        <f ca="1">IF(Z437="ORAL",RANDBETWEEN(1000,10000),IF(OR(Z437="INTRAVENOSA",Z437="INTRAMUSCULAR"),RANDBETWEEN(100,2000),IF(OR(Z437="OFTÁLMICA",Z437="TOPICA (EXTERNA)"),RANDBETWEEN(200,3000),RANDBETWEEN(100,1500))))</f>
        <v>9143</v>
      </c>
      <c r="AY437" s="2">
        <f ca="1">INT(AV437*RANDBETWEEN(90,130)/100)</f>
        <v>26538</v>
      </c>
      <c r="AZ437" t="str">
        <f t="shared" ca="1" si="33"/>
        <v>19.7%</v>
      </c>
      <c r="BA437" t="str">
        <f t="shared" ca="1" si="34"/>
        <v>BAJO</v>
      </c>
    </row>
    <row r="438" spans="4:53" x14ac:dyDescent="0.35">
      <c r="D438" t="s">
        <v>3171</v>
      </c>
      <c r="E438" s="1">
        <v>35174</v>
      </c>
      <c r="F438" t="s">
        <v>3172</v>
      </c>
      <c r="G438" t="s">
        <v>502</v>
      </c>
      <c r="H438" t="s">
        <v>3173</v>
      </c>
      <c r="I438">
        <v>53393</v>
      </c>
      <c r="J438" t="s">
        <v>28</v>
      </c>
      <c r="K438">
        <v>1</v>
      </c>
      <c r="L438" t="s">
        <v>27</v>
      </c>
      <c r="M438" t="s">
        <v>3174</v>
      </c>
      <c r="N438" t="s">
        <v>3175</v>
      </c>
      <c r="O438" t="s">
        <v>3176</v>
      </c>
      <c r="P438" t="s">
        <v>2029</v>
      </c>
      <c r="Q438" s="1">
        <v>39031</v>
      </c>
      <c r="R438" t="s">
        <v>375</v>
      </c>
      <c r="S438" t="s">
        <v>27</v>
      </c>
      <c r="T438" t="s">
        <v>1242</v>
      </c>
      <c r="U438" t="s">
        <v>115</v>
      </c>
      <c r="V438" t="s">
        <v>1248</v>
      </c>
      <c r="W438">
        <v>5</v>
      </c>
      <c r="X438">
        <v>53393</v>
      </c>
      <c r="Y438" t="s">
        <v>2761</v>
      </c>
      <c r="Z438" t="s">
        <v>341</v>
      </c>
      <c r="AA438" t="s">
        <v>32</v>
      </c>
      <c r="AB438" t="s">
        <v>120</v>
      </c>
      <c r="AC438" t="s">
        <v>25</v>
      </c>
      <c r="AD438" t="s">
        <v>121</v>
      </c>
      <c r="AE438">
        <v>1</v>
      </c>
      <c r="AF438" t="s">
        <v>27</v>
      </c>
      <c r="AG438" t="s">
        <v>26</v>
      </c>
      <c r="AH438" t="s">
        <v>1248</v>
      </c>
      <c r="AI438" t="str">
        <f t="shared" si="30"/>
        <v>SI</v>
      </c>
      <c r="AJ438" t="str">
        <f t="shared" si="31"/>
        <v>ORGANON COLOMBIA</v>
      </c>
      <c r="AK438" t="str">
        <f>IF(ISNUMBER(SEARCH("FABRICANTE",AC438)),"FABRICANTE",IF(ISNUMBER(SEARCH("IMPORTADOR",AC438)),"IMPORTADOR","OTRO"))</f>
        <v>FABRICANTE</v>
      </c>
      <c r="AL438" t="str">
        <f>IF(LEFT(Y438,1)="A","Sistema digestivo",IF(LEFT(Y438,1)="B","Sangre",IF(LEFT(Y438,1)="C","Cardiovascular",IF(LEFT(Y438,1)="D","Dermatológico",IF(LEFT(Y438,1)="G","Genitourinario",IF(LEFT(Y438,1)="H","Hormonal",IF(LEFT(Y438,1)="J","Antiinfecciosos",IF(LEFT(Y438,1)="L","Oncológicos",IF(LEFT(Y438,1)="M","Musculoesquelético",IF(LEFT(Y438,1)="N","Sistema nervioso",IF(LEFT(Y438,1)="R","Respiratorio",IF(LEFT(Y438,1)="S","Oftálmico",IF(LEFT(Y438,1)="V","Varios","OTRO")))))))))))))</f>
        <v>Hormonal</v>
      </c>
      <c r="AM438" t="str">
        <f>IF(AG438="Vigente","ACTIVO",IF(ISNUMBER(SEARCH("Inactivo",J438)),"INACTIVO","REVISAR"))</f>
        <v>ACTIVO</v>
      </c>
      <c r="AN438" t="str">
        <f ca="1">IF(OR(AF438="",AF438="null"),"",ROUND((AF438-TODAY())/365.25,2))</f>
        <v/>
      </c>
      <c r="AO438" t="str">
        <f ca="1">IF(AND(AG438="Vigente",OR(AF438="",AF438="null",AF438&gt;TODAY())),"SI",IF(AND(NOT(OR(AF438="",AF438="null")),AF438&lt;=TODAY()),"NO",IF(AG438="Vigente","SI","DESCONOCIDO")))</f>
        <v>SI</v>
      </c>
      <c r="AP438" t="str">
        <f>IF(AND(ISNUMBER(SEARCH("IMPORTAR",AA438)),ISNUMBER(SEARCH("FABRICAR",AA438))),"MIXTO",IF(ISNUMBER(SEARCH("IMPORTAR",AA438)),"IMPORTADO",IF(ISNUMBER(SEARCH("FABRICAR",AA438)),"LOCAL","OTRO")))</f>
        <v>IMPORTADO</v>
      </c>
      <c r="AQ438" t="str">
        <f>IF(AD438="Si","SI",IF(AD438="No","NO",""))</f>
        <v>NO</v>
      </c>
      <c r="AR438" t="str">
        <f>IF(ISNUMBER(SEARCH("®",N438)),"MARCA/INNOVADOR","GENERICO")</f>
        <v>MARCA/INNOVADOR</v>
      </c>
      <c r="AS438">
        <f ca="1">IF(AE438&gt;100,RANDBETWEEN(500,5000),IF(AND(AE438&gt;=10,AE438&lt;=100),RANDBETWEEN(100,1000),RANDBETWEEN(10,200)))</f>
        <v>114</v>
      </c>
      <c r="AT438">
        <f t="shared" ca="1" si="32"/>
        <v>13</v>
      </c>
      <c r="AU438">
        <f ca="1">INT(AS438*RANDBETWEEN(120,200)/100)</f>
        <v>204</v>
      </c>
      <c r="AV438" s="2">
        <f ca="1">IF(LEFT(Y438,1)="L",RANDBETWEEN(500000,5000000),IF(LEFT(Y438,1)="C",RANDBETWEEN(5000,50000),IF(LEFT(Y438,1)="N",RANDBETWEEN(10000,150000),IF(LEFT(Y438,1)="J",RANDBETWEEN(8000,200000),RANDBETWEEN(5000,100000)))))</f>
        <v>62249</v>
      </c>
      <c r="AW438" s="2">
        <f ca="1">INT(AV438*RANDBETWEEN(30,60)/100)</f>
        <v>37349</v>
      </c>
      <c r="AX438">
        <f ca="1">IF(Z438="ORAL",RANDBETWEEN(1000,10000),IF(OR(Z438="INTRAVENOSA",Z438="INTRAMUSCULAR"),RANDBETWEEN(100,2000),IF(OR(Z438="OFTÁLMICA",Z438="TOPICA (EXTERNA)"),RANDBETWEEN(200,3000),RANDBETWEEN(100,1500))))</f>
        <v>1078</v>
      </c>
      <c r="AY438" s="2">
        <f ca="1">INT(AV438*RANDBETWEEN(90,130)/100)</f>
        <v>74698</v>
      </c>
      <c r="AZ438" t="str">
        <f t="shared" ca="1" si="33"/>
        <v>2.7%</v>
      </c>
      <c r="BA438" t="str">
        <f t="shared" ca="1" si="34"/>
        <v>BAJO</v>
      </c>
    </row>
    <row r="439" spans="4:53" x14ac:dyDescent="0.35">
      <c r="D439" t="s">
        <v>3177</v>
      </c>
      <c r="E439" s="1">
        <v>41557</v>
      </c>
      <c r="F439" t="s">
        <v>107</v>
      </c>
      <c r="G439" t="s">
        <v>108</v>
      </c>
      <c r="H439" t="s">
        <v>1104</v>
      </c>
      <c r="I439">
        <v>20055512</v>
      </c>
      <c r="J439" t="s">
        <v>28</v>
      </c>
      <c r="K439">
        <v>2</v>
      </c>
      <c r="L439" t="s">
        <v>27</v>
      </c>
      <c r="M439" t="s">
        <v>3178</v>
      </c>
      <c r="N439" t="s">
        <v>3179</v>
      </c>
      <c r="O439" t="s">
        <v>3180</v>
      </c>
      <c r="P439" t="s">
        <v>29</v>
      </c>
      <c r="Q439" s="1">
        <v>41375</v>
      </c>
      <c r="R439" t="s">
        <v>29</v>
      </c>
      <c r="S439" t="s">
        <v>27</v>
      </c>
      <c r="T439" t="s">
        <v>958</v>
      </c>
      <c r="U439" t="s">
        <v>115</v>
      </c>
      <c r="V439" t="s">
        <v>3181</v>
      </c>
      <c r="W439" t="s">
        <v>117</v>
      </c>
      <c r="X439">
        <v>20055512</v>
      </c>
      <c r="Y439" t="s">
        <v>3182</v>
      </c>
      <c r="Z439" t="s">
        <v>119</v>
      </c>
      <c r="AA439" t="s">
        <v>32</v>
      </c>
      <c r="AB439" t="s">
        <v>120</v>
      </c>
      <c r="AC439" t="s">
        <v>25</v>
      </c>
      <c r="AD439" t="s">
        <v>121</v>
      </c>
      <c r="AE439">
        <v>14</v>
      </c>
      <c r="AF439" t="s">
        <v>27</v>
      </c>
      <c r="AG439" t="s">
        <v>26</v>
      </c>
      <c r="AH439" t="s">
        <v>107</v>
      </c>
      <c r="AI439" t="str">
        <f t="shared" si="30"/>
        <v>NO</v>
      </c>
      <c r="AJ439" t="str">
        <f t="shared" si="31"/>
        <v>EUROFARMA COLOMBIA</v>
      </c>
      <c r="AK439" t="str">
        <f>IF(ISNUMBER(SEARCH("FABRICANTE",AC439)),"FABRICANTE",IF(ISNUMBER(SEARCH("IMPORTADOR",AC439)),"IMPORTADOR","OTRO"))</f>
        <v>FABRICANTE</v>
      </c>
      <c r="AL439" t="str">
        <f>IF(LEFT(Y439,1)="A","Sistema digestivo",IF(LEFT(Y439,1)="B","Sangre",IF(LEFT(Y439,1)="C","Cardiovascular",IF(LEFT(Y439,1)="D","Dermatológico",IF(LEFT(Y439,1)="G","Genitourinario",IF(LEFT(Y439,1)="H","Hormonal",IF(LEFT(Y439,1)="J","Antiinfecciosos",IF(LEFT(Y439,1)="L","Oncológicos",IF(LEFT(Y439,1)="M","Musculoesquelético",IF(LEFT(Y439,1)="N","Sistema nervioso",IF(LEFT(Y439,1)="R","Respiratorio",IF(LEFT(Y439,1)="S","Oftálmico",IF(LEFT(Y439,1)="V","Varios","OTRO")))))))))))))</f>
        <v>Cardiovascular</v>
      </c>
      <c r="AM439" t="str">
        <f>IF(AG439="Vigente","ACTIVO",IF(ISNUMBER(SEARCH("Inactivo",J439)),"INACTIVO","REVISAR"))</f>
        <v>ACTIVO</v>
      </c>
      <c r="AN439" t="str">
        <f ca="1">IF(OR(AF439="",AF439="null"),"",ROUND((AF439-TODAY())/365.25,2))</f>
        <v/>
      </c>
      <c r="AO439" t="str">
        <f ca="1">IF(AND(AG439="Vigente",OR(AF439="",AF439="null",AF439&gt;TODAY())),"SI",IF(AND(NOT(OR(AF439="",AF439="null")),AF439&lt;=TODAY()),"NO",IF(AG439="Vigente","SI","DESCONOCIDO")))</f>
        <v>SI</v>
      </c>
      <c r="AP439" t="str">
        <f>IF(AND(ISNUMBER(SEARCH("IMPORTAR",AA439)),ISNUMBER(SEARCH("FABRICAR",AA439))),"MIXTO",IF(ISNUMBER(SEARCH("IMPORTAR",AA439)),"IMPORTADO",IF(ISNUMBER(SEARCH("FABRICAR",AA439)),"LOCAL","OTRO")))</f>
        <v>IMPORTADO</v>
      </c>
      <c r="AQ439" t="str">
        <f>IF(AD439="Si","SI",IF(AD439="No","NO",""))</f>
        <v>NO</v>
      </c>
      <c r="AR439" t="str">
        <f>IF(ISNUMBER(SEARCH("®",N439)),"MARCA/INNOVADOR","GENERICO")</f>
        <v>MARCA/INNOVADOR</v>
      </c>
      <c r="AS439">
        <f ca="1">IF(AE439&gt;100,RANDBETWEEN(500,5000),IF(AND(AE439&gt;=10,AE439&lt;=100),RANDBETWEEN(100,1000),RANDBETWEEN(10,200)))</f>
        <v>762</v>
      </c>
      <c r="AT439">
        <f t="shared" ca="1" si="32"/>
        <v>213</v>
      </c>
      <c r="AU439">
        <f ca="1">INT(AS439*RANDBETWEEN(120,200)/100)</f>
        <v>1485</v>
      </c>
      <c r="AV439" s="2">
        <f ca="1">IF(LEFT(Y439,1)="L",RANDBETWEEN(500000,5000000),IF(LEFT(Y439,1)="C",RANDBETWEEN(5000,50000),IF(LEFT(Y439,1)="N",RANDBETWEEN(10000,150000),IF(LEFT(Y439,1)="J",RANDBETWEEN(8000,200000),RANDBETWEEN(5000,100000)))))</f>
        <v>35374</v>
      </c>
      <c r="AW439" s="2">
        <f ca="1">INT(AV439*RANDBETWEEN(30,60)/100)</f>
        <v>16979</v>
      </c>
      <c r="AX439">
        <f ca="1">IF(Z439="ORAL",RANDBETWEEN(1000,10000),IF(OR(Z439="INTRAVENOSA",Z439="INTRAMUSCULAR"),RANDBETWEEN(100,2000),IF(OR(Z439="OFTÁLMICA",Z439="TOPICA (EXTERNA)"),RANDBETWEEN(200,3000),RANDBETWEEN(100,1500))))</f>
        <v>7627</v>
      </c>
      <c r="AY439" s="2">
        <f ca="1">INT(AV439*RANDBETWEEN(90,130)/100)</f>
        <v>43863</v>
      </c>
      <c r="AZ439" t="str">
        <f t="shared" ca="1" si="33"/>
        <v>20.4%</v>
      </c>
      <c r="BA439" t="str">
        <f t="shared" ca="1" si="34"/>
        <v>BAJO</v>
      </c>
    </row>
    <row r="440" spans="4:53" x14ac:dyDescent="0.35">
      <c r="D440" t="s">
        <v>3183</v>
      </c>
      <c r="E440" s="1">
        <v>45813</v>
      </c>
      <c r="F440" t="s">
        <v>3184</v>
      </c>
      <c r="G440" t="s">
        <v>108</v>
      </c>
      <c r="H440" t="s">
        <v>3185</v>
      </c>
      <c r="I440">
        <v>20305885</v>
      </c>
      <c r="J440" t="s">
        <v>28</v>
      </c>
      <c r="K440">
        <v>3</v>
      </c>
      <c r="L440" t="s">
        <v>27</v>
      </c>
      <c r="M440" t="s">
        <v>3186</v>
      </c>
      <c r="N440" t="s">
        <v>3187</v>
      </c>
      <c r="O440" t="s">
        <v>3188</v>
      </c>
      <c r="P440" t="s">
        <v>3189</v>
      </c>
      <c r="Q440" s="1">
        <v>45800</v>
      </c>
      <c r="R440" t="s">
        <v>29</v>
      </c>
      <c r="S440" t="s">
        <v>27</v>
      </c>
      <c r="T440" t="s">
        <v>3185</v>
      </c>
      <c r="U440" t="s">
        <v>115</v>
      </c>
      <c r="V440" t="s">
        <v>3190</v>
      </c>
      <c r="W440">
        <v>150</v>
      </c>
      <c r="X440">
        <v>20305885</v>
      </c>
      <c r="Y440" t="s">
        <v>3191</v>
      </c>
      <c r="Z440" t="s">
        <v>119</v>
      </c>
      <c r="AA440" t="s">
        <v>24</v>
      </c>
      <c r="AB440" t="s">
        <v>120</v>
      </c>
      <c r="AC440" t="s">
        <v>25</v>
      </c>
      <c r="AD440" t="s">
        <v>121</v>
      </c>
      <c r="AE440">
        <v>100</v>
      </c>
      <c r="AF440" s="1">
        <v>47653</v>
      </c>
      <c r="AG440" t="s">
        <v>26</v>
      </c>
      <c r="AH440" t="s">
        <v>3190</v>
      </c>
      <c r="AI440" t="str">
        <f t="shared" si="30"/>
        <v>SI</v>
      </c>
      <c r="AJ440" t="str">
        <f t="shared" si="31"/>
        <v>PLANTA DE PRODUCCIÓN DE MEDICAMENTOS ESENCIALES Y AFINES - FACULTAD DE CIENCIAS FARMACÉUTICAS Y ALIMENTARIAS - UNIVERSIDAD DE ANTIOQUIA</v>
      </c>
      <c r="AK440" t="str">
        <f>IF(ISNUMBER(SEARCH("FABRICANTE",AC440)),"FABRICANTE",IF(ISNUMBER(SEARCH("IMPORTADOR",AC440)),"IMPORTADOR","OTRO"))</f>
        <v>FABRICANTE</v>
      </c>
      <c r="AL440" t="str">
        <f>IF(LEFT(Y440,1)="A","Sistema digestivo",IF(LEFT(Y440,1)="B","Sangre",IF(LEFT(Y440,1)="C","Cardiovascular",IF(LEFT(Y440,1)="D","Dermatológico",IF(LEFT(Y440,1)="G","Genitourinario",IF(LEFT(Y440,1)="H","Hormonal",IF(LEFT(Y440,1)="J","Antiinfecciosos",IF(LEFT(Y440,1)="L","Oncológicos",IF(LEFT(Y440,1)="M","Musculoesquelético",IF(LEFT(Y440,1)="N","Sistema nervioso",IF(LEFT(Y440,1)="R","Respiratorio",IF(LEFT(Y440,1)="S","Oftálmico",IF(LEFT(Y440,1)="V","Varios","OTRO")))))))))))))</f>
        <v>OTRO</v>
      </c>
      <c r="AM440" t="str">
        <f>IF(AG440="Vigente","ACTIVO",IF(ISNUMBER(SEARCH("Inactivo",J440)),"INACTIVO","REVISAR"))</f>
        <v>ACTIVO</v>
      </c>
      <c r="AN440">
        <f ca="1">IF(OR(AF440="",AF440="null"),"",ROUND((AF440-TODAY())/365.25,2))</f>
        <v>4.07</v>
      </c>
      <c r="AO440" t="str">
        <f ca="1">IF(AND(AG440="Vigente",OR(AF440="",AF440="null",AF440&gt;TODAY())),"SI",IF(AND(NOT(OR(AF440="",AF440="null")),AF440&lt;=TODAY()),"NO",IF(AG440="Vigente","SI","DESCONOCIDO")))</f>
        <v>SI</v>
      </c>
      <c r="AP440" t="str">
        <f>IF(AND(ISNUMBER(SEARCH("IMPORTAR",AA440)),ISNUMBER(SEARCH("FABRICAR",AA440))),"MIXTO",IF(ISNUMBER(SEARCH("IMPORTAR",AA440)),"IMPORTADO",IF(ISNUMBER(SEARCH("FABRICAR",AA440)),"LOCAL","OTRO")))</f>
        <v>LOCAL</v>
      </c>
      <c r="AQ440" t="str">
        <f>IF(AD440="Si","SI",IF(AD440="No","NO",""))</f>
        <v>NO</v>
      </c>
      <c r="AR440" t="str">
        <f>IF(ISNUMBER(SEARCH("®",N440)),"MARCA/INNOVADOR","GENERICO")</f>
        <v>GENERICO</v>
      </c>
      <c r="AS440">
        <f ca="1">IF(AE440&gt;100,RANDBETWEEN(500,5000),IF(AND(AE440&gt;=10,AE440&lt;=100),RANDBETWEEN(100,1000),RANDBETWEEN(10,200)))</f>
        <v>620</v>
      </c>
      <c r="AT440">
        <f t="shared" ca="1" si="32"/>
        <v>130</v>
      </c>
      <c r="AU440">
        <f ca="1">INT(AS440*RANDBETWEEN(120,200)/100)</f>
        <v>1134</v>
      </c>
      <c r="AV440" s="2">
        <f ca="1">IF(LEFT(Y440,1)="L",RANDBETWEEN(500000,5000000),IF(LEFT(Y440,1)="C",RANDBETWEEN(5000,50000),IF(LEFT(Y440,1)="N",RANDBETWEEN(10000,150000),IF(LEFT(Y440,1)="J",RANDBETWEEN(8000,200000),RANDBETWEEN(5000,100000)))))</f>
        <v>77743</v>
      </c>
      <c r="AW440" s="2">
        <f ca="1">INT(AV440*RANDBETWEEN(30,60)/100)</f>
        <v>23322</v>
      </c>
      <c r="AX440">
        <f ca="1">IF(Z440="ORAL",RANDBETWEEN(1000,10000),IF(OR(Z440="INTRAVENOSA",Z440="INTRAMUSCULAR"),RANDBETWEEN(100,2000),IF(OR(Z440="OFTÁLMICA",Z440="TOPICA (EXTERNA)"),RANDBETWEEN(200,3000),RANDBETWEEN(100,1500))))</f>
        <v>1795</v>
      </c>
      <c r="AY440" s="2">
        <f ca="1">INT(AV440*RANDBETWEEN(90,130)/100)</f>
        <v>88627</v>
      </c>
      <c r="AZ440" t="str">
        <f t="shared" ca="1" si="33"/>
        <v>15.6%</v>
      </c>
      <c r="BA440" t="str">
        <f t="shared" ca="1" si="34"/>
        <v>MEDIO</v>
      </c>
    </row>
    <row r="441" spans="4:53" x14ac:dyDescent="0.35">
      <c r="D441" t="s">
        <v>3192</v>
      </c>
      <c r="E441" s="1">
        <v>41473</v>
      </c>
      <c r="F441" t="s">
        <v>743</v>
      </c>
      <c r="G441" t="s">
        <v>108</v>
      </c>
      <c r="H441" t="s">
        <v>354</v>
      </c>
      <c r="I441">
        <v>20050749</v>
      </c>
      <c r="J441" t="s">
        <v>28</v>
      </c>
      <c r="K441">
        <v>9</v>
      </c>
      <c r="L441" t="s">
        <v>27</v>
      </c>
      <c r="M441" t="s">
        <v>744</v>
      </c>
      <c r="N441" t="s">
        <v>745</v>
      </c>
      <c r="O441" t="s">
        <v>3193</v>
      </c>
      <c r="P441" t="s">
        <v>33</v>
      </c>
      <c r="Q441" s="1">
        <v>41348</v>
      </c>
      <c r="R441" t="s">
        <v>200</v>
      </c>
      <c r="S441" t="s">
        <v>27</v>
      </c>
      <c r="T441" t="s">
        <v>354</v>
      </c>
      <c r="U441" t="s">
        <v>115</v>
      </c>
      <c r="V441" t="s">
        <v>743</v>
      </c>
      <c r="W441">
        <v>5</v>
      </c>
      <c r="X441">
        <v>20050749</v>
      </c>
      <c r="Y441" t="s">
        <v>747</v>
      </c>
      <c r="Z441" t="s">
        <v>119</v>
      </c>
      <c r="AA441" t="s">
        <v>32</v>
      </c>
      <c r="AB441" t="s">
        <v>120</v>
      </c>
      <c r="AC441" t="s">
        <v>38</v>
      </c>
      <c r="AD441" t="s">
        <v>121</v>
      </c>
      <c r="AE441">
        <v>50</v>
      </c>
      <c r="AF441" t="s">
        <v>27</v>
      </c>
      <c r="AG441" t="s">
        <v>26</v>
      </c>
      <c r="AH441" t="s">
        <v>743</v>
      </c>
      <c r="AI441" t="str">
        <f t="shared" si="30"/>
        <v>NO</v>
      </c>
      <c r="AJ441" t="str">
        <f t="shared" si="31"/>
        <v>PFIZER</v>
      </c>
      <c r="AK441" t="str">
        <f>IF(ISNUMBER(SEARCH("FABRICANTE",AC441)),"FABRICANTE",IF(ISNUMBER(SEARCH("IMPORTADOR",AC441)),"IMPORTADOR","OTRO"))</f>
        <v>IMPORTADOR</v>
      </c>
      <c r="AL441" t="str">
        <f>IF(LEFT(Y441,1)="A","Sistema digestivo",IF(LEFT(Y441,1)="B","Sangre",IF(LEFT(Y441,1)="C","Cardiovascular",IF(LEFT(Y441,1)="D","Dermatológico",IF(LEFT(Y441,1)="G","Genitourinario",IF(LEFT(Y441,1)="H","Hormonal",IF(LEFT(Y441,1)="J","Antiinfecciosos",IF(LEFT(Y441,1)="L","Oncológicos",IF(LEFT(Y441,1)="M","Musculoesquelético",IF(LEFT(Y441,1)="N","Sistema nervioso",IF(LEFT(Y441,1)="R","Respiratorio",IF(LEFT(Y441,1)="S","Oftálmico",IF(LEFT(Y441,1)="V","Varios","OTRO")))))))))))))</f>
        <v>Oncológicos</v>
      </c>
      <c r="AM441" t="str">
        <f>IF(AG441="Vigente","ACTIVO",IF(ISNUMBER(SEARCH("Inactivo",J441)),"INACTIVO","REVISAR"))</f>
        <v>ACTIVO</v>
      </c>
      <c r="AN441" t="str">
        <f ca="1">IF(OR(AF441="",AF441="null"),"",ROUND((AF441-TODAY())/365.25,2))</f>
        <v/>
      </c>
      <c r="AO441" t="str">
        <f ca="1">IF(AND(AG441="Vigente",OR(AF441="",AF441="null",AF441&gt;TODAY())),"SI",IF(AND(NOT(OR(AF441="",AF441="null")),AF441&lt;=TODAY()),"NO",IF(AG441="Vigente","SI","DESCONOCIDO")))</f>
        <v>SI</v>
      </c>
      <c r="AP441" t="str">
        <f>IF(AND(ISNUMBER(SEARCH("IMPORTAR",AA441)),ISNUMBER(SEARCH("FABRICAR",AA441))),"MIXTO",IF(ISNUMBER(SEARCH("IMPORTAR",AA441)),"IMPORTADO",IF(ISNUMBER(SEARCH("FABRICAR",AA441)),"LOCAL","OTRO")))</f>
        <v>IMPORTADO</v>
      </c>
      <c r="AQ441" t="str">
        <f>IF(AD441="Si","SI",IF(AD441="No","NO",""))</f>
        <v>NO</v>
      </c>
      <c r="AR441" t="str">
        <f>IF(ISNUMBER(SEARCH("®",N441)),"MARCA/INNOVADOR","GENERICO")</f>
        <v>MARCA/INNOVADOR</v>
      </c>
      <c r="AS441">
        <f ca="1">IF(AE441&gt;100,RANDBETWEEN(500,5000),IF(AND(AE441&gt;=10,AE441&lt;=100),RANDBETWEEN(100,1000),RANDBETWEEN(10,200)))</f>
        <v>868</v>
      </c>
      <c r="AT441">
        <f t="shared" ca="1" si="32"/>
        <v>243</v>
      </c>
      <c r="AU441">
        <f ca="1">INT(AS441*RANDBETWEEN(120,200)/100)</f>
        <v>1302</v>
      </c>
      <c r="AV441" s="2">
        <f ca="1">IF(LEFT(Y441,1)="L",RANDBETWEEN(500000,5000000),IF(LEFT(Y441,1)="C",RANDBETWEEN(5000,50000),IF(LEFT(Y441,1)="N",RANDBETWEEN(10000,150000),IF(LEFT(Y441,1)="J",RANDBETWEEN(8000,200000),RANDBETWEEN(5000,100000)))))</f>
        <v>1095279</v>
      </c>
      <c r="AW441" s="2">
        <f ca="1">INT(AV441*RANDBETWEEN(30,60)/100)</f>
        <v>657167</v>
      </c>
      <c r="AX441">
        <f ca="1">IF(Z441="ORAL",RANDBETWEEN(1000,10000),IF(OR(Z441="INTRAVENOSA",Z441="INTRAMUSCULAR"),RANDBETWEEN(100,2000),IF(OR(Z441="OFTÁLMICA",Z441="TOPICA (EXTERNA)"),RANDBETWEEN(200,3000),RANDBETWEEN(100,1500))))</f>
        <v>9242</v>
      </c>
      <c r="AY441" s="2">
        <f ca="1">INT(AV441*RANDBETWEEN(90,130)/100)</f>
        <v>1248618</v>
      </c>
      <c r="AZ441" t="str">
        <f t="shared" ca="1" si="33"/>
        <v>22.8%</v>
      </c>
      <c r="BA441" t="str">
        <f t="shared" ca="1" si="34"/>
        <v>BAJO</v>
      </c>
    </row>
    <row r="442" spans="4:53" x14ac:dyDescent="0.35">
      <c r="D442" t="s">
        <v>3194</v>
      </c>
      <c r="E442" s="1">
        <v>45800</v>
      </c>
      <c r="F442" t="s">
        <v>3195</v>
      </c>
      <c r="G442" t="s">
        <v>108</v>
      </c>
      <c r="H442" t="s">
        <v>3196</v>
      </c>
      <c r="I442">
        <v>20239856</v>
      </c>
      <c r="J442" t="s">
        <v>28</v>
      </c>
      <c r="K442">
        <v>14</v>
      </c>
      <c r="L442" t="s">
        <v>3197</v>
      </c>
      <c r="M442" t="s">
        <v>3198</v>
      </c>
      <c r="N442" t="s">
        <v>3199</v>
      </c>
      <c r="O442" t="s">
        <v>3200</v>
      </c>
      <c r="P442" t="s">
        <v>3201</v>
      </c>
      <c r="Q442" s="1">
        <v>45289</v>
      </c>
      <c r="R442" t="s">
        <v>2895</v>
      </c>
      <c r="S442" t="s">
        <v>27</v>
      </c>
      <c r="T442" t="s">
        <v>308</v>
      </c>
      <c r="U442" t="s">
        <v>115</v>
      </c>
      <c r="V442" t="s">
        <v>2896</v>
      </c>
      <c r="W442" t="s">
        <v>3202</v>
      </c>
      <c r="X442">
        <v>20239856</v>
      </c>
      <c r="Y442" t="s">
        <v>2898</v>
      </c>
      <c r="Z442" t="s">
        <v>2899</v>
      </c>
      <c r="AA442" t="s">
        <v>32</v>
      </c>
      <c r="AB442" t="s">
        <v>120</v>
      </c>
      <c r="AC442" t="s">
        <v>25</v>
      </c>
      <c r="AD442" t="s">
        <v>155</v>
      </c>
      <c r="AE442">
        <v>60</v>
      </c>
      <c r="AF442" s="1">
        <v>47644</v>
      </c>
      <c r="AG442" t="s">
        <v>26</v>
      </c>
      <c r="AH442" t="s">
        <v>6793</v>
      </c>
      <c r="AI442" t="str">
        <f t="shared" si="30"/>
        <v>SI</v>
      </c>
      <c r="AJ442" t="str">
        <f t="shared" si="31"/>
        <v>HUMAX PHARMACEUTICAL</v>
      </c>
      <c r="AK442" t="str">
        <f>IF(ISNUMBER(SEARCH("FABRICANTE",AC442)),"FABRICANTE",IF(ISNUMBER(SEARCH("IMPORTADOR",AC442)),"IMPORTADOR","OTRO"))</f>
        <v>FABRICANTE</v>
      </c>
      <c r="AL442" t="str">
        <f>IF(LEFT(Y442,1)="A","Sistema digestivo",IF(LEFT(Y442,1)="B","Sangre",IF(LEFT(Y442,1)="C","Cardiovascular",IF(LEFT(Y442,1)="D","Dermatológico",IF(LEFT(Y442,1)="G","Genitourinario",IF(LEFT(Y442,1)="H","Hormonal",IF(LEFT(Y442,1)="J","Antiinfecciosos",IF(LEFT(Y442,1)="L","Oncológicos",IF(LEFT(Y442,1)="M","Musculoesquelético",IF(LEFT(Y442,1)="N","Sistema nervioso",IF(LEFT(Y442,1)="R","Respiratorio",IF(LEFT(Y442,1)="S","Oftálmico",IF(LEFT(Y442,1)="V","Varios","OTRO")))))))))))))</f>
        <v>Sistema nervioso</v>
      </c>
      <c r="AM442" t="str">
        <f>IF(AG442="Vigente","ACTIVO",IF(ISNUMBER(SEARCH("Inactivo",J442)),"INACTIVO","REVISAR"))</f>
        <v>ACTIVO</v>
      </c>
      <c r="AN442">
        <f ca="1">IF(OR(AF442="",AF442="null"),"",ROUND((AF442-TODAY())/365.25,2))</f>
        <v>4.04</v>
      </c>
      <c r="AO442" t="str">
        <f ca="1">IF(AND(AG442="Vigente",OR(AF442="",AF442="null",AF442&gt;TODAY())),"SI",IF(AND(NOT(OR(AF442="",AF442="null")),AF442&lt;=TODAY()),"NO",IF(AG442="Vigente","SI","DESCONOCIDO")))</f>
        <v>SI</v>
      </c>
      <c r="AP442" t="str">
        <f>IF(AND(ISNUMBER(SEARCH("IMPORTAR",AA442)),ISNUMBER(SEARCH("FABRICAR",AA442))),"MIXTO",IF(ISNUMBER(SEARCH("IMPORTAR",AA442)),"IMPORTADO",IF(ISNUMBER(SEARCH("FABRICAR",AA442)),"LOCAL","OTRO")))</f>
        <v>IMPORTADO</v>
      </c>
      <c r="AQ442" t="str">
        <f>IF(AD442="Si","SI",IF(AD442="No","NO",""))</f>
        <v>SI</v>
      </c>
      <c r="AR442" t="str">
        <f>IF(ISNUMBER(SEARCH("®",N442)),"MARCA/INNOVADOR","GENERICO")</f>
        <v>MARCA/INNOVADOR</v>
      </c>
      <c r="AS442">
        <f ca="1">IF(AE442&gt;100,RANDBETWEEN(500,5000),IF(AND(AE442&gt;=10,AE442&lt;=100),RANDBETWEEN(100,1000),RANDBETWEEN(10,200)))</f>
        <v>829</v>
      </c>
      <c r="AT442">
        <f t="shared" ca="1" si="32"/>
        <v>240</v>
      </c>
      <c r="AU442">
        <f ca="1">INT(AS442*RANDBETWEEN(120,200)/100)</f>
        <v>1409</v>
      </c>
      <c r="AV442" s="2">
        <f ca="1">IF(LEFT(Y442,1)="L",RANDBETWEEN(500000,5000000),IF(LEFT(Y442,1)="C",RANDBETWEEN(5000,50000),IF(LEFT(Y442,1)="N",RANDBETWEEN(10000,150000),IF(LEFT(Y442,1)="J",RANDBETWEEN(8000,200000),RANDBETWEEN(5000,100000)))))</f>
        <v>25364</v>
      </c>
      <c r="AW442" s="2">
        <f ca="1">INT(AV442*RANDBETWEEN(30,60)/100)</f>
        <v>11160</v>
      </c>
      <c r="AX442">
        <f ca="1">IF(Z442="ORAL",RANDBETWEEN(1000,10000),IF(OR(Z442="INTRAVENOSA",Z442="INTRAMUSCULAR"),RANDBETWEEN(100,2000),IF(OR(Z442="OFTÁLMICA",Z442="TOPICA (EXTERNA)"),RANDBETWEEN(200,3000),RANDBETWEEN(100,1500))))</f>
        <v>778</v>
      </c>
      <c r="AY442" s="2">
        <f ca="1">INT(AV442*RANDBETWEEN(90,130)/100)</f>
        <v>25110</v>
      </c>
      <c r="AZ442" t="str">
        <f t="shared" ca="1" si="33"/>
        <v>6.8%</v>
      </c>
      <c r="BA442" t="str">
        <f t="shared" ca="1" si="34"/>
        <v>MEDIO</v>
      </c>
    </row>
    <row r="443" spans="4:53" x14ac:dyDescent="0.35">
      <c r="D443" t="s">
        <v>3203</v>
      </c>
      <c r="E443" s="1">
        <v>42052</v>
      </c>
      <c r="F443" t="s">
        <v>1303</v>
      </c>
      <c r="G443" t="s">
        <v>108</v>
      </c>
      <c r="H443" t="s">
        <v>1298</v>
      </c>
      <c r="I443">
        <v>20075649</v>
      </c>
      <c r="J443" t="s">
        <v>110</v>
      </c>
      <c r="K443">
        <v>48</v>
      </c>
      <c r="L443" t="s">
        <v>27</v>
      </c>
      <c r="M443" t="s">
        <v>1299</v>
      </c>
      <c r="N443" t="s">
        <v>1300</v>
      </c>
      <c r="O443" t="s">
        <v>3204</v>
      </c>
      <c r="P443" t="s">
        <v>1302</v>
      </c>
      <c r="Q443" s="1">
        <v>41995</v>
      </c>
      <c r="R443" t="s">
        <v>1302</v>
      </c>
      <c r="S443" s="1">
        <v>45806</v>
      </c>
      <c r="T443" t="s">
        <v>80</v>
      </c>
      <c r="U443" t="s">
        <v>115</v>
      </c>
      <c r="V443" t="s">
        <v>2143</v>
      </c>
      <c r="W443">
        <v>200</v>
      </c>
      <c r="X443">
        <v>20075649</v>
      </c>
      <c r="Y443" t="s">
        <v>2144</v>
      </c>
      <c r="Z443" t="s">
        <v>1305</v>
      </c>
      <c r="AA443" t="s">
        <v>24</v>
      </c>
      <c r="AB443" t="s">
        <v>120</v>
      </c>
      <c r="AC443" t="s">
        <v>25</v>
      </c>
      <c r="AD443" t="s">
        <v>155</v>
      </c>
      <c r="AE443">
        <v>30</v>
      </c>
      <c r="AF443" t="s">
        <v>27</v>
      </c>
      <c r="AG443" t="s">
        <v>26</v>
      </c>
      <c r="AH443" t="s">
        <v>1303</v>
      </c>
      <c r="AI443" t="str">
        <f t="shared" si="30"/>
        <v>NO</v>
      </c>
      <c r="AJ443" t="str">
        <f t="shared" si="31"/>
        <v>TECNOQUIMICAS</v>
      </c>
      <c r="AK443" t="str">
        <f>IF(ISNUMBER(SEARCH("FABRICANTE",AC443)),"FABRICANTE",IF(ISNUMBER(SEARCH("IMPORTADOR",AC443)),"IMPORTADOR","OTRO"))</f>
        <v>FABRICANTE</v>
      </c>
      <c r="AL443" t="str">
        <f>IF(LEFT(Y443,1)="A","Sistema digestivo",IF(LEFT(Y443,1)="B","Sangre",IF(LEFT(Y443,1)="C","Cardiovascular",IF(LEFT(Y443,1)="D","Dermatológico",IF(LEFT(Y443,1)="G","Genitourinario",IF(LEFT(Y443,1)="H","Hormonal",IF(LEFT(Y443,1)="J","Antiinfecciosos",IF(LEFT(Y443,1)="L","Oncológicos",IF(LEFT(Y443,1)="M","Musculoesquelético",IF(LEFT(Y443,1)="N","Sistema nervioso",IF(LEFT(Y443,1)="R","Respiratorio",IF(LEFT(Y443,1)="S","Oftálmico",IF(LEFT(Y443,1)="V","Varios","OTRO")))))))))))))</f>
        <v>Genitourinario</v>
      </c>
      <c r="AM443" t="str">
        <f>IF(AG443="Vigente","ACTIVO",IF(ISNUMBER(SEARCH("Inactivo",J443)),"INACTIVO","REVISAR"))</f>
        <v>ACTIVO</v>
      </c>
      <c r="AN443" t="str">
        <f ca="1">IF(OR(AF443="",AF443="null"),"",ROUND((AF443-TODAY())/365.25,2))</f>
        <v/>
      </c>
      <c r="AO443" t="str">
        <f ca="1">IF(AND(AG443="Vigente",OR(AF443="",AF443="null",AF443&gt;TODAY())),"SI",IF(AND(NOT(OR(AF443="",AF443="null")),AF443&lt;=TODAY()),"NO",IF(AG443="Vigente","SI","DESCONOCIDO")))</f>
        <v>SI</v>
      </c>
      <c r="AP443" t="str">
        <f>IF(AND(ISNUMBER(SEARCH("IMPORTAR",AA443)),ISNUMBER(SEARCH("FABRICAR",AA443))),"MIXTO",IF(ISNUMBER(SEARCH("IMPORTAR",AA443)),"IMPORTADO",IF(ISNUMBER(SEARCH("FABRICAR",AA443)),"LOCAL","OTRO")))</f>
        <v>LOCAL</v>
      </c>
      <c r="AQ443" t="str">
        <f>IF(AD443="Si","SI",IF(AD443="No","NO",""))</f>
        <v>SI</v>
      </c>
      <c r="AR443" t="str">
        <f>IF(ISNUMBER(SEARCH("®",N443)),"MARCA/INNOVADOR","GENERICO")</f>
        <v>GENERICO</v>
      </c>
      <c r="AS443">
        <f ca="1">IF(AE443&gt;100,RANDBETWEEN(500,5000),IF(AND(AE443&gt;=10,AE443&lt;=100),RANDBETWEEN(100,1000),RANDBETWEEN(10,200)))</f>
        <v>479</v>
      </c>
      <c r="AT443">
        <f t="shared" ca="1" si="32"/>
        <v>134</v>
      </c>
      <c r="AU443">
        <f ca="1">INT(AS443*RANDBETWEEN(120,200)/100)</f>
        <v>589</v>
      </c>
      <c r="AV443" s="2">
        <f ca="1">IF(LEFT(Y443,1)="L",RANDBETWEEN(500000,5000000),IF(LEFT(Y443,1)="C",RANDBETWEEN(5000,50000),IF(LEFT(Y443,1)="N",RANDBETWEEN(10000,150000),IF(LEFT(Y443,1)="J",RANDBETWEEN(8000,200000),RANDBETWEEN(5000,100000)))))</f>
        <v>80152</v>
      </c>
      <c r="AW443" s="2">
        <f ca="1">INT(AV443*RANDBETWEEN(30,60)/100)</f>
        <v>44885</v>
      </c>
      <c r="AX443">
        <f ca="1">IF(Z443="ORAL",RANDBETWEEN(1000,10000),IF(OR(Z443="INTRAVENOSA",Z443="INTRAMUSCULAR"),RANDBETWEEN(100,2000),IF(OR(Z443="OFTÁLMICA",Z443="TOPICA (EXTERNA)"),RANDBETWEEN(200,3000),RANDBETWEEN(100,1500))))</f>
        <v>588</v>
      </c>
      <c r="AY443" s="2">
        <f ca="1">INT(AV443*RANDBETWEEN(90,130)/100)</f>
        <v>72136</v>
      </c>
      <c r="AZ443" t="str">
        <f t="shared" ca="1" si="33"/>
        <v>5.2%</v>
      </c>
      <c r="BA443" t="str">
        <f t="shared" ca="1" si="34"/>
        <v>ALTO</v>
      </c>
    </row>
    <row r="444" spans="4:53" x14ac:dyDescent="0.35">
      <c r="D444" t="s">
        <v>3205</v>
      </c>
      <c r="E444" s="1">
        <v>44474</v>
      </c>
      <c r="F444" t="s">
        <v>123</v>
      </c>
      <c r="G444" t="s">
        <v>108</v>
      </c>
      <c r="H444" t="s">
        <v>3206</v>
      </c>
      <c r="I444">
        <v>20169666</v>
      </c>
      <c r="J444" t="s">
        <v>28</v>
      </c>
      <c r="K444">
        <v>1</v>
      </c>
      <c r="L444" t="s">
        <v>3207</v>
      </c>
      <c r="M444" t="s">
        <v>3208</v>
      </c>
      <c r="N444" t="s">
        <v>3209</v>
      </c>
      <c r="O444" t="s">
        <v>3210</v>
      </c>
      <c r="P444" t="s">
        <v>2905</v>
      </c>
      <c r="Q444" s="1">
        <v>44453</v>
      </c>
      <c r="R444" t="s">
        <v>33</v>
      </c>
      <c r="S444" t="s">
        <v>27</v>
      </c>
      <c r="T444" t="s">
        <v>575</v>
      </c>
      <c r="U444" t="s">
        <v>115</v>
      </c>
      <c r="V444" t="s">
        <v>3211</v>
      </c>
      <c r="W444">
        <v>75</v>
      </c>
      <c r="X444">
        <v>20169666</v>
      </c>
      <c r="Y444" t="s">
        <v>3212</v>
      </c>
      <c r="Z444" t="s">
        <v>119</v>
      </c>
      <c r="AA444" t="s">
        <v>32</v>
      </c>
      <c r="AB444" t="s">
        <v>120</v>
      </c>
      <c r="AC444" t="s">
        <v>38</v>
      </c>
      <c r="AD444" t="s">
        <v>121</v>
      </c>
      <c r="AE444">
        <v>2</v>
      </c>
      <c r="AF444" t="s">
        <v>27</v>
      </c>
      <c r="AG444" t="s">
        <v>26</v>
      </c>
      <c r="AH444" t="s">
        <v>123</v>
      </c>
      <c r="AI444" t="str">
        <f t="shared" si="30"/>
        <v>NO</v>
      </c>
      <c r="AJ444" t="str">
        <f t="shared" si="31"/>
        <v>MENARINI INTERNATIONAL OPERATIONS LUXEMBOURG</v>
      </c>
      <c r="AK444" t="str">
        <f>IF(ISNUMBER(SEARCH("FABRICANTE",AC444)),"FABRICANTE",IF(ISNUMBER(SEARCH("IMPORTADOR",AC444)),"IMPORTADOR","OTRO"))</f>
        <v>IMPORTADOR</v>
      </c>
      <c r="AL444" t="str">
        <f>IF(LEFT(Y444,1)="A","Sistema digestivo",IF(LEFT(Y444,1)="B","Sangre",IF(LEFT(Y444,1)="C","Cardiovascular",IF(LEFT(Y444,1)="D","Dermatológico",IF(LEFT(Y444,1)="G","Genitourinario",IF(LEFT(Y444,1)="H","Hormonal",IF(LEFT(Y444,1)="J","Antiinfecciosos",IF(LEFT(Y444,1)="L","Oncológicos",IF(LEFT(Y444,1)="M","Musculoesquelético",IF(LEFT(Y444,1)="N","Sistema nervioso",IF(LEFT(Y444,1)="R","Respiratorio",IF(LEFT(Y444,1)="S","Oftálmico",IF(LEFT(Y444,1)="V","Varios","OTRO")))))))))))))</f>
        <v>Sistema nervioso</v>
      </c>
      <c r="AM444" t="str">
        <f>IF(AG444="Vigente","ACTIVO",IF(ISNUMBER(SEARCH("Inactivo",J444)),"INACTIVO","REVISAR"))</f>
        <v>ACTIVO</v>
      </c>
      <c r="AN444" t="str">
        <f ca="1">IF(OR(AF444="",AF444="null"),"",ROUND((AF444-TODAY())/365.25,2))</f>
        <v/>
      </c>
      <c r="AO444" t="str">
        <f ca="1">IF(AND(AG444="Vigente",OR(AF444="",AF444="null",AF444&gt;TODAY())),"SI",IF(AND(NOT(OR(AF444="",AF444="null")),AF444&lt;=TODAY()),"NO",IF(AG444="Vigente","SI","DESCONOCIDO")))</f>
        <v>SI</v>
      </c>
      <c r="AP444" t="str">
        <f>IF(AND(ISNUMBER(SEARCH("IMPORTAR",AA444)),ISNUMBER(SEARCH("FABRICAR",AA444))),"MIXTO",IF(ISNUMBER(SEARCH("IMPORTAR",AA444)),"IMPORTADO",IF(ISNUMBER(SEARCH("FABRICAR",AA444)),"LOCAL","OTRO")))</f>
        <v>IMPORTADO</v>
      </c>
      <c r="AQ444" t="str">
        <f>IF(AD444="Si","SI",IF(AD444="No","NO",""))</f>
        <v>NO</v>
      </c>
      <c r="AR444" t="str">
        <f>IF(ISNUMBER(SEARCH("®",N444)),"MARCA/INNOVADOR","GENERICO")</f>
        <v>MARCA/INNOVADOR</v>
      </c>
      <c r="AS444">
        <f ca="1">IF(AE444&gt;100,RANDBETWEEN(500,5000),IF(AND(AE444&gt;=10,AE444&lt;=100),RANDBETWEEN(100,1000),RANDBETWEEN(10,200)))</f>
        <v>66</v>
      </c>
      <c r="AT444">
        <f t="shared" ca="1" si="32"/>
        <v>18</v>
      </c>
      <c r="AU444">
        <f ca="1">INT(AS444*RANDBETWEEN(120,200)/100)</f>
        <v>124</v>
      </c>
      <c r="AV444" s="2">
        <f ca="1">IF(LEFT(Y444,1)="L",RANDBETWEEN(500000,5000000),IF(LEFT(Y444,1)="C",RANDBETWEEN(5000,50000),IF(LEFT(Y444,1)="N",RANDBETWEEN(10000,150000),IF(LEFT(Y444,1)="J",RANDBETWEEN(8000,200000),RANDBETWEEN(5000,100000)))))</f>
        <v>52318</v>
      </c>
      <c r="AW444" s="2">
        <f ca="1">INT(AV444*RANDBETWEEN(30,60)/100)</f>
        <v>21450</v>
      </c>
      <c r="AX444">
        <f ca="1">IF(Z444="ORAL",RANDBETWEEN(1000,10000),IF(OR(Z444="INTRAVENOSA",Z444="INTRAMUSCULAR"),RANDBETWEEN(100,2000),IF(OR(Z444="OFTÁLMICA",Z444="TOPICA (EXTERNA)"),RANDBETWEEN(200,3000),RANDBETWEEN(100,1500))))</f>
        <v>2284</v>
      </c>
      <c r="AY444" s="2">
        <f ca="1">INT(AV444*RANDBETWEEN(90,130)/100)</f>
        <v>63304</v>
      </c>
      <c r="AZ444" t="str">
        <f t="shared" ca="1" si="33"/>
        <v>11.5%</v>
      </c>
      <c r="BA444" t="str">
        <f t="shared" ca="1" si="34"/>
        <v>BAJO</v>
      </c>
    </row>
    <row r="445" spans="4:53" x14ac:dyDescent="0.35">
      <c r="D445" t="s">
        <v>3213</v>
      </c>
      <c r="E445" s="1">
        <v>45491</v>
      </c>
      <c r="F445" t="s">
        <v>3214</v>
      </c>
      <c r="G445" t="s">
        <v>108</v>
      </c>
      <c r="H445" t="s">
        <v>3215</v>
      </c>
      <c r="I445">
        <v>20217278</v>
      </c>
      <c r="J445" t="s">
        <v>28</v>
      </c>
      <c r="K445">
        <v>2</v>
      </c>
      <c r="L445" t="s">
        <v>3216</v>
      </c>
      <c r="M445" t="s">
        <v>3217</v>
      </c>
      <c r="N445" t="s">
        <v>3218</v>
      </c>
      <c r="O445" t="s">
        <v>3219</v>
      </c>
      <c r="P445" t="s">
        <v>3220</v>
      </c>
      <c r="Q445" s="1">
        <v>45071</v>
      </c>
      <c r="R445" t="s">
        <v>3221</v>
      </c>
      <c r="S445" t="s">
        <v>27</v>
      </c>
      <c r="T445" t="s">
        <v>3215</v>
      </c>
      <c r="U445" t="s">
        <v>2793</v>
      </c>
      <c r="V445" t="s">
        <v>3222</v>
      </c>
      <c r="W445">
        <v>160</v>
      </c>
      <c r="X445">
        <v>20217278</v>
      </c>
      <c r="Y445" t="s">
        <v>3223</v>
      </c>
      <c r="Z445" t="s">
        <v>499</v>
      </c>
      <c r="AA445" t="s">
        <v>32</v>
      </c>
      <c r="AB445" t="s">
        <v>133</v>
      </c>
      <c r="AC445" t="s">
        <v>38</v>
      </c>
      <c r="AD445" t="s">
        <v>155</v>
      </c>
      <c r="AE445">
        <v>1</v>
      </c>
      <c r="AF445" s="1">
        <v>47331</v>
      </c>
      <c r="AG445" t="s">
        <v>26</v>
      </c>
      <c r="AH445" t="s">
        <v>3214</v>
      </c>
      <c r="AI445" t="str">
        <f t="shared" si="30"/>
        <v>NO</v>
      </c>
      <c r="AJ445" t="str">
        <f t="shared" si="31"/>
        <v>ASTRAZENECA COLOMBIA</v>
      </c>
      <c r="AK445" t="str">
        <f>IF(ISNUMBER(SEARCH("FABRICANTE",AC445)),"FABRICANTE",IF(ISNUMBER(SEARCH("IMPORTADOR",AC445)),"IMPORTADOR","OTRO"))</f>
        <v>IMPORTADOR</v>
      </c>
      <c r="AL445" t="str">
        <f>IF(LEFT(Y445,1)="A","Sistema digestivo",IF(LEFT(Y445,1)="B","Sangre",IF(LEFT(Y445,1)="C","Cardiovascular",IF(LEFT(Y445,1)="D","Dermatológico",IF(LEFT(Y445,1)="G","Genitourinario",IF(LEFT(Y445,1)="H","Hormonal",IF(LEFT(Y445,1)="J","Antiinfecciosos",IF(LEFT(Y445,1)="L","Oncológicos",IF(LEFT(Y445,1)="M","Musculoesquelético",IF(LEFT(Y445,1)="N","Sistema nervioso",IF(LEFT(Y445,1)="R","Respiratorio",IF(LEFT(Y445,1)="S","Oftálmico",IF(LEFT(Y445,1)="V","Varios","OTRO")))))))))))))</f>
        <v>Respiratorio</v>
      </c>
      <c r="AM445" t="str">
        <f>IF(AG445="Vigente","ACTIVO",IF(ISNUMBER(SEARCH("Inactivo",J445)),"INACTIVO","REVISAR"))</f>
        <v>ACTIVO</v>
      </c>
      <c r="AN445">
        <f ca="1">IF(OR(AF445="",AF445="null"),"",ROUND((AF445-TODAY())/365.25,2))</f>
        <v>3.18</v>
      </c>
      <c r="AO445" t="str">
        <f ca="1">IF(AND(AG445="Vigente",OR(AF445="",AF445="null",AF445&gt;TODAY())),"SI",IF(AND(NOT(OR(AF445="",AF445="null")),AF445&lt;=TODAY()),"NO",IF(AG445="Vigente","SI","DESCONOCIDO")))</f>
        <v>SI</v>
      </c>
      <c r="AP445" t="str">
        <f>IF(AND(ISNUMBER(SEARCH("IMPORTAR",AA445)),ISNUMBER(SEARCH("FABRICAR",AA445))),"MIXTO",IF(ISNUMBER(SEARCH("IMPORTAR",AA445)),"IMPORTADO",IF(ISNUMBER(SEARCH("FABRICAR",AA445)),"LOCAL","OTRO")))</f>
        <v>IMPORTADO</v>
      </c>
      <c r="AQ445" t="str">
        <f>IF(AD445="Si","SI",IF(AD445="No","NO",""))</f>
        <v>SI</v>
      </c>
      <c r="AR445" t="str">
        <f>IF(ISNUMBER(SEARCH("®",N445)),"MARCA/INNOVADOR","GENERICO")</f>
        <v>MARCA/INNOVADOR</v>
      </c>
      <c r="AS445">
        <f ca="1">IF(AE445&gt;100,RANDBETWEEN(500,5000),IF(AND(AE445&gt;=10,AE445&lt;=100),RANDBETWEEN(100,1000),RANDBETWEEN(10,200)))</f>
        <v>64</v>
      </c>
      <c r="AT445">
        <f t="shared" ca="1" si="32"/>
        <v>12</v>
      </c>
      <c r="AU445">
        <f ca="1">INT(AS445*RANDBETWEEN(120,200)/100)</f>
        <v>80</v>
      </c>
      <c r="AV445" s="2">
        <f ca="1">IF(LEFT(Y445,1)="L",RANDBETWEEN(500000,5000000),IF(LEFT(Y445,1)="C",RANDBETWEEN(5000,50000),IF(LEFT(Y445,1)="N",RANDBETWEEN(10000,150000),IF(LEFT(Y445,1)="J",RANDBETWEEN(8000,200000),RANDBETWEEN(5000,100000)))))</f>
        <v>73506</v>
      </c>
      <c r="AW445" s="2">
        <f ca="1">INT(AV445*RANDBETWEEN(30,60)/100)</f>
        <v>38223</v>
      </c>
      <c r="AX445">
        <f ca="1">IF(Z445="ORAL",RANDBETWEEN(1000,10000),IF(OR(Z445="INTRAVENOSA",Z445="INTRAMUSCULAR"),RANDBETWEEN(100,2000),IF(OR(Z445="OFTÁLMICA",Z445="TOPICA (EXTERNA)"),RANDBETWEEN(200,3000),RANDBETWEEN(100,1500))))</f>
        <v>916</v>
      </c>
      <c r="AY445" s="2">
        <f ca="1">INT(AV445*RANDBETWEEN(90,130)/100)</f>
        <v>94822</v>
      </c>
      <c r="AZ445" t="str">
        <f t="shared" ca="1" si="33"/>
        <v>7%</v>
      </c>
      <c r="BA445" t="str">
        <f t="shared" ca="1" si="34"/>
        <v>MEDIO</v>
      </c>
    </row>
    <row r="446" spans="4:53" x14ac:dyDescent="0.35">
      <c r="D446" t="s">
        <v>3224</v>
      </c>
      <c r="E446" s="1">
        <v>42843</v>
      </c>
      <c r="F446" t="s">
        <v>3225</v>
      </c>
      <c r="G446" t="s">
        <v>108</v>
      </c>
      <c r="H446" t="s">
        <v>316</v>
      </c>
      <c r="I446">
        <v>20103181</v>
      </c>
      <c r="J446" t="s">
        <v>28</v>
      </c>
      <c r="K446">
        <v>8</v>
      </c>
      <c r="L446" t="s">
        <v>27</v>
      </c>
      <c r="M446" t="s">
        <v>3226</v>
      </c>
      <c r="N446" t="s">
        <v>3227</v>
      </c>
      <c r="O446" t="s">
        <v>3228</v>
      </c>
      <c r="P446" t="s">
        <v>29</v>
      </c>
      <c r="Q446" s="1">
        <v>42824</v>
      </c>
      <c r="R446" t="s">
        <v>29</v>
      </c>
      <c r="S446" t="s">
        <v>27</v>
      </c>
      <c r="T446" t="s">
        <v>80</v>
      </c>
      <c r="U446" t="s">
        <v>115</v>
      </c>
      <c r="V446" t="s">
        <v>846</v>
      </c>
      <c r="W446">
        <v>325</v>
      </c>
      <c r="X446">
        <v>20103181</v>
      </c>
      <c r="Y446" t="s">
        <v>847</v>
      </c>
      <c r="Z446" t="s">
        <v>119</v>
      </c>
      <c r="AA446" t="s">
        <v>165</v>
      </c>
      <c r="AB446" t="s">
        <v>120</v>
      </c>
      <c r="AC446" t="s">
        <v>25</v>
      </c>
      <c r="AD446" t="s">
        <v>121</v>
      </c>
      <c r="AE446">
        <v>100</v>
      </c>
      <c r="AF446" t="s">
        <v>27</v>
      </c>
      <c r="AG446" t="s">
        <v>26</v>
      </c>
      <c r="AH446" t="s">
        <v>6803</v>
      </c>
      <c r="AI446" t="str">
        <f t="shared" si="30"/>
        <v>SI</v>
      </c>
      <c r="AJ446" t="str">
        <f t="shared" si="31"/>
        <v>TECNOQUIMICAS</v>
      </c>
      <c r="AK446" t="str">
        <f>IF(ISNUMBER(SEARCH("FABRICANTE",AC446)),"FABRICANTE",IF(ISNUMBER(SEARCH("IMPORTADOR",AC446)),"IMPORTADOR","OTRO"))</f>
        <v>FABRICANTE</v>
      </c>
      <c r="AL446" t="str">
        <f>IF(LEFT(Y446,1)="A","Sistema digestivo",IF(LEFT(Y446,1)="B","Sangre",IF(LEFT(Y446,1)="C","Cardiovascular",IF(LEFT(Y446,1)="D","Dermatológico",IF(LEFT(Y446,1)="G","Genitourinario",IF(LEFT(Y446,1)="H","Hormonal",IF(LEFT(Y446,1)="J","Antiinfecciosos",IF(LEFT(Y446,1)="L","Oncológicos",IF(LEFT(Y446,1)="M","Musculoesquelético",IF(LEFT(Y446,1)="N","Sistema nervioso",IF(LEFT(Y446,1)="R","Respiratorio",IF(LEFT(Y446,1)="S","Oftálmico",IF(LEFT(Y446,1)="V","Varios","OTRO")))))))))))))</f>
        <v>Sistema nervioso</v>
      </c>
      <c r="AM446" t="str">
        <f>IF(AG446="Vigente","ACTIVO",IF(ISNUMBER(SEARCH("Inactivo",J446)),"INACTIVO","REVISAR"))</f>
        <v>ACTIVO</v>
      </c>
      <c r="AN446" t="str">
        <f ca="1">IF(OR(AF446="",AF446="null"),"",ROUND((AF446-TODAY())/365.25,2))</f>
        <v/>
      </c>
      <c r="AO446" t="str">
        <f ca="1">IF(AND(AG446="Vigente",OR(AF446="",AF446="null",AF446&gt;TODAY())),"SI",IF(AND(NOT(OR(AF446="",AF446="null")),AF446&lt;=TODAY()),"NO",IF(AG446="Vigente","SI","DESCONOCIDO")))</f>
        <v>SI</v>
      </c>
      <c r="AP446" t="str">
        <f>IF(AND(ISNUMBER(SEARCH("IMPORTAR",AA446)),ISNUMBER(SEARCH("FABRICAR",AA446))),"MIXTO",IF(ISNUMBER(SEARCH("IMPORTAR",AA446)),"IMPORTADO",IF(ISNUMBER(SEARCH("FABRICAR",AA446)),"LOCAL","OTRO")))</f>
        <v>IMPORTADO</v>
      </c>
      <c r="AQ446" t="str">
        <f>IF(AD446="Si","SI",IF(AD446="No","NO",""))</f>
        <v>NO</v>
      </c>
      <c r="AR446" t="str">
        <f>IF(ISNUMBER(SEARCH("®",N446)),"MARCA/INNOVADOR","GENERICO")</f>
        <v>GENERICO</v>
      </c>
      <c r="AS446">
        <f ca="1">IF(AE446&gt;100,RANDBETWEEN(500,5000),IF(AND(AE446&gt;=10,AE446&lt;=100),RANDBETWEEN(100,1000),RANDBETWEEN(10,200)))</f>
        <v>387</v>
      </c>
      <c r="AT446">
        <f t="shared" ca="1" si="32"/>
        <v>65</v>
      </c>
      <c r="AU446">
        <f ca="1">INT(AS446*RANDBETWEEN(120,200)/100)</f>
        <v>638</v>
      </c>
      <c r="AV446" s="2">
        <f ca="1">IF(LEFT(Y446,1)="L",RANDBETWEEN(500000,5000000),IF(LEFT(Y446,1)="C",RANDBETWEEN(5000,50000),IF(LEFT(Y446,1)="N",RANDBETWEEN(10000,150000),IF(LEFT(Y446,1)="J",RANDBETWEEN(8000,200000),RANDBETWEEN(5000,100000)))))</f>
        <v>122294</v>
      </c>
      <c r="AW446" s="2">
        <f ca="1">INT(AV446*RANDBETWEEN(30,60)/100)</f>
        <v>42802</v>
      </c>
      <c r="AX446">
        <f ca="1">IF(Z446="ORAL",RANDBETWEEN(1000,10000),IF(OR(Z446="INTRAVENOSA",Z446="INTRAMUSCULAR"),RANDBETWEEN(100,2000),IF(OR(Z446="OFTÁLMICA",Z446="TOPICA (EXTERNA)"),RANDBETWEEN(200,3000),RANDBETWEEN(100,1500))))</f>
        <v>8756</v>
      </c>
      <c r="AY446" s="2">
        <f ca="1">INT(AV446*RANDBETWEEN(90,130)/100)</f>
        <v>128408</v>
      </c>
      <c r="AZ446" t="str">
        <f t="shared" ca="1" si="33"/>
        <v>7.2%</v>
      </c>
      <c r="BA446" t="str">
        <f t="shared" ca="1" si="34"/>
        <v>BAJO</v>
      </c>
    </row>
    <row r="447" spans="4:53" x14ac:dyDescent="0.35">
      <c r="D447" t="s">
        <v>3229</v>
      </c>
      <c r="E447" s="1">
        <v>42412</v>
      </c>
      <c r="F447" t="s">
        <v>3230</v>
      </c>
      <c r="G447" t="s">
        <v>108</v>
      </c>
      <c r="H447" t="s">
        <v>3206</v>
      </c>
      <c r="I447">
        <v>20076204</v>
      </c>
      <c r="J447" t="s">
        <v>28</v>
      </c>
      <c r="K447">
        <v>29</v>
      </c>
      <c r="L447" t="s">
        <v>3231</v>
      </c>
      <c r="M447" t="s">
        <v>3232</v>
      </c>
      <c r="N447" t="s">
        <v>3233</v>
      </c>
      <c r="O447" t="s">
        <v>3234</v>
      </c>
      <c r="P447" t="s">
        <v>621</v>
      </c>
      <c r="Q447" s="1">
        <v>43119</v>
      </c>
      <c r="R447" t="s">
        <v>50</v>
      </c>
      <c r="S447" t="s">
        <v>27</v>
      </c>
      <c r="T447" t="s">
        <v>3235</v>
      </c>
      <c r="U447" t="s">
        <v>115</v>
      </c>
      <c r="V447" t="s">
        <v>629</v>
      </c>
      <c r="W447">
        <v>50</v>
      </c>
      <c r="X447">
        <v>20076204</v>
      </c>
      <c r="Y447" t="s">
        <v>630</v>
      </c>
      <c r="Z447" t="s">
        <v>213</v>
      </c>
      <c r="AA447" t="s">
        <v>32</v>
      </c>
      <c r="AB447" t="s">
        <v>120</v>
      </c>
      <c r="AC447" t="s">
        <v>38</v>
      </c>
      <c r="AD447" t="s">
        <v>121</v>
      </c>
      <c r="AE447">
        <v>50</v>
      </c>
      <c r="AF447" t="s">
        <v>27</v>
      </c>
      <c r="AG447" t="s">
        <v>26</v>
      </c>
      <c r="AH447" t="s">
        <v>629</v>
      </c>
      <c r="AI447" t="str">
        <f t="shared" si="30"/>
        <v>NO</v>
      </c>
      <c r="AJ447" t="str">
        <f t="shared" si="31"/>
        <v>MENARINI INTERNATIONAL OPERATIONS</v>
      </c>
      <c r="AK447" t="str">
        <f>IF(ISNUMBER(SEARCH("FABRICANTE",AC447)),"FABRICANTE",IF(ISNUMBER(SEARCH("IMPORTADOR",AC447)),"IMPORTADOR","OTRO"))</f>
        <v>IMPORTADOR</v>
      </c>
      <c r="AL447" t="str">
        <f>IF(LEFT(Y447,1)="A","Sistema digestivo",IF(LEFT(Y447,1)="B","Sangre",IF(LEFT(Y447,1)="C","Cardiovascular",IF(LEFT(Y447,1)="D","Dermatológico",IF(LEFT(Y447,1)="G","Genitourinario",IF(LEFT(Y447,1)="H","Hormonal",IF(LEFT(Y447,1)="J","Antiinfecciosos",IF(LEFT(Y447,1)="L","Oncológicos",IF(LEFT(Y447,1)="M","Musculoesquelético",IF(LEFT(Y447,1)="N","Sistema nervioso",IF(LEFT(Y447,1)="R","Respiratorio",IF(LEFT(Y447,1)="S","Oftálmico",IF(LEFT(Y447,1)="V","Varios","OTRO")))))))))))))</f>
        <v>Musculoesquelético</v>
      </c>
      <c r="AM447" t="str">
        <f>IF(AG447="Vigente","ACTIVO",IF(ISNUMBER(SEARCH("Inactivo",J447)),"INACTIVO","REVISAR"))</f>
        <v>ACTIVO</v>
      </c>
      <c r="AN447" t="str">
        <f ca="1">IF(OR(AF447="",AF447="null"),"",ROUND((AF447-TODAY())/365.25,2))</f>
        <v/>
      </c>
      <c r="AO447" t="str">
        <f ca="1">IF(AND(AG447="Vigente",OR(AF447="",AF447="null",AF447&gt;TODAY())),"SI",IF(AND(NOT(OR(AF447="",AF447="null")),AF447&lt;=TODAY()),"NO",IF(AG447="Vigente","SI","DESCONOCIDO")))</f>
        <v>SI</v>
      </c>
      <c r="AP447" t="str">
        <f>IF(AND(ISNUMBER(SEARCH("IMPORTAR",AA447)),ISNUMBER(SEARCH("FABRICAR",AA447))),"MIXTO",IF(ISNUMBER(SEARCH("IMPORTAR",AA447)),"IMPORTADO",IF(ISNUMBER(SEARCH("FABRICAR",AA447)),"LOCAL","OTRO")))</f>
        <v>IMPORTADO</v>
      </c>
      <c r="AQ447" t="str">
        <f>IF(AD447="Si","SI",IF(AD447="No","NO",""))</f>
        <v>NO</v>
      </c>
      <c r="AR447" t="str">
        <f>IF(ISNUMBER(SEARCH("®",N447)),"MARCA/INNOVADOR","GENERICO")</f>
        <v>MARCA/INNOVADOR</v>
      </c>
      <c r="AS447">
        <f ca="1">IF(AE447&gt;100,RANDBETWEEN(500,5000),IF(AND(AE447&gt;=10,AE447&lt;=100),RANDBETWEEN(100,1000),RANDBETWEEN(10,200)))</f>
        <v>683</v>
      </c>
      <c r="AT447">
        <f t="shared" ca="1" si="32"/>
        <v>143</v>
      </c>
      <c r="AU447">
        <f ca="1">INT(AS447*RANDBETWEEN(120,200)/100)</f>
        <v>881</v>
      </c>
      <c r="AV447" s="2">
        <f ca="1">IF(LEFT(Y447,1)="L",RANDBETWEEN(500000,5000000),IF(LEFT(Y447,1)="C",RANDBETWEEN(5000,50000),IF(LEFT(Y447,1)="N",RANDBETWEEN(10000,150000),IF(LEFT(Y447,1)="J",RANDBETWEEN(8000,200000),RANDBETWEEN(5000,100000)))))</f>
        <v>28148</v>
      </c>
      <c r="AW447" s="2">
        <f ca="1">INT(AV447*RANDBETWEEN(30,60)/100)</f>
        <v>8725</v>
      </c>
      <c r="AX447">
        <f ca="1">IF(Z447="ORAL",RANDBETWEEN(1000,10000),IF(OR(Z447="INTRAVENOSA",Z447="INTRAMUSCULAR"),RANDBETWEEN(100,2000),IF(OR(Z447="OFTÁLMICA",Z447="TOPICA (EXTERNA)"),RANDBETWEEN(200,3000),RANDBETWEEN(100,1500))))</f>
        <v>1545</v>
      </c>
      <c r="AY447" s="2">
        <f ca="1">INT(AV447*RANDBETWEEN(90,130)/100)</f>
        <v>29273</v>
      </c>
      <c r="AZ447" t="str">
        <f t="shared" ca="1" si="33"/>
        <v>6%</v>
      </c>
      <c r="BA447" t="str">
        <f t="shared" ca="1" si="34"/>
        <v>BAJO</v>
      </c>
    </row>
    <row r="448" spans="4:53" x14ac:dyDescent="0.35">
      <c r="D448" t="s">
        <v>3236</v>
      </c>
      <c r="E448" s="1">
        <v>36285</v>
      </c>
      <c r="F448" t="s">
        <v>3237</v>
      </c>
      <c r="G448" t="s">
        <v>502</v>
      </c>
      <c r="H448" t="s">
        <v>3238</v>
      </c>
      <c r="I448">
        <v>227035</v>
      </c>
      <c r="J448" t="s">
        <v>28</v>
      </c>
      <c r="K448">
        <v>5</v>
      </c>
      <c r="L448" t="s">
        <v>27</v>
      </c>
      <c r="M448" t="s">
        <v>3239</v>
      </c>
      <c r="N448" t="s">
        <v>3240</v>
      </c>
      <c r="O448" t="s">
        <v>3241</v>
      </c>
      <c r="P448" t="s">
        <v>3242</v>
      </c>
      <c r="Q448" s="1">
        <v>39031</v>
      </c>
      <c r="R448" t="s">
        <v>564</v>
      </c>
      <c r="S448" t="s">
        <v>27</v>
      </c>
      <c r="T448" t="s">
        <v>3238</v>
      </c>
      <c r="U448" t="s">
        <v>2356</v>
      </c>
      <c r="V448" t="s">
        <v>3243</v>
      </c>
      <c r="W448">
        <v>4</v>
      </c>
      <c r="X448">
        <v>227035</v>
      </c>
      <c r="Y448" t="s">
        <v>3244</v>
      </c>
      <c r="Z448" t="s">
        <v>566</v>
      </c>
      <c r="AA448" t="s">
        <v>24</v>
      </c>
      <c r="AB448" t="s">
        <v>250</v>
      </c>
      <c r="AC448" t="s">
        <v>25</v>
      </c>
      <c r="AD448" t="s">
        <v>121</v>
      </c>
      <c r="AE448">
        <v>3785</v>
      </c>
      <c r="AF448" s="1">
        <v>401769</v>
      </c>
      <c r="AG448" t="s">
        <v>26</v>
      </c>
      <c r="AH448" t="s">
        <v>6804</v>
      </c>
      <c r="AI448" t="str">
        <f t="shared" si="30"/>
        <v>NO</v>
      </c>
      <c r="AJ448" t="str">
        <f t="shared" si="31"/>
        <v>ELECTROQUIMICA WEST</v>
      </c>
      <c r="AK448" t="str">
        <f>IF(ISNUMBER(SEARCH("FABRICANTE",AC448)),"FABRICANTE",IF(ISNUMBER(SEARCH("IMPORTADOR",AC448)),"IMPORTADOR","OTRO"))</f>
        <v>FABRICANTE</v>
      </c>
      <c r="AL448" t="str">
        <f>IF(LEFT(Y448,1)="A","Sistema digestivo",IF(LEFT(Y448,1)="B","Sangre",IF(LEFT(Y448,1)="C","Cardiovascular",IF(LEFT(Y448,1)="D","Dermatológico",IF(LEFT(Y448,1)="G","Genitourinario",IF(LEFT(Y448,1)="H","Hormonal",IF(LEFT(Y448,1)="J","Antiinfecciosos",IF(LEFT(Y448,1)="L","Oncológicos",IF(LEFT(Y448,1)="M","Musculoesquelético",IF(LEFT(Y448,1)="N","Sistema nervioso",IF(LEFT(Y448,1)="R","Respiratorio",IF(LEFT(Y448,1)="S","Oftálmico",IF(LEFT(Y448,1)="V","Varios","OTRO")))))))))))))</f>
        <v>Dermatológico</v>
      </c>
      <c r="AM448" t="str">
        <f>IF(AG448="Vigente","ACTIVO",IF(ISNUMBER(SEARCH("Inactivo",J448)),"INACTIVO","REVISAR"))</f>
        <v>ACTIVO</v>
      </c>
      <c r="AN448">
        <f ca="1">IF(OR(AF448="",AF448="null"),"",ROUND((AF448-TODAY())/365.25,2))</f>
        <v>973.58</v>
      </c>
      <c r="AO448" t="str">
        <f ca="1">IF(AND(AG448="Vigente",OR(AF448="",AF448="null",AF448&gt;TODAY())),"SI",IF(AND(NOT(OR(AF448="",AF448="null")),AF448&lt;=TODAY()),"NO",IF(AG448="Vigente","SI","DESCONOCIDO")))</f>
        <v>SI</v>
      </c>
      <c r="AP448" t="str">
        <f>IF(AND(ISNUMBER(SEARCH("IMPORTAR",AA448)),ISNUMBER(SEARCH("FABRICAR",AA448))),"MIXTO",IF(ISNUMBER(SEARCH("IMPORTAR",AA448)),"IMPORTADO",IF(ISNUMBER(SEARCH("FABRICAR",AA448)),"LOCAL","OTRO")))</f>
        <v>LOCAL</v>
      </c>
      <c r="AQ448" t="str">
        <f>IF(AD448="Si","SI",IF(AD448="No","NO",""))</f>
        <v>NO</v>
      </c>
      <c r="AR448" t="str">
        <f>IF(ISNUMBER(SEARCH("®",N448)),"MARCA/INNOVADOR","GENERICO")</f>
        <v>MARCA/INNOVADOR</v>
      </c>
      <c r="AS448">
        <f ca="1">IF(AE448&gt;100,RANDBETWEEN(500,5000),IF(AND(AE448&gt;=10,AE448&lt;=100),RANDBETWEEN(100,1000),RANDBETWEEN(10,200)))</f>
        <v>2189</v>
      </c>
      <c r="AT448">
        <f t="shared" ca="1" si="32"/>
        <v>328</v>
      </c>
      <c r="AU448">
        <f ca="1">INT(AS448*RANDBETWEEN(120,200)/100)</f>
        <v>2736</v>
      </c>
      <c r="AV448" s="2">
        <f ca="1">IF(LEFT(Y448,1)="L",RANDBETWEEN(500000,5000000),IF(LEFT(Y448,1)="C",RANDBETWEEN(5000,50000),IF(LEFT(Y448,1)="N",RANDBETWEEN(10000,150000),IF(LEFT(Y448,1)="J",RANDBETWEEN(8000,200000),RANDBETWEEN(5000,100000)))))</f>
        <v>42156</v>
      </c>
      <c r="AW448" s="2">
        <f ca="1">INT(AV448*RANDBETWEEN(30,60)/100)</f>
        <v>24872</v>
      </c>
      <c r="AX448">
        <f ca="1">IF(Z448="ORAL",RANDBETWEEN(1000,10000),IF(OR(Z448="INTRAVENOSA",Z448="INTRAMUSCULAR"),RANDBETWEEN(100,2000),IF(OR(Z448="OFTÁLMICA",Z448="TOPICA (EXTERNA)"),RANDBETWEEN(200,3000),RANDBETWEEN(100,1500))))</f>
        <v>2301</v>
      </c>
      <c r="AY448" s="2">
        <f ca="1">INT(AV448*RANDBETWEEN(90,130)/100)</f>
        <v>42577</v>
      </c>
      <c r="AZ448" t="str">
        <f t="shared" ca="1" si="33"/>
        <v>8.9%</v>
      </c>
      <c r="BA448" t="str">
        <f t="shared" ca="1" si="34"/>
        <v>BAJO</v>
      </c>
    </row>
    <row r="449" spans="4:53" x14ac:dyDescent="0.35">
      <c r="D449" t="s">
        <v>3245</v>
      </c>
      <c r="E449" s="1">
        <v>36161</v>
      </c>
      <c r="F449" t="s">
        <v>3246</v>
      </c>
      <c r="G449" t="s">
        <v>108</v>
      </c>
      <c r="H449" t="s">
        <v>2071</v>
      </c>
      <c r="I449">
        <v>38369</v>
      </c>
      <c r="J449" t="s">
        <v>28</v>
      </c>
      <c r="K449">
        <v>19</v>
      </c>
      <c r="L449" t="s">
        <v>27</v>
      </c>
      <c r="M449" t="s">
        <v>3247</v>
      </c>
      <c r="N449" t="s">
        <v>3248</v>
      </c>
      <c r="O449" t="s">
        <v>3249</v>
      </c>
      <c r="P449" t="s">
        <v>659</v>
      </c>
      <c r="Q449" s="1">
        <v>40872</v>
      </c>
      <c r="R449" t="s">
        <v>37</v>
      </c>
      <c r="S449" t="s">
        <v>27</v>
      </c>
      <c r="T449" t="s">
        <v>172</v>
      </c>
      <c r="U449" t="s">
        <v>115</v>
      </c>
      <c r="V449" t="s">
        <v>3250</v>
      </c>
      <c r="W449">
        <v>20</v>
      </c>
      <c r="X449">
        <v>38369</v>
      </c>
      <c r="Y449" t="s">
        <v>3251</v>
      </c>
      <c r="Z449" t="s">
        <v>119</v>
      </c>
      <c r="AA449" t="s">
        <v>24</v>
      </c>
      <c r="AB449" t="s">
        <v>120</v>
      </c>
      <c r="AC449" t="s">
        <v>25</v>
      </c>
      <c r="AD449" t="s">
        <v>155</v>
      </c>
      <c r="AE449">
        <v>2</v>
      </c>
      <c r="AF449" t="s">
        <v>27</v>
      </c>
      <c r="AG449" t="s">
        <v>26</v>
      </c>
      <c r="AH449" t="s">
        <v>3250</v>
      </c>
      <c r="AI449" t="str">
        <f t="shared" si="30"/>
        <v>NO</v>
      </c>
      <c r="AJ449" t="str">
        <f t="shared" si="31"/>
        <v>NOVAMED</v>
      </c>
      <c r="AK449" t="str">
        <f>IF(ISNUMBER(SEARCH("FABRICANTE",AC449)),"FABRICANTE",IF(ISNUMBER(SEARCH("IMPORTADOR",AC449)),"IMPORTADOR","OTRO"))</f>
        <v>FABRICANTE</v>
      </c>
      <c r="AL449" t="str">
        <f>IF(LEFT(Y449,1)="A","Sistema digestivo",IF(LEFT(Y449,1)="B","Sangre",IF(LEFT(Y449,1)="C","Cardiovascular",IF(LEFT(Y449,1)="D","Dermatológico",IF(LEFT(Y449,1)="G","Genitourinario",IF(LEFT(Y449,1)="H","Hormonal",IF(LEFT(Y449,1)="J","Antiinfecciosos",IF(LEFT(Y449,1)="L","Oncológicos",IF(LEFT(Y449,1)="M","Musculoesquelético",IF(LEFT(Y449,1)="N","Sistema nervioso",IF(LEFT(Y449,1)="R","Respiratorio",IF(LEFT(Y449,1)="S","Oftálmico",IF(LEFT(Y449,1)="V","Varios","OTRO")))))))))))))</f>
        <v>Sistema nervioso</v>
      </c>
      <c r="AM449" t="str">
        <f>IF(AG449="Vigente","ACTIVO",IF(ISNUMBER(SEARCH("Inactivo",J449)),"INACTIVO","REVISAR"))</f>
        <v>ACTIVO</v>
      </c>
      <c r="AN449" t="str">
        <f ca="1">IF(OR(AF449="",AF449="null"),"",ROUND((AF449-TODAY())/365.25,2))</f>
        <v/>
      </c>
      <c r="AO449" t="str">
        <f ca="1">IF(AND(AG449="Vigente",OR(AF449="",AF449="null",AF449&gt;TODAY())),"SI",IF(AND(NOT(OR(AF449="",AF449="null")),AF449&lt;=TODAY()),"NO",IF(AG449="Vigente","SI","DESCONOCIDO")))</f>
        <v>SI</v>
      </c>
      <c r="AP449" t="str">
        <f>IF(AND(ISNUMBER(SEARCH("IMPORTAR",AA449)),ISNUMBER(SEARCH("FABRICAR",AA449))),"MIXTO",IF(ISNUMBER(SEARCH("IMPORTAR",AA449)),"IMPORTADO",IF(ISNUMBER(SEARCH("FABRICAR",AA449)),"LOCAL","OTRO")))</f>
        <v>LOCAL</v>
      </c>
      <c r="AQ449" t="str">
        <f>IF(AD449="Si","SI",IF(AD449="No","NO",""))</f>
        <v>SI</v>
      </c>
      <c r="AR449" t="str">
        <f>IF(ISNUMBER(SEARCH("®",N449)),"MARCA/INNOVADOR","GENERICO")</f>
        <v>MARCA/INNOVADOR</v>
      </c>
      <c r="AS449">
        <f ca="1">IF(AE449&gt;100,RANDBETWEEN(500,5000),IF(AND(AE449&gt;=10,AE449&lt;=100),RANDBETWEEN(100,1000),RANDBETWEEN(10,200)))</f>
        <v>90</v>
      </c>
      <c r="AT449">
        <f t="shared" ca="1" si="32"/>
        <v>13</v>
      </c>
      <c r="AU449">
        <f ca="1">INT(AS449*RANDBETWEEN(120,200)/100)</f>
        <v>162</v>
      </c>
      <c r="AV449" s="2">
        <f ca="1">IF(LEFT(Y449,1)="L",RANDBETWEEN(500000,5000000),IF(LEFT(Y449,1)="C",RANDBETWEEN(5000,50000),IF(LEFT(Y449,1)="N",RANDBETWEEN(10000,150000),IF(LEFT(Y449,1)="J",RANDBETWEEN(8000,200000),RANDBETWEEN(5000,100000)))))</f>
        <v>94261</v>
      </c>
      <c r="AW449" s="2">
        <f ca="1">INT(AV449*RANDBETWEEN(30,60)/100)</f>
        <v>51843</v>
      </c>
      <c r="AX449">
        <f ca="1">IF(Z449="ORAL",RANDBETWEEN(1000,10000),IF(OR(Z449="INTRAVENOSA",Z449="INTRAMUSCULAR"),RANDBETWEEN(100,2000),IF(OR(Z449="OFTÁLMICA",Z449="TOPICA (EXTERNA)"),RANDBETWEEN(200,3000),RANDBETWEEN(100,1500))))</f>
        <v>5961</v>
      </c>
      <c r="AY449" s="2">
        <f ca="1">INT(AV449*RANDBETWEEN(90,130)/100)</f>
        <v>98031</v>
      </c>
      <c r="AZ449" t="str">
        <f t="shared" ca="1" si="33"/>
        <v>17.3%</v>
      </c>
      <c r="BA449" t="str">
        <f t="shared" ca="1" si="34"/>
        <v>BAJO</v>
      </c>
    </row>
    <row r="450" spans="4:53" x14ac:dyDescent="0.35">
      <c r="D450" t="s">
        <v>3252</v>
      </c>
      <c r="E450" s="1">
        <v>44168</v>
      </c>
      <c r="F450" t="s">
        <v>2032</v>
      </c>
      <c r="G450" t="s">
        <v>108</v>
      </c>
      <c r="H450" t="s">
        <v>3253</v>
      </c>
      <c r="I450">
        <v>20175482</v>
      </c>
      <c r="J450" t="s">
        <v>28</v>
      </c>
      <c r="K450">
        <v>2</v>
      </c>
      <c r="L450" t="s">
        <v>3254</v>
      </c>
      <c r="M450" t="s">
        <v>3144</v>
      </c>
      <c r="N450" t="s">
        <v>3145</v>
      </c>
      <c r="O450" t="s">
        <v>3255</v>
      </c>
      <c r="P450" t="s">
        <v>97</v>
      </c>
      <c r="Q450" s="1">
        <v>44162</v>
      </c>
      <c r="R450" t="s">
        <v>258</v>
      </c>
      <c r="S450" t="s">
        <v>27</v>
      </c>
      <c r="T450" t="s">
        <v>549</v>
      </c>
      <c r="U450" t="s">
        <v>115</v>
      </c>
      <c r="V450" t="s">
        <v>64</v>
      </c>
      <c r="W450" t="s">
        <v>3256</v>
      </c>
      <c r="X450">
        <v>20175482</v>
      </c>
      <c r="Y450" t="s">
        <v>259</v>
      </c>
      <c r="Z450" t="s">
        <v>260</v>
      </c>
      <c r="AA450" t="s">
        <v>32</v>
      </c>
      <c r="AB450" t="s">
        <v>133</v>
      </c>
      <c r="AC450" t="s">
        <v>25</v>
      </c>
      <c r="AD450" t="s">
        <v>121</v>
      </c>
      <c r="AE450">
        <v>1</v>
      </c>
      <c r="AF450" t="s">
        <v>27</v>
      </c>
      <c r="AG450" t="s">
        <v>26</v>
      </c>
      <c r="AH450" t="s">
        <v>2032</v>
      </c>
      <c r="AI450" t="str">
        <f t="shared" si="30"/>
        <v>NO</v>
      </c>
      <c r="AJ450" t="str">
        <f t="shared" si="31"/>
        <v>LABORATORIOS BAXTER</v>
      </c>
      <c r="AK450" t="str">
        <f>IF(ISNUMBER(SEARCH("FABRICANTE",AC450)),"FABRICANTE",IF(ISNUMBER(SEARCH("IMPORTADOR",AC450)),"IMPORTADOR","OTRO"))</f>
        <v>FABRICANTE</v>
      </c>
      <c r="AL450" t="str">
        <f>IF(LEFT(Y450,1)="A","Sistema digestivo",IF(LEFT(Y450,1)="B","Sangre",IF(LEFT(Y450,1)="C","Cardiovascular",IF(LEFT(Y450,1)="D","Dermatológico",IF(LEFT(Y450,1)="G","Genitourinario",IF(LEFT(Y450,1)="H","Hormonal",IF(LEFT(Y450,1)="J","Antiinfecciosos",IF(LEFT(Y450,1)="L","Oncológicos",IF(LEFT(Y450,1)="M","Musculoesquelético",IF(LEFT(Y450,1)="N","Sistema nervioso",IF(LEFT(Y450,1)="R","Respiratorio",IF(LEFT(Y450,1)="S","Oftálmico",IF(LEFT(Y450,1)="V","Varios","OTRO")))))))))))))</f>
        <v>Sangre</v>
      </c>
      <c r="AM450" t="str">
        <f>IF(AG450="Vigente","ACTIVO",IF(ISNUMBER(SEARCH("Inactivo",J450)),"INACTIVO","REVISAR"))</f>
        <v>ACTIVO</v>
      </c>
      <c r="AN450" t="str">
        <f ca="1">IF(OR(AF450="",AF450="null"),"",ROUND((AF450-TODAY())/365.25,2))</f>
        <v/>
      </c>
      <c r="AO450" t="str">
        <f ca="1">IF(AND(AG450="Vigente",OR(AF450="",AF450="null",AF450&gt;TODAY())),"SI",IF(AND(NOT(OR(AF450="",AF450="null")),AF450&lt;=TODAY()),"NO",IF(AG450="Vigente","SI","DESCONOCIDO")))</f>
        <v>SI</v>
      </c>
      <c r="AP450" t="str">
        <f>IF(AND(ISNUMBER(SEARCH("IMPORTAR",AA450)),ISNUMBER(SEARCH("FABRICAR",AA450))),"MIXTO",IF(ISNUMBER(SEARCH("IMPORTAR",AA450)),"IMPORTADO",IF(ISNUMBER(SEARCH("FABRICAR",AA450)),"LOCAL","OTRO")))</f>
        <v>IMPORTADO</v>
      </c>
      <c r="AQ450" t="str">
        <f>IF(AD450="Si","SI",IF(AD450="No","NO",""))</f>
        <v>NO</v>
      </c>
      <c r="AR450" t="str">
        <f>IF(ISNUMBER(SEARCH("®",N450)),"MARCA/INNOVADOR","GENERICO")</f>
        <v>GENERICO</v>
      </c>
      <c r="AS450">
        <f ca="1">IF(AE450&gt;100,RANDBETWEEN(500,5000),IF(AND(AE450&gt;=10,AE450&lt;=100),RANDBETWEEN(100,1000),RANDBETWEEN(10,200)))</f>
        <v>28</v>
      </c>
      <c r="AT450">
        <f t="shared" ca="1" si="32"/>
        <v>8</v>
      </c>
      <c r="AU450">
        <f ca="1">INT(AS450*RANDBETWEEN(120,200)/100)</f>
        <v>49</v>
      </c>
      <c r="AV450" s="2">
        <f ca="1">IF(LEFT(Y450,1)="L",RANDBETWEEN(500000,5000000),IF(LEFT(Y450,1)="C",RANDBETWEEN(5000,50000),IF(LEFT(Y450,1)="N",RANDBETWEEN(10000,150000),IF(LEFT(Y450,1)="J",RANDBETWEEN(8000,200000),RANDBETWEEN(5000,100000)))))</f>
        <v>62743</v>
      </c>
      <c r="AW450" s="2">
        <f ca="1">INT(AV450*RANDBETWEEN(30,60)/100)</f>
        <v>37018</v>
      </c>
      <c r="AX450">
        <f ca="1">IF(Z450="ORAL",RANDBETWEEN(1000,10000),IF(OR(Z450="INTRAVENOSA",Z450="INTRAMUSCULAR"),RANDBETWEEN(100,2000),IF(OR(Z450="OFTÁLMICA",Z450="TOPICA (EXTERNA)"),RANDBETWEEN(200,3000),RANDBETWEEN(100,1500))))</f>
        <v>740</v>
      </c>
      <c r="AY450" s="2">
        <f ca="1">INT(AV450*RANDBETWEEN(90,130)/100)</f>
        <v>67762</v>
      </c>
      <c r="AZ450" t="str">
        <f t="shared" ca="1" si="33"/>
        <v>2.5%</v>
      </c>
      <c r="BA450" t="str">
        <f t="shared" ca="1" si="34"/>
        <v>BAJO</v>
      </c>
    </row>
    <row r="451" spans="4:53" x14ac:dyDescent="0.35">
      <c r="D451" t="s">
        <v>3257</v>
      </c>
      <c r="E451" s="1">
        <v>42612</v>
      </c>
      <c r="F451" t="s">
        <v>3258</v>
      </c>
      <c r="G451" t="s">
        <v>108</v>
      </c>
      <c r="H451" t="s">
        <v>1317</v>
      </c>
      <c r="I451">
        <v>20097607</v>
      </c>
      <c r="J451" t="s">
        <v>28</v>
      </c>
      <c r="K451">
        <v>38</v>
      </c>
      <c r="L451" t="s">
        <v>3259</v>
      </c>
      <c r="M451" t="s">
        <v>3260</v>
      </c>
      <c r="N451" t="s">
        <v>3261</v>
      </c>
      <c r="O451" t="s">
        <v>3262</v>
      </c>
      <c r="P451" t="s">
        <v>29</v>
      </c>
      <c r="Q451" s="1">
        <v>42612</v>
      </c>
      <c r="R451" t="s">
        <v>29</v>
      </c>
      <c r="S451" t="s">
        <v>27</v>
      </c>
      <c r="T451" t="s">
        <v>81</v>
      </c>
      <c r="U451" t="s">
        <v>115</v>
      </c>
      <c r="V451" t="s">
        <v>3258</v>
      </c>
      <c r="W451" t="s">
        <v>433</v>
      </c>
      <c r="X451">
        <v>20097607</v>
      </c>
      <c r="Y451" t="s">
        <v>3263</v>
      </c>
      <c r="Z451" t="s">
        <v>119</v>
      </c>
      <c r="AA451" t="s">
        <v>24</v>
      </c>
      <c r="AB451" t="s">
        <v>120</v>
      </c>
      <c r="AC451" t="s">
        <v>25</v>
      </c>
      <c r="AD451" t="s">
        <v>121</v>
      </c>
      <c r="AE451">
        <v>200</v>
      </c>
      <c r="AF451" t="s">
        <v>27</v>
      </c>
      <c r="AG451" t="s">
        <v>26</v>
      </c>
      <c r="AH451" t="s">
        <v>3258</v>
      </c>
      <c r="AI451" t="str">
        <f t="shared" ref="AI451:AI514" si="35">IF(OR(ISNUMBER(SEARCH("+",F451)),ISNUMBER(SEARCH(".",F451))),"SI","NO")</f>
        <v>NO</v>
      </c>
      <c r="AJ451" t="str">
        <f t="shared" ref="AJ451:AJ514" si="3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451)," S.A.S.",""),"S.A.S.","")," S.A.S",""),"S.A.S","")," S.A.C.I.","")," S.A.C.I","")," SAS","")," S.A.","")," S.A","")," LTDA.","")," LTDA","")," LIMITED","")," LTD.","")," LTD","")," INC.","")," INC","")," GMBH &amp; CO. KG.","")," GMBH","")," LLC","")," A.G.","")," A.G","")," A/S","")," S.R.L.","")," S.R.L","")," S.P.A.","")," DE C.V.","")," AG",""),"  "," "))</f>
        <v>LABORATORIOS MK</v>
      </c>
      <c r="AK451" t="str">
        <f>IF(ISNUMBER(SEARCH("FABRICANTE",AC451)),"FABRICANTE",IF(ISNUMBER(SEARCH("IMPORTADOR",AC451)),"IMPORTADOR","OTRO"))</f>
        <v>FABRICANTE</v>
      </c>
      <c r="AL451" t="str">
        <f>IF(LEFT(Y451,1)="A","Sistema digestivo",IF(LEFT(Y451,1)="B","Sangre",IF(LEFT(Y451,1)="C","Cardiovascular",IF(LEFT(Y451,1)="D","Dermatológico",IF(LEFT(Y451,1)="G","Genitourinario",IF(LEFT(Y451,1)="H","Hormonal",IF(LEFT(Y451,1)="J","Antiinfecciosos",IF(LEFT(Y451,1)="L","Oncológicos",IF(LEFT(Y451,1)="M","Musculoesquelético",IF(LEFT(Y451,1)="N","Sistema nervioso",IF(LEFT(Y451,1)="R","Respiratorio",IF(LEFT(Y451,1)="S","Oftálmico",IF(LEFT(Y451,1)="V","Varios","OTRO")))))))))))))</f>
        <v>Genitourinario</v>
      </c>
      <c r="AM451" t="str">
        <f>IF(AG451="Vigente","ACTIVO",IF(ISNUMBER(SEARCH("Inactivo",J451)),"INACTIVO","REVISAR"))</f>
        <v>ACTIVO</v>
      </c>
      <c r="AN451" t="str">
        <f ca="1">IF(OR(AF451="",AF451="null"),"",ROUND((AF451-TODAY())/365.25,2))</f>
        <v/>
      </c>
      <c r="AO451" t="str">
        <f ca="1">IF(AND(AG451="Vigente",OR(AF451="",AF451="null",AF451&gt;TODAY())),"SI",IF(AND(NOT(OR(AF451="",AF451="null")),AF451&lt;=TODAY()),"NO",IF(AG451="Vigente","SI","DESCONOCIDO")))</f>
        <v>SI</v>
      </c>
      <c r="AP451" t="str">
        <f>IF(AND(ISNUMBER(SEARCH("IMPORTAR",AA451)),ISNUMBER(SEARCH("FABRICAR",AA451))),"MIXTO",IF(ISNUMBER(SEARCH("IMPORTAR",AA451)),"IMPORTADO",IF(ISNUMBER(SEARCH("FABRICAR",AA451)),"LOCAL","OTRO")))</f>
        <v>LOCAL</v>
      </c>
      <c r="AQ451" t="str">
        <f>IF(AD451="Si","SI",IF(AD451="No","NO",""))</f>
        <v>NO</v>
      </c>
      <c r="AR451" t="str">
        <f>IF(ISNUMBER(SEARCH("®",N451)),"MARCA/INNOVADOR","GENERICO")</f>
        <v>GENERICO</v>
      </c>
      <c r="AS451">
        <f ca="1">IF(AE451&gt;100,RANDBETWEEN(500,5000),IF(AND(AE451&gt;=10,AE451&lt;=100),RANDBETWEEN(100,1000),RANDBETWEEN(10,200)))</f>
        <v>946</v>
      </c>
      <c r="AT451">
        <f t="shared" ref="AT451:AT514" ca="1" si="37">INT(AS451*RANDBETWEEN(10,30)/100)</f>
        <v>217</v>
      </c>
      <c r="AU451">
        <f ca="1">INT(AS451*RANDBETWEEN(120,200)/100)</f>
        <v>1617</v>
      </c>
      <c r="AV451" s="2">
        <f ca="1">IF(LEFT(Y451,1)="L",RANDBETWEEN(500000,5000000),IF(LEFT(Y451,1)="C",RANDBETWEEN(5000,50000),IF(LEFT(Y451,1)="N",RANDBETWEEN(10000,150000),IF(LEFT(Y451,1)="J",RANDBETWEEN(8000,200000),RANDBETWEEN(5000,100000)))))</f>
        <v>26920</v>
      </c>
      <c r="AW451" s="2">
        <f ca="1">INT(AV451*RANDBETWEEN(30,60)/100)</f>
        <v>12921</v>
      </c>
      <c r="AX451">
        <f ca="1">IF(Z451="ORAL",RANDBETWEEN(1000,10000),IF(OR(Z451="INTRAVENOSA",Z451="INTRAMUSCULAR"),RANDBETWEEN(100,2000),IF(OR(Z451="OFTÁLMICA",Z451="TOPICA (EXTERNA)"),RANDBETWEEN(200,3000),RANDBETWEEN(100,1500))))</f>
        <v>2563</v>
      </c>
      <c r="AY451" s="2">
        <f ca="1">INT(AV451*RANDBETWEEN(90,130)/100)</f>
        <v>28266</v>
      </c>
      <c r="AZ451" t="str">
        <f t="shared" ref="AZ451:AZ514" ca="1" si="38">IF(Z451="ORAL",RANDBETWEEN(50,250)/10,IF(OR(Z451="TOPICA (EXTERNA)",Z451="OFTÁLMICA"),RANDBETWEEN(20,150)/10,IF(OR(Z451="SUBCUTANEA",Z451="INTRAMUSCULAR"),RANDBETWEEN(10,100)/10,IF(Z451="INTRAVENOSA",RANDBETWEEN(1,50)/10,RANDBETWEEN(5,80)/10))))&amp;"%"</f>
        <v>7.6%</v>
      </c>
      <c r="BA451" t="str">
        <f t="shared" ref="BA451:BA514" ca="1" si="39">IF(OR(AG451&lt;&gt;"Vigente",AND(ISNUMBER(AF451),AF451&lt;TODAY()),AND(J451="Inactivo",NOT(ISNUMBER(AF451)))),"ALTO",IF(OR(AND(J451="Inactivo",ISNUMBER(AF451)),AND(ISNUMBER(AF451),AF451&gt;TODAY(),AF451&lt;=TODAY()+1825)),"MEDIO","BAJO"))</f>
        <v>BAJO</v>
      </c>
    </row>
    <row r="452" spans="4:53" x14ac:dyDescent="0.35">
      <c r="D452" t="s">
        <v>3264</v>
      </c>
      <c r="E452" s="1">
        <v>36209</v>
      </c>
      <c r="F452" t="s">
        <v>3265</v>
      </c>
      <c r="G452" t="s">
        <v>108</v>
      </c>
      <c r="H452" t="s">
        <v>146</v>
      </c>
      <c r="I452">
        <v>28346</v>
      </c>
      <c r="J452" t="s">
        <v>28</v>
      </c>
      <c r="K452">
        <v>13</v>
      </c>
      <c r="L452" t="s">
        <v>27</v>
      </c>
      <c r="M452" t="s">
        <v>2679</v>
      </c>
      <c r="N452" t="s">
        <v>2680</v>
      </c>
      <c r="O452" t="s">
        <v>2681</v>
      </c>
      <c r="P452" t="s">
        <v>3266</v>
      </c>
      <c r="Q452" s="1">
        <v>41170</v>
      </c>
      <c r="R452" t="s">
        <v>375</v>
      </c>
      <c r="S452" t="s">
        <v>27</v>
      </c>
      <c r="T452" t="s">
        <v>80</v>
      </c>
      <c r="U452" t="s">
        <v>781</v>
      </c>
      <c r="V452" t="s">
        <v>339</v>
      </c>
      <c r="W452">
        <v>16</v>
      </c>
      <c r="X452">
        <v>28346</v>
      </c>
      <c r="Y452" t="s">
        <v>340</v>
      </c>
      <c r="Z452" t="s">
        <v>341</v>
      </c>
      <c r="AA452" t="s">
        <v>24</v>
      </c>
      <c r="AB452" t="s">
        <v>120</v>
      </c>
      <c r="AC452" t="s">
        <v>25</v>
      </c>
      <c r="AD452" t="s">
        <v>121</v>
      </c>
      <c r="AE452">
        <v>4</v>
      </c>
      <c r="AF452" t="s">
        <v>27</v>
      </c>
      <c r="AG452" t="s">
        <v>26</v>
      </c>
      <c r="AH452" t="s">
        <v>339</v>
      </c>
      <c r="AI452" t="str">
        <f t="shared" si="35"/>
        <v>SI</v>
      </c>
      <c r="AJ452" t="str">
        <f t="shared" si="36"/>
        <v>TECNOQUIMICAS</v>
      </c>
      <c r="AK452" t="str">
        <f>IF(ISNUMBER(SEARCH("FABRICANTE",AC452)),"FABRICANTE",IF(ISNUMBER(SEARCH("IMPORTADOR",AC452)),"IMPORTADOR","OTRO"))</f>
        <v>FABRICANTE</v>
      </c>
      <c r="AL452" t="str">
        <f>IF(LEFT(Y452,1)="A","Sistema digestivo",IF(LEFT(Y452,1)="B","Sangre",IF(LEFT(Y452,1)="C","Cardiovascular",IF(LEFT(Y452,1)="D","Dermatológico",IF(LEFT(Y452,1)="G","Genitourinario",IF(LEFT(Y452,1)="H","Hormonal",IF(LEFT(Y452,1)="J","Antiinfecciosos",IF(LEFT(Y452,1)="L","Oncológicos",IF(LEFT(Y452,1)="M","Musculoesquelético",IF(LEFT(Y452,1)="N","Sistema nervioso",IF(LEFT(Y452,1)="R","Respiratorio",IF(LEFT(Y452,1)="S","Oftálmico",IF(LEFT(Y452,1)="V","Varios","OTRO")))))))))))))</f>
        <v>Hormonal</v>
      </c>
      <c r="AM452" t="str">
        <f>IF(AG452="Vigente","ACTIVO",IF(ISNUMBER(SEARCH("Inactivo",J452)),"INACTIVO","REVISAR"))</f>
        <v>ACTIVO</v>
      </c>
      <c r="AN452" t="str">
        <f ca="1">IF(OR(AF452="",AF452="null"),"",ROUND((AF452-TODAY())/365.25,2))</f>
        <v/>
      </c>
      <c r="AO452" t="str">
        <f ca="1">IF(AND(AG452="Vigente",OR(AF452="",AF452="null",AF452&gt;TODAY())),"SI",IF(AND(NOT(OR(AF452="",AF452="null")),AF452&lt;=TODAY()),"NO",IF(AG452="Vigente","SI","DESCONOCIDO")))</f>
        <v>SI</v>
      </c>
      <c r="AP452" t="str">
        <f>IF(AND(ISNUMBER(SEARCH("IMPORTAR",AA452)),ISNUMBER(SEARCH("FABRICAR",AA452))),"MIXTO",IF(ISNUMBER(SEARCH("IMPORTAR",AA452)),"IMPORTADO",IF(ISNUMBER(SEARCH("FABRICAR",AA452)),"LOCAL","OTRO")))</f>
        <v>LOCAL</v>
      </c>
      <c r="AQ452" t="str">
        <f>IF(AD452="Si","SI",IF(AD452="No","NO",""))</f>
        <v>NO</v>
      </c>
      <c r="AR452" t="str">
        <f>IF(ISNUMBER(SEARCH("®",N452)),"MARCA/INNOVADOR","GENERICO")</f>
        <v>GENERICO</v>
      </c>
      <c r="AS452">
        <f ca="1">IF(AE452&gt;100,RANDBETWEEN(500,5000),IF(AND(AE452&gt;=10,AE452&lt;=100),RANDBETWEEN(100,1000),RANDBETWEEN(10,200)))</f>
        <v>147</v>
      </c>
      <c r="AT452">
        <f t="shared" ca="1" si="37"/>
        <v>33</v>
      </c>
      <c r="AU452">
        <f ca="1">INT(AS452*RANDBETWEEN(120,200)/100)</f>
        <v>242</v>
      </c>
      <c r="AV452" s="2">
        <f ca="1">IF(LEFT(Y452,1)="L",RANDBETWEEN(500000,5000000),IF(LEFT(Y452,1)="C",RANDBETWEEN(5000,50000),IF(LEFT(Y452,1)="N",RANDBETWEEN(10000,150000),IF(LEFT(Y452,1)="J",RANDBETWEEN(8000,200000),RANDBETWEEN(5000,100000)))))</f>
        <v>54833</v>
      </c>
      <c r="AW452" s="2">
        <f ca="1">INT(AV452*RANDBETWEEN(30,60)/100)</f>
        <v>24126</v>
      </c>
      <c r="AX452">
        <f ca="1">IF(Z452="ORAL",RANDBETWEEN(1000,10000),IF(OR(Z452="INTRAVENOSA",Z452="INTRAMUSCULAR"),RANDBETWEEN(100,2000),IF(OR(Z452="OFTÁLMICA",Z452="TOPICA (EXTERNA)"),RANDBETWEEN(200,3000),RANDBETWEEN(100,1500))))</f>
        <v>154</v>
      </c>
      <c r="AY452" s="2">
        <f ca="1">INT(AV452*RANDBETWEEN(90,130)/100)</f>
        <v>65251</v>
      </c>
      <c r="AZ452" t="str">
        <f t="shared" ca="1" si="38"/>
        <v>1.2%</v>
      </c>
      <c r="BA452" t="str">
        <f t="shared" ca="1" si="39"/>
        <v>BAJO</v>
      </c>
    </row>
    <row r="453" spans="4:53" x14ac:dyDescent="0.35">
      <c r="D453" t="s">
        <v>3267</v>
      </c>
      <c r="E453" s="1">
        <v>41330</v>
      </c>
      <c r="F453" t="s">
        <v>515</v>
      </c>
      <c r="G453" t="s">
        <v>108</v>
      </c>
      <c r="H453" t="s">
        <v>187</v>
      </c>
      <c r="I453">
        <v>20040731</v>
      </c>
      <c r="J453" t="s">
        <v>28</v>
      </c>
      <c r="K453">
        <v>10</v>
      </c>
      <c r="L453" t="s">
        <v>27</v>
      </c>
      <c r="M453" t="s">
        <v>3268</v>
      </c>
      <c r="N453" t="s">
        <v>3269</v>
      </c>
      <c r="O453" t="s">
        <v>3270</v>
      </c>
      <c r="P453" t="s">
        <v>1061</v>
      </c>
      <c r="Q453" s="1">
        <v>41312</v>
      </c>
      <c r="R453" t="s">
        <v>527</v>
      </c>
      <c r="S453" t="s">
        <v>27</v>
      </c>
      <c r="T453" t="s">
        <v>80</v>
      </c>
      <c r="U453" t="s">
        <v>115</v>
      </c>
      <c r="V453" t="s">
        <v>515</v>
      </c>
      <c r="W453">
        <v>400</v>
      </c>
      <c r="X453">
        <v>20040731</v>
      </c>
      <c r="Y453" t="s">
        <v>1567</v>
      </c>
      <c r="Z453" t="s">
        <v>119</v>
      </c>
      <c r="AA453" t="s">
        <v>24</v>
      </c>
      <c r="AB453" t="s">
        <v>120</v>
      </c>
      <c r="AC453" t="s">
        <v>25</v>
      </c>
      <c r="AD453" t="s">
        <v>121</v>
      </c>
      <c r="AE453">
        <v>36</v>
      </c>
      <c r="AF453" t="s">
        <v>27</v>
      </c>
      <c r="AG453" t="s">
        <v>26</v>
      </c>
      <c r="AH453" t="s">
        <v>515</v>
      </c>
      <c r="AI453" t="str">
        <f t="shared" si="35"/>
        <v>NO</v>
      </c>
      <c r="AJ453" t="str">
        <f t="shared" si="36"/>
        <v>TECNOQUIMICAS</v>
      </c>
      <c r="AK453" t="str">
        <f>IF(ISNUMBER(SEARCH("FABRICANTE",AC453)),"FABRICANTE",IF(ISNUMBER(SEARCH("IMPORTADOR",AC453)),"IMPORTADOR","OTRO"))</f>
        <v>FABRICANTE</v>
      </c>
      <c r="AL453" t="str">
        <f>IF(LEFT(Y453,1)="A","Sistema digestivo",IF(LEFT(Y453,1)="B","Sangre",IF(LEFT(Y453,1)="C","Cardiovascular",IF(LEFT(Y453,1)="D","Dermatológico",IF(LEFT(Y453,1)="G","Genitourinario",IF(LEFT(Y453,1)="H","Hormonal",IF(LEFT(Y453,1)="J","Antiinfecciosos",IF(LEFT(Y453,1)="L","Oncológicos",IF(LEFT(Y453,1)="M","Musculoesquelético",IF(LEFT(Y453,1)="N","Sistema nervioso",IF(LEFT(Y453,1)="R","Respiratorio",IF(LEFT(Y453,1)="S","Oftálmico",IF(LEFT(Y453,1)="V","Varios","OTRO")))))))))))))</f>
        <v>Musculoesquelético</v>
      </c>
      <c r="AM453" t="str">
        <f>IF(AG453="Vigente","ACTIVO",IF(ISNUMBER(SEARCH("Inactivo",J453)),"INACTIVO","REVISAR"))</f>
        <v>ACTIVO</v>
      </c>
      <c r="AN453" t="str">
        <f ca="1">IF(OR(AF453="",AF453="null"),"",ROUND((AF453-TODAY())/365.25,2))</f>
        <v/>
      </c>
      <c r="AO453" t="str">
        <f ca="1">IF(AND(AG453="Vigente",OR(AF453="",AF453="null",AF453&gt;TODAY())),"SI",IF(AND(NOT(OR(AF453="",AF453="null")),AF453&lt;=TODAY()),"NO",IF(AG453="Vigente","SI","DESCONOCIDO")))</f>
        <v>SI</v>
      </c>
      <c r="AP453" t="str">
        <f>IF(AND(ISNUMBER(SEARCH("IMPORTAR",AA453)),ISNUMBER(SEARCH("FABRICAR",AA453))),"MIXTO",IF(ISNUMBER(SEARCH("IMPORTAR",AA453)),"IMPORTADO",IF(ISNUMBER(SEARCH("FABRICAR",AA453)),"LOCAL","OTRO")))</f>
        <v>LOCAL</v>
      </c>
      <c r="AQ453" t="str">
        <f>IF(AD453="Si","SI",IF(AD453="No","NO",""))</f>
        <v>NO</v>
      </c>
      <c r="AR453" t="str">
        <f>IF(ISNUMBER(SEARCH("®",N453)),"MARCA/INNOVADOR","GENERICO")</f>
        <v>MARCA/INNOVADOR</v>
      </c>
      <c r="AS453">
        <f ca="1">IF(AE453&gt;100,RANDBETWEEN(500,5000),IF(AND(AE453&gt;=10,AE453&lt;=100),RANDBETWEEN(100,1000),RANDBETWEEN(10,200)))</f>
        <v>510</v>
      </c>
      <c r="AT453">
        <f t="shared" ca="1" si="37"/>
        <v>96</v>
      </c>
      <c r="AU453">
        <f ca="1">INT(AS453*RANDBETWEEN(120,200)/100)</f>
        <v>948</v>
      </c>
      <c r="AV453" s="2">
        <f ca="1">IF(LEFT(Y453,1)="L",RANDBETWEEN(500000,5000000),IF(LEFT(Y453,1)="C",RANDBETWEEN(5000,50000),IF(LEFT(Y453,1)="N",RANDBETWEEN(10000,150000),IF(LEFT(Y453,1)="J",RANDBETWEEN(8000,200000),RANDBETWEEN(5000,100000)))))</f>
        <v>94632</v>
      </c>
      <c r="AW453" s="2">
        <f ca="1">INT(AV453*RANDBETWEEN(30,60)/100)</f>
        <v>52047</v>
      </c>
      <c r="AX453">
        <f ca="1">IF(Z453="ORAL",RANDBETWEEN(1000,10000),IF(OR(Z453="INTRAVENOSA",Z453="INTRAMUSCULAR"),RANDBETWEEN(100,2000),IF(OR(Z453="OFTÁLMICA",Z453="TOPICA (EXTERNA)"),RANDBETWEEN(200,3000),RANDBETWEEN(100,1500))))</f>
        <v>7770</v>
      </c>
      <c r="AY453" s="2">
        <f ca="1">INT(AV453*RANDBETWEEN(90,130)/100)</f>
        <v>107880</v>
      </c>
      <c r="AZ453" t="str">
        <f t="shared" ca="1" si="38"/>
        <v>8.1%</v>
      </c>
      <c r="BA453" t="str">
        <f t="shared" ca="1" si="39"/>
        <v>BAJO</v>
      </c>
    </row>
    <row r="454" spans="4:53" x14ac:dyDescent="0.35">
      <c r="D454" t="s">
        <v>3271</v>
      </c>
      <c r="E454" s="1">
        <v>42975</v>
      </c>
      <c r="F454" t="s">
        <v>692</v>
      </c>
      <c r="G454" t="s">
        <v>108</v>
      </c>
      <c r="H454" t="s">
        <v>1011</v>
      </c>
      <c r="I454">
        <v>20120926</v>
      </c>
      <c r="J454" t="s">
        <v>28</v>
      </c>
      <c r="K454">
        <v>2</v>
      </c>
      <c r="L454" t="s">
        <v>27</v>
      </c>
      <c r="M454" t="s">
        <v>3272</v>
      </c>
      <c r="N454" t="s">
        <v>3273</v>
      </c>
      <c r="O454" t="s">
        <v>3274</v>
      </c>
      <c r="P454" t="s">
        <v>33</v>
      </c>
      <c r="Q454" s="1">
        <v>42970</v>
      </c>
      <c r="R454" t="s">
        <v>33</v>
      </c>
      <c r="S454" t="s">
        <v>27</v>
      </c>
      <c r="T454" t="s">
        <v>1011</v>
      </c>
      <c r="U454" t="s">
        <v>115</v>
      </c>
      <c r="V454" t="s">
        <v>1522</v>
      </c>
      <c r="W454">
        <v>75</v>
      </c>
      <c r="X454">
        <v>20120926</v>
      </c>
      <c r="Y454" t="s">
        <v>1523</v>
      </c>
      <c r="Z454" t="s">
        <v>119</v>
      </c>
      <c r="AA454" t="s">
        <v>24</v>
      </c>
      <c r="AB454" t="s">
        <v>120</v>
      </c>
      <c r="AC454" t="s">
        <v>25</v>
      </c>
      <c r="AD454" t="s">
        <v>121</v>
      </c>
      <c r="AE454">
        <v>8</v>
      </c>
      <c r="AF454" t="s">
        <v>27</v>
      </c>
      <c r="AG454" t="s">
        <v>26</v>
      </c>
      <c r="AH454" t="s">
        <v>692</v>
      </c>
      <c r="AI454" t="str">
        <f t="shared" si="35"/>
        <v>NO</v>
      </c>
      <c r="AJ454" t="str">
        <f t="shared" si="36"/>
        <v>EUROFARMA COLOMBIA</v>
      </c>
      <c r="AK454" t="str">
        <f>IF(ISNUMBER(SEARCH("FABRICANTE",AC454)),"FABRICANTE",IF(ISNUMBER(SEARCH("IMPORTADOR",AC454)),"IMPORTADOR","OTRO"))</f>
        <v>FABRICANTE</v>
      </c>
      <c r="AL454" t="str">
        <f>IF(LEFT(Y454,1)="A","Sistema digestivo",IF(LEFT(Y454,1)="B","Sangre",IF(LEFT(Y454,1)="C","Cardiovascular",IF(LEFT(Y454,1)="D","Dermatológico",IF(LEFT(Y454,1)="G","Genitourinario",IF(LEFT(Y454,1)="H","Hormonal",IF(LEFT(Y454,1)="J","Antiinfecciosos",IF(LEFT(Y454,1)="L","Oncológicos",IF(LEFT(Y454,1)="M","Musculoesquelético",IF(LEFT(Y454,1)="N","Sistema nervioso",IF(LEFT(Y454,1)="R","Respiratorio",IF(LEFT(Y454,1)="S","Oftálmico",IF(LEFT(Y454,1)="V","Varios","OTRO")))))))))))))</f>
        <v>Genitourinario</v>
      </c>
      <c r="AM454" t="str">
        <f>IF(AG454="Vigente","ACTIVO",IF(ISNUMBER(SEARCH("Inactivo",J454)),"INACTIVO","REVISAR"))</f>
        <v>ACTIVO</v>
      </c>
      <c r="AN454" t="str">
        <f ca="1">IF(OR(AF454="",AF454="null"),"",ROUND((AF454-TODAY())/365.25,2))</f>
        <v/>
      </c>
      <c r="AO454" t="str">
        <f ca="1">IF(AND(AG454="Vigente",OR(AF454="",AF454="null",AF454&gt;TODAY())),"SI",IF(AND(NOT(OR(AF454="",AF454="null")),AF454&lt;=TODAY()),"NO",IF(AG454="Vigente","SI","DESCONOCIDO")))</f>
        <v>SI</v>
      </c>
      <c r="AP454" t="str">
        <f>IF(AND(ISNUMBER(SEARCH("IMPORTAR",AA454)),ISNUMBER(SEARCH("FABRICAR",AA454))),"MIXTO",IF(ISNUMBER(SEARCH("IMPORTAR",AA454)),"IMPORTADO",IF(ISNUMBER(SEARCH("FABRICAR",AA454)),"LOCAL","OTRO")))</f>
        <v>LOCAL</v>
      </c>
      <c r="AQ454" t="str">
        <f>IF(AD454="Si","SI",IF(AD454="No","NO",""))</f>
        <v>NO</v>
      </c>
      <c r="AR454" t="str">
        <f>IF(ISNUMBER(SEARCH("®",N454)),"MARCA/INNOVADOR","GENERICO")</f>
        <v>MARCA/INNOVADOR</v>
      </c>
      <c r="AS454">
        <f ca="1">IF(AE454&gt;100,RANDBETWEEN(500,5000),IF(AND(AE454&gt;=10,AE454&lt;=100),RANDBETWEEN(100,1000),RANDBETWEEN(10,200)))</f>
        <v>146</v>
      </c>
      <c r="AT454">
        <f t="shared" ca="1" si="37"/>
        <v>40</v>
      </c>
      <c r="AU454">
        <f ca="1">INT(AS454*RANDBETWEEN(120,200)/100)</f>
        <v>252</v>
      </c>
      <c r="AV454" s="2">
        <f ca="1">IF(LEFT(Y454,1)="L",RANDBETWEEN(500000,5000000),IF(LEFT(Y454,1)="C",RANDBETWEEN(5000,50000),IF(LEFT(Y454,1)="N",RANDBETWEEN(10000,150000),IF(LEFT(Y454,1)="J",RANDBETWEEN(8000,200000),RANDBETWEEN(5000,100000)))))</f>
        <v>49107</v>
      </c>
      <c r="AW454" s="2">
        <f ca="1">INT(AV454*RANDBETWEEN(30,60)/100)</f>
        <v>18169</v>
      </c>
      <c r="AX454">
        <f ca="1">IF(Z454="ORAL",RANDBETWEEN(1000,10000),IF(OR(Z454="INTRAVENOSA",Z454="INTRAMUSCULAR"),RANDBETWEEN(100,2000),IF(OR(Z454="OFTÁLMICA",Z454="TOPICA (EXTERNA)"),RANDBETWEEN(200,3000),RANDBETWEEN(100,1500))))</f>
        <v>5659</v>
      </c>
      <c r="AY454" s="2">
        <f ca="1">INT(AV454*RANDBETWEEN(90,130)/100)</f>
        <v>60401</v>
      </c>
      <c r="AZ454" t="str">
        <f t="shared" ca="1" si="38"/>
        <v>20.4%</v>
      </c>
      <c r="BA454" t="str">
        <f t="shared" ca="1" si="39"/>
        <v>BAJO</v>
      </c>
    </row>
    <row r="455" spans="4:53" x14ac:dyDescent="0.35">
      <c r="D455" t="s">
        <v>3275</v>
      </c>
      <c r="E455" s="1">
        <v>41828</v>
      </c>
      <c r="F455" t="s">
        <v>3276</v>
      </c>
      <c r="G455" t="s">
        <v>108</v>
      </c>
      <c r="H455" t="s">
        <v>454</v>
      </c>
      <c r="I455">
        <v>20066116</v>
      </c>
      <c r="J455" t="s">
        <v>28</v>
      </c>
      <c r="K455">
        <v>25</v>
      </c>
      <c r="L455" t="s">
        <v>27</v>
      </c>
      <c r="M455" t="s">
        <v>3277</v>
      </c>
      <c r="N455" t="s">
        <v>3278</v>
      </c>
      <c r="O455" t="s">
        <v>3279</v>
      </c>
      <c r="P455" t="s">
        <v>1435</v>
      </c>
      <c r="Q455" s="1">
        <v>44454</v>
      </c>
      <c r="R455" t="s">
        <v>584</v>
      </c>
      <c r="S455" t="s">
        <v>27</v>
      </c>
      <c r="T455" t="s">
        <v>454</v>
      </c>
      <c r="U455" t="s">
        <v>115</v>
      </c>
      <c r="V455" t="s">
        <v>585</v>
      </c>
      <c r="W455">
        <v>40</v>
      </c>
      <c r="X455">
        <v>20066116</v>
      </c>
      <c r="Y455" t="s">
        <v>586</v>
      </c>
      <c r="Z455" t="s">
        <v>119</v>
      </c>
      <c r="AA455" t="s">
        <v>24</v>
      </c>
      <c r="AB455" t="s">
        <v>120</v>
      </c>
      <c r="AC455" t="s">
        <v>25</v>
      </c>
      <c r="AD455" t="s">
        <v>121</v>
      </c>
      <c r="AE455">
        <v>100</v>
      </c>
      <c r="AF455" t="s">
        <v>27</v>
      </c>
      <c r="AG455" t="s">
        <v>26</v>
      </c>
      <c r="AH455" t="s">
        <v>585</v>
      </c>
      <c r="AI455" t="str">
        <f t="shared" si="35"/>
        <v>SI</v>
      </c>
      <c r="AJ455" t="str">
        <f t="shared" si="36"/>
        <v>PROCAPS</v>
      </c>
      <c r="AK455" t="str">
        <f>IF(ISNUMBER(SEARCH("FABRICANTE",AC455)),"FABRICANTE",IF(ISNUMBER(SEARCH("IMPORTADOR",AC455)),"IMPORTADOR","OTRO"))</f>
        <v>FABRICANTE</v>
      </c>
      <c r="AL455" t="str">
        <f>IF(LEFT(Y455,1)="A","Sistema digestivo",IF(LEFT(Y455,1)="B","Sangre",IF(LEFT(Y455,1)="C","Cardiovascular",IF(LEFT(Y455,1)="D","Dermatológico",IF(LEFT(Y455,1)="G","Genitourinario",IF(LEFT(Y455,1)="H","Hormonal",IF(LEFT(Y455,1)="J","Antiinfecciosos",IF(LEFT(Y455,1)="L","Oncológicos",IF(LEFT(Y455,1)="M","Musculoesquelético",IF(LEFT(Y455,1)="N","Sistema nervioso",IF(LEFT(Y455,1)="R","Respiratorio",IF(LEFT(Y455,1)="S","Oftálmico",IF(LEFT(Y455,1)="V","Varios","OTRO")))))))))))))</f>
        <v>Sistema digestivo</v>
      </c>
      <c r="AM455" t="str">
        <f>IF(AG455="Vigente","ACTIVO",IF(ISNUMBER(SEARCH("Inactivo",J455)),"INACTIVO","REVISAR"))</f>
        <v>ACTIVO</v>
      </c>
      <c r="AN455" t="str">
        <f ca="1">IF(OR(AF455="",AF455="null"),"",ROUND((AF455-TODAY())/365.25,2))</f>
        <v/>
      </c>
      <c r="AO455" t="str">
        <f ca="1">IF(AND(AG455="Vigente",OR(AF455="",AF455="null",AF455&gt;TODAY())),"SI",IF(AND(NOT(OR(AF455="",AF455="null")),AF455&lt;=TODAY()),"NO",IF(AG455="Vigente","SI","DESCONOCIDO")))</f>
        <v>SI</v>
      </c>
      <c r="AP455" t="str">
        <f>IF(AND(ISNUMBER(SEARCH("IMPORTAR",AA455)),ISNUMBER(SEARCH("FABRICAR",AA455))),"MIXTO",IF(ISNUMBER(SEARCH("IMPORTAR",AA455)),"IMPORTADO",IF(ISNUMBER(SEARCH("FABRICAR",AA455)),"LOCAL","OTRO")))</f>
        <v>LOCAL</v>
      </c>
      <c r="AQ455" t="str">
        <f>IF(AD455="Si","SI",IF(AD455="No","NO",""))</f>
        <v>NO</v>
      </c>
      <c r="AR455" t="str">
        <f>IF(ISNUMBER(SEARCH("®",N455)),"MARCA/INNOVADOR","GENERICO")</f>
        <v>GENERICO</v>
      </c>
      <c r="AS455">
        <f ca="1">IF(AE455&gt;100,RANDBETWEEN(500,5000),IF(AND(AE455&gt;=10,AE455&lt;=100),RANDBETWEEN(100,1000),RANDBETWEEN(10,200)))</f>
        <v>642</v>
      </c>
      <c r="AT455">
        <f t="shared" ca="1" si="37"/>
        <v>192</v>
      </c>
      <c r="AU455">
        <f ca="1">INT(AS455*RANDBETWEEN(120,200)/100)</f>
        <v>1052</v>
      </c>
      <c r="AV455" s="2">
        <f ca="1">IF(LEFT(Y455,1)="L",RANDBETWEEN(500000,5000000),IF(LEFT(Y455,1)="C",RANDBETWEEN(5000,50000),IF(LEFT(Y455,1)="N",RANDBETWEEN(10000,150000),IF(LEFT(Y455,1)="J",RANDBETWEEN(8000,200000),RANDBETWEEN(5000,100000)))))</f>
        <v>21948</v>
      </c>
      <c r="AW455" s="2">
        <f ca="1">INT(AV455*RANDBETWEEN(30,60)/100)</f>
        <v>7462</v>
      </c>
      <c r="AX455">
        <f ca="1">IF(Z455="ORAL",RANDBETWEEN(1000,10000),IF(OR(Z455="INTRAVENOSA",Z455="INTRAMUSCULAR"),RANDBETWEEN(100,2000),IF(OR(Z455="OFTÁLMICA",Z455="TOPICA (EXTERNA)"),RANDBETWEEN(200,3000),RANDBETWEEN(100,1500))))</f>
        <v>2587</v>
      </c>
      <c r="AY455" s="2">
        <f ca="1">INT(AV455*RANDBETWEEN(90,130)/100)</f>
        <v>28532</v>
      </c>
      <c r="AZ455" t="str">
        <f t="shared" ca="1" si="38"/>
        <v>24.8%</v>
      </c>
      <c r="BA455" t="str">
        <f t="shared" ca="1" si="39"/>
        <v>BAJO</v>
      </c>
    </row>
    <row r="456" spans="4:53" x14ac:dyDescent="0.35">
      <c r="D456" t="s">
        <v>3280</v>
      </c>
      <c r="E456" s="1">
        <v>37881</v>
      </c>
      <c r="F456" t="s">
        <v>922</v>
      </c>
      <c r="G456" t="s">
        <v>108</v>
      </c>
      <c r="H456" t="s">
        <v>3281</v>
      </c>
      <c r="I456">
        <v>19940076</v>
      </c>
      <c r="J456" t="s">
        <v>28</v>
      </c>
      <c r="K456">
        <v>37</v>
      </c>
      <c r="L456" t="s">
        <v>27</v>
      </c>
      <c r="M456" t="s">
        <v>923</v>
      </c>
      <c r="N456" t="s">
        <v>924</v>
      </c>
      <c r="O456" t="s">
        <v>3282</v>
      </c>
      <c r="P456" t="s">
        <v>181</v>
      </c>
      <c r="Q456" s="1">
        <v>42179</v>
      </c>
      <c r="R456" t="s">
        <v>37</v>
      </c>
      <c r="S456" t="s">
        <v>27</v>
      </c>
      <c r="T456" t="s">
        <v>114</v>
      </c>
      <c r="U456" t="s">
        <v>115</v>
      </c>
      <c r="V456" t="s">
        <v>585</v>
      </c>
      <c r="W456">
        <v>40</v>
      </c>
      <c r="X456">
        <v>19940076</v>
      </c>
      <c r="Y456" t="s">
        <v>586</v>
      </c>
      <c r="Z456" t="s">
        <v>119</v>
      </c>
      <c r="AA456" t="s">
        <v>165</v>
      </c>
      <c r="AB456" t="s">
        <v>120</v>
      </c>
      <c r="AC456" t="s">
        <v>25</v>
      </c>
      <c r="AD456" t="s">
        <v>121</v>
      </c>
      <c r="AE456">
        <v>112</v>
      </c>
      <c r="AF456" t="s">
        <v>27</v>
      </c>
      <c r="AG456" t="s">
        <v>26</v>
      </c>
      <c r="AH456" t="s">
        <v>585</v>
      </c>
      <c r="AI456" t="str">
        <f t="shared" si="35"/>
        <v>SI</v>
      </c>
      <c r="AJ456" t="str">
        <f t="shared" si="36"/>
        <v>LABORATORIOS LEGRAND</v>
      </c>
      <c r="AK456" t="str">
        <f>IF(ISNUMBER(SEARCH("FABRICANTE",AC456)),"FABRICANTE",IF(ISNUMBER(SEARCH("IMPORTADOR",AC456)),"IMPORTADOR","OTRO"))</f>
        <v>FABRICANTE</v>
      </c>
      <c r="AL456" t="str">
        <f>IF(LEFT(Y456,1)="A","Sistema digestivo",IF(LEFT(Y456,1)="B","Sangre",IF(LEFT(Y456,1)="C","Cardiovascular",IF(LEFT(Y456,1)="D","Dermatológico",IF(LEFT(Y456,1)="G","Genitourinario",IF(LEFT(Y456,1)="H","Hormonal",IF(LEFT(Y456,1)="J","Antiinfecciosos",IF(LEFT(Y456,1)="L","Oncológicos",IF(LEFT(Y456,1)="M","Musculoesquelético",IF(LEFT(Y456,1)="N","Sistema nervioso",IF(LEFT(Y456,1)="R","Respiratorio",IF(LEFT(Y456,1)="S","Oftálmico",IF(LEFT(Y456,1)="V","Varios","OTRO")))))))))))))</f>
        <v>Sistema digestivo</v>
      </c>
      <c r="AM456" t="str">
        <f>IF(AG456="Vigente","ACTIVO",IF(ISNUMBER(SEARCH("Inactivo",J456)),"INACTIVO","REVISAR"))</f>
        <v>ACTIVO</v>
      </c>
      <c r="AN456" t="str">
        <f ca="1">IF(OR(AF456="",AF456="null"),"",ROUND((AF456-TODAY())/365.25,2))</f>
        <v/>
      </c>
      <c r="AO456" t="str">
        <f ca="1">IF(AND(AG456="Vigente",OR(AF456="",AF456="null",AF456&gt;TODAY())),"SI",IF(AND(NOT(OR(AF456="",AF456="null")),AF456&lt;=TODAY()),"NO",IF(AG456="Vigente","SI","DESCONOCIDO")))</f>
        <v>SI</v>
      </c>
      <c r="AP456" t="str">
        <f>IF(AND(ISNUMBER(SEARCH("IMPORTAR",AA456)),ISNUMBER(SEARCH("FABRICAR",AA456))),"MIXTO",IF(ISNUMBER(SEARCH("IMPORTAR",AA456)),"IMPORTADO",IF(ISNUMBER(SEARCH("FABRICAR",AA456)),"LOCAL","OTRO")))</f>
        <v>IMPORTADO</v>
      </c>
      <c r="AQ456" t="str">
        <f>IF(AD456="Si","SI",IF(AD456="No","NO",""))</f>
        <v>NO</v>
      </c>
      <c r="AR456" t="str">
        <f>IF(ISNUMBER(SEARCH("®",N456)),"MARCA/INNOVADOR","GENERICO")</f>
        <v>MARCA/INNOVADOR</v>
      </c>
      <c r="AS456">
        <f ca="1">IF(AE456&gt;100,RANDBETWEEN(500,5000),IF(AND(AE456&gt;=10,AE456&lt;=100),RANDBETWEEN(100,1000),RANDBETWEEN(10,200)))</f>
        <v>1510</v>
      </c>
      <c r="AT456">
        <f t="shared" ca="1" si="37"/>
        <v>286</v>
      </c>
      <c r="AU456">
        <f ca="1">INT(AS456*RANDBETWEEN(120,200)/100)</f>
        <v>2355</v>
      </c>
      <c r="AV456" s="2">
        <f ca="1">IF(LEFT(Y456,1)="L",RANDBETWEEN(500000,5000000),IF(LEFT(Y456,1)="C",RANDBETWEEN(5000,50000),IF(LEFT(Y456,1)="N",RANDBETWEEN(10000,150000),IF(LEFT(Y456,1)="J",RANDBETWEEN(8000,200000),RANDBETWEEN(5000,100000)))))</f>
        <v>43129</v>
      </c>
      <c r="AW456" s="2">
        <f ca="1">INT(AV456*RANDBETWEEN(30,60)/100)</f>
        <v>20701</v>
      </c>
      <c r="AX456">
        <f ca="1">IF(Z456="ORAL",RANDBETWEEN(1000,10000),IF(OR(Z456="INTRAVENOSA",Z456="INTRAMUSCULAR"),RANDBETWEEN(100,2000),IF(OR(Z456="OFTÁLMICA",Z456="TOPICA (EXTERNA)"),RANDBETWEEN(200,3000),RANDBETWEEN(100,1500))))</f>
        <v>3144</v>
      </c>
      <c r="AY456" s="2">
        <f ca="1">INT(AV456*RANDBETWEEN(90,130)/100)</f>
        <v>45285</v>
      </c>
      <c r="AZ456" t="str">
        <f t="shared" ca="1" si="38"/>
        <v>11.6%</v>
      </c>
      <c r="BA456" t="str">
        <f t="shared" ca="1" si="39"/>
        <v>BAJO</v>
      </c>
    </row>
    <row r="457" spans="4:53" x14ac:dyDescent="0.35">
      <c r="D457" t="s">
        <v>3283</v>
      </c>
      <c r="E457" s="1">
        <v>42355</v>
      </c>
      <c r="F457" t="s">
        <v>3284</v>
      </c>
      <c r="G457" t="s">
        <v>108</v>
      </c>
      <c r="H457" t="s">
        <v>1426</v>
      </c>
      <c r="I457">
        <v>20089313</v>
      </c>
      <c r="J457" t="s">
        <v>110</v>
      </c>
      <c r="K457">
        <v>3</v>
      </c>
      <c r="L457" t="s">
        <v>27</v>
      </c>
      <c r="M457" t="s">
        <v>3285</v>
      </c>
      <c r="N457" t="s">
        <v>3286</v>
      </c>
      <c r="O457" t="s">
        <v>3287</v>
      </c>
      <c r="P457" t="s">
        <v>266</v>
      </c>
      <c r="Q457" s="1">
        <v>42173</v>
      </c>
      <c r="R457" t="s">
        <v>29</v>
      </c>
      <c r="S457" s="1">
        <v>42353</v>
      </c>
      <c r="T457" t="s">
        <v>464</v>
      </c>
      <c r="U457" t="s">
        <v>115</v>
      </c>
      <c r="V457" t="s">
        <v>3288</v>
      </c>
      <c r="W457">
        <v>10</v>
      </c>
      <c r="X457">
        <v>20089313</v>
      </c>
      <c r="Y457" t="s">
        <v>3289</v>
      </c>
      <c r="Z457" t="s">
        <v>119</v>
      </c>
      <c r="AA457" t="s">
        <v>24</v>
      </c>
      <c r="AB457" t="s">
        <v>120</v>
      </c>
      <c r="AC457" t="s">
        <v>25</v>
      </c>
      <c r="AD457" t="s">
        <v>155</v>
      </c>
      <c r="AE457">
        <v>10</v>
      </c>
      <c r="AF457" t="s">
        <v>27</v>
      </c>
      <c r="AG457" t="s">
        <v>26</v>
      </c>
      <c r="AH457" t="s">
        <v>6664</v>
      </c>
      <c r="AI457" t="str">
        <f t="shared" si="35"/>
        <v>SI</v>
      </c>
      <c r="AJ457" t="str">
        <f t="shared" si="36"/>
        <v>MEGALABS COLOMBIA</v>
      </c>
      <c r="AK457" t="str">
        <f>IF(ISNUMBER(SEARCH("FABRICANTE",AC457)),"FABRICANTE",IF(ISNUMBER(SEARCH("IMPORTADOR",AC457)),"IMPORTADOR","OTRO"))</f>
        <v>FABRICANTE</v>
      </c>
      <c r="AL457" t="str">
        <f>IF(LEFT(Y457,1)="A","Sistema digestivo",IF(LEFT(Y457,1)="B","Sangre",IF(LEFT(Y457,1)="C","Cardiovascular",IF(LEFT(Y457,1)="D","Dermatológico",IF(LEFT(Y457,1)="G","Genitourinario",IF(LEFT(Y457,1)="H","Hormonal",IF(LEFT(Y457,1)="J","Antiinfecciosos",IF(LEFT(Y457,1)="L","Oncológicos",IF(LEFT(Y457,1)="M","Musculoesquelético",IF(LEFT(Y457,1)="N","Sistema nervioso",IF(LEFT(Y457,1)="R","Respiratorio",IF(LEFT(Y457,1)="S","Oftálmico",IF(LEFT(Y457,1)="V","Varios","OTRO")))))))))))))</f>
        <v>Cardiovascular</v>
      </c>
      <c r="AM457" t="str">
        <f>IF(AG457="Vigente","ACTIVO",IF(ISNUMBER(SEARCH("Inactivo",J457)),"INACTIVO","REVISAR"))</f>
        <v>ACTIVO</v>
      </c>
      <c r="AN457" t="str">
        <f ca="1">IF(OR(AF457="",AF457="null"),"",ROUND((AF457-TODAY())/365.25,2))</f>
        <v/>
      </c>
      <c r="AO457" t="str">
        <f ca="1">IF(AND(AG457="Vigente",OR(AF457="",AF457="null",AF457&gt;TODAY())),"SI",IF(AND(NOT(OR(AF457="",AF457="null")),AF457&lt;=TODAY()),"NO",IF(AG457="Vigente","SI","DESCONOCIDO")))</f>
        <v>SI</v>
      </c>
      <c r="AP457" t="str">
        <f>IF(AND(ISNUMBER(SEARCH("IMPORTAR",AA457)),ISNUMBER(SEARCH("FABRICAR",AA457))),"MIXTO",IF(ISNUMBER(SEARCH("IMPORTAR",AA457)),"IMPORTADO",IF(ISNUMBER(SEARCH("FABRICAR",AA457)),"LOCAL","OTRO")))</f>
        <v>LOCAL</v>
      </c>
      <c r="AQ457" t="str">
        <f>IF(AD457="Si","SI",IF(AD457="No","NO",""))</f>
        <v>SI</v>
      </c>
      <c r="AR457" t="str">
        <f>IF(ISNUMBER(SEARCH("®",N457)),"MARCA/INNOVADOR","GENERICO")</f>
        <v>MARCA/INNOVADOR</v>
      </c>
      <c r="AS457">
        <f ca="1">IF(AE457&gt;100,RANDBETWEEN(500,5000),IF(AND(AE457&gt;=10,AE457&lt;=100),RANDBETWEEN(100,1000),RANDBETWEEN(10,200)))</f>
        <v>430</v>
      </c>
      <c r="AT457">
        <f t="shared" ca="1" si="37"/>
        <v>120</v>
      </c>
      <c r="AU457">
        <f ca="1">INT(AS457*RANDBETWEEN(120,200)/100)</f>
        <v>645</v>
      </c>
      <c r="AV457" s="2">
        <f ca="1">IF(LEFT(Y457,1)="L",RANDBETWEEN(500000,5000000),IF(LEFT(Y457,1)="C",RANDBETWEEN(5000,50000),IF(LEFT(Y457,1)="N",RANDBETWEEN(10000,150000),IF(LEFT(Y457,1)="J",RANDBETWEEN(8000,200000),RANDBETWEEN(5000,100000)))))</f>
        <v>35225</v>
      </c>
      <c r="AW457" s="2">
        <f ca="1">INT(AV457*RANDBETWEEN(30,60)/100)</f>
        <v>13385</v>
      </c>
      <c r="AX457">
        <f ca="1">IF(Z457="ORAL",RANDBETWEEN(1000,10000),IF(OR(Z457="INTRAVENOSA",Z457="INTRAMUSCULAR"),RANDBETWEEN(100,2000),IF(OR(Z457="OFTÁLMICA",Z457="TOPICA (EXTERNA)"),RANDBETWEEN(200,3000),RANDBETWEEN(100,1500))))</f>
        <v>3046</v>
      </c>
      <c r="AY457" s="2">
        <f ca="1">INT(AV457*RANDBETWEEN(90,130)/100)</f>
        <v>32759</v>
      </c>
      <c r="AZ457" t="str">
        <f t="shared" ca="1" si="38"/>
        <v>13.1%</v>
      </c>
      <c r="BA457" t="str">
        <f t="shared" ca="1" si="39"/>
        <v>ALTO</v>
      </c>
    </row>
    <row r="458" spans="4:53" x14ac:dyDescent="0.35">
      <c r="D458" t="s">
        <v>3290</v>
      </c>
      <c r="E458" s="1">
        <v>40955</v>
      </c>
      <c r="F458" t="s">
        <v>3291</v>
      </c>
      <c r="G458" t="s">
        <v>108</v>
      </c>
      <c r="H458" t="s">
        <v>850</v>
      </c>
      <c r="I458">
        <v>20039245</v>
      </c>
      <c r="J458" t="s">
        <v>110</v>
      </c>
      <c r="K458">
        <v>4</v>
      </c>
      <c r="L458" t="s">
        <v>27</v>
      </c>
      <c r="M458" t="s">
        <v>1864</v>
      </c>
      <c r="N458" t="s">
        <v>1865</v>
      </c>
      <c r="O458" t="s">
        <v>1866</v>
      </c>
      <c r="P458" t="s">
        <v>1867</v>
      </c>
      <c r="Q458" s="1">
        <v>40892</v>
      </c>
      <c r="R458" t="s">
        <v>50</v>
      </c>
      <c r="S458" s="1">
        <v>43308</v>
      </c>
      <c r="T458" t="s">
        <v>1863</v>
      </c>
      <c r="U458" t="s">
        <v>115</v>
      </c>
      <c r="V458" t="s">
        <v>1868</v>
      </c>
      <c r="W458">
        <v>100</v>
      </c>
      <c r="X458">
        <v>20039245</v>
      </c>
      <c r="Y458" t="s">
        <v>1869</v>
      </c>
      <c r="Z458" t="s">
        <v>213</v>
      </c>
      <c r="AA458" t="s">
        <v>32</v>
      </c>
      <c r="AB458" t="s">
        <v>120</v>
      </c>
      <c r="AC458" t="s">
        <v>25</v>
      </c>
      <c r="AD458" t="s">
        <v>121</v>
      </c>
      <c r="AE458">
        <v>15</v>
      </c>
      <c r="AF458" t="s">
        <v>27</v>
      </c>
      <c r="AG458" t="s">
        <v>26</v>
      </c>
      <c r="AH458" t="s">
        <v>6665</v>
      </c>
      <c r="AI458" t="str">
        <f t="shared" si="35"/>
        <v>NO</v>
      </c>
      <c r="AJ458" t="str">
        <f t="shared" si="36"/>
        <v>PROCTER &amp; GAMBLE COLOMBIA</v>
      </c>
      <c r="AK458" t="str">
        <f>IF(ISNUMBER(SEARCH("FABRICANTE",AC458)),"FABRICANTE",IF(ISNUMBER(SEARCH("IMPORTADOR",AC458)),"IMPORTADOR","OTRO"))</f>
        <v>FABRICANTE</v>
      </c>
      <c r="AL458" t="str">
        <f>IF(LEFT(Y458,1)="A","Sistema digestivo",IF(LEFT(Y458,1)="B","Sangre",IF(LEFT(Y458,1)="C","Cardiovascular",IF(LEFT(Y458,1)="D","Dermatológico",IF(LEFT(Y458,1)="G","Genitourinario",IF(LEFT(Y458,1)="H","Hormonal",IF(LEFT(Y458,1)="J","Antiinfecciosos",IF(LEFT(Y458,1)="L","Oncológicos",IF(LEFT(Y458,1)="M","Musculoesquelético",IF(LEFT(Y458,1)="N","Sistema nervioso",IF(LEFT(Y458,1)="R","Respiratorio",IF(LEFT(Y458,1)="S","Oftálmico",IF(LEFT(Y458,1)="V","Varios","OTRO")))))))))))))</f>
        <v>Sistema digestivo</v>
      </c>
      <c r="AM458" t="str">
        <f>IF(AG458="Vigente","ACTIVO",IF(ISNUMBER(SEARCH("Inactivo",J458)),"INACTIVO","REVISAR"))</f>
        <v>ACTIVO</v>
      </c>
      <c r="AN458" t="str">
        <f ca="1">IF(OR(AF458="",AF458="null"),"",ROUND((AF458-TODAY())/365.25,2))</f>
        <v/>
      </c>
      <c r="AO458" t="str">
        <f ca="1">IF(AND(AG458="Vigente",OR(AF458="",AF458="null",AF458&gt;TODAY())),"SI",IF(AND(NOT(OR(AF458="",AF458="null")),AF458&lt;=TODAY()),"NO",IF(AG458="Vigente","SI","DESCONOCIDO")))</f>
        <v>SI</v>
      </c>
      <c r="AP458" t="str">
        <f>IF(AND(ISNUMBER(SEARCH("IMPORTAR",AA458)),ISNUMBER(SEARCH("FABRICAR",AA458))),"MIXTO",IF(ISNUMBER(SEARCH("IMPORTAR",AA458)),"IMPORTADO",IF(ISNUMBER(SEARCH("FABRICAR",AA458)),"LOCAL","OTRO")))</f>
        <v>IMPORTADO</v>
      </c>
      <c r="AQ458" t="str">
        <f>IF(AD458="Si","SI",IF(AD458="No","NO",""))</f>
        <v>NO</v>
      </c>
      <c r="AR458" t="str">
        <f>IF(ISNUMBER(SEARCH("®",N458)),"MARCA/INNOVADOR","GENERICO")</f>
        <v>MARCA/INNOVADOR</v>
      </c>
      <c r="AS458">
        <f ca="1">IF(AE458&gt;100,RANDBETWEEN(500,5000),IF(AND(AE458&gt;=10,AE458&lt;=100),RANDBETWEEN(100,1000),RANDBETWEEN(10,200)))</f>
        <v>641</v>
      </c>
      <c r="AT458">
        <f t="shared" ca="1" si="37"/>
        <v>179</v>
      </c>
      <c r="AU458">
        <f ca="1">INT(AS458*RANDBETWEEN(120,200)/100)</f>
        <v>826</v>
      </c>
      <c r="AV458" s="2">
        <f ca="1">IF(LEFT(Y458,1)="L",RANDBETWEEN(500000,5000000),IF(LEFT(Y458,1)="C",RANDBETWEEN(5000,50000),IF(LEFT(Y458,1)="N",RANDBETWEEN(10000,150000),IF(LEFT(Y458,1)="J",RANDBETWEEN(8000,200000),RANDBETWEEN(5000,100000)))))</f>
        <v>92849</v>
      </c>
      <c r="AW458" s="2">
        <f ca="1">INT(AV458*RANDBETWEEN(30,60)/100)</f>
        <v>31568</v>
      </c>
      <c r="AX458">
        <f ca="1">IF(Z458="ORAL",RANDBETWEEN(1000,10000),IF(OR(Z458="INTRAVENOSA",Z458="INTRAMUSCULAR"),RANDBETWEEN(100,2000),IF(OR(Z458="OFTÁLMICA",Z458="TOPICA (EXTERNA)"),RANDBETWEEN(200,3000),RANDBETWEEN(100,1500))))</f>
        <v>1409</v>
      </c>
      <c r="AY458" s="2">
        <f ca="1">INT(AV458*RANDBETWEEN(90,130)/100)</f>
        <v>88206</v>
      </c>
      <c r="AZ458" t="str">
        <f t="shared" ca="1" si="38"/>
        <v>5.8%</v>
      </c>
      <c r="BA458" t="str">
        <f t="shared" ca="1" si="39"/>
        <v>ALTO</v>
      </c>
    </row>
    <row r="459" spans="4:53" x14ac:dyDescent="0.35">
      <c r="D459" t="s">
        <v>3292</v>
      </c>
      <c r="E459" s="1">
        <v>42983</v>
      </c>
      <c r="F459" t="s">
        <v>1267</v>
      </c>
      <c r="G459" t="s">
        <v>108</v>
      </c>
      <c r="H459" t="s">
        <v>168</v>
      </c>
      <c r="I459">
        <v>20097785</v>
      </c>
      <c r="J459" t="s">
        <v>28</v>
      </c>
      <c r="K459">
        <v>9</v>
      </c>
      <c r="L459" t="s">
        <v>27</v>
      </c>
      <c r="M459" t="s">
        <v>3293</v>
      </c>
      <c r="N459" t="s">
        <v>3294</v>
      </c>
      <c r="O459" t="s">
        <v>3295</v>
      </c>
      <c r="P459" t="s">
        <v>3296</v>
      </c>
      <c r="Q459" s="1">
        <v>42951</v>
      </c>
      <c r="R459" t="s">
        <v>37</v>
      </c>
      <c r="S459" t="s">
        <v>27</v>
      </c>
      <c r="T459" t="s">
        <v>172</v>
      </c>
      <c r="U459" t="s">
        <v>115</v>
      </c>
      <c r="V459" t="s">
        <v>1272</v>
      </c>
      <c r="W459">
        <v>100</v>
      </c>
      <c r="X459">
        <v>20097785</v>
      </c>
      <c r="Y459" t="s">
        <v>1273</v>
      </c>
      <c r="Z459" t="s">
        <v>119</v>
      </c>
      <c r="AA459" t="s">
        <v>24</v>
      </c>
      <c r="AB459" t="s">
        <v>120</v>
      </c>
      <c r="AC459" t="s">
        <v>25</v>
      </c>
      <c r="AD459" t="s">
        <v>121</v>
      </c>
      <c r="AE459">
        <v>120</v>
      </c>
      <c r="AF459" t="s">
        <v>27</v>
      </c>
      <c r="AG459" t="s">
        <v>26</v>
      </c>
      <c r="AH459" t="s">
        <v>6748</v>
      </c>
      <c r="AI459" t="str">
        <f t="shared" si="35"/>
        <v>NO</v>
      </c>
      <c r="AJ459" t="str">
        <f t="shared" si="36"/>
        <v>NOVAMED</v>
      </c>
      <c r="AK459" t="str">
        <f>IF(ISNUMBER(SEARCH("FABRICANTE",AC459)),"FABRICANTE",IF(ISNUMBER(SEARCH("IMPORTADOR",AC459)),"IMPORTADOR","OTRO"))</f>
        <v>FABRICANTE</v>
      </c>
      <c r="AL459" t="str">
        <f>IF(LEFT(Y459,1)="A","Sistema digestivo",IF(LEFT(Y459,1)="B","Sangre",IF(LEFT(Y459,1)="C","Cardiovascular",IF(LEFT(Y459,1)="D","Dermatológico",IF(LEFT(Y459,1)="G","Genitourinario",IF(LEFT(Y459,1)="H","Hormonal",IF(LEFT(Y459,1)="J","Antiinfecciosos",IF(LEFT(Y459,1)="L","Oncológicos",IF(LEFT(Y459,1)="M","Musculoesquelético",IF(LEFT(Y459,1)="N","Sistema nervioso",IF(LEFT(Y459,1)="R","Respiratorio",IF(LEFT(Y459,1)="S","Oftálmico",IF(LEFT(Y459,1)="V","Varios","OTRO")))))))))))))</f>
        <v>Sistema digestivo</v>
      </c>
      <c r="AM459" t="str">
        <f>IF(AG459="Vigente","ACTIVO",IF(ISNUMBER(SEARCH("Inactivo",J459)),"INACTIVO","REVISAR"))</f>
        <v>ACTIVO</v>
      </c>
      <c r="AN459" t="str">
        <f ca="1">IF(OR(AF459="",AF459="null"),"",ROUND((AF459-TODAY())/365.25,2))</f>
        <v/>
      </c>
      <c r="AO459" t="str">
        <f ca="1">IF(AND(AG459="Vigente",OR(AF459="",AF459="null",AF459&gt;TODAY())),"SI",IF(AND(NOT(OR(AF459="",AF459="null")),AF459&lt;=TODAY()),"NO",IF(AG459="Vigente","SI","DESCONOCIDO")))</f>
        <v>SI</v>
      </c>
      <c r="AP459" t="str">
        <f>IF(AND(ISNUMBER(SEARCH("IMPORTAR",AA459)),ISNUMBER(SEARCH("FABRICAR",AA459))),"MIXTO",IF(ISNUMBER(SEARCH("IMPORTAR",AA459)),"IMPORTADO",IF(ISNUMBER(SEARCH("FABRICAR",AA459)),"LOCAL","OTRO")))</f>
        <v>LOCAL</v>
      </c>
      <c r="AQ459" t="str">
        <f>IF(AD459="Si","SI",IF(AD459="No","NO",""))</f>
        <v>NO</v>
      </c>
      <c r="AR459" t="str">
        <f>IF(ISNUMBER(SEARCH("®",N459)),"MARCA/INNOVADOR","GENERICO")</f>
        <v>MARCA/INNOVADOR</v>
      </c>
      <c r="AS459">
        <f ca="1">IF(AE459&gt;100,RANDBETWEEN(500,5000),IF(AND(AE459&gt;=10,AE459&lt;=100),RANDBETWEEN(100,1000),RANDBETWEEN(10,200)))</f>
        <v>601</v>
      </c>
      <c r="AT459">
        <f t="shared" ca="1" si="37"/>
        <v>174</v>
      </c>
      <c r="AU459">
        <f ca="1">INT(AS459*RANDBETWEEN(120,200)/100)</f>
        <v>1069</v>
      </c>
      <c r="AV459" s="2">
        <f ca="1">IF(LEFT(Y459,1)="L",RANDBETWEEN(500000,5000000),IF(LEFT(Y459,1)="C",RANDBETWEEN(5000,50000),IF(LEFT(Y459,1)="N",RANDBETWEEN(10000,150000),IF(LEFT(Y459,1)="J",RANDBETWEEN(8000,200000),RANDBETWEEN(5000,100000)))))</f>
        <v>46825</v>
      </c>
      <c r="AW459" s="2">
        <f ca="1">INT(AV459*RANDBETWEEN(30,60)/100)</f>
        <v>16857</v>
      </c>
      <c r="AX459">
        <f ca="1">IF(Z459="ORAL",RANDBETWEEN(1000,10000),IF(OR(Z459="INTRAVENOSA",Z459="INTRAMUSCULAR"),RANDBETWEEN(100,2000),IF(OR(Z459="OFTÁLMICA",Z459="TOPICA (EXTERNA)"),RANDBETWEEN(200,3000),RANDBETWEEN(100,1500))))</f>
        <v>3727</v>
      </c>
      <c r="AY459" s="2">
        <f ca="1">INT(AV459*RANDBETWEEN(90,130)/100)</f>
        <v>47293</v>
      </c>
      <c r="AZ459" t="str">
        <f t="shared" ca="1" si="38"/>
        <v>5.4%</v>
      </c>
      <c r="BA459" t="str">
        <f t="shared" ca="1" si="39"/>
        <v>BAJO</v>
      </c>
    </row>
    <row r="460" spans="4:53" x14ac:dyDescent="0.35">
      <c r="D460" t="s">
        <v>3297</v>
      </c>
      <c r="E460" s="1">
        <v>42825</v>
      </c>
      <c r="F460" t="s">
        <v>2467</v>
      </c>
      <c r="G460" t="s">
        <v>502</v>
      </c>
      <c r="H460" t="s">
        <v>2468</v>
      </c>
      <c r="I460">
        <v>20106375</v>
      </c>
      <c r="J460" t="s">
        <v>28</v>
      </c>
      <c r="K460">
        <v>4</v>
      </c>
      <c r="L460" t="s">
        <v>3298</v>
      </c>
      <c r="M460" t="s">
        <v>2470</v>
      </c>
      <c r="N460" t="s">
        <v>2471</v>
      </c>
      <c r="O460" t="s">
        <v>3299</v>
      </c>
      <c r="P460" t="s">
        <v>2473</v>
      </c>
      <c r="Q460" s="1">
        <v>44993</v>
      </c>
      <c r="R460" t="s">
        <v>151</v>
      </c>
      <c r="S460" t="s">
        <v>27</v>
      </c>
      <c r="T460" t="s">
        <v>2474</v>
      </c>
      <c r="U460" t="s">
        <v>115</v>
      </c>
      <c r="V460" t="s">
        <v>2475</v>
      </c>
      <c r="W460">
        <v>2</v>
      </c>
      <c r="X460">
        <v>20106375</v>
      </c>
      <c r="Y460" t="s">
        <v>2476</v>
      </c>
      <c r="Z460" t="s">
        <v>154</v>
      </c>
      <c r="AA460" t="s">
        <v>24</v>
      </c>
      <c r="AB460" t="s">
        <v>133</v>
      </c>
      <c r="AC460" t="s">
        <v>25</v>
      </c>
      <c r="AD460" t="s">
        <v>155</v>
      </c>
      <c r="AE460" t="s">
        <v>3136</v>
      </c>
      <c r="AF460" t="s">
        <v>27</v>
      </c>
      <c r="AG460" t="s">
        <v>26</v>
      </c>
      <c r="AH460" t="s">
        <v>2475</v>
      </c>
      <c r="AI460" t="str">
        <f t="shared" si="35"/>
        <v>SI</v>
      </c>
      <c r="AJ460" t="str">
        <f t="shared" si="36"/>
        <v>ESPECIALIDADES OFTALMOLOGICAS</v>
      </c>
      <c r="AK460" t="str">
        <f>IF(ISNUMBER(SEARCH("FABRICANTE",AC460)),"FABRICANTE",IF(ISNUMBER(SEARCH("IMPORTADOR",AC460)),"IMPORTADOR","OTRO"))</f>
        <v>FABRICANTE</v>
      </c>
      <c r="AL460" t="str">
        <f>IF(LEFT(Y460,1)="A","Sistema digestivo",IF(LEFT(Y460,1)="B","Sangre",IF(LEFT(Y460,1)="C","Cardiovascular",IF(LEFT(Y460,1)="D","Dermatológico",IF(LEFT(Y460,1)="G","Genitourinario",IF(LEFT(Y460,1)="H","Hormonal",IF(LEFT(Y460,1)="J","Antiinfecciosos",IF(LEFT(Y460,1)="L","Oncológicos",IF(LEFT(Y460,1)="M","Musculoesquelético",IF(LEFT(Y460,1)="N","Sistema nervioso",IF(LEFT(Y460,1)="R","Respiratorio",IF(LEFT(Y460,1)="S","Oftálmico",IF(LEFT(Y460,1)="V","Varios","OTRO")))))))))))))</f>
        <v>Oftálmico</v>
      </c>
      <c r="AM460" t="str">
        <f>IF(AG460="Vigente","ACTIVO",IF(ISNUMBER(SEARCH("Inactivo",J460)),"INACTIVO","REVISAR"))</f>
        <v>ACTIVO</v>
      </c>
      <c r="AN460" t="str">
        <f ca="1">IF(OR(AF460="",AF460="null"),"",ROUND((AF460-TODAY())/365.25,2))</f>
        <v/>
      </c>
      <c r="AO460" t="str">
        <f ca="1">IF(AND(AG460="Vigente",OR(AF460="",AF460="null",AF460&gt;TODAY())),"SI",IF(AND(NOT(OR(AF460="",AF460="null")),AF460&lt;=TODAY()),"NO",IF(AG460="Vigente","SI","DESCONOCIDO")))</f>
        <v>SI</v>
      </c>
      <c r="AP460" t="str">
        <f>IF(AND(ISNUMBER(SEARCH("IMPORTAR",AA460)),ISNUMBER(SEARCH("FABRICAR",AA460))),"MIXTO",IF(ISNUMBER(SEARCH("IMPORTAR",AA460)),"IMPORTADO",IF(ISNUMBER(SEARCH("FABRICAR",AA460)),"LOCAL","OTRO")))</f>
        <v>LOCAL</v>
      </c>
      <c r="AQ460" t="str">
        <f>IF(AD460="Si","SI",IF(AD460="No","NO",""))</f>
        <v>SI</v>
      </c>
      <c r="AR460" t="str">
        <f>IF(ISNUMBER(SEARCH("®",N460)),"MARCA/INNOVADOR","GENERICO")</f>
        <v>MARCA/INNOVADOR</v>
      </c>
      <c r="AS460">
        <f ca="1">IF(AE460&gt;100,RANDBETWEEN(500,5000),IF(AND(AE460&gt;=10,AE460&lt;=100),RANDBETWEEN(100,1000),RANDBETWEEN(10,200)))</f>
        <v>4014</v>
      </c>
      <c r="AT460">
        <f t="shared" ca="1" si="37"/>
        <v>521</v>
      </c>
      <c r="AU460">
        <f ca="1">INT(AS460*RANDBETWEEN(120,200)/100)</f>
        <v>5017</v>
      </c>
      <c r="AV460" s="2">
        <f ca="1">IF(LEFT(Y460,1)="L",RANDBETWEEN(500000,5000000),IF(LEFT(Y460,1)="C",RANDBETWEEN(5000,50000),IF(LEFT(Y460,1)="N",RANDBETWEEN(10000,150000),IF(LEFT(Y460,1)="J",RANDBETWEEN(8000,200000),RANDBETWEEN(5000,100000)))))</f>
        <v>35801</v>
      </c>
      <c r="AW460" s="2">
        <f ca="1">INT(AV460*RANDBETWEEN(30,60)/100)</f>
        <v>15394</v>
      </c>
      <c r="AX460">
        <f ca="1">IF(Z460="ORAL",RANDBETWEEN(1000,10000),IF(OR(Z460="INTRAVENOSA",Z460="INTRAMUSCULAR"),RANDBETWEEN(100,2000),IF(OR(Z460="OFTÁLMICA",Z460="TOPICA (EXTERNA)"),RANDBETWEEN(200,3000),RANDBETWEEN(100,1500))))</f>
        <v>1617</v>
      </c>
      <c r="AY460" s="2">
        <f ca="1">INT(AV460*RANDBETWEEN(90,130)/100)</f>
        <v>37233</v>
      </c>
      <c r="AZ460" t="str">
        <f t="shared" ca="1" si="38"/>
        <v>12.5%</v>
      </c>
      <c r="BA460" t="str">
        <f t="shared" ca="1" si="39"/>
        <v>BAJO</v>
      </c>
    </row>
    <row r="461" spans="4:53" x14ac:dyDescent="0.35">
      <c r="D461" t="s">
        <v>3300</v>
      </c>
      <c r="E461" s="1">
        <v>45777</v>
      </c>
      <c r="F461" t="s">
        <v>45</v>
      </c>
      <c r="G461" t="s">
        <v>108</v>
      </c>
      <c r="H461" t="s">
        <v>3301</v>
      </c>
      <c r="I461">
        <v>20213870</v>
      </c>
      <c r="J461" t="s">
        <v>28</v>
      </c>
      <c r="K461">
        <v>1</v>
      </c>
      <c r="L461" t="s">
        <v>27</v>
      </c>
      <c r="M461" t="s">
        <v>3302</v>
      </c>
      <c r="N461" t="s">
        <v>3303</v>
      </c>
      <c r="O461" t="s">
        <v>3304</v>
      </c>
      <c r="P461" t="s">
        <v>33</v>
      </c>
      <c r="Q461" s="1">
        <v>45162</v>
      </c>
      <c r="R461" t="s">
        <v>200</v>
      </c>
      <c r="S461" t="s">
        <v>27</v>
      </c>
      <c r="T461" t="s">
        <v>3305</v>
      </c>
      <c r="U461" t="s">
        <v>115</v>
      </c>
      <c r="V461" t="s">
        <v>84</v>
      </c>
      <c r="W461">
        <v>850</v>
      </c>
      <c r="X461">
        <v>20213870</v>
      </c>
      <c r="Y461" t="s">
        <v>82</v>
      </c>
      <c r="Z461" t="s">
        <v>119</v>
      </c>
      <c r="AA461" t="s">
        <v>32</v>
      </c>
      <c r="AB461" t="s">
        <v>120</v>
      </c>
      <c r="AC461" t="s">
        <v>25</v>
      </c>
      <c r="AD461" t="s">
        <v>121</v>
      </c>
      <c r="AE461">
        <v>28</v>
      </c>
      <c r="AF461" s="1">
        <v>47618</v>
      </c>
      <c r="AG461" t="s">
        <v>26</v>
      </c>
      <c r="AH461" t="s">
        <v>45</v>
      </c>
      <c r="AI461" t="str">
        <f t="shared" si="35"/>
        <v>NO</v>
      </c>
      <c r="AJ461" t="str">
        <f t="shared" si="36"/>
        <v>CIPLA</v>
      </c>
      <c r="AK461" t="str">
        <f>IF(ISNUMBER(SEARCH("FABRICANTE",AC461)),"FABRICANTE",IF(ISNUMBER(SEARCH("IMPORTADOR",AC461)),"IMPORTADOR","OTRO"))</f>
        <v>FABRICANTE</v>
      </c>
      <c r="AL461" t="str">
        <f>IF(LEFT(Y461,1)="A","Sistema digestivo",IF(LEFT(Y461,1)="B","Sangre",IF(LEFT(Y461,1)="C","Cardiovascular",IF(LEFT(Y461,1)="D","Dermatológico",IF(LEFT(Y461,1)="G","Genitourinario",IF(LEFT(Y461,1)="H","Hormonal",IF(LEFT(Y461,1)="J","Antiinfecciosos",IF(LEFT(Y461,1)="L","Oncológicos",IF(LEFT(Y461,1)="M","Musculoesquelético",IF(LEFT(Y461,1)="N","Sistema nervioso",IF(LEFT(Y461,1)="R","Respiratorio",IF(LEFT(Y461,1)="S","Oftálmico",IF(LEFT(Y461,1)="V","Varios","OTRO")))))))))))))</f>
        <v>Sistema digestivo</v>
      </c>
      <c r="AM461" t="str">
        <f>IF(AG461="Vigente","ACTIVO",IF(ISNUMBER(SEARCH("Inactivo",J461)),"INACTIVO","REVISAR"))</f>
        <v>ACTIVO</v>
      </c>
      <c r="AN461">
        <f ca="1">IF(OR(AF461="",AF461="null"),"",ROUND((AF461-TODAY())/365.25,2))</f>
        <v>3.97</v>
      </c>
      <c r="AO461" t="str">
        <f ca="1">IF(AND(AG461="Vigente",OR(AF461="",AF461="null",AF461&gt;TODAY())),"SI",IF(AND(NOT(OR(AF461="",AF461="null")),AF461&lt;=TODAY()),"NO",IF(AG461="Vigente","SI","DESCONOCIDO")))</f>
        <v>SI</v>
      </c>
      <c r="AP461" t="str">
        <f>IF(AND(ISNUMBER(SEARCH("IMPORTAR",AA461)),ISNUMBER(SEARCH("FABRICAR",AA461))),"MIXTO",IF(ISNUMBER(SEARCH("IMPORTAR",AA461)),"IMPORTADO",IF(ISNUMBER(SEARCH("FABRICAR",AA461)),"LOCAL","OTRO")))</f>
        <v>IMPORTADO</v>
      </c>
      <c r="AQ461" t="str">
        <f>IF(AD461="Si","SI",IF(AD461="No","NO",""))</f>
        <v>NO</v>
      </c>
      <c r="AR461" t="str">
        <f>IF(ISNUMBER(SEARCH("®",N461)),"MARCA/INNOVADOR","GENERICO")</f>
        <v>MARCA/INNOVADOR</v>
      </c>
      <c r="AS461">
        <f ca="1">IF(AE461&gt;100,RANDBETWEEN(500,5000),IF(AND(AE461&gt;=10,AE461&lt;=100),RANDBETWEEN(100,1000),RANDBETWEEN(10,200)))</f>
        <v>362</v>
      </c>
      <c r="AT461">
        <f t="shared" ca="1" si="37"/>
        <v>68</v>
      </c>
      <c r="AU461">
        <f ca="1">INT(AS461*RANDBETWEEN(120,200)/100)</f>
        <v>666</v>
      </c>
      <c r="AV461" s="2">
        <f ca="1">IF(LEFT(Y461,1)="L",RANDBETWEEN(500000,5000000),IF(LEFT(Y461,1)="C",RANDBETWEEN(5000,50000),IF(LEFT(Y461,1)="N",RANDBETWEEN(10000,150000),IF(LEFT(Y461,1)="J",RANDBETWEEN(8000,200000),RANDBETWEEN(5000,100000)))))</f>
        <v>26748</v>
      </c>
      <c r="AW461" s="2">
        <f ca="1">INT(AV461*RANDBETWEEN(30,60)/100)</f>
        <v>11769</v>
      </c>
      <c r="AX461">
        <f ca="1">IF(Z461="ORAL",RANDBETWEEN(1000,10000),IF(OR(Z461="INTRAVENOSA",Z461="INTRAMUSCULAR"),RANDBETWEEN(100,2000),IF(OR(Z461="OFTÁLMICA",Z461="TOPICA (EXTERNA)"),RANDBETWEEN(200,3000),RANDBETWEEN(100,1500))))</f>
        <v>9579</v>
      </c>
      <c r="AY461" s="2">
        <f ca="1">INT(AV461*RANDBETWEEN(90,130)/100)</f>
        <v>29957</v>
      </c>
      <c r="AZ461" t="str">
        <f t="shared" ca="1" si="38"/>
        <v>22.6%</v>
      </c>
      <c r="BA461" t="str">
        <f t="shared" ca="1" si="39"/>
        <v>MEDIO</v>
      </c>
    </row>
    <row r="462" spans="4:53" x14ac:dyDescent="0.35">
      <c r="D462" t="s">
        <v>3306</v>
      </c>
      <c r="E462" s="1">
        <v>36161</v>
      </c>
      <c r="F462" t="s">
        <v>522</v>
      </c>
      <c r="G462" t="s">
        <v>108</v>
      </c>
      <c r="H462" t="s">
        <v>3307</v>
      </c>
      <c r="I462">
        <v>19906457</v>
      </c>
      <c r="J462" t="s">
        <v>110</v>
      </c>
      <c r="K462">
        <v>16</v>
      </c>
      <c r="L462" t="s">
        <v>27</v>
      </c>
      <c r="M462" t="s">
        <v>3308</v>
      </c>
      <c r="N462" t="s">
        <v>3309</v>
      </c>
      <c r="O462" t="s">
        <v>3310</v>
      </c>
      <c r="P462" t="s">
        <v>29</v>
      </c>
      <c r="Q462" s="1">
        <v>40571</v>
      </c>
      <c r="R462" t="s">
        <v>29</v>
      </c>
      <c r="S462" s="1">
        <v>43880</v>
      </c>
      <c r="T462" t="s">
        <v>520</v>
      </c>
      <c r="U462" t="s">
        <v>115</v>
      </c>
      <c r="V462" t="s">
        <v>321</v>
      </c>
      <c r="W462">
        <v>500</v>
      </c>
      <c r="X462">
        <v>19906457</v>
      </c>
      <c r="Y462" t="s">
        <v>322</v>
      </c>
      <c r="Z462" t="s">
        <v>119</v>
      </c>
      <c r="AA462" t="s">
        <v>32</v>
      </c>
      <c r="AB462" t="s">
        <v>120</v>
      </c>
      <c r="AC462" t="s">
        <v>25</v>
      </c>
      <c r="AD462" t="s">
        <v>155</v>
      </c>
      <c r="AE462">
        <v>40</v>
      </c>
      <c r="AF462" t="s">
        <v>27</v>
      </c>
      <c r="AG462" t="s">
        <v>26</v>
      </c>
      <c r="AH462" t="s">
        <v>522</v>
      </c>
      <c r="AI462" t="str">
        <f t="shared" si="35"/>
        <v>NO</v>
      </c>
      <c r="AJ462" t="str">
        <f t="shared" si="36"/>
        <v>HALEON COLOMBIA</v>
      </c>
      <c r="AK462" t="str">
        <f>IF(ISNUMBER(SEARCH("FABRICANTE",AC462)),"FABRICANTE",IF(ISNUMBER(SEARCH("IMPORTADOR",AC462)),"IMPORTADOR","OTRO"))</f>
        <v>FABRICANTE</v>
      </c>
      <c r="AL462" t="str">
        <f>IF(LEFT(Y462,1)="A","Sistema digestivo",IF(LEFT(Y462,1)="B","Sangre",IF(LEFT(Y462,1)="C","Cardiovascular",IF(LEFT(Y462,1)="D","Dermatológico",IF(LEFT(Y462,1)="G","Genitourinario",IF(LEFT(Y462,1)="H","Hormonal",IF(LEFT(Y462,1)="J","Antiinfecciosos",IF(LEFT(Y462,1)="L","Oncológicos",IF(LEFT(Y462,1)="M","Musculoesquelético",IF(LEFT(Y462,1)="N","Sistema nervioso",IF(LEFT(Y462,1)="R","Respiratorio",IF(LEFT(Y462,1)="S","Oftálmico",IF(LEFT(Y462,1)="V","Varios","OTRO")))))))))))))</f>
        <v>Sistema nervioso</v>
      </c>
      <c r="AM462" t="str">
        <f>IF(AG462="Vigente","ACTIVO",IF(ISNUMBER(SEARCH("Inactivo",J462)),"INACTIVO","REVISAR"))</f>
        <v>ACTIVO</v>
      </c>
      <c r="AN462" t="str">
        <f ca="1">IF(OR(AF462="",AF462="null"),"",ROUND((AF462-TODAY())/365.25,2))</f>
        <v/>
      </c>
      <c r="AO462" t="str">
        <f ca="1">IF(AND(AG462="Vigente",OR(AF462="",AF462="null",AF462&gt;TODAY())),"SI",IF(AND(NOT(OR(AF462="",AF462="null")),AF462&lt;=TODAY()),"NO",IF(AG462="Vigente","SI","DESCONOCIDO")))</f>
        <v>SI</v>
      </c>
      <c r="AP462" t="str">
        <f>IF(AND(ISNUMBER(SEARCH("IMPORTAR",AA462)),ISNUMBER(SEARCH("FABRICAR",AA462))),"MIXTO",IF(ISNUMBER(SEARCH("IMPORTAR",AA462)),"IMPORTADO",IF(ISNUMBER(SEARCH("FABRICAR",AA462)),"LOCAL","OTRO")))</f>
        <v>IMPORTADO</v>
      </c>
      <c r="AQ462" t="str">
        <f>IF(AD462="Si","SI",IF(AD462="No","NO",""))</f>
        <v>SI</v>
      </c>
      <c r="AR462" t="str">
        <f>IF(ISNUMBER(SEARCH("®",N462)),"MARCA/INNOVADOR","GENERICO")</f>
        <v>MARCA/INNOVADOR</v>
      </c>
      <c r="AS462">
        <f ca="1">IF(AE462&gt;100,RANDBETWEEN(500,5000),IF(AND(AE462&gt;=10,AE462&lt;=100),RANDBETWEEN(100,1000),RANDBETWEEN(10,200)))</f>
        <v>621</v>
      </c>
      <c r="AT462">
        <f t="shared" ca="1" si="37"/>
        <v>99</v>
      </c>
      <c r="AU462">
        <f ca="1">INT(AS462*RANDBETWEEN(120,200)/100)</f>
        <v>1061</v>
      </c>
      <c r="AV462" s="2">
        <f ca="1">IF(LEFT(Y462,1)="L",RANDBETWEEN(500000,5000000),IF(LEFT(Y462,1)="C",RANDBETWEEN(5000,50000),IF(LEFT(Y462,1)="N",RANDBETWEEN(10000,150000),IF(LEFT(Y462,1)="J",RANDBETWEEN(8000,200000),RANDBETWEEN(5000,100000)))))</f>
        <v>71076</v>
      </c>
      <c r="AW462" s="2">
        <f ca="1">INT(AV462*RANDBETWEEN(30,60)/100)</f>
        <v>21322</v>
      </c>
      <c r="AX462">
        <f ca="1">IF(Z462="ORAL",RANDBETWEEN(1000,10000),IF(OR(Z462="INTRAVENOSA",Z462="INTRAMUSCULAR"),RANDBETWEEN(100,2000),IF(OR(Z462="OFTÁLMICA",Z462="TOPICA (EXTERNA)"),RANDBETWEEN(200,3000),RANDBETWEEN(100,1500))))</f>
        <v>8816</v>
      </c>
      <c r="AY462" s="2">
        <f ca="1">INT(AV462*RANDBETWEEN(90,130)/100)</f>
        <v>92398</v>
      </c>
      <c r="AZ462" t="str">
        <f t="shared" ca="1" si="38"/>
        <v>13.8%</v>
      </c>
      <c r="BA462" t="str">
        <f t="shared" ca="1" si="39"/>
        <v>ALTO</v>
      </c>
    </row>
    <row r="463" spans="4:53" x14ac:dyDescent="0.35">
      <c r="D463" t="s">
        <v>3311</v>
      </c>
      <c r="E463" s="1">
        <v>43110</v>
      </c>
      <c r="F463" t="s">
        <v>3312</v>
      </c>
      <c r="G463" t="s">
        <v>108</v>
      </c>
      <c r="H463" t="s">
        <v>454</v>
      </c>
      <c r="I463">
        <v>20118967</v>
      </c>
      <c r="J463" t="s">
        <v>28</v>
      </c>
      <c r="K463">
        <v>10</v>
      </c>
      <c r="L463" t="s">
        <v>27</v>
      </c>
      <c r="M463" t="s">
        <v>3313</v>
      </c>
      <c r="N463" t="s">
        <v>3314</v>
      </c>
      <c r="O463" t="s">
        <v>3315</v>
      </c>
      <c r="P463" t="s">
        <v>1061</v>
      </c>
      <c r="Q463" s="1">
        <v>43056</v>
      </c>
      <c r="R463" t="s">
        <v>527</v>
      </c>
      <c r="S463" t="s">
        <v>27</v>
      </c>
      <c r="T463" t="s">
        <v>991</v>
      </c>
      <c r="U463" t="s">
        <v>469</v>
      </c>
      <c r="V463" t="s">
        <v>3316</v>
      </c>
      <c r="W463">
        <v>5000</v>
      </c>
      <c r="X463">
        <v>20118967</v>
      </c>
      <c r="Y463" t="s">
        <v>3317</v>
      </c>
      <c r="Z463" t="s">
        <v>119</v>
      </c>
      <c r="AA463" t="s">
        <v>24</v>
      </c>
      <c r="AB463" t="s">
        <v>120</v>
      </c>
      <c r="AC463" t="s">
        <v>25</v>
      </c>
      <c r="AD463" t="s">
        <v>155</v>
      </c>
      <c r="AE463">
        <v>30</v>
      </c>
      <c r="AF463" t="s">
        <v>27</v>
      </c>
      <c r="AG463" t="s">
        <v>26</v>
      </c>
      <c r="AH463" t="s">
        <v>6666</v>
      </c>
      <c r="AI463" t="str">
        <f t="shared" si="35"/>
        <v>NO</v>
      </c>
      <c r="AJ463" t="str">
        <f t="shared" si="36"/>
        <v>FARMA DE COLOMBIA</v>
      </c>
      <c r="AK463" t="str">
        <f>IF(ISNUMBER(SEARCH("FABRICANTE",AC463)),"FABRICANTE",IF(ISNUMBER(SEARCH("IMPORTADOR",AC463)),"IMPORTADOR","OTRO"))</f>
        <v>FABRICANTE</v>
      </c>
      <c r="AL463" t="str">
        <f>IF(LEFT(Y463,1)="A","Sistema digestivo",IF(LEFT(Y463,1)="B","Sangre",IF(LEFT(Y463,1)="C","Cardiovascular",IF(LEFT(Y463,1)="D","Dermatológico",IF(LEFT(Y463,1)="G","Genitourinario",IF(LEFT(Y463,1)="H","Hormonal",IF(LEFT(Y463,1)="J","Antiinfecciosos",IF(LEFT(Y463,1)="L","Oncológicos",IF(LEFT(Y463,1)="M","Musculoesquelético",IF(LEFT(Y463,1)="N","Sistema nervioso",IF(LEFT(Y463,1)="R","Respiratorio",IF(LEFT(Y463,1)="S","Oftálmico",IF(LEFT(Y463,1)="V","Varios","OTRO")))))))))))))</f>
        <v>Sistema digestivo</v>
      </c>
      <c r="AM463" t="str">
        <f>IF(AG463="Vigente","ACTIVO",IF(ISNUMBER(SEARCH("Inactivo",J463)),"INACTIVO","REVISAR"))</f>
        <v>ACTIVO</v>
      </c>
      <c r="AN463" t="str">
        <f ca="1">IF(OR(AF463="",AF463="null"),"",ROUND((AF463-TODAY())/365.25,2))</f>
        <v/>
      </c>
      <c r="AO463" t="str">
        <f ca="1">IF(AND(AG463="Vigente",OR(AF463="",AF463="null",AF463&gt;TODAY())),"SI",IF(AND(NOT(OR(AF463="",AF463="null")),AF463&lt;=TODAY()),"NO",IF(AG463="Vigente","SI","DESCONOCIDO")))</f>
        <v>SI</v>
      </c>
      <c r="AP463" t="str">
        <f>IF(AND(ISNUMBER(SEARCH("IMPORTAR",AA463)),ISNUMBER(SEARCH("FABRICAR",AA463))),"MIXTO",IF(ISNUMBER(SEARCH("IMPORTAR",AA463)),"IMPORTADO",IF(ISNUMBER(SEARCH("FABRICAR",AA463)),"LOCAL","OTRO")))</f>
        <v>LOCAL</v>
      </c>
      <c r="AQ463" t="str">
        <f>IF(AD463="Si","SI",IF(AD463="No","NO",""))</f>
        <v>SI</v>
      </c>
      <c r="AR463" t="str">
        <f>IF(ISNUMBER(SEARCH("®",N463)),"MARCA/INNOVADOR","GENERICO")</f>
        <v>GENERICO</v>
      </c>
      <c r="AS463">
        <f ca="1">IF(AE463&gt;100,RANDBETWEEN(500,5000),IF(AND(AE463&gt;=10,AE463&lt;=100),RANDBETWEEN(100,1000),RANDBETWEEN(10,200)))</f>
        <v>371</v>
      </c>
      <c r="AT463">
        <f t="shared" ca="1" si="37"/>
        <v>44</v>
      </c>
      <c r="AU463">
        <f ca="1">INT(AS463*RANDBETWEEN(120,200)/100)</f>
        <v>634</v>
      </c>
      <c r="AV463" s="2">
        <f ca="1">IF(LEFT(Y463,1)="L",RANDBETWEEN(500000,5000000),IF(LEFT(Y463,1)="C",RANDBETWEEN(5000,50000),IF(LEFT(Y463,1)="N",RANDBETWEEN(10000,150000),IF(LEFT(Y463,1)="J",RANDBETWEEN(8000,200000),RANDBETWEEN(5000,100000)))))</f>
        <v>28608</v>
      </c>
      <c r="AW463" s="2">
        <f ca="1">INT(AV463*RANDBETWEEN(30,60)/100)</f>
        <v>10012</v>
      </c>
      <c r="AX463">
        <f ca="1">IF(Z463="ORAL",RANDBETWEEN(1000,10000),IF(OR(Z463="INTRAVENOSA",Z463="INTRAMUSCULAR"),RANDBETWEEN(100,2000),IF(OR(Z463="OFTÁLMICA",Z463="TOPICA (EXTERNA)"),RANDBETWEEN(200,3000),RANDBETWEEN(100,1500))))</f>
        <v>8767</v>
      </c>
      <c r="AY463" s="2">
        <f ca="1">INT(AV463*RANDBETWEEN(90,130)/100)</f>
        <v>32040</v>
      </c>
      <c r="AZ463" t="str">
        <f t="shared" ca="1" si="38"/>
        <v>22.9%</v>
      </c>
      <c r="BA463" t="str">
        <f t="shared" ca="1" si="39"/>
        <v>BAJO</v>
      </c>
    </row>
    <row r="464" spans="4:53" x14ac:dyDescent="0.35">
      <c r="D464" t="s">
        <v>3318</v>
      </c>
      <c r="E464" s="1">
        <v>38483</v>
      </c>
      <c r="F464" t="s">
        <v>3319</v>
      </c>
      <c r="G464" t="s">
        <v>108</v>
      </c>
      <c r="H464" t="s">
        <v>428</v>
      </c>
      <c r="I464">
        <v>19948799</v>
      </c>
      <c r="J464" t="s">
        <v>110</v>
      </c>
      <c r="K464">
        <v>5</v>
      </c>
      <c r="L464" t="s">
        <v>27</v>
      </c>
      <c r="M464" t="s">
        <v>3320</v>
      </c>
      <c r="N464" t="s">
        <v>3321</v>
      </c>
      <c r="O464" t="s">
        <v>3322</v>
      </c>
      <c r="P464" t="s">
        <v>553</v>
      </c>
      <c r="Q464" s="1">
        <v>39031</v>
      </c>
      <c r="R464" t="s">
        <v>459</v>
      </c>
      <c r="S464" s="1">
        <v>42215</v>
      </c>
      <c r="T464" t="s">
        <v>428</v>
      </c>
      <c r="U464" t="s">
        <v>247</v>
      </c>
      <c r="V464" t="s">
        <v>321</v>
      </c>
      <c r="W464" t="s">
        <v>1606</v>
      </c>
      <c r="X464">
        <v>19948799</v>
      </c>
      <c r="Y464" t="s">
        <v>322</v>
      </c>
      <c r="Z464" t="s">
        <v>119</v>
      </c>
      <c r="AA464" t="s">
        <v>24</v>
      </c>
      <c r="AB464" t="s">
        <v>250</v>
      </c>
      <c r="AC464" t="s">
        <v>25</v>
      </c>
      <c r="AD464" t="s">
        <v>121</v>
      </c>
      <c r="AE464">
        <v>1</v>
      </c>
      <c r="AF464" t="s">
        <v>27</v>
      </c>
      <c r="AG464" t="s">
        <v>26</v>
      </c>
      <c r="AH464" t="s">
        <v>123</v>
      </c>
      <c r="AI464" t="str">
        <f t="shared" si="35"/>
        <v>NO</v>
      </c>
      <c r="AJ464" t="str">
        <f t="shared" si="36"/>
        <v>LABORATORIOS SIEGFRIED</v>
      </c>
      <c r="AK464" t="str">
        <f>IF(ISNUMBER(SEARCH("FABRICANTE",AC464)),"FABRICANTE",IF(ISNUMBER(SEARCH("IMPORTADOR",AC464)),"IMPORTADOR","OTRO"))</f>
        <v>FABRICANTE</v>
      </c>
      <c r="AL464" t="str">
        <f>IF(LEFT(Y464,1)="A","Sistema digestivo",IF(LEFT(Y464,1)="B","Sangre",IF(LEFT(Y464,1)="C","Cardiovascular",IF(LEFT(Y464,1)="D","Dermatológico",IF(LEFT(Y464,1)="G","Genitourinario",IF(LEFT(Y464,1)="H","Hormonal",IF(LEFT(Y464,1)="J","Antiinfecciosos",IF(LEFT(Y464,1)="L","Oncológicos",IF(LEFT(Y464,1)="M","Musculoesquelético",IF(LEFT(Y464,1)="N","Sistema nervioso",IF(LEFT(Y464,1)="R","Respiratorio",IF(LEFT(Y464,1)="S","Oftálmico",IF(LEFT(Y464,1)="V","Varios","OTRO")))))))))))))</f>
        <v>Sistema nervioso</v>
      </c>
      <c r="AM464" t="str">
        <f>IF(AG464="Vigente","ACTIVO",IF(ISNUMBER(SEARCH("Inactivo",J464)),"INACTIVO","REVISAR"))</f>
        <v>ACTIVO</v>
      </c>
      <c r="AN464" t="str">
        <f ca="1">IF(OR(AF464="",AF464="null"),"",ROUND((AF464-TODAY())/365.25,2))</f>
        <v/>
      </c>
      <c r="AO464" t="str">
        <f ca="1">IF(AND(AG464="Vigente",OR(AF464="",AF464="null",AF464&gt;TODAY())),"SI",IF(AND(NOT(OR(AF464="",AF464="null")),AF464&lt;=TODAY()),"NO",IF(AG464="Vigente","SI","DESCONOCIDO")))</f>
        <v>SI</v>
      </c>
      <c r="AP464" t="str">
        <f>IF(AND(ISNUMBER(SEARCH("IMPORTAR",AA464)),ISNUMBER(SEARCH("FABRICAR",AA464))),"MIXTO",IF(ISNUMBER(SEARCH("IMPORTAR",AA464)),"IMPORTADO",IF(ISNUMBER(SEARCH("FABRICAR",AA464)),"LOCAL","OTRO")))</f>
        <v>LOCAL</v>
      </c>
      <c r="AQ464" t="str">
        <f>IF(AD464="Si","SI",IF(AD464="No","NO",""))</f>
        <v>NO</v>
      </c>
      <c r="AR464" t="str">
        <f>IF(ISNUMBER(SEARCH("®",N464)),"MARCA/INNOVADOR","GENERICO")</f>
        <v>GENERICO</v>
      </c>
      <c r="AS464">
        <f ca="1">IF(AE464&gt;100,RANDBETWEEN(500,5000),IF(AND(AE464&gt;=10,AE464&lt;=100),RANDBETWEEN(100,1000),RANDBETWEEN(10,200)))</f>
        <v>33</v>
      </c>
      <c r="AT464">
        <f t="shared" ca="1" si="37"/>
        <v>7</v>
      </c>
      <c r="AU464">
        <f ca="1">INT(AS464*RANDBETWEEN(120,200)/100)</f>
        <v>51</v>
      </c>
      <c r="AV464" s="2">
        <f ca="1">IF(LEFT(Y464,1)="L",RANDBETWEEN(500000,5000000),IF(LEFT(Y464,1)="C",RANDBETWEEN(5000,50000),IF(LEFT(Y464,1)="N",RANDBETWEEN(10000,150000),IF(LEFT(Y464,1)="J",RANDBETWEEN(8000,200000),RANDBETWEEN(5000,100000)))))</f>
        <v>111280</v>
      </c>
      <c r="AW464" s="2">
        <f ca="1">INT(AV464*RANDBETWEEN(30,60)/100)</f>
        <v>33384</v>
      </c>
      <c r="AX464">
        <f ca="1">IF(Z464="ORAL",RANDBETWEEN(1000,10000),IF(OR(Z464="INTRAVENOSA",Z464="INTRAMUSCULAR"),RANDBETWEEN(100,2000),IF(OR(Z464="OFTÁLMICA",Z464="TOPICA (EXTERNA)"),RANDBETWEEN(200,3000),RANDBETWEEN(100,1500))))</f>
        <v>3817</v>
      </c>
      <c r="AY464" s="2">
        <f ca="1">INT(AV464*RANDBETWEEN(90,130)/100)</f>
        <v>111280</v>
      </c>
      <c r="AZ464" t="str">
        <f t="shared" ca="1" si="38"/>
        <v>10.7%</v>
      </c>
      <c r="BA464" t="str">
        <f t="shared" ca="1" si="39"/>
        <v>ALTO</v>
      </c>
    </row>
    <row r="465" spans="4:53" x14ac:dyDescent="0.35">
      <c r="D465" t="s">
        <v>3323</v>
      </c>
      <c r="E465" s="1">
        <v>42052</v>
      </c>
      <c r="F465" t="s">
        <v>1303</v>
      </c>
      <c r="G465" t="s">
        <v>108</v>
      </c>
      <c r="H465" t="s">
        <v>1298</v>
      </c>
      <c r="I465">
        <v>20075649</v>
      </c>
      <c r="J465" t="s">
        <v>110</v>
      </c>
      <c r="K465">
        <v>8</v>
      </c>
      <c r="L465" t="s">
        <v>27</v>
      </c>
      <c r="M465" t="s">
        <v>1299</v>
      </c>
      <c r="N465" t="s">
        <v>1300</v>
      </c>
      <c r="O465" t="s">
        <v>3324</v>
      </c>
      <c r="P465" t="s">
        <v>1302</v>
      </c>
      <c r="Q465" s="1">
        <v>41995</v>
      </c>
      <c r="R465" t="s">
        <v>1302</v>
      </c>
      <c r="S465" s="1">
        <v>45806</v>
      </c>
      <c r="T465" t="s">
        <v>80</v>
      </c>
      <c r="U465" t="s">
        <v>115</v>
      </c>
      <c r="V465" t="s">
        <v>1303</v>
      </c>
      <c r="W465">
        <v>200</v>
      </c>
      <c r="X465">
        <v>20075649</v>
      </c>
      <c r="Y465" t="s">
        <v>1304</v>
      </c>
      <c r="Z465" t="s">
        <v>1305</v>
      </c>
      <c r="AA465" t="s">
        <v>24</v>
      </c>
      <c r="AB465" t="s">
        <v>120</v>
      </c>
      <c r="AC465" t="s">
        <v>25</v>
      </c>
      <c r="AD465" t="s">
        <v>121</v>
      </c>
      <c r="AE465">
        <v>10</v>
      </c>
      <c r="AF465" t="s">
        <v>27</v>
      </c>
      <c r="AG465" t="s">
        <v>26</v>
      </c>
      <c r="AH465" t="s">
        <v>1303</v>
      </c>
      <c r="AI465" t="str">
        <f t="shared" si="35"/>
        <v>NO</v>
      </c>
      <c r="AJ465" t="str">
        <f t="shared" si="36"/>
        <v>TECNOQUIMICAS</v>
      </c>
      <c r="AK465" t="str">
        <f>IF(ISNUMBER(SEARCH("FABRICANTE",AC465)),"FABRICANTE",IF(ISNUMBER(SEARCH("IMPORTADOR",AC465)),"IMPORTADOR","OTRO"))</f>
        <v>FABRICANTE</v>
      </c>
      <c r="AL465" t="str">
        <f>IF(LEFT(Y465,1)="A","Sistema digestivo",IF(LEFT(Y465,1)="B","Sangre",IF(LEFT(Y465,1)="C","Cardiovascular",IF(LEFT(Y465,1)="D","Dermatológico",IF(LEFT(Y465,1)="G","Genitourinario",IF(LEFT(Y465,1)="H","Hormonal",IF(LEFT(Y465,1)="J","Antiinfecciosos",IF(LEFT(Y465,1)="L","Oncológicos",IF(LEFT(Y465,1)="M","Musculoesquelético",IF(LEFT(Y465,1)="N","Sistema nervioso",IF(LEFT(Y465,1)="R","Respiratorio",IF(LEFT(Y465,1)="S","Oftálmico",IF(LEFT(Y465,1)="V","Varios","OTRO")))))))))))))</f>
        <v>Genitourinario</v>
      </c>
      <c r="AM465" t="str">
        <f>IF(AG465="Vigente","ACTIVO",IF(ISNUMBER(SEARCH("Inactivo",J465)),"INACTIVO","REVISAR"))</f>
        <v>ACTIVO</v>
      </c>
      <c r="AN465" t="str">
        <f ca="1">IF(OR(AF465="",AF465="null"),"",ROUND((AF465-TODAY())/365.25,2))</f>
        <v/>
      </c>
      <c r="AO465" t="str">
        <f ca="1">IF(AND(AG465="Vigente",OR(AF465="",AF465="null",AF465&gt;TODAY())),"SI",IF(AND(NOT(OR(AF465="",AF465="null")),AF465&lt;=TODAY()),"NO",IF(AG465="Vigente","SI","DESCONOCIDO")))</f>
        <v>SI</v>
      </c>
      <c r="AP465" t="str">
        <f>IF(AND(ISNUMBER(SEARCH("IMPORTAR",AA465)),ISNUMBER(SEARCH("FABRICAR",AA465))),"MIXTO",IF(ISNUMBER(SEARCH("IMPORTAR",AA465)),"IMPORTADO",IF(ISNUMBER(SEARCH("FABRICAR",AA465)),"LOCAL","OTRO")))</f>
        <v>LOCAL</v>
      </c>
      <c r="AQ465" t="str">
        <f>IF(AD465="Si","SI",IF(AD465="No","NO",""))</f>
        <v>NO</v>
      </c>
      <c r="AR465" t="str">
        <f>IF(ISNUMBER(SEARCH("®",N465)),"MARCA/INNOVADOR","GENERICO")</f>
        <v>GENERICO</v>
      </c>
      <c r="AS465">
        <f ca="1">IF(AE465&gt;100,RANDBETWEEN(500,5000),IF(AND(AE465&gt;=10,AE465&lt;=100),RANDBETWEEN(100,1000),RANDBETWEEN(10,200)))</f>
        <v>409</v>
      </c>
      <c r="AT465">
        <f t="shared" ca="1" si="37"/>
        <v>81</v>
      </c>
      <c r="AU465">
        <f ca="1">INT(AS465*RANDBETWEEN(120,200)/100)</f>
        <v>781</v>
      </c>
      <c r="AV465" s="2">
        <f ca="1">IF(LEFT(Y465,1)="L",RANDBETWEEN(500000,5000000),IF(LEFT(Y465,1)="C",RANDBETWEEN(5000,50000),IF(LEFT(Y465,1)="N",RANDBETWEEN(10000,150000),IF(LEFT(Y465,1)="J",RANDBETWEEN(8000,200000),RANDBETWEEN(5000,100000)))))</f>
        <v>63062</v>
      </c>
      <c r="AW465" s="2">
        <f ca="1">INT(AV465*RANDBETWEEN(30,60)/100)</f>
        <v>37837</v>
      </c>
      <c r="AX465">
        <f ca="1">IF(Z465="ORAL",RANDBETWEEN(1000,10000),IF(OR(Z465="INTRAVENOSA",Z465="INTRAMUSCULAR"),RANDBETWEEN(100,2000),IF(OR(Z465="OFTÁLMICA",Z465="TOPICA (EXTERNA)"),RANDBETWEEN(200,3000),RANDBETWEEN(100,1500))))</f>
        <v>302</v>
      </c>
      <c r="AY465" s="2">
        <f ca="1">INT(AV465*RANDBETWEEN(90,130)/100)</f>
        <v>58647</v>
      </c>
      <c r="AZ465" t="str">
        <f t="shared" ca="1" si="38"/>
        <v>4.2%</v>
      </c>
      <c r="BA465" t="str">
        <f t="shared" ca="1" si="39"/>
        <v>ALTO</v>
      </c>
    </row>
    <row r="466" spans="4:53" x14ac:dyDescent="0.35">
      <c r="D466" t="s">
        <v>3325</v>
      </c>
      <c r="E466" s="1">
        <v>41344</v>
      </c>
      <c r="F466" t="s">
        <v>3326</v>
      </c>
      <c r="G466" t="s">
        <v>108</v>
      </c>
      <c r="H466" t="s">
        <v>3327</v>
      </c>
      <c r="I466">
        <v>20025390</v>
      </c>
      <c r="J466" t="s">
        <v>28</v>
      </c>
      <c r="K466">
        <v>1</v>
      </c>
      <c r="L466" t="s">
        <v>27</v>
      </c>
      <c r="M466" t="s">
        <v>3328</v>
      </c>
      <c r="N466" t="s">
        <v>3329</v>
      </c>
      <c r="O466" t="s">
        <v>3330</v>
      </c>
      <c r="P466" t="s">
        <v>659</v>
      </c>
      <c r="Q466" s="1">
        <v>41333</v>
      </c>
      <c r="R466" t="s">
        <v>37</v>
      </c>
      <c r="S466" t="s">
        <v>27</v>
      </c>
      <c r="T466" t="s">
        <v>1490</v>
      </c>
      <c r="U466" t="s">
        <v>115</v>
      </c>
      <c r="V466" t="s">
        <v>3331</v>
      </c>
      <c r="W466">
        <v>135</v>
      </c>
      <c r="X466">
        <v>20025390</v>
      </c>
      <c r="Y466" t="s">
        <v>3332</v>
      </c>
      <c r="Z466" t="s">
        <v>119</v>
      </c>
      <c r="AA466" t="s">
        <v>24</v>
      </c>
      <c r="AB466" t="s">
        <v>120</v>
      </c>
      <c r="AC466" t="s">
        <v>25</v>
      </c>
      <c r="AD466" t="s">
        <v>121</v>
      </c>
      <c r="AE466">
        <v>7</v>
      </c>
      <c r="AF466" s="1">
        <v>401769</v>
      </c>
      <c r="AG466" t="s">
        <v>26</v>
      </c>
      <c r="AH466" t="s">
        <v>6805</v>
      </c>
      <c r="AI466" t="str">
        <f t="shared" si="35"/>
        <v>SI</v>
      </c>
      <c r="AJ466" t="str">
        <f t="shared" si="36"/>
        <v>LABORATORIO FRANCO COLOMBIANO - LAFRANCOL</v>
      </c>
      <c r="AK466" t="str">
        <f>IF(ISNUMBER(SEARCH("FABRICANTE",AC466)),"FABRICANTE",IF(ISNUMBER(SEARCH("IMPORTADOR",AC466)),"IMPORTADOR","OTRO"))</f>
        <v>FABRICANTE</v>
      </c>
      <c r="AL466" t="str">
        <f>IF(LEFT(Y466,1)="A","Sistema digestivo",IF(LEFT(Y466,1)="B","Sangre",IF(LEFT(Y466,1)="C","Cardiovascular",IF(LEFT(Y466,1)="D","Dermatológico",IF(LEFT(Y466,1)="G","Genitourinario",IF(LEFT(Y466,1)="H","Hormonal",IF(LEFT(Y466,1)="J","Antiinfecciosos",IF(LEFT(Y466,1)="L","Oncológicos",IF(LEFT(Y466,1)="M","Musculoesquelético",IF(LEFT(Y466,1)="N","Sistema nervioso",IF(LEFT(Y466,1)="R","Respiratorio",IF(LEFT(Y466,1)="S","Oftálmico",IF(LEFT(Y466,1)="V","Varios","OTRO")))))))))))))</f>
        <v>Cardiovascular</v>
      </c>
      <c r="AM466" t="str">
        <f>IF(AG466="Vigente","ACTIVO",IF(ISNUMBER(SEARCH("Inactivo",J466)),"INACTIVO","REVISAR"))</f>
        <v>ACTIVO</v>
      </c>
      <c r="AN466">
        <f ca="1">IF(OR(AF466="",AF466="null"),"",ROUND((AF466-TODAY())/365.25,2))</f>
        <v>973.58</v>
      </c>
      <c r="AO466" t="str">
        <f ca="1">IF(AND(AG466="Vigente",OR(AF466="",AF466="null",AF466&gt;TODAY())),"SI",IF(AND(NOT(OR(AF466="",AF466="null")),AF466&lt;=TODAY()),"NO",IF(AG466="Vigente","SI","DESCONOCIDO")))</f>
        <v>SI</v>
      </c>
      <c r="AP466" t="str">
        <f>IF(AND(ISNUMBER(SEARCH("IMPORTAR",AA466)),ISNUMBER(SEARCH("FABRICAR",AA466))),"MIXTO",IF(ISNUMBER(SEARCH("IMPORTAR",AA466)),"IMPORTADO",IF(ISNUMBER(SEARCH("FABRICAR",AA466)),"LOCAL","OTRO")))</f>
        <v>LOCAL</v>
      </c>
      <c r="AQ466" t="str">
        <f>IF(AD466="Si","SI",IF(AD466="No","NO",""))</f>
        <v>NO</v>
      </c>
      <c r="AR466" t="str">
        <f>IF(ISNUMBER(SEARCH("®",N466)),"MARCA/INNOVADOR","GENERICO")</f>
        <v>MARCA/INNOVADOR</v>
      </c>
      <c r="AS466">
        <f ca="1">IF(AE466&gt;100,RANDBETWEEN(500,5000),IF(AND(AE466&gt;=10,AE466&lt;=100),RANDBETWEEN(100,1000),RANDBETWEEN(10,200)))</f>
        <v>81</v>
      </c>
      <c r="AT466">
        <f t="shared" ca="1" si="37"/>
        <v>18</v>
      </c>
      <c r="AU466">
        <f ca="1">INT(AS466*RANDBETWEEN(120,200)/100)</f>
        <v>139</v>
      </c>
      <c r="AV466" s="2">
        <f ca="1">IF(LEFT(Y466,1)="L",RANDBETWEEN(500000,5000000),IF(LEFT(Y466,1)="C",RANDBETWEEN(5000,50000),IF(LEFT(Y466,1)="N",RANDBETWEEN(10000,150000),IF(LEFT(Y466,1)="J",RANDBETWEEN(8000,200000),RANDBETWEEN(5000,100000)))))</f>
        <v>10783</v>
      </c>
      <c r="AW466" s="2">
        <f ca="1">INT(AV466*RANDBETWEEN(30,60)/100)</f>
        <v>4097</v>
      </c>
      <c r="AX466">
        <f ca="1">IF(Z466="ORAL",RANDBETWEEN(1000,10000),IF(OR(Z466="INTRAVENOSA",Z466="INTRAMUSCULAR"),RANDBETWEEN(100,2000),IF(OR(Z466="OFTÁLMICA",Z466="TOPICA (EXTERNA)"),RANDBETWEEN(200,3000),RANDBETWEEN(100,1500))))</f>
        <v>4949</v>
      </c>
      <c r="AY466" s="2">
        <f ca="1">INT(AV466*RANDBETWEEN(90,130)/100)</f>
        <v>13910</v>
      </c>
      <c r="AZ466" t="str">
        <f t="shared" ca="1" si="38"/>
        <v>22.9%</v>
      </c>
      <c r="BA466" t="str">
        <f t="shared" ca="1" si="39"/>
        <v>BAJO</v>
      </c>
    </row>
    <row r="467" spans="4:53" x14ac:dyDescent="0.35">
      <c r="D467" t="s">
        <v>3333</v>
      </c>
      <c r="E467" s="1">
        <v>44271</v>
      </c>
      <c r="F467" t="s">
        <v>453</v>
      </c>
      <c r="G467" t="s">
        <v>108</v>
      </c>
      <c r="H467" t="s">
        <v>2779</v>
      </c>
      <c r="I467">
        <v>20156373</v>
      </c>
      <c r="J467" t="s">
        <v>110</v>
      </c>
      <c r="K467">
        <v>14</v>
      </c>
      <c r="L467" t="s">
        <v>27</v>
      </c>
      <c r="M467" t="s">
        <v>3334</v>
      </c>
      <c r="N467" t="s">
        <v>3335</v>
      </c>
      <c r="O467" t="s">
        <v>3336</v>
      </c>
      <c r="P467" t="s">
        <v>527</v>
      </c>
      <c r="Q467" s="1">
        <v>44176</v>
      </c>
      <c r="R467" t="s">
        <v>527</v>
      </c>
      <c r="S467" t="s">
        <v>27</v>
      </c>
      <c r="T467" t="s">
        <v>3337</v>
      </c>
      <c r="U467" t="s">
        <v>115</v>
      </c>
      <c r="V467" t="s">
        <v>162</v>
      </c>
      <c r="W467">
        <v>5</v>
      </c>
      <c r="X467">
        <v>20156373</v>
      </c>
      <c r="Y467" t="s">
        <v>164</v>
      </c>
      <c r="Z467" t="s">
        <v>119</v>
      </c>
      <c r="AA467" t="s">
        <v>848</v>
      </c>
      <c r="AB467" t="s">
        <v>120</v>
      </c>
      <c r="AC467" t="s">
        <v>25</v>
      </c>
      <c r="AD467" t="s">
        <v>121</v>
      </c>
      <c r="AE467">
        <v>80</v>
      </c>
      <c r="AF467" t="s">
        <v>27</v>
      </c>
      <c r="AG467" t="s">
        <v>26</v>
      </c>
      <c r="AH467" t="s">
        <v>453</v>
      </c>
      <c r="AI467" t="str">
        <f t="shared" si="35"/>
        <v>NO</v>
      </c>
      <c r="AJ467" t="str">
        <f t="shared" si="36"/>
        <v>HIGH PACKING COMPANY</v>
      </c>
      <c r="AK467" t="str">
        <f>IF(ISNUMBER(SEARCH("FABRICANTE",AC467)),"FABRICANTE",IF(ISNUMBER(SEARCH("IMPORTADOR",AC467)),"IMPORTADOR","OTRO"))</f>
        <v>FABRICANTE</v>
      </c>
      <c r="AL467" t="str">
        <f>IF(LEFT(Y467,1)="A","Sistema digestivo",IF(LEFT(Y467,1)="B","Sangre",IF(LEFT(Y467,1)="C","Cardiovascular",IF(LEFT(Y467,1)="D","Dermatológico",IF(LEFT(Y467,1)="G","Genitourinario",IF(LEFT(Y467,1)="H","Hormonal",IF(LEFT(Y467,1)="J","Antiinfecciosos",IF(LEFT(Y467,1)="L","Oncológicos",IF(LEFT(Y467,1)="M","Musculoesquelético",IF(LEFT(Y467,1)="N","Sistema nervioso",IF(LEFT(Y467,1)="R","Respiratorio",IF(LEFT(Y467,1)="S","Oftálmico",IF(LEFT(Y467,1)="V","Varios","OTRO")))))))))))))</f>
        <v>Musculoesquelético</v>
      </c>
      <c r="AM467" t="str">
        <f>IF(AG467="Vigente","ACTIVO",IF(ISNUMBER(SEARCH("Inactivo",J467)),"INACTIVO","REVISAR"))</f>
        <v>ACTIVO</v>
      </c>
      <c r="AN467" t="str">
        <f ca="1">IF(OR(AF467="",AF467="null"),"",ROUND((AF467-TODAY())/365.25,2))</f>
        <v/>
      </c>
      <c r="AO467" t="str">
        <f ca="1">IF(AND(AG467="Vigente",OR(AF467="",AF467="null",AF467&gt;TODAY())),"SI",IF(AND(NOT(OR(AF467="",AF467="null")),AF467&lt;=TODAY()),"NO",IF(AG467="Vigente","SI","DESCONOCIDO")))</f>
        <v>SI</v>
      </c>
      <c r="AP467" t="str">
        <f>IF(AND(ISNUMBER(SEARCH("IMPORTAR",AA467)),ISNUMBER(SEARCH("FABRICAR",AA467))),"MIXTO",IF(ISNUMBER(SEARCH("IMPORTAR",AA467)),"IMPORTADO",IF(ISNUMBER(SEARCH("FABRICAR",AA467)),"LOCAL","OTRO")))</f>
        <v>IMPORTADO</v>
      </c>
      <c r="AQ467" t="str">
        <f>IF(AD467="Si","SI",IF(AD467="No","NO",""))</f>
        <v>NO</v>
      </c>
      <c r="AR467" t="str">
        <f>IF(ISNUMBER(SEARCH("®",N467)),"MARCA/INNOVADOR","GENERICO")</f>
        <v>MARCA/INNOVADOR</v>
      </c>
      <c r="AS467">
        <f ca="1">IF(AE467&gt;100,RANDBETWEEN(500,5000),IF(AND(AE467&gt;=10,AE467&lt;=100),RANDBETWEEN(100,1000),RANDBETWEEN(10,200)))</f>
        <v>191</v>
      </c>
      <c r="AT467">
        <f t="shared" ca="1" si="37"/>
        <v>40</v>
      </c>
      <c r="AU467">
        <f ca="1">INT(AS467*RANDBETWEEN(120,200)/100)</f>
        <v>336</v>
      </c>
      <c r="AV467" s="2">
        <f ca="1">IF(LEFT(Y467,1)="L",RANDBETWEEN(500000,5000000),IF(LEFT(Y467,1)="C",RANDBETWEEN(5000,50000),IF(LEFT(Y467,1)="N",RANDBETWEEN(10000,150000),IF(LEFT(Y467,1)="J",RANDBETWEEN(8000,200000),RANDBETWEEN(5000,100000)))))</f>
        <v>83321</v>
      </c>
      <c r="AW467" s="2">
        <f ca="1">INT(AV467*RANDBETWEEN(30,60)/100)</f>
        <v>49159</v>
      </c>
      <c r="AX467">
        <f ca="1">IF(Z467="ORAL",RANDBETWEEN(1000,10000),IF(OR(Z467="INTRAVENOSA",Z467="INTRAMUSCULAR"),RANDBETWEEN(100,2000),IF(OR(Z467="OFTÁLMICA",Z467="TOPICA (EXTERNA)"),RANDBETWEEN(200,3000),RANDBETWEEN(100,1500))))</f>
        <v>6790</v>
      </c>
      <c r="AY467" s="2">
        <f ca="1">INT(AV467*RANDBETWEEN(90,130)/100)</f>
        <v>100818</v>
      </c>
      <c r="AZ467" t="str">
        <f t="shared" ca="1" si="38"/>
        <v>19%</v>
      </c>
      <c r="BA467" t="str">
        <f t="shared" ca="1" si="39"/>
        <v>ALTO</v>
      </c>
    </row>
    <row r="468" spans="4:53" x14ac:dyDescent="0.35">
      <c r="D468" t="s">
        <v>3338</v>
      </c>
      <c r="E468" s="1">
        <v>45113</v>
      </c>
      <c r="F468" t="s">
        <v>3339</v>
      </c>
      <c r="G468" t="s">
        <v>108</v>
      </c>
      <c r="H468" t="s">
        <v>958</v>
      </c>
      <c r="I468">
        <v>20190047</v>
      </c>
      <c r="J468" t="s">
        <v>28</v>
      </c>
      <c r="K468">
        <v>1</v>
      </c>
      <c r="L468" t="s">
        <v>3340</v>
      </c>
      <c r="M468" t="s">
        <v>3341</v>
      </c>
      <c r="N468" t="s">
        <v>3342</v>
      </c>
      <c r="O468" t="s">
        <v>3343</v>
      </c>
      <c r="P468" t="s">
        <v>33</v>
      </c>
      <c r="Q468" s="1">
        <v>44376</v>
      </c>
      <c r="R468" t="s">
        <v>33</v>
      </c>
      <c r="S468" t="s">
        <v>27</v>
      </c>
      <c r="T468" t="s">
        <v>1403</v>
      </c>
      <c r="U468" t="s">
        <v>115</v>
      </c>
      <c r="V468" t="s">
        <v>3344</v>
      </c>
      <c r="W468" t="s">
        <v>1956</v>
      </c>
      <c r="X468">
        <v>20190047</v>
      </c>
      <c r="Y468" t="s">
        <v>3345</v>
      </c>
      <c r="Z468" t="s">
        <v>119</v>
      </c>
      <c r="AA468" t="s">
        <v>32</v>
      </c>
      <c r="AB468" t="s">
        <v>120</v>
      </c>
      <c r="AC468" t="s">
        <v>38</v>
      </c>
      <c r="AD468" t="s">
        <v>121</v>
      </c>
      <c r="AE468">
        <v>10</v>
      </c>
      <c r="AF468" t="s">
        <v>27</v>
      </c>
      <c r="AG468" t="s">
        <v>26</v>
      </c>
      <c r="AH468" t="s">
        <v>3339</v>
      </c>
      <c r="AI468" t="str">
        <f t="shared" si="35"/>
        <v>NO</v>
      </c>
      <c r="AJ468" t="str">
        <f t="shared" si="36"/>
        <v>MOMENTA FARMACEUTICA</v>
      </c>
      <c r="AK468" t="str">
        <f>IF(ISNUMBER(SEARCH("FABRICANTE",AC468)),"FABRICANTE",IF(ISNUMBER(SEARCH("IMPORTADOR",AC468)),"IMPORTADOR","OTRO"))</f>
        <v>IMPORTADOR</v>
      </c>
      <c r="AL468" t="str">
        <f>IF(LEFT(Y468,1)="A","Sistema digestivo",IF(LEFT(Y468,1)="B","Sangre",IF(LEFT(Y468,1)="C","Cardiovascular",IF(LEFT(Y468,1)="D","Dermatológico",IF(LEFT(Y468,1)="G","Genitourinario",IF(LEFT(Y468,1)="H","Hormonal",IF(LEFT(Y468,1)="J","Antiinfecciosos",IF(LEFT(Y468,1)="L","Oncológicos",IF(LEFT(Y468,1)="M","Musculoesquelético",IF(LEFT(Y468,1)="N","Sistema nervioso",IF(LEFT(Y468,1)="R","Respiratorio",IF(LEFT(Y468,1)="S","Oftálmico",IF(LEFT(Y468,1)="V","Varios","OTRO")))))))))))))</f>
        <v>Sistema nervioso</v>
      </c>
      <c r="AM468" t="str">
        <f>IF(AG468="Vigente","ACTIVO",IF(ISNUMBER(SEARCH("Inactivo",J468)),"INACTIVO","REVISAR"))</f>
        <v>ACTIVO</v>
      </c>
      <c r="AN468" t="str">
        <f ca="1">IF(OR(AF468="",AF468="null"),"",ROUND((AF468-TODAY())/365.25,2))</f>
        <v/>
      </c>
      <c r="AO468" t="str">
        <f ca="1">IF(AND(AG468="Vigente",OR(AF468="",AF468="null",AF468&gt;TODAY())),"SI",IF(AND(NOT(OR(AF468="",AF468="null")),AF468&lt;=TODAY()),"NO",IF(AG468="Vigente","SI","DESCONOCIDO")))</f>
        <v>SI</v>
      </c>
      <c r="AP468" t="str">
        <f>IF(AND(ISNUMBER(SEARCH("IMPORTAR",AA468)),ISNUMBER(SEARCH("FABRICAR",AA468))),"MIXTO",IF(ISNUMBER(SEARCH("IMPORTAR",AA468)),"IMPORTADO",IF(ISNUMBER(SEARCH("FABRICAR",AA468)),"LOCAL","OTRO")))</f>
        <v>IMPORTADO</v>
      </c>
      <c r="AQ468" t="str">
        <f>IF(AD468="Si","SI",IF(AD468="No","NO",""))</f>
        <v>NO</v>
      </c>
      <c r="AR468" t="str">
        <f>IF(ISNUMBER(SEARCH("®",N468)),"MARCA/INNOVADOR","GENERICO")</f>
        <v>MARCA/INNOVADOR</v>
      </c>
      <c r="AS468">
        <f ca="1">IF(AE468&gt;100,RANDBETWEEN(500,5000),IF(AND(AE468&gt;=10,AE468&lt;=100),RANDBETWEEN(100,1000),RANDBETWEEN(10,200)))</f>
        <v>267</v>
      </c>
      <c r="AT468">
        <f t="shared" ca="1" si="37"/>
        <v>48</v>
      </c>
      <c r="AU468">
        <f ca="1">INT(AS468*RANDBETWEEN(120,200)/100)</f>
        <v>464</v>
      </c>
      <c r="AV468" s="2">
        <f ca="1">IF(LEFT(Y468,1)="L",RANDBETWEEN(500000,5000000),IF(LEFT(Y468,1)="C",RANDBETWEEN(5000,50000),IF(LEFT(Y468,1)="N",RANDBETWEEN(10000,150000),IF(LEFT(Y468,1)="J",RANDBETWEEN(8000,200000),RANDBETWEEN(5000,100000)))))</f>
        <v>29776</v>
      </c>
      <c r="AW468" s="2">
        <f ca="1">INT(AV468*RANDBETWEEN(30,60)/100)</f>
        <v>16376</v>
      </c>
      <c r="AX468">
        <f ca="1">IF(Z468="ORAL",RANDBETWEEN(1000,10000),IF(OR(Z468="INTRAVENOSA",Z468="INTRAMUSCULAR"),RANDBETWEEN(100,2000),IF(OR(Z468="OFTÁLMICA",Z468="TOPICA (EXTERNA)"),RANDBETWEEN(200,3000),RANDBETWEEN(100,1500))))</f>
        <v>5027</v>
      </c>
      <c r="AY468" s="2">
        <f ca="1">INT(AV468*RANDBETWEEN(90,130)/100)</f>
        <v>33646</v>
      </c>
      <c r="AZ468" t="str">
        <f t="shared" ca="1" si="38"/>
        <v>18%</v>
      </c>
      <c r="BA468" t="str">
        <f t="shared" ca="1" si="39"/>
        <v>BAJO</v>
      </c>
    </row>
    <row r="469" spans="4:53" x14ac:dyDescent="0.35">
      <c r="D469" t="s">
        <v>3346</v>
      </c>
      <c r="E469" s="1">
        <v>42548</v>
      </c>
      <c r="F469" t="s">
        <v>3347</v>
      </c>
      <c r="G469" t="s">
        <v>108</v>
      </c>
      <c r="H469" t="s">
        <v>3348</v>
      </c>
      <c r="I469">
        <v>20082710</v>
      </c>
      <c r="J469" t="s">
        <v>28</v>
      </c>
      <c r="K469">
        <v>4</v>
      </c>
      <c r="L469" t="s">
        <v>27</v>
      </c>
      <c r="M469" t="s">
        <v>3349</v>
      </c>
      <c r="N469" t="s">
        <v>3350</v>
      </c>
      <c r="O469" t="s">
        <v>3351</v>
      </c>
      <c r="P469" t="s">
        <v>3352</v>
      </c>
      <c r="Q469" s="1">
        <v>43003</v>
      </c>
      <c r="R469" t="s">
        <v>1312</v>
      </c>
      <c r="S469" t="s">
        <v>27</v>
      </c>
      <c r="T469" t="s">
        <v>3353</v>
      </c>
      <c r="U469" t="s">
        <v>115</v>
      </c>
      <c r="V469" t="s">
        <v>765</v>
      </c>
      <c r="W469">
        <v>500</v>
      </c>
      <c r="X469">
        <v>20082710</v>
      </c>
      <c r="Y469" t="s">
        <v>766</v>
      </c>
      <c r="Z469" t="s">
        <v>260</v>
      </c>
      <c r="AA469" t="s">
        <v>32</v>
      </c>
      <c r="AB469" t="s">
        <v>120</v>
      </c>
      <c r="AC469" t="s">
        <v>25</v>
      </c>
      <c r="AD469" t="s">
        <v>155</v>
      </c>
      <c r="AE469">
        <v>10</v>
      </c>
      <c r="AF469" t="s">
        <v>27</v>
      </c>
      <c r="AG469" t="s">
        <v>26</v>
      </c>
      <c r="AH469" t="s">
        <v>6806</v>
      </c>
      <c r="AI469" t="str">
        <f t="shared" si="35"/>
        <v>SI</v>
      </c>
      <c r="AJ469" t="str">
        <f t="shared" si="36"/>
        <v>FRESENIUS KABI PHARMA PORTUGAL</v>
      </c>
      <c r="AK469" t="str">
        <f>IF(ISNUMBER(SEARCH("FABRICANTE",AC469)),"FABRICANTE",IF(ISNUMBER(SEARCH("IMPORTADOR",AC469)),"IMPORTADOR","OTRO"))</f>
        <v>FABRICANTE</v>
      </c>
      <c r="AL469" t="str">
        <f>IF(LEFT(Y469,1)="A","Sistema digestivo",IF(LEFT(Y469,1)="B","Sangre",IF(LEFT(Y469,1)="C","Cardiovascular",IF(LEFT(Y469,1)="D","Dermatológico",IF(LEFT(Y469,1)="G","Genitourinario",IF(LEFT(Y469,1)="H","Hormonal",IF(LEFT(Y469,1)="J","Antiinfecciosos",IF(LEFT(Y469,1)="L","Oncológicos",IF(LEFT(Y469,1)="M","Musculoesquelético",IF(LEFT(Y469,1)="N","Sistema nervioso",IF(LEFT(Y469,1)="R","Respiratorio",IF(LEFT(Y469,1)="S","Oftálmico",IF(LEFT(Y469,1)="V","Varios","OTRO")))))))))))))</f>
        <v>Antiinfecciosos</v>
      </c>
      <c r="AM469" t="str">
        <f>IF(AG469="Vigente","ACTIVO",IF(ISNUMBER(SEARCH("Inactivo",J469)),"INACTIVO","REVISAR"))</f>
        <v>ACTIVO</v>
      </c>
      <c r="AN469" t="str">
        <f ca="1">IF(OR(AF469="",AF469="null"),"",ROUND((AF469-TODAY())/365.25,2))</f>
        <v/>
      </c>
      <c r="AO469" t="str">
        <f ca="1">IF(AND(AG469="Vigente",OR(AF469="",AF469="null",AF469&gt;TODAY())),"SI",IF(AND(NOT(OR(AF469="",AF469="null")),AF469&lt;=TODAY()),"NO",IF(AG469="Vigente","SI","DESCONOCIDO")))</f>
        <v>SI</v>
      </c>
      <c r="AP469" t="str">
        <f>IF(AND(ISNUMBER(SEARCH("IMPORTAR",AA469)),ISNUMBER(SEARCH("FABRICAR",AA469))),"MIXTO",IF(ISNUMBER(SEARCH("IMPORTAR",AA469)),"IMPORTADO",IF(ISNUMBER(SEARCH("FABRICAR",AA469)),"LOCAL","OTRO")))</f>
        <v>IMPORTADO</v>
      </c>
      <c r="AQ469" t="str">
        <f>IF(AD469="Si","SI",IF(AD469="No","NO",""))</f>
        <v>SI</v>
      </c>
      <c r="AR469" t="str">
        <f>IF(ISNUMBER(SEARCH("®",N469)),"MARCA/INNOVADOR","GENERICO")</f>
        <v>MARCA/INNOVADOR</v>
      </c>
      <c r="AS469">
        <f ca="1">IF(AE469&gt;100,RANDBETWEEN(500,5000),IF(AND(AE469&gt;=10,AE469&lt;=100),RANDBETWEEN(100,1000),RANDBETWEEN(10,200)))</f>
        <v>846</v>
      </c>
      <c r="AT469">
        <f t="shared" ca="1" si="37"/>
        <v>194</v>
      </c>
      <c r="AU469">
        <f ca="1">INT(AS469*RANDBETWEEN(120,200)/100)</f>
        <v>1429</v>
      </c>
      <c r="AV469" s="2">
        <f ca="1">IF(LEFT(Y469,1)="L",RANDBETWEEN(500000,5000000),IF(LEFT(Y469,1)="C",RANDBETWEEN(5000,50000),IF(LEFT(Y469,1)="N",RANDBETWEEN(10000,150000),IF(LEFT(Y469,1)="J",RANDBETWEEN(8000,200000),RANDBETWEEN(5000,100000)))))</f>
        <v>133938</v>
      </c>
      <c r="AW469" s="2">
        <f ca="1">INT(AV469*RANDBETWEEN(30,60)/100)</f>
        <v>61611</v>
      </c>
      <c r="AX469">
        <f ca="1">IF(Z469="ORAL",RANDBETWEEN(1000,10000),IF(OR(Z469="INTRAVENOSA",Z469="INTRAMUSCULAR"),RANDBETWEEN(100,2000),IF(OR(Z469="OFTÁLMICA",Z469="TOPICA (EXTERNA)"),RANDBETWEEN(200,3000),RANDBETWEEN(100,1500))))</f>
        <v>289</v>
      </c>
      <c r="AY469" s="2">
        <f ca="1">INT(AV469*RANDBETWEEN(90,130)/100)</f>
        <v>137956</v>
      </c>
      <c r="AZ469" t="str">
        <f t="shared" ca="1" si="38"/>
        <v>4%</v>
      </c>
      <c r="BA469" t="str">
        <f t="shared" ca="1" si="39"/>
        <v>BAJO</v>
      </c>
    </row>
    <row r="470" spans="4:53" x14ac:dyDescent="0.35">
      <c r="D470" t="s">
        <v>3354</v>
      </c>
      <c r="E470" s="1">
        <v>44389</v>
      </c>
      <c r="F470" t="s">
        <v>966</v>
      </c>
      <c r="G470" t="s">
        <v>108</v>
      </c>
      <c r="H470" t="s">
        <v>44</v>
      </c>
      <c r="I470">
        <v>20177771</v>
      </c>
      <c r="J470" t="s">
        <v>28</v>
      </c>
      <c r="K470">
        <v>1</v>
      </c>
      <c r="L470" t="s">
        <v>3355</v>
      </c>
      <c r="M470" t="s">
        <v>3356</v>
      </c>
      <c r="N470" t="s">
        <v>3357</v>
      </c>
      <c r="O470" t="s">
        <v>3358</v>
      </c>
      <c r="P470" t="s">
        <v>27</v>
      </c>
      <c r="Q470" s="1">
        <v>44301</v>
      </c>
      <c r="R470" t="s">
        <v>396</v>
      </c>
      <c r="S470" t="s">
        <v>27</v>
      </c>
      <c r="T470" t="s">
        <v>1256</v>
      </c>
      <c r="U470" t="s">
        <v>115</v>
      </c>
      <c r="V470" t="s">
        <v>321</v>
      </c>
      <c r="W470">
        <v>10</v>
      </c>
      <c r="X470">
        <v>20177771</v>
      </c>
      <c r="Y470" t="s">
        <v>322</v>
      </c>
      <c r="Z470" t="s">
        <v>119</v>
      </c>
      <c r="AA470" t="s">
        <v>24</v>
      </c>
      <c r="AB470" t="s">
        <v>120</v>
      </c>
      <c r="AC470" t="s">
        <v>25</v>
      </c>
      <c r="AD470" t="s">
        <v>121</v>
      </c>
      <c r="AE470">
        <v>6</v>
      </c>
      <c r="AF470" t="s">
        <v>27</v>
      </c>
      <c r="AG470" t="s">
        <v>26</v>
      </c>
      <c r="AH470" t="s">
        <v>966</v>
      </c>
      <c r="AI470" t="str">
        <f t="shared" si="35"/>
        <v>NO</v>
      </c>
      <c r="AJ470" t="str">
        <f t="shared" si="36"/>
        <v>GENOMMA LAB COLOMBIA</v>
      </c>
      <c r="AK470" t="str">
        <f>IF(ISNUMBER(SEARCH("FABRICANTE",AC470)),"FABRICANTE",IF(ISNUMBER(SEARCH("IMPORTADOR",AC470)),"IMPORTADOR","OTRO"))</f>
        <v>FABRICANTE</v>
      </c>
      <c r="AL470" t="str">
        <f>IF(LEFT(Y470,1)="A","Sistema digestivo",IF(LEFT(Y470,1)="B","Sangre",IF(LEFT(Y470,1)="C","Cardiovascular",IF(LEFT(Y470,1)="D","Dermatológico",IF(LEFT(Y470,1)="G","Genitourinario",IF(LEFT(Y470,1)="H","Hormonal",IF(LEFT(Y470,1)="J","Antiinfecciosos",IF(LEFT(Y470,1)="L","Oncológicos",IF(LEFT(Y470,1)="M","Musculoesquelético",IF(LEFT(Y470,1)="N","Sistema nervioso",IF(LEFT(Y470,1)="R","Respiratorio",IF(LEFT(Y470,1)="S","Oftálmico",IF(LEFT(Y470,1)="V","Varios","OTRO")))))))))))))</f>
        <v>Sistema nervioso</v>
      </c>
      <c r="AM470" t="str">
        <f>IF(AG470="Vigente","ACTIVO",IF(ISNUMBER(SEARCH("Inactivo",J470)),"INACTIVO","REVISAR"))</f>
        <v>ACTIVO</v>
      </c>
      <c r="AN470" t="str">
        <f ca="1">IF(OR(AF470="",AF470="null"),"",ROUND((AF470-TODAY())/365.25,2))</f>
        <v/>
      </c>
      <c r="AO470" t="str">
        <f ca="1">IF(AND(AG470="Vigente",OR(AF470="",AF470="null",AF470&gt;TODAY())),"SI",IF(AND(NOT(OR(AF470="",AF470="null")),AF470&lt;=TODAY()),"NO",IF(AG470="Vigente","SI","DESCONOCIDO")))</f>
        <v>SI</v>
      </c>
      <c r="AP470" t="str">
        <f>IF(AND(ISNUMBER(SEARCH("IMPORTAR",AA470)),ISNUMBER(SEARCH("FABRICAR",AA470))),"MIXTO",IF(ISNUMBER(SEARCH("IMPORTAR",AA470)),"IMPORTADO",IF(ISNUMBER(SEARCH("FABRICAR",AA470)),"LOCAL","OTRO")))</f>
        <v>LOCAL</v>
      </c>
      <c r="AQ470" t="str">
        <f>IF(AD470="Si","SI",IF(AD470="No","NO",""))</f>
        <v>NO</v>
      </c>
      <c r="AR470" t="str">
        <f>IF(ISNUMBER(SEARCH("®",N470)),"MARCA/INNOVADOR","GENERICO")</f>
        <v>MARCA/INNOVADOR</v>
      </c>
      <c r="AS470">
        <f ca="1">IF(AE470&gt;100,RANDBETWEEN(500,5000),IF(AND(AE470&gt;=10,AE470&lt;=100),RANDBETWEEN(100,1000),RANDBETWEEN(10,200)))</f>
        <v>141</v>
      </c>
      <c r="AT470">
        <f t="shared" ca="1" si="37"/>
        <v>23</v>
      </c>
      <c r="AU470">
        <f ca="1">INT(AS470*RANDBETWEEN(120,200)/100)</f>
        <v>243</v>
      </c>
      <c r="AV470" s="2">
        <f ca="1">IF(LEFT(Y470,1)="L",RANDBETWEEN(500000,5000000),IF(LEFT(Y470,1)="C",RANDBETWEEN(5000,50000),IF(LEFT(Y470,1)="N",RANDBETWEEN(10000,150000),IF(LEFT(Y470,1)="J",RANDBETWEEN(8000,200000),RANDBETWEEN(5000,100000)))))</f>
        <v>81506</v>
      </c>
      <c r="AW470" s="2">
        <f ca="1">INT(AV470*RANDBETWEEN(30,60)/100)</f>
        <v>35862</v>
      </c>
      <c r="AX470">
        <f ca="1">IF(Z470="ORAL",RANDBETWEEN(1000,10000),IF(OR(Z470="INTRAVENOSA",Z470="INTRAMUSCULAR"),RANDBETWEEN(100,2000),IF(OR(Z470="OFTÁLMICA",Z470="TOPICA (EXTERNA)"),RANDBETWEEN(200,3000),RANDBETWEEN(100,1500))))</f>
        <v>3495</v>
      </c>
      <c r="AY470" s="2">
        <f ca="1">INT(AV470*RANDBETWEEN(90,130)/100)</f>
        <v>74985</v>
      </c>
      <c r="AZ470" t="str">
        <f t="shared" ca="1" si="38"/>
        <v>7%</v>
      </c>
      <c r="BA470" t="str">
        <f t="shared" ca="1" si="39"/>
        <v>BAJO</v>
      </c>
    </row>
    <row r="471" spans="4:53" x14ac:dyDescent="0.35">
      <c r="D471" t="s">
        <v>3359</v>
      </c>
      <c r="E471" s="1">
        <v>41087</v>
      </c>
      <c r="F471" t="s">
        <v>76</v>
      </c>
      <c r="G471" t="s">
        <v>108</v>
      </c>
      <c r="H471" t="s">
        <v>146</v>
      </c>
      <c r="I471">
        <v>20039588</v>
      </c>
      <c r="J471" t="s">
        <v>28</v>
      </c>
      <c r="K471">
        <v>9</v>
      </c>
      <c r="L471" t="s">
        <v>27</v>
      </c>
      <c r="M471" t="s">
        <v>474</v>
      </c>
      <c r="N471" t="s">
        <v>475</v>
      </c>
      <c r="O471" t="s">
        <v>3360</v>
      </c>
      <c r="P471" t="s">
        <v>477</v>
      </c>
      <c r="Q471" s="1">
        <v>42669</v>
      </c>
      <c r="R471" t="s">
        <v>67</v>
      </c>
      <c r="S471" t="s">
        <v>27</v>
      </c>
      <c r="T471" t="s">
        <v>80</v>
      </c>
      <c r="U471" t="s">
        <v>247</v>
      </c>
      <c r="V471" t="s">
        <v>248</v>
      </c>
      <c r="W471" t="s">
        <v>3361</v>
      </c>
      <c r="X471">
        <v>20039588</v>
      </c>
      <c r="Y471" t="s">
        <v>249</v>
      </c>
      <c r="Z471" t="s">
        <v>119</v>
      </c>
      <c r="AA471" t="s">
        <v>24</v>
      </c>
      <c r="AB471" t="s">
        <v>120</v>
      </c>
      <c r="AC471" t="s">
        <v>25</v>
      </c>
      <c r="AD471" t="s">
        <v>121</v>
      </c>
      <c r="AE471">
        <v>7</v>
      </c>
      <c r="AF471" t="s">
        <v>27</v>
      </c>
      <c r="AG471" t="s">
        <v>26</v>
      </c>
      <c r="AH471" t="s">
        <v>6777</v>
      </c>
      <c r="AI471" t="str">
        <f t="shared" si="35"/>
        <v>NO</v>
      </c>
      <c r="AJ471" t="str">
        <f t="shared" si="36"/>
        <v>TECNOQUIMICAS</v>
      </c>
      <c r="AK471" t="str">
        <f>IF(ISNUMBER(SEARCH("FABRICANTE",AC471)),"FABRICANTE",IF(ISNUMBER(SEARCH("IMPORTADOR",AC471)),"IMPORTADOR","OTRO"))</f>
        <v>FABRICANTE</v>
      </c>
      <c r="AL471" t="str">
        <f>IF(LEFT(Y471,1)="A","Sistema digestivo",IF(LEFT(Y471,1)="B","Sangre",IF(LEFT(Y471,1)="C","Cardiovascular",IF(LEFT(Y471,1)="D","Dermatológico",IF(LEFT(Y471,1)="G","Genitourinario",IF(LEFT(Y471,1)="H","Hormonal",IF(LEFT(Y471,1)="J","Antiinfecciosos",IF(LEFT(Y471,1)="L","Oncológicos",IF(LEFT(Y471,1)="M","Musculoesquelético",IF(LEFT(Y471,1)="N","Sistema nervioso",IF(LEFT(Y471,1)="R","Respiratorio",IF(LEFT(Y471,1)="S","Oftálmico",IF(LEFT(Y471,1)="V","Varios","OTRO")))))))))))))</f>
        <v>Sistema digestivo</v>
      </c>
      <c r="AM471" t="str">
        <f>IF(AG471="Vigente","ACTIVO",IF(ISNUMBER(SEARCH("Inactivo",J471)),"INACTIVO","REVISAR"))</f>
        <v>ACTIVO</v>
      </c>
      <c r="AN471" t="str">
        <f ca="1">IF(OR(AF471="",AF471="null"),"",ROUND((AF471-TODAY())/365.25,2))</f>
        <v/>
      </c>
      <c r="AO471" t="str">
        <f ca="1">IF(AND(AG471="Vigente",OR(AF471="",AF471="null",AF471&gt;TODAY())),"SI",IF(AND(NOT(OR(AF471="",AF471="null")),AF471&lt;=TODAY()),"NO",IF(AG471="Vigente","SI","DESCONOCIDO")))</f>
        <v>SI</v>
      </c>
      <c r="AP471" t="str">
        <f>IF(AND(ISNUMBER(SEARCH("IMPORTAR",AA471)),ISNUMBER(SEARCH("FABRICAR",AA471))),"MIXTO",IF(ISNUMBER(SEARCH("IMPORTAR",AA471)),"IMPORTADO",IF(ISNUMBER(SEARCH("FABRICAR",AA471)),"LOCAL","OTRO")))</f>
        <v>LOCAL</v>
      </c>
      <c r="AQ471" t="str">
        <f>IF(AD471="Si","SI",IF(AD471="No","NO",""))</f>
        <v>NO</v>
      </c>
      <c r="AR471" t="str">
        <f>IF(ISNUMBER(SEARCH("®",N471)),"MARCA/INNOVADOR","GENERICO")</f>
        <v>MARCA/INNOVADOR</v>
      </c>
      <c r="AS471">
        <f ca="1">IF(AE471&gt;100,RANDBETWEEN(500,5000),IF(AND(AE471&gt;=10,AE471&lt;=100),RANDBETWEEN(100,1000),RANDBETWEEN(10,200)))</f>
        <v>32</v>
      </c>
      <c r="AT471">
        <f t="shared" ca="1" si="37"/>
        <v>7</v>
      </c>
      <c r="AU471">
        <f ca="1">INT(AS471*RANDBETWEEN(120,200)/100)</f>
        <v>38</v>
      </c>
      <c r="AV471" s="2">
        <f ca="1">IF(LEFT(Y471,1)="L",RANDBETWEEN(500000,5000000),IF(LEFT(Y471,1)="C",RANDBETWEEN(5000,50000),IF(LEFT(Y471,1)="N",RANDBETWEEN(10000,150000),IF(LEFT(Y471,1)="J",RANDBETWEEN(8000,200000),RANDBETWEEN(5000,100000)))))</f>
        <v>13932</v>
      </c>
      <c r="AW471" s="2">
        <f ca="1">INT(AV471*RANDBETWEEN(30,60)/100)</f>
        <v>7523</v>
      </c>
      <c r="AX471">
        <f ca="1">IF(Z471="ORAL",RANDBETWEEN(1000,10000),IF(OR(Z471="INTRAVENOSA",Z471="INTRAMUSCULAR"),RANDBETWEEN(100,2000),IF(OR(Z471="OFTÁLMICA",Z471="TOPICA (EXTERNA)"),RANDBETWEEN(200,3000),RANDBETWEEN(100,1500))))</f>
        <v>6248</v>
      </c>
      <c r="AY471" s="2">
        <f ca="1">INT(AV471*RANDBETWEEN(90,130)/100)</f>
        <v>12956</v>
      </c>
      <c r="AZ471" t="str">
        <f t="shared" ca="1" si="38"/>
        <v>6.2%</v>
      </c>
      <c r="BA471" t="str">
        <f t="shared" ca="1" si="39"/>
        <v>BAJO</v>
      </c>
    </row>
    <row r="472" spans="4:53" x14ac:dyDescent="0.35">
      <c r="D472" t="s">
        <v>3362</v>
      </c>
      <c r="E472" s="1">
        <v>43818</v>
      </c>
      <c r="F472" t="s">
        <v>3363</v>
      </c>
      <c r="G472" t="s">
        <v>108</v>
      </c>
      <c r="H472" t="s">
        <v>3364</v>
      </c>
      <c r="I472">
        <v>20164298</v>
      </c>
      <c r="J472" t="s">
        <v>28</v>
      </c>
      <c r="K472">
        <v>2</v>
      </c>
      <c r="L472" t="s">
        <v>27</v>
      </c>
      <c r="M472" t="s">
        <v>3365</v>
      </c>
      <c r="N472" t="s">
        <v>3366</v>
      </c>
      <c r="O472" t="s">
        <v>3367</v>
      </c>
      <c r="P472" t="s">
        <v>432</v>
      </c>
      <c r="Q472" s="1">
        <v>43979</v>
      </c>
      <c r="R472" t="s">
        <v>33</v>
      </c>
      <c r="S472" t="s">
        <v>27</v>
      </c>
      <c r="T472" t="s">
        <v>3368</v>
      </c>
      <c r="U472" t="s">
        <v>115</v>
      </c>
      <c r="V472" t="s">
        <v>3363</v>
      </c>
      <c r="W472">
        <v>500</v>
      </c>
      <c r="X472">
        <v>20164298</v>
      </c>
      <c r="Y472" t="s">
        <v>3369</v>
      </c>
      <c r="Z472" t="s">
        <v>119</v>
      </c>
      <c r="AA472" t="s">
        <v>24</v>
      </c>
      <c r="AB472" t="s">
        <v>120</v>
      </c>
      <c r="AC472" t="s">
        <v>25</v>
      </c>
      <c r="AD472" t="s">
        <v>121</v>
      </c>
      <c r="AE472">
        <v>6</v>
      </c>
      <c r="AF472" t="s">
        <v>27</v>
      </c>
      <c r="AG472" t="s">
        <v>26</v>
      </c>
      <c r="AH472" t="s">
        <v>3363</v>
      </c>
      <c r="AI472" t="str">
        <f t="shared" si="35"/>
        <v>NO</v>
      </c>
      <c r="AJ472" t="str">
        <f t="shared" si="36"/>
        <v>ANGLOPHARMA</v>
      </c>
      <c r="AK472" t="str">
        <f>IF(ISNUMBER(SEARCH("FABRICANTE",AC472)),"FABRICANTE",IF(ISNUMBER(SEARCH("IMPORTADOR",AC472)),"IMPORTADOR","OTRO"))</f>
        <v>FABRICANTE</v>
      </c>
      <c r="AL472" t="str">
        <f>IF(LEFT(Y472,1)="A","Sistema digestivo",IF(LEFT(Y472,1)="B","Sangre",IF(LEFT(Y472,1)="C","Cardiovascular",IF(LEFT(Y472,1)="D","Dermatológico",IF(LEFT(Y472,1)="G","Genitourinario",IF(LEFT(Y472,1)="H","Hormonal",IF(LEFT(Y472,1)="J","Antiinfecciosos",IF(LEFT(Y472,1)="L","Oncológicos",IF(LEFT(Y472,1)="M","Musculoesquelético",IF(LEFT(Y472,1)="N","Sistema nervioso",IF(LEFT(Y472,1)="R","Respiratorio",IF(LEFT(Y472,1)="S","Oftálmico",IF(LEFT(Y472,1)="V","Varios","OTRO")))))))))))))</f>
        <v>OTRO</v>
      </c>
      <c r="AM472" t="str">
        <f>IF(AG472="Vigente","ACTIVO",IF(ISNUMBER(SEARCH("Inactivo",J472)),"INACTIVO","REVISAR"))</f>
        <v>ACTIVO</v>
      </c>
      <c r="AN472" t="str">
        <f ca="1">IF(OR(AF472="",AF472="null"),"",ROUND((AF472-TODAY())/365.25,2))</f>
        <v/>
      </c>
      <c r="AO472" t="str">
        <f ca="1">IF(AND(AG472="Vigente",OR(AF472="",AF472="null",AF472&gt;TODAY())),"SI",IF(AND(NOT(OR(AF472="",AF472="null")),AF472&lt;=TODAY()),"NO",IF(AG472="Vigente","SI","DESCONOCIDO")))</f>
        <v>SI</v>
      </c>
      <c r="AP472" t="str">
        <f>IF(AND(ISNUMBER(SEARCH("IMPORTAR",AA472)),ISNUMBER(SEARCH("FABRICAR",AA472))),"MIXTO",IF(ISNUMBER(SEARCH("IMPORTAR",AA472)),"IMPORTADO",IF(ISNUMBER(SEARCH("FABRICAR",AA472)),"LOCAL","OTRO")))</f>
        <v>LOCAL</v>
      </c>
      <c r="AQ472" t="str">
        <f>IF(AD472="Si","SI",IF(AD472="No","NO",""))</f>
        <v>NO</v>
      </c>
      <c r="AR472" t="str">
        <f>IF(ISNUMBER(SEARCH("®",N472)),"MARCA/INNOVADOR","GENERICO")</f>
        <v>GENERICO</v>
      </c>
      <c r="AS472">
        <f ca="1">IF(AE472&gt;100,RANDBETWEEN(500,5000),IF(AND(AE472&gt;=10,AE472&lt;=100),RANDBETWEEN(100,1000),RANDBETWEEN(10,200)))</f>
        <v>119</v>
      </c>
      <c r="AT472">
        <f t="shared" ca="1" si="37"/>
        <v>26</v>
      </c>
      <c r="AU472">
        <f ca="1">INT(AS472*RANDBETWEEN(120,200)/100)</f>
        <v>174</v>
      </c>
      <c r="AV472" s="2">
        <f ca="1">IF(LEFT(Y472,1)="L",RANDBETWEEN(500000,5000000),IF(LEFT(Y472,1)="C",RANDBETWEEN(5000,50000),IF(LEFT(Y472,1)="N",RANDBETWEEN(10000,150000),IF(LEFT(Y472,1)="J",RANDBETWEEN(8000,200000),RANDBETWEEN(5000,100000)))))</f>
        <v>78700</v>
      </c>
      <c r="AW472" s="2">
        <f ca="1">INT(AV472*RANDBETWEEN(30,60)/100)</f>
        <v>28332</v>
      </c>
      <c r="AX472">
        <f ca="1">IF(Z472="ORAL",RANDBETWEEN(1000,10000),IF(OR(Z472="INTRAVENOSA",Z472="INTRAMUSCULAR"),RANDBETWEEN(100,2000),IF(OR(Z472="OFTÁLMICA",Z472="TOPICA (EXTERNA)"),RANDBETWEEN(200,3000),RANDBETWEEN(100,1500))))</f>
        <v>4312</v>
      </c>
      <c r="AY472" s="2">
        <f ca="1">INT(AV472*RANDBETWEEN(90,130)/100)</f>
        <v>73191</v>
      </c>
      <c r="AZ472" t="str">
        <f t="shared" ca="1" si="38"/>
        <v>17.2%</v>
      </c>
      <c r="BA472" t="str">
        <f t="shared" ca="1" si="39"/>
        <v>BAJO</v>
      </c>
    </row>
    <row r="473" spans="4:53" x14ac:dyDescent="0.35">
      <c r="D473" t="s">
        <v>3370</v>
      </c>
      <c r="E473" s="1">
        <v>45776</v>
      </c>
      <c r="F473" t="s">
        <v>91</v>
      </c>
      <c r="G473" t="s">
        <v>108</v>
      </c>
      <c r="H473" t="s">
        <v>1490</v>
      </c>
      <c r="I473">
        <v>20208204</v>
      </c>
      <c r="J473" t="s">
        <v>28</v>
      </c>
      <c r="K473">
        <v>5</v>
      </c>
      <c r="L473" t="s">
        <v>27</v>
      </c>
      <c r="M473" t="s">
        <v>3371</v>
      </c>
      <c r="N473" t="s">
        <v>3372</v>
      </c>
      <c r="O473" t="s">
        <v>3373</v>
      </c>
      <c r="P473" t="s">
        <v>1201</v>
      </c>
      <c r="Q473" s="1">
        <v>45771</v>
      </c>
      <c r="R473" t="s">
        <v>33</v>
      </c>
      <c r="S473" t="s">
        <v>27</v>
      </c>
      <c r="T473" t="s">
        <v>1490</v>
      </c>
      <c r="U473" t="s">
        <v>115</v>
      </c>
      <c r="V473" t="s">
        <v>91</v>
      </c>
      <c r="W473">
        <v>10</v>
      </c>
      <c r="X473">
        <v>20208204</v>
      </c>
      <c r="Y473" t="s">
        <v>92</v>
      </c>
      <c r="Z473" t="s">
        <v>119</v>
      </c>
      <c r="AA473" t="s">
        <v>32</v>
      </c>
      <c r="AB473" t="s">
        <v>120</v>
      </c>
      <c r="AC473" t="s">
        <v>38</v>
      </c>
      <c r="AD473" t="s">
        <v>155</v>
      </c>
      <c r="AE473">
        <v>15</v>
      </c>
      <c r="AF473" s="1">
        <v>47617</v>
      </c>
      <c r="AG473" t="s">
        <v>26</v>
      </c>
      <c r="AH473" t="s">
        <v>91</v>
      </c>
      <c r="AI473" t="str">
        <f t="shared" si="35"/>
        <v>NO</v>
      </c>
      <c r="AJ473" t="str">
        <f t="shared" si="36"/>
        <v>LABORATORIO FRANCO COLOMBIANO - LAFRANCOL</v>
      </c>
      <c r="AK473" t="str">
        <f>IF(ISNUMBER(SEARCH("FABRICANTE",AC473)),"FABRICANTE",IF(ISNUMBER(SEARCH("IMPORTADOR",AC473)),"IMPORTADOR","OTRO"))</f>
        <v>IMPORTADOR</v>
      </c>
      <c r="AL473" t="str">
        <f>IF(LEFT(Y473,1)="A","Sistema digestivo",IF(LEFT(Y473,1)="B","Sangre",IF(LEFT(Y473,1)="C","Cardiovascular",IF(LEFT(Y473,1)="D","Dermatológico",IF(LEFT(Y473,1)="G","Genitourinario",IF(LEFT(Y473,1)="H","Hormonal",IF(LEFT(Y473,1)="J","Antiinfecciosos",IF(LEFT(Y473,1)="L","Oncológicos",IF(LEFT(Y473,1)="M","Musculoesquelético",IF(LEFT(Y473,1)="N","Sistema nervioso",IF(LEFT(Y473,1)="R","Respiratorio",IF(LEFT(Y473,1)="S","Oftálmico",IF(LEFT(Y473,1)="V","Varios","OTRO")))))))))))))</f>
        <v>Sangre</v>
      </c>
      <c r="AM473" t="str">
        <f>IF(AG473="Vigente","ACTIVO",IF(ISNUMBER(SEARCH("Inactivo",J473)),"INACTIVO","REVISAR"))</f>
        <v>ACTIVO</v>
      </c>
      <c r="AN473">
        <f ca="1">IF(OR(AF473="",AF473="null"),"",ROUND((AF473-TODAY())/365.25,2))</f>
        <v>3.97</v>
      </c>
      <c r="AO473" t="str">
        <f ca="1">IF(AND(AG473="Vigente",OR(AF473="",AF473="null",AF473&gt;TODAY())),"SI",IF(AND(NOT(OR(AF473="",AF473="null")),AF473&lt;=TODAY()),"NO",IF(AG473="Vigente","SI","DESCONOCIDO")))</f>
        <v>SI</v>
      </c>
      <c r="AP473" t="str">
        <f>IF(AND(ISNUMBER(SEARCH("IMPORTAR",AA473)),ISNUMBER(SEARCH("FABRICAR",AA473))),"MIXTO",IF(ISNUMBER(SEARCH("IMPORTAR",AA473)),"IMPORTADO",IF(ISNUMBER(SEARCH("FABRICAR",AA473)),"LOCAL","OTRO")))</f>
        <v>IMPORTADO</v>
      </c>
      <c r="AQ473" t="str">
        <f>IF(AD473="Si","SI",IF(AD473="No","NO",""))</f>
        <v>SI</v>
      </c>
      <c r="AR473" t="str">
        <f>IF(ISNUMBER(SEARCH("®",N473)),"MARCA/INNOVADOR","GENERICO")</f>
        <v>MARCA/INNOVADOR</v>
      </c>
      <c r="AS473">
        <f ca="1">IF(AE473&gt;100,RANDBETWEEN(500,5000),IF(AND(AE473&gt;=10,AE473&lt;=100),RANDBETWEEN(100,1000),RANDBETWEEN(10,200)))</f>
        <v>607</v>
      </c>
      <c r="AT473">
        <f t="shared" ca="1" si="37"/>
        <v>127</v>
      </c>
      <c r="AU473">
        <f ca="1">INT(AS473*RANDBETWEEN(120,200)/100)</f>
        <v>898</v>
      </c>
      <c r="AV473" s="2">
        <f ca="1">IF(LEFT(Y473,1)="L",RANDBETWEEN(500000,5000000),IF(LEFT(Y473,1)="C",RANDBETWEEN(5000,50000),IF(LEFT(Y473,1)="N",RANDBETWEEN(10000,150000),IF(LEFT(Y473,1)="J",RANDBETWEEN(8000,200000),RANDBETWEEN(5000,100000)))))</f>
        <v>47617</v>
      </c>
      <c r="AW473" s="2">
        <f ca="1">INT(AV473*RANDBETWEEN(30,60)/100)</f>
        <v>26189</v>
      </c>
      <c r="AX473">
        <f ca="1">IF(Z473="ORAL",RANDBETWEEN(1000,10000),IF(OR(Z473="INTRAVENOSA",Z473="INTRAMUSCULAR"),RANDBETWEEN(100,2000),IF(OR(Z473="OFTÁLMICA",Z473="TOPICA (EXTERNA)"),RANDBETWEEN(200,3000),RANDBETWEEN(100,1500))))</f>
        <v>7094</v>
      </c>
      <c r="AY473" s="2">
        <f ca="1">INT(AV473*RANDBETWEEN(90,130)/100)</f>
        <v>55235</v>
      </c>
      <c r="AZ473" t="str">
        <f t="shared" ca="1" si="38"/>
        <v>19%</v>
      </c>
      <c r="BA473" t="str">
        <f t="shared" ca="1" si="39"/>
        <v>MEDIO</v>
      </c>
    </row>
    <row r="474" spans="4:53" x14ac:dyDescent="0.35">
      <c r="D474" t="s">
        <v>3374</v>
      </c>
      <c r="E474" s="1">
        <v>43004</v>
      </c>
      <c r="F474" t="s">
        <v>3375</v>
      </c>
      <c r="G474" t="s">
        <v>108</v>
      </c>
      <c r="H474" t="s">
        <v>3376</v>
      </c>
      <c r="I474">
        <v>20112963</v>
      </c>
      <c r="J474" t="s">
        <v>28</v>
      </c>
      <c r="K474">
        <v>3</v>
      </c>
      <c r="L474" t="s">
        <v>27</v>
      </c>
      <c r="M474" t="s">
        <v>3377</v>
      </c>
      <c r="N474" t="s">
        <v>3378</v>
      </c>
      <c r="O474" t="s">
        <v>3379</v>
      </c>
      <c r="P474" t="s">
        <v>3380</v>
      </c>
      <c r="Q474" s="1">
        <v>42991</v>
      </c>
      <c r="R474" t="s">
        <v>780</v>
      </c>
      <c r="S474" t="s">
        <v>27</v>
      </c>
      <c r="T474" t="s">
        <v>454</v>
      </c>
      <c r="U474" t="s">
        <v>115</v>
      </c>
      <c r="V474" t="s">
        <v>3381</v>
      </c>
      <c r="W474">
        <v>2</v>
      </c>
      <c r="X474">
        <v>20112963</v>
      </c>
      <c r="Y474" t="s">
        <v>3382</v>
      </c>
      <c r="Z474" t="s">
        <v>119</v>
      </c>
      <c r="AA474" t="s">
        <v>32</v>
      </c>
      <c r="AB474" t="s">
        <v>120</v>
      </c>
      <c r="AC474" t="s">
        <v>25</v>
      </c>
      <c r="AD474" t="s">
        <v>121</v>
      </c>
      <c r="AE474">
        <v>30</v>
      </c>
      <c r="AF474" t="s">
        <v>27</v>
      </c>
      <c r="AG474" t="s">
        <v>26</v>
      </c>
      <c r="AH474" t="s">
        <v>6667</v>
      </c>
      <c r="AI474" t="str">
        <f t="shared" si="35"/>
        <v>NO</v>
      </c>
      <c r="AJ474" t="str">
        <f t="shared" si="36"/>
        <v>PROCAPS</v>
      </c>
      <c r="AK474" t="str">
        <f>IF(ISNUMBER(SEARCH("FABRICANTE",AC474)),"FABRICANTE",IF(ISNUMBER(SEARCH("IMPORTADOR",AC474)),"IMPORTADOR","OTRO"))</f>
        <v>FABRICANTE</v>
      </c>
      <c r="AL474" t="str">
        <f>IF(LEFT(Y474,1)="A","Sistema digestivo",IF(LEFT(Y474,1)="B","Sangre",IF(LEFT(Y474,1)="C","Cardiovascular",IF(LEFT(Y474,1)="D","Dermatológico",IF(LEFT(Y474,1)="G","Genitourinario",IF(LEFT(Y474,1)="H","Hormonal",IF(LEFT(Y474,1)="J","Antiinfecciosos",IF(LEFT(Y474,1)="L","Oncológicos",IF(LEFT(Y474,1)="M","Musculoesquelético",IF(LEFT(Y474,1)="N","Sistema nervioso",IF(LEFT(Y474,1)="R","Respiratorio",IF(LEFT(Y474,1)="S","Oftálmico",IF(LEFT(Y474,1)="V","Varios","OTRO")))))))))))))</f>
        <v>Genitourinario</v>
      </c>
      <c r="AM474" t="str">
        <f>IF(AG474="Vigente","ACTIVO",IF(ISNUMBER(SEARCH("Inactivo",J474)),"INACTIVO","REVISAR"))</f>
        <v>ACTIVO</v>
      </c>
      <c r="AN474" t="str">
        <f ca="1">IF(OR(AF474="",AF474="null"),"",ROUND((AF474-TODAY())/365.25,2))</f>
        <v/>
      </c>
      <c r="AO474" t="str">
        <f ca="1">IF(AND(AG474="Vigente",OR(AF474="",AF474="null",AF474&gt;TODAY())),"SI",IF(AND(NOT(OR(AF474="",AF474="null")),AF474&lt;=TODAY()),"NO",IF(AG474="Vigente","SI","DESCONOCIDO")))</f>
        <v>SI</v>
      </c>
      <c r="AP474" t="str">
        <f>IF(AND(ISNUMBER(SEARCH("IMPORTAR",AA474)),ISNUMBER(SEARCH("FABRICAR",AA474))),"MIXTO",IF(ISNUMBER(SEARCH("IMPORTAR",AA474)),"IMPORTADO",IF(ISNUMBER(SEARCH("FABRICAR",AA474)),"LOCAL","OTRO")))</f>
        <v>IMPORTADO</v>
      </c>
      <c r="AQ474" t="str">
        <f>IF(AD474="Si","SI",IF(AD474="No","NO",""))</f>
        <v>NO</v>
      </c>
      <c r="AR474" t="str">
        <f>IF(ISNUMBER(SEARCH("®",N474)),"MARCA/INNOVADOR","GENERICO")</f>
        <v>MARCA/INNOVADOR</v>
      </c>
      <c r="AS474">
        <f ca="1">IF(AE474&gt;100,RANDBETWEEN(500,5000),IF(AND(AE474&gt;=10,AE474&lt;=100),RANDBETWEEN(100,1000),RANDBETWEEN(10,200)))</f>
        <v>340</v>
      </c>
      <c r="AT474">
        <f t="shared" ca="1" si="37"/>
        <v>68</v>
      </c>
      <c r="AU474">
        <f ca="1">INT(AS474*RANDBETWEEN(120,200)/100)</f>
        <v>574</v>
      </c>
      <c r="AV474" s="2">
        <f ca="1">IF(LEFT(Y474,1)="L",RANDBETWEEN(500000,5000000),IF(LEFT(Y474,1)="C",RANDBETWEEN(5000,50000),IF(LEFT(Y474,1)="N",RANDBETWEEN(10000,150000),IF(LEFT(Y474,1)="J",RANDBETWEEN(8000,200000),RANDBETWEEN(5000,100000)))))</f>
        <v>97787</v>
      </c>
      <c r="AW474" s="2">
        <f ca="1">INT(AV474*RANDBETWEEN(30,60)/100)</f>
        <v>46937</v>
      </c>
      <c r="AX474">
        <f ca="1">IF(Z474="ORAL",RANDBETWEEN(1000,10000),IF(OR(Z474="INTRAVENOSA",Z474="INTRAMUSCULAR"),RANDBETWEEN(100,2000),IF(OR(Z474="OFTÁLMICA",Z474="TOPICA (EXTERNA)"),RANDBETWEEN(200,3000),RANDBETWEEN(100,1500))))</f>
        <v>6860</v>
      </c>
      <c r="AY474" s="2">
        <f ca="1">INT(AV474*RANDBETWEEN(90,130)/100)</f>
        <v>107565</v>
      </c>
      <c r="AZ474" t="str">
        <f t="shared" ca="1" si="38"/>
        <v>17.4%</v>
      </c>
      <c r="BA474" t="str">
        <f t="shared" ca="1" si="39"/>
        <v>BAJO</v>
      </c>
    </row>
    <row r="475" spans="4:53" x14ac:dyDescent="0.35">
      <c r="D475" t="s">
        <v>3383</v>
      </c>
      <c r="E475" s="1">
        <v>39840</v>
      </c>
      <c r="F475" t="s">
        <v>361</v>
      </c>
      <c r="G475" t="s">
        <v>108</v>
      </c>
      <c r="H475" t="s">
        <v>367</v>
      </c>
      <c r="I475">
        <v>19993863</v>
      </c>
      <c r="J475" t="s">
        <v>28</v>
      </c>
      <c r="K475">
        <v>34</v>
      </c>
      <c r="L475" t="s">
        <v>2115</v>
      </c>
      <c r="M475" t="s">
        <v>363</v>
      </c>
      <c r="N475" t="s">
        <v>364</v>
      </c>
      <c r="O475" t="s">
        <v>3384</v>
      </c>
      <c r="P475" t="s">
        <v>366</v>
      </c>
      <c r="Q475" s="1">
        <v>43276</v>
      </c>
      <c r="R475" t="s">
        <v>67</v>
      </c>
      <c r="S475" t="s">
        <v>27</v>
      </c>
      <c r="T475" t="s">
        <v>367</v>
      </c>
      <c r="U475" t="s">
        <v>247</v>
      </c>
      <c r="V475" t="s">
        <v>248</v>
      </c>
      <c r="W475" t="s">
        <v>368</v>
      </c>
      <c r="X475">
        <v>19993863</v>
      </c>
      <c r="Y475" t="s">
        <v>249</v>
      </c>
      <c r="Z475" t="s">
        <v>119</v>
      </c>
      <c r="AA475" t="s">
        <v>32</v>
      </c>
      <c r="AB475" t="s">
        <v>250</v>
      </c>
      <c r="AC475" t="s">
        <v>25</v>
      </c>
      <c r="AD475" t="s">
        <v>121</v>
      </c>
      <c r="AE475">
        <v>1</v>
      </c>
      <c r="AF475" s="1">
        <v>401769</v>
      </c>
      <c r="AG475" t="s">
        <v>26</v>
      </c>
      <c r="AH475" t="s">
        <v>6726</v>
      </c>
      <c r="AI475" t="str">
        <f t="shared" si="35"/>
        <v>SI</v>
      </c>
      <c r="AJ475" t="str">
        <f t="shared" si="36"/>
        <v>LABORATORIOS PISA</v>
      </c>
      <c r="AK475" t="str">
        <f>IF(ISNUMBER(SEARCH("FABRICANTE",AC475)),"FABRICANTE",IF(ISNUMBER(SEARCH("IMPORTADOR",AC475)),"IMPORTADOR","OTRO"))</f>
        <v>FABRICANTE</v>
      </c>
      <c r="AL475" t="str">
        <f>IF(LEFT(Y475,1)="A","Sistema digestivo",IF(LEFT(Y475,1)="B","Sangre",IF(LEFT(Y475,1)="C","Cardiovascular",IF(LEFT(Y475,1)="D","Dermatológico",IF(LEFT(Y475,1)="G","Genitourinario",IF(LEFT(Y475,1)="H","Hormonal",IF(LEFT(Y475,1)="J","Antiinfecciosos",IF(LEFT(Y475,1)="L","Oncológicos",IF(LEFT(Y475,1)="M","Musculoesquelético",IF(LEFT(Y475,1)="N","Sistema nervioso",IF(LEFT(Y475,1)="R","Respiratorio",IF(LEFT(Y475,1)="S","Oftálmico",IF(LEFT(Y475,1)="V","Varios","OTRO")))))))))))))</f>
        <v>Sistema digestivo</v>
      </c>
      <c r="AM475" t="str">
        <f>IF(AG475="Vigente","ACTIVO",IF(ISNUMBER(SEARCH("Inactivo",J475)),"INACTIVO","REVISAR"))</f>
        <v>ACTIVO</v>
      </c>
      <c r="AN475">
        <f ca="1">IF(OR(AF475="",AF475="null"),"",ROUND((AF475-TODAY())/365.25,2))</f>
        <v>973.58</v>
      </c>
      <c r="AO475" t="str">
        <f ca="1">IF(AND(AG475="Vigente",OR(AF475="",AF475="null",AF475&gt;TODAY())),"SI",IF(AND(NOT(OR(AF475="",AF475="null")),AF475&lt;=TODAY()),"NO",IF(AG475="Vigente","SI","DESCONOCIDO")))</f>
        <v>SI</v>
      </c>
      <c r="AP475" t="str">
        <f>IF(AND(ISNUMBER(SEARCH("IMPORTAR",AA475)),ISNUMBER(SEARCH("FABRICAR",AA475))),"MIXTO",IF(ISNUMBER(SEARCH("IMPORTAR",AA475)),"IMPORTADO",IF(ISNUMBER(SEARCH("FABRICAR",AA475)),"LOCAL","OTRO")))</f>
        <v>IMPORTADO</v>
      </c>
      <c r="AQ475" t="str">
        <f>IF(AD475="Si","SI",IF(AD475="No","NO",""))</f>
        <v>NO</v>
      </c>
      <c r="AR475" t="str">
        <f>IF(ISNUMBER(SEARCH("®",N475)),"MARCA/INNOVADOR","GENERICO")</f>
        <v>MARCA/INNOVADOR</v>
      </c>
      <c r="AS475">
        <f ca="1">IF(AE475&gt;100,RANDBETWEEN(500,5000),IF(AND(AE475&gt;=10,AE475&lt;=100),RANDBETWEEN(100,1000),RANDBETWEEN(10,200)))</f>
        <v>24</v>
      </c>
      <c r="AT475">
        <f t="shared" ca="1" si="37"/>
        <v>6</v>
      </c>
      <c r="AU475">
        <f ca="1">INT(AS475*RANDBETWEEN(120,200)/100)</f>
        <v>32</v>
      </c>
      <c r="AV475" s="2">
        <f ca="1">IF(LEFT(Y475,1)="L",RANDBETWEEN(500000,5000000),IF(LEFT(Y475,1)="C",RANDBETWEEN(5000,50000),IF(LEFT(Y475,1)="N",RANDBETWEEN(10000,150000),IF(LEFT(Y475,1)="J",RANDBETWEEN(8000,200000),RANDBETWEEN(5000,100000)))))</f>
        <v>70249</v>
      </c>
      <c r="AW475" s="2">
        <f ca="1">INT(AV475*RANDBETWEEN(30,60)/100)</f>
        <v>34422</v>
      </c>
      <c r="AX475">
        <f ca="1">IF(Z475="ORAL",RANDBETWEEN(1000,10000),IF(OR(Z475="INTRAVENOSA",Z475="INTRAMUSCULAR"),RANDBETWEEN(100,2000),IF(OR(Z475="OFTÁLMICA",Z475="TOPICA (EXTERNA)"),RANDBETWEEN(200,3000),RANDBETWEEN(100,1500))))</f>
        <v>1777</v>
      </c>
      <c r="AY475" s="2">
        <f ca="1">INT(AV475*RANDBETWEEN(90,130)/100)</f>
        <v>78678</v>
      </c>
      <c r="AZ475" t="str">
        <f t="shared" ca="1" si="38"/>
        <v>18.3%</v>
      </c>
      <c r="BA475" t="str">
        <f t="shared" ca="1" si="39"/>
        <v>BAJO</v>
      </c>
    </row>
    <row r="476" spans="4:53" x14ac:dyDescent="0.35">
      <c r="D476" t="s">
        <v>3385</v>
      </c>
      <c r="E476" s="1">
        <v>42611</v>
      </c>
      <c r="F476" t="s">
        <v>3386</v>
      </c>
      <c r="G476" t="s">
        <v>108</v>
      </c>
      <c r="H476" t="s">
        <v>3387</v>
      </c>
      <c r="I476">
        <v>20096864</v>
      </c>
      <c r="J476" t="s">
        <v>28</v>
      </c>
      <c r="K476">
        <v>4</v>
      </c>
      <c r="L476" t="s">
        <v>3388</v>
      </c>
      <c r="M476" t="s">
        <v>3389</v>
      </c>
      <c r="N476" t="s">
        <v>3390</v>
      </c>
      <c r="O476" t="s">
        <v>3391</v>
      </c>
      <c r="P476" t="s">
        <v>29</v>
      </c>
      <c r="Q476" s="1">
        <v>42389</v>
      </c>
      <c r="R476" t="s">
        <v>33</v>
      </c>
      <c r="S476" s="1">
        <v>44480</v>
      </c>
      <c r="T476" t="s">
        <v>3392</v>
      </c>
      <c r="U476" t="s">
        <v>115</v>
      </c>
      <c r="V476" t="s">
        <v>3393</v>
      </c>
      <c r="W476">
        <v>500</v>
      </c>
      <c r="X476">
        <v>20096864</v>
      </c>
      <c r="Y476" t="s">
        <v>3394</v>
      </c>
      <c r="Z476" t="s">
        <v>119</v>
      </c>
      <c r="AA476" t="s">
        <v>24</v>
      </c>
      <c r="AB476" t="s">
        <v>120</v>
      </c>
      <c r="AC476" t="s">
        <v>25</v>
      </c>
      <c r="AD476" t="s">
        <v>121</v>
      </c>
      <c r="AE476">
        <v>30</v>
      </c>
      <c r="AF476" t="s">
        <v>27</v>
      </c>
      <c r="AG476" t="s">
        <v>26</v>
      </c>
      <c r="AH476" t="s">
        <v>3386</v>
      </c>
      <c r="AI476" t="str">
        <f t="shared" si="35"/>
        <v>NO</v>
      </c>
      <c r="AJ476" t="str">
        <f t="shared" si="36"/>
        <v>ANZG</v>
      </c>
      <c r="AK476" t="str">
        <f>IF(ISNUMBER(SEARCH("FABRICANTE",AC476)),"FABRICANTE",IF(ISNUMBER(SEARCH("IMPORTADOR",AC476)),"IMPORTADOR","OTRO"))</f>
        <v>FABRICANTE</v>
      </c>
      <c r="AL476" t="str">
        <f>IF(LEFT(Y476,1)="A","Sistema digestivo",IF(LEFT(Y476,1)="B","Sangre",IF(LEFT(Y476,1)="C","Cardiovascular",IF(LEFT(Y476,1)="D","Dermatológico",IF(LEFT(Y476,1)="G","Genitourinario",IF(LEFT(Y476,1)="H","Hormonal",IF(LEFT(Y476,1)="J","Antiinfecciosos",IF(LEFT(Y476,1)="L","Oncológicos",IF(LEFT(Y476,1)="M","Musculoesquelético",IF(LEFT(Y476,1)="N","Sistema nervioso",IF(LEFT(Y476,1)="R","Respiratorio",IF(LEFT(Y476,1)="S","Oftálmico",IF(LEFT(Y476,1)="V","Varios","OTRO")))))))))))))</f>
        <v>Antiinfecciosos</v>
      </c>
      <c r="AM476" t="str">
        <f>IF(AG476="Vigente","ACTIVO",IF(ISNUMBER(SEARCH("Inactivo",J476)),"INACTIVO","REVISAR"))</f>
        <v>ACTIVO</v>
      </c>
      <c r="AN476" t="str">
        <f ca="1">IF(OR(AF476="",AF476="null"),"",ROUND((AF476-TODAY())/365.25,2))</f>
        <v/>
      </c>
      <c r="AO476" t="str">
        <f ca="1">IF(AND(AG476="Vigente",OR(AF476="",AF476="null",AF476&gt;TODAY())),"SI",IF(AND(NOT(OR(AF476="",AF476="null")),AF476&lt;=TODAY()),"NO",IF(AG476="Vigente","SI","DESCONOCIDO")))</f>
        <v>SI</v>
      </c>
      <c r="AP476" t="str">
        <f>IF(AND(ISNUMBER(SEARCH("IMPORTAR",AA476)),ISNUMBER(SEARCH("FABRICAR",AA476))),"MIXTO",IF(ISNUMBER(SEARCH("IMPORTAR",AA476)),"IMPORTADO",IF(ISNUMBER(SEARCH("FABRICAR",AA476)),"LOCAL","OTRO")))</f>
        <v>LOCAL</v>
      </c>
      <c r="AQ476" t="str">
        <f>IF(AD476="Si","SI",IF(AD476="No","NO",""))</f>
        <v>NO</v>
      </c>
      <c r="AR476" t="str">
        <f>IF(ISNUMBER(SEARCH("®",N476)),"MARCA/INNOVADOR","GENERICO")</f>
        <v>MARCA/INNOVADOR</v>
      </c>
      <c r="AS476">
        <f ca="1">IF(AE476&gt;100,RANDBETWEEN(500,5000),IF(AND(AE476&gt;=10,AE476&lt;=100),RANDBETWEEN(100,1000),RANDBETWEEN(10,200)))</f>
        <v>769</v>
      </c>
      <c r="AT476">
        <f t="shared" ca="1" si="37"/>
        <v>176</v>
      </c>
      <c r="AU476">
        <f ca="1">INT(AS476*RANDBETWEEN(120,200)/100)</f>
        <v>1399</v>
      </c>
      <c r="AV476" s="2">
        <f ca="1">IF(LEFT(Y476,1)="L",RANDBETWEEN(500000,5000000),IF(LEFT(Y476,1)="C",RANDBETWEEN(5000,50000),IF(LEFT(Y476,1)="N",RANDBETWEEN(10000,150000),IF(LEFT(Y476,1)="J",RANDBETWEEN(8000,200000),RANDBETWEEN(5000,100000)))))</f>
        <v>119445</v>
      </c>
      <c r="AW476" s="2">
        <f ca="1">INT(AV476*RANDBETWEEN(30,60)/100)</f>
        <v>52555</v>
      </c>
      <c r="AX476">
        <f ca="1">IF(Z476="ORAL",RANDBETWEEN(1000,10000),IF(OR(Z476="INTRAVENOSA",Z476="INTRAMUSCULAR"),RANDBETWEEN(100,2000),IF(OR(Z476="OFTÁLMICA",Z476="TOPICA (EXTERNA)"),RANDBETWEEN(200,3000),RANDBETWEEN(100,1500))))</f>
        <v>1551</v>
      </c>
      <c r="AY476" s="2">
        <f ca="1">INT(AV476*RANDBETWEEN(90,130)/100)</f>
        <v>136167</v>
      </c>
      <c r="AZ476" t="str">
        <f t="shared" ca="1" si="38"/>
        <v>8%</v>
      </c>
      <c r="BA476" t="str">
        <f t="shared" ca="1" si="39"/>
        <v>BAJO</v>
      </c>
    </row>
    <row r="477" spans="4:53" x14ac:dyDescent="0.35">
      <c r="D477" t="s">
        <v>3395</v>
      </c>
      <c r="E477" s="1">
        <v>38973</v>
      </c>
      <c r="F477" t="s">
        <v>3396</v>
      </c>
      <c r="G477" t="s">
        <v>247</v>
      </c>
      <c r="H477" t="s">
        <v>2296</v>
      </c>
      <c r="I477">
        <v>19968015</v>
      </c>
      <c r="J477" t="s">
        <v>28</v>
      </c>
      <c r="K477">
        <v>6</v>
      </c>
      <c r="L477" t="s">
        <v>27</v>
      </c>
      <c r="M477" t="s">
        <v>3397</v>
      </c>
      <c r="N477" t="s">
        <v>3398</v>
      </c>
      <c r="O477" t="s">
        <v>3399</v>
      </c>
      <c r="P477" t="s">
        <v>3400</v>
      </c>
      <c r="Q477" s="1">
        <v>40235</v>
      </c>
      <c r="R477" t="s">
        <v>62</v>
      </c>
      <c r="S477" t="s">
        <v>27</v>
      </c>
      <c r="T477" t="s">
        <v>3401</v>
      </c>
      <c r="U477" t="s">
        <v>247</v>
      </c>
      <c r="V477" t="s">
        <v>3402</v>
      </c>
      <c r="W477" t="s">
        <v>3164</v>
      </c>
      <c r="X477">
        <v>19968015</v>
      </c>
      <c r="Y477" t="s">
        <v>3403</v>
      </c>
      <c r="Z477" t="s">
        <v>566</v>
      </c>
      <c r="AA477" t="s">
        <v>24</v>
      </c>
      <c r="AB477" t="s">
        <v>653</v>
      </c>
      <c r="AC477" t="s">
        <v>25</v>
      </c>
      <c r="AD477" t="s">
        <v>155</v>
      </c>
      <c r="AE477">
        <v>3</v>
      </c>
      <c r="AF477" t="s">
        <v>27</v>
      </c>
      <c r="AG477" t="s">
        <v>26</v>
      </c>
      <c r="AH477" t="s">
        <v>3396</v>
      </c>
      <c r="AI477" t="str">
        <f t="shared" si="35"/>
        <v>NO</v>
      </c>
      <c r="AJ477" t="str">
        <f t="shared" si="36"/>
        <v>MEGALABS COLOMBIA</v>
      </c>
      <c r="AK477" t="str">
        <f>IF(ISNUMBER(SEARCH("FABRICANTE",AC477)),"FABRICANTE",IF(ISNUMBER(SEARCH("IMPORTADOR",AC477)),"IMPORTADOR","OTRO"))</f>
        <v>FABRICANTE</v>
      </c>
      <c r="AL477" t="str">
        <f>IF(LEFT(Y477,1)="A","Sistema digestivo",IF(LEFT(Y477,1)="B","Sangre",IF(LEFT(Y477,1)="C","Cardiovascular",IF(LEFT(Y477,1)="D","Dermatológico",IF(LEFT(Y477,1)="G","Genitourinario",IF(LEFT(Y477,1)="H","Hormonal",IF(LEFT(Y477,1)="J","Antiinfecciosos",IF(LEFT(Y477,1)="L","Oncológicos",IF(LEFT(Y477,1)="M","Musculoesquelético",IF(LEFT(Y477,1)="N","Sistema nervioso",IF(LEFT(Y477,1)="R","Respiratorio",IF(LEFT(Y477,1)="S","Oftálmico",IF(LEFT(Y477,1)="V","Varios","OTRO")))))))))))))</f>
        <v>Dermatológico</v>
      </c>
      <c r="AM477" t="str">
        <f>IF(AG477="Vigente","ACTIVO",IF(ISNUMBER(SEARCH("Inactivo",J477)),"INACTIVO","REVISAR"))</f>
        <v>ACTIVO</v>
      </c>
      <c r="AN477" t="str">
        <f ca="1">IF(OR(AF477="",AF477="null"),"",ROUND((AF477-TODAY())/365.25,2))</f>
        <v/>
      </c>
      <c r="AO477" t="str">
        <f ca="1">IF(AND(AG477="Vigente",OR(AF477="",AF477="null",AF477&gt;TODAY())),"SI",IF(AND(NOT(OR(AF477="",AF477="null")),AF477&lt;=TODAY()),"NO",IF(AG477="Vigente","SI","DESCONOCIDO")))</f>
        <v>SI</v>
      </c>
      <c r="AP477" t="str">
        <f>IF(AND(ISNUMBER(SEARCH("IMPORTAR",AA477)),ISNUMBER(SEARCH("FABRICAR",AA477))),"MIXTO",IF(ISNUMBER(SEARCH("IMPORTAR",AA477)),"IMPORTADO",IF(ISNUMBER(SEARCH("FABRICAR",AA477)),"LOCAL","OTRO")))</f>
        <v>LOCAL</v>
      </c>
      <c r="AQ477" t="str">
        <f>IF(AD477="Si","SI",IF(AD477="No","NO",""))</f>
        <v>SI</v>
      </c>
      <c r="AR477" t="str">
        <f>IF(ISNUMBER(SEARCH("®",N477)),"MARCA/INNOVADOR","GENERICO")</f>
        <v>GENERICO</v>
      </c>
      <c r="AS477">
        <f ca="1">IF(AE477&gt;100,RANDBETWEEN(500,5000),IF(AND(AE477&gt;=10,AE477&lt;=100),RANDBETWEEN(100,1000),RANDBETWEEN(10,200)))</f>
        <v>51</v>
      </c>
      <c r="AT477">
        <f t="shared" ca="1" si="37"/>
        <v>12</v>
      </c>
      <c r="AU477">
        <f ca="1">INT(AS477*RANDBETWEEN(120,200)/100)</f>
        <v>102</v>
      </c>
      <c r="AV477" s="2">
        <f ca="1">IF(LEFT(Y477,1)="L",RANDBETWEEN(500000,5000000),IF(LEFT(Y477,1)="C",RANDBETWEEN(5000,50000),IF(LEFT(Y477,1)="N",RANDBETWEEN(10000,150000),IF(LEFT(Y477,1)="J",RANDBETWEEN(8000,200000),RANDBETWEEN(5000,100000)))))</f>
        <v>52621</v>
      </c>
      <c r="AW477" s="2">
        <f ca="1">INT(AV477*RANDBETWEEN(30,60)/100)</f>
        <v>27362</v>
      </c>
      <c r="AX477">
        <f ca="1">IF(Z477="ORAL",RANDBETWEEN(1000,10000),IF(OR(Z477="INTRAVENOSA",Z477="INTRAMUSCULAR"),RANDBETWEEN(100,2000),IF(OR(Z477="OFTÁLMICA",Z477="TOPICA (EXTERNA)"),RANDBETWEEN(200,3000),RANDBETWEEN(100,1500))))</f>
        <v>2224</v>
      </c>
      <c r="AY477" s="2">
        <f ca="1">INT(AV477*RANDBETWEEN(90,130)/100)</f>
        <v>50516</v>
      </c>
      <c r="AZ477" t="str">
        <f t="shared" ca="1" si="38"/>
        <v>13.3%</v>
      </c>
      <c r="BA477" t="str">
        <f t="shared" ca="1" si="39"/>
        <v>BAJO</v>
      </c>
    </row>
    <row r="478" spans="4:53" x14ac:dyDescent="0.35">
      <c r="D478" t="s">
        <v>3404</v>
      </c>
      <c r="E478" s="1">
        <v>39798</v>
      </c>
      <c r="F478" t="s">
        <v>3405</v>
      </c>
      <c r="G478" t="s">
        <v>108</v>
      </c>
      <c r="H478" t="s">
        <v>2812</v>
      </c>
      <c r="I478">
        <v>19997697</v>
      </c>
      <c r="J478" t="s">
        <v>28</v>
      </c>
      <c r="K478">
        <v>11</v>
      </c>
      <c r="L478" t="s">
        <v>3406</v>
      </c>
      <c r="M478" t="s">
        <v>3407</v>
      </c>
      <c r="N478" t="s">
        <v>3408</v>
      </c>
      <c r="O478" t="s">
        <v>3409</v>
      </c>
      <c r="P478" t="s">
        <v>3410</v>
      </c>
      <c r="Q478" s="1">
        <v>40749</v>
      </c>
      <c r="R478" t="s">
        <v>140</v>
      </c>
      <c r="S478" t="s">
        <v>27</v>
      </c>
      <c r="T478" t="s">
        <v>3411</v>
      </c>
      <c r="U478" t="s">
        <v>115</v>
      </c>
      <c r="V478" t="s">
        <v>1596</v>
      </c>
      <c r="W478">
        <v>10</v>
      </c>
      <c r="X478">
        <v>19997697</v>
      </c>
      <c r="Y478" t="s">
        <v>1597</v>
      </c>
      <c r="Z478" t="s">
        <v>119</v>
      </c>
      <c r="AA478" t="s">
        <v>24</v>
      </c>
      <c r="AB478" t="s">
        <v>120</v>
      </c>
      <c r="AC478" t="s">
        <v>25</v>
      </c>
      <c r="AD478" t="s">
        <v>155</v>
      </c>
      <c r="AE478">
        <v>2</v>
      </c>
      <c r="AF478" t="s">
        <v>27</v>
      </c>
      <c r="AG478" t="s">
        <v>26</v>
      </c>
      <c r="AH478" t="s">
        <v>6807</v>
      </c>
      <c r="AI478" t="str">
        <f t="shared" si="35"/>
        <v>NO</v>
      </c>
      <c r="AJ478" t="str">
        <f t="shared" si="36"/>
        <v>FARMACOL CHINOIN</v>
      </c>
      <c r="AK478" t="str">
        <f>IF(ISNUMBER(SEARCH("FABRICANTE",AC478)),"FABRICANTE",IF(ISNUMBER(SEARCH("IMPORTADOR",AC478)),"IMPORTADOR","OTRO"))</f>
        <v>FABRICANTE</v>
      </c>
      <c r="AL478" t="str">
        <f>IF(LEFT(Y478,1)="A","Sistema digestivo",IF(LEFT(Y478,1)="B","Sangre",IF(LEFT(Y478,1)="C","Cardiovascular",IF(LEFT(Y478,1)="D","Dermatológico",IF(LEFT(Y478,1)="G","Genitourinario",IF(LEFT(Y478,1)="H","Hormonal",IF(LEFT(Y478,1)="J","Antiinfecciosos",IF(LEFT(Y478,1)="L","Oncológicos",IF(LEFT(Y478,1)="M","Musculoesquelético",IF(LEFT(Y478,1)="N","Sistema nervioso",IF(LEFT(Y478,1)="R","Respiratorio",IF(LEFT(Y478,1)="S","Oftálmico",IF(LEFT(Y478,1)="V","Varios","OTRO")))))))))))))</f>
        <v>Sistema digestivo</v>
      </c>
      <c r="AM478" t="str">
        <f>IF(AG478="Vigente","ACTIVO",IF(ISNUMBER(SEARCH("Inactivo",J478)),"INACTIVO","REVISAR"))</f>
        <v>ACTIVO</v>
      </c>
      <c r="AN478" t="str">
        <f ca="1">IF(OR(AF478="",AF478="null"),"",ROUND((AF478-TODAY())/365.25,2))</f>
        <v/>
      </c>
      <c r="AO478" t="str">
        <f ca="1">IF(AND(AG478="Vigente",OR(AF478="",AF478="null",AF478&gt;TODAY())),"SI",IF(AND(NOT(OR(AF478="",AF478="null")),AF478&lt;=TODAY()),"NO",IF(AG478="Vigente","SI","DESCONOCIDO")))</f>
        <v>SI</v>
      </c>
      <c r="AP478" t="str">
        <f>IF(AND(ISNUMBER(SEARCH("IMPORTAR",AA478)),ISNUMBER(SEARCH("FABRICAR",AA478))),"MIXTO",IF(ISNUMBER(SEARCH("IMPORTAR",AA478)),"IMPORTADO",IF(ISNUMBER(SEARCH("FABRICAR",AA478)),"LOCAL","OTRO")))</f>
        <v>LOCAL</v>
      </c>
      <c r="AQ478" t="str">
        <f>IF(AD478="Si","SI",IF(AD478="No","NO",""))</f>
        <v>SI</v>
      </c>
      <c r="AR478" t="str">
        <f>IF(ISNUMBER(SEARCH("®",N478)),"MARCA/INNOVADOR","GENERICO")</f>
        <v>GENERICO</v>
      </c>
      <c r="AS478">
        <f ca="1">IF(AE478&gt;100,RANDBETWEEN(500,5000),IF(AND(AE478&gt;=10,AE478&lt;=100),RANDBETWEEN(100,1000),RANDBETWEEN(10,200)))</f>
        <v>23</v>
      </c>
      <c r="AT478">
        <f t="shared" ca="1" si="37"/>
        <v>3</v>
      </c>
      <c r="AU478">
        <f ca="1">INT(AS478*RANDBETWEEN(120,200)/100)</f>
        <v>44</v>
      </c>
      <c r="AV478" s="2">
        <f ca="1">IF(LEFT(Y478,1)="L",RANDBETWEEN(500000,5000000),IF(LEFT(Y478,1)="C",RANDBETWEEN(5000,50000),IF(LEFT(Y478,1)="N",RANDBETWEEN(10000,150000),IF(LEFT(Y478,1)="J",RANDBETWEEN(8000,200000),RANDBETWEEN(5000,100000)))))</f>
        <v>75989</v>
      </c>
      <c r="AW478" s="2">
        <f ca="1">INT(AV478*RANDBETWEEN(30,60)/100)</f>
        <v>45593</v>
      </c>
      <c r="AX478">
        <f ca="1">IF(Z478="ORAL",RANDBETWEEN(1000,10000),IF(OR(Z478="INTRAVENOSA",Z478="INTRAMUSCULAR"),RANDBETWEEN(100,2000),IF(OR(Z478="OFTÁLMICA",Z478="TOPICA (EXTERNA)"),RANDBETWEEN(200,3000),RANDBETWEEN(100,1500))))</f>
        <v>1453</v>
      </c>
      <c r="AY478" s="2">
        <f ca="1">INT(AV478*RANDBETWEEN(90,130)/100)</f>
        <v>82068</v>
      </c>
      <c r="AZ478" t="str">
        <f t="shared" ca="1" si="38"/>
        <v>9.5%</v>
      </c>
      <c r="BA478" t="str">
        <f t="shared" ca="1" si="39"/>
        <v>BAJO</v>
      </c>
    </row>
    <row r="479" spans="4:53" x14ac:dyDescent="0.35">
      <c r="D479" t="s">
        <v>3412</v>
      </c>
      <c r="E479" s="1">
        <v>38237</v>
      </c>
      <c r="F479" t="s">
        <v>3413</v>
      </c>
      <c r="G479" t="s">
        <v>108</v>
      </c>
      <c r="H479" t="s">
        <v>158</v>
      </c>
      <c r="I479">
        <v>19943271</v>
      </c>
      <c r="J479" t="s">
        <v>110</v>
      </c>
      <c r="K479">
        <v>9</v>
      </c>
      <c r="L479" t="s">
        <v>27</v>
      </c>
      <c r="M479" t="s">
        <v>726</v>
      </c>
      <c r="N479" t="s">
        <v>727</v>
      </c>
      <c r="O479" t="s">
        <v>3414</v>
      </c>
      <c r="P479" t="s">
        <v>266</v>
      </c>
      <c r="Q479" s="1">
        <v>39031</v>
      </c>
      <c r="R479" t="s">
        <v>200</v>
      </c>
      <c r="S479" s="1">
        <v>40984</v>
      </c>
      <c r="T479" t="s">
        <v>80</v>
      </c>
      <c r="U479" t="s">
        <v>115</v>
      </c>
      <c r="V479" t="s">
        <v>729</v>
      </c>
      <c r="W479">
        <v>5</v>
      </c>
      <c r="X479">
        <v>19943271</v>
      </c>
      <c r="Y479" t="s">
        <v>730</v>
      </c>
      <c r="Z479" t="s">
        <v>119</v>
      </c>
      <c r="AA479" t="s">
        <v>24</v>
      </c>
      <c r="AB479" t="s">
        <v>120</v>
      </c>
      <c r="AC479" t="s">
        <v>25</v>
      </c>
      <c r="AD479" t="s">
        <v>121</v>
      </c>
      <c r="AE479">
        <v>30</v>
      </c>
      <c r="AF479" t="s">
        <v>27</v>
      </c>
      <c r="AG479" t="s">
        <v>26</v>
      </c>
      <c r="AH479" t="s">
        <v>6808</v>
      </c>
      <c r="AI479" t="str">
        <f t="shared" si="35"/>
        <v>NO</v>
      </c>
      <c r="AJ479" t="str">
        <f t="shared" si="36"/>
        <v>TECNOQUIMICAS</v>
      </c>
      <c r="AK479" t="str">
        <f>IF(ISNUMBER(SEARCH("FABRICANTE",AC479)),"FABRICANTE",IF(ISNUMBER(SEARCH("IMPORTADOR",AC479)),"IMPORTADOR","OTRO"))</f>
        <v>FABRICANTE</v>
      </c>
      <c r="AL479" t="str">
        <f>IF(LEFT(Y479,1)="A","Sistema digestivo",IF(LEFT(Y479,1)="B","Sangre",IF(LEFT(Y479,1)="C","Cardiovascular",IF(LEFT(Y479,1)="D","Dermatológico",IF(LEFT(Y479,1)="G","Genitourinario",IF(LEFT(Y479,1)="H","Hormonal",IF(LEFT(Y479,1)="J","Antiinfecciosos",IF(LEFT(Y479,1)="L","Oncológicos",IF(LEFT(Y479,1)="M","Musculoesquelético",IF(LEFT(Y479,1)="N","Sistema nervioso",IF(LEFT(Y479,1)="R","Respiratorio",IF(LEFT(Y479,1)="S","Oftálmico",IF(LEFT(Y479,1)="V","Varios","OTRO")))))))))))))</f>
        <v>Sistema digestivo</v>
      </c>
      <c r="AM479" t="str">
        <f>IF(AG479="Vigente","ACTIVO",IF(ISNUMBER(SEARCH("Inactivo",J479)),"INACTIVO","REVISAR"))</f>
        <v>ACTIVO</v>
      </c>
      <c r="AN479" t="str">
        <f ca="1">IF(OR(AF479="",AF479="null"),"",ROUND((AF479-TODAY())/365.25,2))</f>
        <v/>
      </c>
      <c r="AO479" t="str">
        <f ca="1">IF(AND(AG479="Vigente",OR(AF479="",AF479="null",AF479&gt;TODAY())),"SI",IF(AND(NOT(OR(AF479="",AF479="null")),AF479&lt;=TODAY()),"NO",IF(AG479="Vigente","SI","DESCONOCIDO")))</f>
        <v>SI</v>
      </c>
      <c r="AP479" t="str">
        <f>IF(AND(ISNUMBER(SEARCH("IMPORTAR",AA479)),ISNUMBER(SEARCH("FABRICAR",AA479))),"MIXTO",IF(ISNUMBER(SEARCH("IMPORTAR",AA479)),"IMPORTADO",IF(ISNUMBER(SEARCH("FABRICAR",AA479)),"LOCAL","OTRO")))</f>
        <v>LOCAL</v>
      </c>
      <c r="AQ479" t="str">
        <f>IF(AD479="Si","SI",IF(AD479="No","NO",""))</f>
        <v>NO</v>
      </c>
      <c r="AR479" t="str">
        <f>IF(ISNUMBER(SEARCH("®",N479)),"MARCA/INNOVADOR","GENERICO")</f>
        <v>GENERICO</v>
      </c>
      <c r="AS479">
        <f ca="1">IF(AE479&gt;100,RANDBETWEEN(500,5000),IF(AND(AE479&gt;=10,AE479&lt;=100),RANDBETWEEN(100,1000),RANDBETWEEN(10,200)))</f>
        <v>336</v>
      </c>
      <c r="AT479">
        <f t="shared" ca="1" si="37"/>
        <v>97</v>
      </c>
      <c r="AU479">
        <f ca="1">INT(AS479*RANDBETWEEN(120,200)/100)</f>
        <v>446</v>
      </c>
      <c r="AV479" s="2">
        <f ca="1">IF(LEFT(Y479,1)="L",RANDBETWEEN(500000,5000000),IF(LEFT(Y479,1)="C",RANDBETWEEN(5000,50000),IF(LEFT(Y479,1)="N",RANDBETWEEN(10000,150000),IF(LEFT(Y479,1)="J",RANDBETWEEN(8000,200000),RANDBETWEEN(5000,100000)))))</f>
        <v>54081</v>
      </c>
      <c r="AW479" s="2">
        <f ca="1">INT(AV479*RANDBETWEEN(30,60)/100)</f>
        <v>30285</v>
      </c>
      <c r="AX479">
        <f ca="1">IF(Z479="ORAL",RANDBETWEEN(1000,10000),IF(OR(Z479="INTRAVENOSA",Z479="INTRAMUSCULAR"),RANDBETWEEN(100,2000),IF(OR(Z479="OFTÁLMICA",Z479="TOPICA (EXTERNA)"),RANDBETWEEN(200,3000),RANDBETWEEN(100,1500))))</f>
        <v>8883</v>
      </c>
      <c r="AY479" s="2">
        <f ca="1">INT(AV479*RANDBETWEEN(90,130)/100)</f>
        <v>55162</v>
      </c>
      <c r="AZ479" t="str">
        <f t="shared" ca="1" si="38"/>
        <v>21%</v>
      </c>
      <c r="BA479" t="str">
        <f t="shared" ca="1" si="39"/>
        <v>ALTO</v>
      </c>
    </row>
    <row r="480" spans="4:53" x14ac:dyDescent="0.35">
      <c r="D480" t="s">
        <v>3415</v>
      </c>
      <c r="E480" s="1">
        <v>43479</v>
      </c>
      <c r="F480" t="s">
        <v>3416</v>
      </c>
      <c r="G480" t="s">
        <v>108</v>
      </c>
      <c r="H480" t="s">
        <v>3253</v>
      </c>
      <c r="I480">
        <v>20118686</v>
      </c>
      <c r="J480" t="s">
        <v>28</v>
      </c>
      <c r="K480">
        <v>1</v>
      </c>
      <c r="L480" t="s">
        <v>3417</v>
      </c>
      <c r="M480" t="s">
        <v>3418</v>
      </c>
      <c r="N480" t="s">
        <v>3419</v>
      </c>
      <c r="O480" t="s">
        <v>3420</v>
      </c>
      <c r="P480" t="s">
        <v>3421</v>
      </c>
      <c r="Q480" s="1">
        <v>43292</v>
      </c>
      <c r="R480" t="s">
        <v>258</v>
      </c>
      <c r="S480" t="s">
        <v>27</v>
      </c>
      <c r="T480" t="s">
        <v>549</v>
      </c>
      <c r="U480" t="s">
        <v>247</v>
      </c>
      <c r="V480" t="s">
        <v>64</v>
      </c>
      <c r="W480" t="s">
        <v>3422</v>
      </c>
      <c r="X480">
        <v>20118686</v>
      </c>
      <c r="Y480" t="s">
        <v>259</v>
      </c>
      <c r="Z480" t="s">
        <v>260</v>
      </c>
      <c r="AA480" t="s">
        <v>32</v>
      </c>
      <c r="AB480" t="s">
        <v>120</v>
      </c>
      <c r="AC480" t="s">
        <v>25</v>
      </c>
      <c r="AD480" t="s">
        <v>121</v>
      </c>
      <c r="AE480">
        <v>1</v>
      </c>
      <c r="AF480" t="s">
        <v>27</v>
      </c>
      <c r="AG480" t="s">
        <v>26</v>
      </c>
      <c r="AH480" t="s">
        <v>3416</v>
      </c>
      <c r="AI480" t="str">
        <f t="shared" si="35"/>
        <v>NO</v>
      </c>
      <c r="AJ480" t="str">
        <f t="shared" si="36"/>
        <v>LABORATORIOS BAXTER</v>
      </c>
      <c r="AK480" t="str">
        <f>IF(ISNUMBER(SEARCH("FABRICANTE",AC480)),"FABRICANTE",IF(ISNUMBER(SEARCH("IMPORTADOR",AC480)),"IMPORTADOR","OTRO"))</f>
        <v>FABRICANTE</v>
      </c>
      <c r="AL480" t="str">
        <f>IF(LEFT(Y480,1)="A","Sistema digestivo",IF(LEFT(Y480,1)="B","Sangre",IF(LEFT(Y480,1)="C","Cardiovascular",IF(LEFT(Y480,1)="D","Dermatológico",IF(LEFT(Y480,1)="G","Genitourinario",IF(LEFT(Y480,1)="H","Hormonal",IF(LEFT(Y480,1)="J","Antiinfecciosos",IF(LEFT(Y480,1)="L","Oncológicos",IF(LEFT(Y480,1)="M","Musculoesquelético",IF(LEFT(Y480,1)="N","Sistema nervioso",IF(LEFT(Y480,1)="R","Respiratorio",IF(LEFT(Y480,1)="S","Oftálmico",IF(LEFT(Y480,1)="V","Varios","OTRO")))))))))))))</f>
        <v>Sangre</v>
      </c>
      <c r="AM480" t="str">
        <f>IF(AG480="Vigente","ACTIVO",IF(ISNUMBER(SEARCH("Inactivo",J480)),"INACTIVO","REVISAR"))</f>
        <v>ACTIVO</v>
      </c>
      <c r="AN480" t="str">
        <f ca="1">IF(OR(AF480="",AF480="null"),"",ROUND((AF480-TODAY())/365.25,2))</f>
        <v/>
      </c>
      <c r="AO480" t="str">
        <f ca="1">IF(AND(AG480="Vigente",OR(AF480="",AF480="null",AF480&gt;TODAY())),"SI",IF(AND(NOT(OR(AF480="",AF480="null")),AF480&lt;=TODAY()),"NO",IF(AG480="Vigente","SI","DESCONOCIDO")))</f>
        <v>SI</v>
      </c>
      <c r="AP480" t="str">
        <f>IF(AND(ISNUMBER(SEARCH("IMPORTAR",AA480)),ISNUMBER(SEARCH("FABRICAR",AA480))),"MIXTO",IF(ISNUMBER(SEARCH("IMPORTAR",AA480)),"IMPORTADO",IF(ISNUMBER(SEARCH("FABRICAR",AA480)),"LOCAL","OTRO")))</f>
        <v>IMPORTADO</v>
      </c>
      <c r="AQ480" t="str">
        <f>IF(AD480="Si","SI",IF(AD480="No","NO",""))</f>
        <v>NO</v>
      </c>
      <c r="AR480" t="str">
        <f>IF(ISNUMBER(SEARCH("®",N480)),"MARCA/INNOVADOR","GENERICO")</f>
        <v>GENERICO</v>
      </c>
      <c r="AS480">
        <f ca="1">IF(AE480&gt;100,RANDBETWEEN(500,5000),IF(AND(AE480&gt;=10,AE480&lt;=100),RANDBETWEEN(100,1000),RANDBETWEEN(10,200)))</f>
        <v>78</v>
      </c>
      <c r="AT480">
        <f t="shared" ca="1" si="37"/>
        <v>9</v>
      </c>
      <c r="AU480">
        <f ca="1">INT(AS480*RANDBETWEEN(120,200)/100)</f>
        <v>155</v>
      </c>
      <c r="AV480" s="2">
        <f ca="1">IF(LEFT(Y480,1)="L",RANDBETWEEN(500000,5000000),IF(LEFT(Y480,1)="C",RANDBETWEEN(5000,50000),IF(LEFT(Y480,1)="N",RANDBETWEEN(10000,150000),IF(LEFT(Y480,1)="J",RANDBETWEEN(8000,200000),RANDBETWEEN(5000,100000)))))</f>
        <v>71769</v>
      </c>
      <c r="AW480" s="2">
        <f ca="1">INT(AV480*RANDBETWEEN(30,60)/100)</f>
        <v>28707</v>
      </c>
      <c r="AX480">
        <f ca="1">IF(Z480="ORAL",RANDBETWEEN(1000,10000),IF(OR(Z480="INTRAVENOSA",Z480="INTRAMUSCULAR"),RANDBETWEEN(100,2000),IF(OR(Z480="OFTÁLMICA",Z480="TOPICA (EXTERNA)"),RANDBETWEEN(200,3000),RANDBETWEEN(100,1500))))</f>
        <v>1105</v>
      </c>
      <c r="AY480" s="2">
        <f ca="1">INT(AV480*RANDBETWEEN(90,130)/100)</f>
        <v>81816</v>
      </c>
      <c r="AZ480" t="str">
        <f t="shared" ca="1" si="38"/>
        <v>2.7%</v>
      </c>
      <c r="BA480" t="str">
        <f t="shared" ca="1" si="39"/>
        <v>BAJO</v>
      </c>
    </row>
    <row r="481" spans="4:53" x14ac:dyDescent="0.35">
      <c r="D481" t="s">
        <v>3423</v>
      </c>
      <c r="E481" s="1">
        <v>42321</v>
      </c>
      <c r="F481" t="s">
        <v>3424</v>
      </c>
      <c r="G481" t="s">
        <v>108</v>
      </c>
      <c r="H481" t="s">
        <v>3425</v>
      </c>
      <c r="I481">
        <v>20087738</v>
      </c>
      <c r="J481" t="s">
        <v>28</v>
      </c>
      <c r="K481">
        <v>8</v>
      </c>
      <c r="L481" t="s">
        <v>3426</v>
      </c>
      <c r="M481" t="s">
        <v>3427</v>
      </c>
      <c r="N481" t="s">
        <v>3428</v>
      </c>
      <c r="O481" t="s">
        <v>3429</v>
      </c>
      <c r="P481" t="s">
        <v>3430</v>
      </c>
      <c r="Q481" s="1">
        <v>42199</v>
      </c>
      <c r="R481" t="s">
        <v>33</v>
      </c>
      <c r="S481" s="1">
        <v>44287</v>
      </c>
      <c r="T481" t="s">
        <v>114</v>
      </c>
      <c r="U481" t="s">
        <v>115</v>
      </c>
      <c r="V481" t="s">
        <v>3431</v>
      </c>
      <c r="W481">
        <v>325</v>
      </c>
      <c r="X481">
        <v>20087738</v>
      </c>
      <c r="Y481" t="s">
        <v>3432</v>
      </c>
      <c r="Z481" t="s">
        <v>119</v>
      </c>
      <c r="AA481" t="s">
        <v>165</v>
      </c>
      <c r="AB481" t="s">
        <v>120</v>
      </c>
      <c r="AC481" t="s">
        <v>25</v>
      </c>
      <c r="AD481" t="s">
        <v>121</v>
      </c>
      <c r="AE481">
        <v>90</v>
      </c>
      <c r="AF481" t="s">
        <v>27</v>
      </c>
      <c r="AG481" t="s">
        <v>26</v>
      </c>
      <c r="AH481" t="s">
        <v>522</v>
      </c>
      <c r="AI481" t="str">
        <f t="shared" si="35"/>
        <v>NO</v>
      </c>
      <c r="AJ481" t="str">
        <f t="shared" si="36"/>
        <v>LABORATORIOS LEGRAND</v>
      </c>
      <c r="AK481" t="str">
        <f>IF(ISNUMBER(SEARCH("FABRICANTE",AC481)),"FABRICANTE",IF(ISNUMBER(SEARCH("IMPORTADOR",AC481)),"IMPORTADOR","OTRO"))</f>
        <v>FABRICANTE</v>
      </c>
      <c r="AL481" t="str">
        <f>IF(LEFT(Y481,1)="A","Sistema digestivo",IF(LEFT(Y481,1)="B","Sangre",IF(LEFT(Y481,1)="C","Cardiovascular",IF(LEFT(Y481,1)="D","Dermatológico",IF(LEFT(Y481,1)="G","Genitourinario",IF(LEFT(Y481,1)="H","Hormonal",IF(LEFT(Y481,1)="J","Antiinfecciosos",IF(LEFT(Y481,1)="L","Oncológicos",IF(LEFT(Y481,1)="M","Musculoesquelético",IF(LEFT(Y481,1)="N","Sistema nervioso",IF(LEFT(Y481,1)="R","Respiratorio",IF(LEFT(Y481,1)="S","Oftálmico",IF(LEFT(Y481,1)="V","Varios","OTRO")))))))))))))</f>
        <v>Sistema nervioso</v>
      </c>
      <c r="AM481" t="str">
        <f>IF(AG481="Vigente","ACTIVO",IF(ISNUMBER(SEARCH("Inactivo",J481)),"INACTIVO","REVISAR"))</f>
        <v>ACTIVO</v>
      </c>
      <c r="AN481" t="str">
        <f ca="1">IF(OR(AF481="",AF481="null"),"",ROUND((AF481-TODAY())/365.25,2))</f>
        <v/>
      </c>
      <c r="AO481" t="str">
        <f ca="1">IF(AND(AG481="Vigente",OR(AF481="",AF481="null",AF481&gt;TODAY())),"SI",IF(AND(NOT(OR(AF481="",AF481="null")),AF481&lt;=TODAY()),"NO",IF(AG481="Vigente","SI","DESCONOCIDO")))</f>
        <v>SI</v>
      </c>
      <c r="AP481" t="str">
        <f>IF(AND(ISNUMBER(SEARCH("IMPORTAR",AA481)),ISNUMBER(SEARCH("FABRICAR",AA481))),"MIXTO",IF(ISNUMBER(SEARCH("IMPORTAR",AA481)),"IMPORTADO",IF(ISNUMBER(SEARCH("FABRICAR",AA481)),"LOCAL","OTRO")))</f>
        <v>IMPORTADO</v>
      </c>
      <c r="AQ481" t="str">
        <f>IF(AD481="Si","SI",IF(AD481="No","NO",""))</f>
        <v>NO</v>
      </c>
      <c r="AR481" t="str">
        <f>IF(ISNUMBER(SEARCH("®",N481)),"MARCA/INNOVADOR","GENERICO")</f>
        <v>MARCA/INNOVADOR</v>
      </c>
      <c r="AS481">
        <f ca="1">IF(AE481&gt;100,RANDBETWEEN(500,5000),IF(AND(AE481&gt;=10,AE481&lt;=100),RANDBETWEEN(100,1000),RANDBETWEEN(10,200)))</f>
        <v>259</v>
      </c>
      <c r="AT481">
        <f t="shared" ca="1" si="37"/>
        <v>77</v>
      </c>
      <c r="AU481">
        <f ca="1">INT(AS481*RANDBETWEEN(120,200)/100)</f>
        <v>411</v>
      </c>
      <c r="AV481" s="2">
        <f ca="1">IF(LEFT(Y481,1)="L",RANDBETWEEN(500000,5000000),IF(LEFT(Y481,1)="C",RANDBETWEEN(5000,50000),IF(LEFT(Y481,1)="N",RANDBETWEEN(10000,150000),IF(LEFT(Y481,1)="J",RANDBETWEEN(8000,200000),RANDBETWEEN(5000,100000)))))</f>
        <v>123862</v>
      </c>
      <c r="AW481" s="2">
        <f ca="1">INT(AV481*RANDBETWEEN(30,60)/100)</f>
        <v>49544</v>
      </c>
      <c r="AX481">
        <f ca="1">IF(Z481="ORAL",RANDBETWEEN(1000,10000),IF(OR(Z481="INTRAVENOSA",Z481="INTRAMUSCULAR"),RANDBETWEEN(100,2000),IF(OR(Z481="OFTÁLMICA",Z481="TOPICA (EXTERNA)"),RANDBETWEEN(200,3000),RANDBETWEEN(100,1500))))</f>
        <v>1512</v>
      </c>
      <c r="AY481" s="2">
        <f ca="1">INT(AV481*RANDBETWEEN(90,130)/100)</f>
        <v>138725</v>
      </c>
      <c r="AZ481" t="str">
        <f t="shared" ca="1" si="38"/>
        <v>24.9%</v>
      </c>
      <c r="BA481" t="str">
        <f t="shared" ca="1" si="39"/>
        <v>BAJO</v>
      </c>
    </row>
    <row r="482" spans="4:53" x14ac:dyDescent="0.35">
      <c r="D482" t="s">
        <v>3433</v>
      </c>
      <c r="E482" s="1">
        <v>36672</v>
      </c>
      <c r="F482" t="s">
        <v>3434</v>
      </c>
      <c r="G482" t="s">
        <v>108</v>
      </c>
      <c r="H482" t="s">
        <v>3435</v>
      </c>
      <c r="I482">
        <v>19908056</v>
      </c>
      <c r="J482" t="s">
        <v>110</v>
      </c>
      <c r="K482">
        <v>5</v>
      </c>
      <c r="L482" t="s">
        <v>27</v>
      </c>
      <c r="M482" t="s">
        <v>3436</v>
      </c>
      <c r="N482" t="s">
        <v>3437</v>
      </c>
      <c r="O482" t="s">
        <v>3438</v>
      </c>
      <c r="P482" t="s">
        <v>3439</v>
      </c>
      <c r="Q482" s="1">
        <v>39031</v>
      </c>
      <c r="R482" t="s">
        <v>47</v>
      </c>
      <c r="S482" s="1">
        <v>40532</v>
      </c>
      <c r="T482" t="s">
        <v>3440</v>
      </c>
      <c r="U482" t="s">
        <v>115</v>
      </c>
      <c r="V482" t="s">
        <v>3441</v>
      </c>
      <c r="W482">
        <v>10</v>
      </c>
      <c r="X482">
        <v>19908056</v>
      </c>
      <c r="Y482" t="s">
        <v>3442</v>
      </c>
      <c r="Z482" t="s">
        <v>119</v>
      </c>
      <c r="AA482" t="s">
        <v>32</v>
      </c>
      <c r="AB482" t="s">
        <v>120</v>
      </c>
      <c r="AC482" t="s">
        <v>38</v>
      </c>
      <c r="AD482" t="s">
        <v>121</v>
      </c>
      <c r="AE482">
        <v>60</v>
      </c>
      <c r="AF482" s="1">
        <v>401769</v>
      </c>
      <c r="AG482" t="s">
        <v>26</v>
      </c>
      <c r="AH482" t="s">
        <v>3434</v>
      </c>
      <c r="AI482" t="str">
        <f t="shared" si="35"/>
        <v>NO</v>
      </c>
      <c r="AJ482" t="str">
        <f t="shared" si="36"/>
        <v>LABORATORIOS ELEA PHOENIX</v>
      </c>
      <c r="AK482" t="str">
        <f>IF(ISNUMBER(SEARCH("FABRICANTE",AC482)),"FABRICANTE",IF(ISNUMBER(SEARCH("IMPORTADOR",AC482)),"IMPORTADOR","OTRO"))</f>
        <v>IMPORTADOR</v>
      </c>
      <c r="AL482" t="str">
        <f>IF(LEFT(Y482,1)="A","Sistema digestivo",IF(LEFT(Y482,1)="B","Sangre",IF(LEFT(Y482,1)="C","Cardiovascular",IF(LEFT(Y482,1)="D","Dermatológico",IF(LEFT(Y482,1)="G","Genitourinario",IF(LEFT(Y482,1)="H","Hormonal",IF(LEFT(Y482,1)="J","Antiinfecciosos",IF(LEFT(Y482,1)="L","Oncológicos",IF(LEFT(Y482,1)="M","Musculoesquelético",IF(LEFT(Y482,1)="N","Sistema nervioso",IF(LEFT(Y482,1)="R","Respiratorio",IF(LEFT(Y482,1)="S","Oftálmico",IF(LEFT(Y482,1)="V","Varios","OTRO")))))))))))))</f>
        <v>Genitourinario</v>
      </c>
      <c r="AM482" t="str">
        <f>IF(AG482="Vigente","ACTIVO",IF(ISNUMBER(SEARCH("Inactivo",J482)),"INACTIVO","REVISAR"))</f>
        <v>ACTIVO</v>
      </c>
      <c r="AN482">
        <f ca="1">IF(OR(AF482="",AF482="null"),"",ROUND((AF482-TODAY())/365.25,2))</f>
        <v>973.58</v>
      </c>
      <c r="AO482" t="str">
        <f ca="1">IF(AND(AG482="Vigente",OR(AF482="",AF482="null",AF482&gt;TODAY())),"SI",IF(AND(NOT(OR(AF482="",AF482="null")),AF482&lt;=TODAY()),"NO",IF(AG482="Vigente","SI","DESCONOCIDO")))</f>
        <v>SI</v>
      </c>
      <c r="AP482" t="str">
        <f>IF(AND(ISNUMBER(SEARCH("IMPORTAR",AA482)),ISNUMBER(SEARCH("FABRICAR",AA482))),"MIXTO",IF(ISNUMBER(SEARCH("IMPORTAR",AA482)),"IMPORTADO",IF(ISNUMBER(SEARCH("FABRICAR",AA482)),"LOCAL","OTRO")))</f>
        <v>IMPORTADO</v>
      </c>
      <c r="AQ482" t="str">
        <f>IF(AD482="Si","SI",IF(AD482="No","NO",""))</f>
        <v>NO</v>
      </c>
      <c r="AR482" t="str">
        <f>IF(ISNUMBER(SEARCH("®",N482)),"MARCA/INNOVADOR","GENERICO")</f>
        <v>MARCA/INNOVADOR</v>
      </c>
      <c r="AS482">
        <f ca="1">IF(AE482&gt;100,RANDBETWEEN(500,5000),IF(AND(AE482&gt;=10,AE482&lt;=100),RANDBETWEEN(100,1000),RANDBETWEEN(10,200)))</f>
        <v>476</v>
      </c>
      <c r="AT482">
        <f t="shared" ca="1" si="37"/>
        <v>142</v>
      </c>
      <c r="AU482">
        <f ca="1">INT(AS482*RANDBETWEEN(120,200)/100)</f>
        <v>842</v>
      </c>
      <c r="AV482" s="2">
        <f ca="1">IF(LEFT(Y482,1)="L",RANDBETWEEN(500000,5000000),IF(LEFT(Y482,1)="C",RANDBETWEEN(5000,50000),IF(LEFT(Y482,1)="N",RANDBETWEEN(10000,150000),IF(LEFT(Y482,1)="J",RANDBETWEEN(8000,200000),RANDBETWEEN(5000,100000)))))</f>
        <v>31339</v>
      </c>
      <c r="AW482" s="2">
        <f ca="1">INT(AV482*RANDBETWEEN(30,60)/100)</f>
        <v>16609</v>
      </c>
      <c r="AX482">
        <f ca="1">IF(Z482="ORAL",RANDBETWEEN(1000,10000),IF(OR(Z482="INTRAVENOSA",Z482="INTRAMUSCULAR"),RANDBETWEEN(100,2000),IF(OR(Z482="OFTÁLMICA",Z482="TOPICA (EXTERNA)"),RANDBETWEEN(200,3000),RANDBETWEEN(100,1500))))</f>
        <v>7075</v>
      </c>
      <c r="AY482" s="2">
        <f ca="1">INT(AV482*RANDBETWEEN(90,130)/100)</f>
        <v>35099</v>
      </c>
      <c r="AZ482" t="str">
        <f t="shared" ca="1" si="38"/>
        <v>19.8%</v>
      </c>
      <c r="BA482" t="str">
        <f t="shared" ca="1" si="39"/>
        <v>MEDIO</v>
      </c>
    </row>
    <row r="483" spans="4:53" x14ac:dyDescent="0.35">
      <c r="D483" t="s">
        <v>3443</v>
      </c>
      <c r="E483" s="1">
        <v>38443</v>
      </c>
      <c r="F483" t="s">
        <v>2909</v>
      </c>
      <c r="G483" t="s">
        <v>108</v>
      </c>
      <c r="H483" t="s">
        <v>3444</v>
      </c>
      <c r="I483">
        <v>19948796</v>
      </c>
      <c r="J483" t="s">
        <v>28</v>
      </c>
      <c r="K483">
        <v>2</v>
      </c>
      <c r="L483" t="s">
        <v>27</v>
      </c>
      <c r="M483" t="s">
        <v>3445</v>
      </c>
      <c r="N483" t="s">
        <v>3446</v>
      </c>
      <c r="O483" t="s">
        <v>3447</v>
      </c>
      <c r="P483" t="s">
        <v>3448</v>
      </c>
      <c r="Q483" s="1">
        <v>39031</v>
      </c>
      <c r="R483" t="s">
        <v>3449</v>
      </c>
      <c r="S483" t="s">
        <v>27</v>
      </c>
      <c r="T483" t="s">
        <v>3444</v>
      </c>
      <c r="U483" t="s">
        <v>247</v>
      </c>
      <c r="V483" t="s">
        <v>3450</v>
      </c>
      <c r="W483" t="s">
        <v>3451</v>
      </c>
      <c r="X483">
        <v>19948796</v>
      </c>
      <c r="Y483" t="s">
        <v>3452</v>
      </c>
      <c r="Z483" t="s">
        <v>119</v>
      </c>
      <c r="AA483" t="s">
        <v>24</v>
      </c>
      <c r="AB483" t="s">
        <v>653</v>
      </c>
      <c r="AC483" t="s">
        <v>25</v>
      </c>
      <c r="AD483" t="s">
        <v>121</v>
      </c>
      <c r="AE483">
        <v>3</v>
      </c>
      <c r="AF483" t="s">
        <v>27</v>
      </c>
      <c r="AG483" t="s">
        <v>26</v>
      </c>
      <c r="AH483" t="s">
        <v>976</v>
      </c>
      <c r="AI483" t="str">
        <f t="shared" si="35"/>
        <v>NO</v>
      </c>
      <c r="AJ483" t="str">
        <f t="shared" si="36"/>
        <v>TECNOFARTQ</v>
      </c>
      <c r="AK483" t="str">
        <f>IF(ISNUMBER(SEARCH("FABRICANTE",AC483)),"FABRICANTE",IF(ISNUMBER(SEARCH("IMPORTADOR",AC483)),"IMPORTADOR","OTRO"))</f>
        <v>FABRICANTE</v>
      </c>
      <c r="AL483" t="str">
        <f>IF(LEFT(Y483,1)="A","Sistema digestivo",IF(LEFT(Y483,1)="B","Sangre",IF(LEFT(Y483,1)="C","Cardiovascular",IF(LEFT(Y483,1)="D","Dermatológico",IF(LEFT(Y483,1)="G","Genitourinario",IF(LEFT(Y483,1)="H","Hormonal",IF(LEFT(Y483,1)="J","Antiinfecciosos",IF(LEFT(Y483,1)="L","Oncológicos",IF(LEFT(Y483,1)="M","Musculoesquelético",IF(LEFT(Y483,1)="N","Sistema nervioso",IF(LEFT(Y483,1)="R","Respiratorio",IF(LEFT(Y483,1)="S","Oftálmico",IF(LEFT(Y483,1)="V","Varios","OTRO")))))))))))))</f>
        <v>Sistema nervioso</v>
      </c>
      <c r="AM483" t="str">
        <f>IF(AG483="Vigente","ACTIVO",IF(ISNUMBER(SEARCH("Inactivo",J483)),"INACTIVO","REVISAR"))</f>
        <v>ACTIVO</v>
      </c>
      <c r="AN483" t="str">
        <f ca="1">IF(OR(AF483="",AF483="null"),"",ROUND((AF483-TODAY())/365.25,2))</f>
        <v/>
      </c>
      <c r="AO483" t="str">
        <f ca="1">IF(AND(AG483="Vigente",OR(AF483="",AF483="null",AF483&gt;TODAY())),"SI",IF(AND(NOT(OR(AF483="",AF483="null")),AF483&lt;=TODAY()),"NO",IF(AG483="Vigente","SI","DESCONOCIDO")))</f>
        <v>SI</v>
      </c>
      <c r="AP483" t="str">
        <f>IF(AND(ISNUMBER(SEARCH("IMPORTAR",AA483)),ISNUMBER(SEARCH("FABRICAR",AA483))),"MIXTO",IF(ISNUMBER(SEARCH("IMPORTAR",AA483)),"IMPORTADO",IF(ISNUMBER(SEARCH("FABRICAR",AA483)),"LOCAL","OTRO")))</f>
        <v>LOCAL</v>
      </c>
      <c r="AQ483" t="str">
        <f>IF(AD483="Si","SI",IF(AD483="No","NO",""))</f>
        <v>NO</v>
      </c>
      <c r="AR483" t="str">
        <f>IF(ISNUMBER(SEARCH("®",N483)),"MARCA/INNOVADOR","GENERICO")</f>
        <v>MARCA/INNOVADOR</v>
      </c>
      <c r="AS483">
        <f ca="1">IF(AE483&gt;100,RANDBETWEEN(500,5000),IF(AND(AE483&gt;=10,AE483&lt;=100),RANDBETWEEN(100,1000),RANDBETWEEN(10,200)))</f>
        <v>179</v>
      </c>
      <c r="AT483">
        <f t="shared" ca="1" si="37"/>
        <v>21</v>
      </c>
      <c r="AU483">
        <f ca="1">INT(AS483*RANDBETWEEN(120,200)/100)</f>
        <v>218</v>
      </c>
      <c r="AV483" s="2">
        <f ca="1">IF(LEFT(Y483,1)="L",RANDBETWEEN(500000,5000000),IF(LEFT(Y483,1)="C",RANDBETWEEN(5000,50000),IF(LEFT(Y483,1)="N",RANDBETWEEN(10000,150000),IF(LEFT(Y483,1)="J",RANDBETWEEN(8000,200000),RANDBETWEEN(5000,100000)))))</f>
        <v>140744</v>
      </c>
      <c r="AW483" s="2">
        <f ca="1">INT(AV483*RANDBETWEEN(30,60)/100)</f>
        <v>63334</v>
      </c>
      <c r="AX483">
        <f ca="1">IF(Z483="ORAL",RANDBETWEEN(1000,10000),IF(OR(Z483="INTRAVENOSA",Z483="INTRAMUSCULAR"),RANDBETWEEN(100,2000),IF(OR(Z483="OFTÁLMICA",Z483="TOPICA (EXTERNA)"),RANDBETWEEN(200,3000),RANDBETWEEN(100,1500))))</f>
        <v>9035</v>
      </c>
      <c r="AY483" s="2">
        <f ca="1">INT(AV483*RANDBETWEEN(90,130)/100)</f>
        <v>135114</v>
      </c>
      <c r="AZ483" t="str">
        <f t="shared" ca="1" si="38"/>
        <v>8.4%</v>
      </c>
      <c r="BA483" t="str">
        <f t="shared" ca="1" si="39"/>
        <v>BAJO</v>
      </c>
    </row>
    <row r="484" spans="4:53" x14ac:dyDescent="0.35">
      <c r="D484" t="s">
        <v>3453</v>
      </c>
      <c r="E484" s="1">
        <v>42206</v>
      </c>
      <c r="F484" t="s">
        <v>3454</v>
      </c>
      <c r="G484" t="s">
        <v>108</v>
      </c>
      <c r="H484" t="s">
        <v>44</v>
      </c>
      <c r="I484">
        <v>20077698</v>
      </c>
      <c r="J484" t="s">
        <v>28</v>
      </c>
      <c r="K484">
        <v>1</v>
      </c>
      <c r="L484" t="s">
        <v>27</v>
      </c>
      <c r="M484" t="s">
        <v>3455</v>
      </c>
      <c r="N484" t="s">
        <v>3456</v>
      </c>
      <c r="O484" t="s">
        <v>3457</v>
      </c>
      <c r="P484" t="s">
        <v>3458</v>
      </c>
      <c r="Q484" s="1">
        <v>42075</v>
      </c>
      <c r="R484" t="s">
        <v>73</v>
      </c>
      <c r="S484" t="s">
        <v>27</v>
      </c>
      <c r="T484" t="s">
        <v>3459</v>
      </c>
      <c r="U484" t="s">
        <v>247</v>
      </c>
      <c r="V484" t="s">
        <v>2162</v>
      </c>
      <c r="W484">
        <v>4</v>
      </c>
      <c r="X484">
        <v>20077698</v>
      </c>
      <c r="Y484" t="s">
        <v>2163</v>
      </c>
      <c r="Z484" t="s">
        <v>119</v>
      </c>
      <c r="AA484" t="s">
        <v>24</v>
      </c>
      <c r="AB484" t="s">
        <v>1095</v>
      </c>
      <c r="AC484" t="s">
        <v>25</v>
      </c>
      <c r="AD484" t="s">
        <v>121</v>
      </c>
      <c r="AE484">
        <v>1</v>
      </c>
      <c r="AF484" t="s">
        <v>27</v>
      </c>
      <c r="AG484" t="s">
        <v>26</v>
      </c>
      <c r="AH484" t="s">
        <v>2162</v>
      </c>
      <c r="AI484" t="str">
        <f t="shared" si="35"/>
        <v>SI</v>
      </c>
      <c r="AJ484" t="str">
        <f t="shared" si="36"/>
        <v>GLOBAL INTERNATIONAL MEDECINE</v>
      </c>
      <c r="AK484" t="str">
        <f>IF(ISNUMBER(SEARCH("FABRICANTE",AC484)),"FABRICANTE",IF(ISNUMBER(SEARCH("IMPORTADOR",AC484)),"IMPORTADOR","OTRO"))</f>
        <v>FABRICANTE</v>
      </c>
      <c r="AL484" t="str">
        <f>IF(LEFT(Y484,1)="A","Sistema digestivo",IF(LEFT(Y484,1)="B","Sangre",IF(LEFT(Y484,1)="C","Cardiovascular",IF(LEFT(Y484,1)="D","Dermatológico",IF(LEFT(Y484,1)="G","Genitourinario",IF(LEFT(Y484,1)="H","Hormonal",IF(LEFT(Y484,1)="J","Antiinfecciosos",IF(LEFT(Y484,1)="L","Oncológicos",IF(LEFT(Y484,1)="M","Musculoesquelético",IF(LEFT(Y484,1)="N","Sistema nervioso",IF(LEFT(Y484,1)="R","Respiratorio",IF(LEFT(Y484,1)="S","Oftálmico",IF(LEFT(Y484,1)="V","Varios","OTRO")))))))))))))</f>
        <v>Antiinfecciosos</v>
      </c>
      <c r="AM484" t="str">
        <f>IF(AG484="Vigente","ACTIVO",IF(ISNUMBER(SEARCH("Inactivo",J484)),"INACTIVO","REVISAR"))</f>
        <v>ACTIVO</v>
      </c>
      <c r="AN484" t="str">
        <f ca="1">IF(OR(AF484="",AF484="null"),"",ROUND((AF484-TODAY())/365.25,2))</f>
        <v/>
      </c>
      <c r="AO484" t="str">
        <f ca="1">IF(AND(AG484="Vigente",OR(AF484="",AF484="null",AF484&gt;TODAY())),"SI",IF(AND(NOT(OR(AF484="",AF484="null")),AF484&lt;=TODAY()),"NO",IF(AG484="Vigente","SI","DESCONOCIDO")))</f>
        <v>SI</v>
      </c>
      <c r="AP484" t="str">
        <f>IF(AND(ISNUMBER(SEARCH("IMPORTAR",AA484)),ISNUMBER(SEARCH("FABRICAR",AA484))),"MIXTO",IF(ISNUMBER(SEARCH("IMPORTAR",AA484)),"IMPORTADO",IF(ISNUMBER(SEARCH("FABRICAR",AA484)),"LOCAL","OTRO")))</f>
        <v>LOCAL</v>
      </c>
      <c r="AQ484" t="str">
        <f>IF(AD484="Si","SI",IF(AD484="No","NO",""))</f>
        <v>NO</v>
      </c>
      <c r="AR484" t="str">
        <f>IF(ISNUMBER(SEARCH("®",N484)),"MARCA/INNOVADOR","GENERICO")</f>
        <v>GENERICO</v>
      </c>
      <c r="AS484">
        <f ca="1">IF(AE484&gt;100,RANDBETWEEN(500,5000),IF(AND(AE484&gt;=10,AE484&lt;=100),RANDBETWEEN(100,1000),RANDBETWEEN(10,200)))</f>
        <v>25</v>
      </c>
      <c r="AT484">
        <f t="shared" ca="1" si="37"/>
        <v>6</v>
      </c>
      <c r="AU484">
        <f ca="1">INT(AS484*RANDBETWEEN(120,200)/100)</f>
        <v>38</v>
      </c>
      <c r="AV484" s="2">
        <f ca="1">IF(LEFT(Y484,1)="L",RANDBETWEEN(500000,5000000),IF(LEFT(Y484,1)="C",RANDBETWEEN(5000,50000),IF(LEFT(Y484,1)="N",RANDBETWEEN(10000,150000),IF(LEFT(Y484,1)="J",RANDBETWEEN(8000,200000),RANDBETWEEN(5000,100000)))))</f>
        <v>111984</v>
      </c>
      <c r="AW484" s="2">
        <f ca="1">INT(AV484*RANDBETWEEN(30,60)/100)</f>
        <v>49272</v>
      </c>
      <c r="AX484">
        <f ca="1">IF(Z484="ORAL",RANDBETWEEN(1000,10000),IF(OR(Z484="INTRAVENOSA",Z484="INTRAMUSCULAR"),RANDBETWEEN(100,2000),IF(OR(Z484="OFTÁLMICA",Z484="TOPICA (EXTERNA)"),RANDBETWEEN(200,3000),RANDBETWEEN(100,1500))))</f>
        <v>1031</v>
      </c>
      <c r="AY484" s="2">
        <f ca="1">INT(AV484*RANDBETWEEN(90,130)/100)</f>
        <v>134380</v>
      </c>
      <c r="AZ484" t="str">
        <f t="shared" ca="1" si="38"/>
        <v>16.6%</v>
      </c>
      <c r="BA484" t="str">
        <f t="shared" ca="1" si="39"/>
        <v>BAJO</v>
      </c>
    </row>
    <row r="485" spans="4:53" x14ac:dyDescent="0.35">
      <c r="D485" t="s">
        <v>3460</v>
      </c>
      <c r="E485" s="1">
        <v>38191</v>
      </c>
      <c r="F485" t="s">
        <v>3461</v>
      </c>
      <c r="G485" t="s">
        <v>108</v>
      </c>
      <c r="H485" t="s">
        <v>454</v>
      </c>
      <c r="I485">
        <v>19944773</v>
      </c>
      <c r="J485" t="s">
        <v>28</v>
      </c>
      <c r="K485">
        <v>8</v>
      </c>
      <c r="L485" t="s">
        <v>27</v>
      </c>
      <c r="M485" t="s">
        <v>3462</v>
      </c>
      <c r="N485" t="s">
        <v>3463</v>
      </c>
      <c r="O485" t="s">
        <v>3464</v>
      </c>
      <c r="P485" t="s">
        <v>932</v>
      </c>
      <c r="Q485" s="1">
        <v>39944</v>
      </c>
      <c r="R485" t="s">
        <v>932</v>
      </c>
      <c r="S485" t="s">
        <v>27</v>
      </c>
      <c r="T485" t="s">
        <v>454</v>
      </c>
      <c r="U485" t="s">
        <v>115</v>
      </c>
      <c r="V485" t="s">
        <v>1575</v>
      </c>
      <c r="W485">
        <v>5</v>
      </c>
      <c r="X485">
        <v>19944773</v>
      </c>
      <c r="Y485" t="s">
        <v>1576</v>
      </c>
      <c r="Z485" t="s">
        <v>119</v>
      </c>
      <c r="AA485" t="s">
        <v>24</v>
      </c>
      <c r="AB485" t="s">
        <v>120</v>
      </c>
      <c r="AC485" t="s">
        <v>25</v>
      </c>
      <c r="AD485" t="s">
        <v>121</v>
      </c>
      <c r="AE485">
        <v>2</v>
      </c>
      <c r="AF485" t="s">
        <v>27</v>
      </c>
      <c r="AG485" t="s">
        <v>26</v>
      </c>
      <c r="AH485" t="s">
        <v>6668</v>
      </c>
      <c r="AI485" t="str">
        <f t="shared" si="35"/>
        <v>SI</v>
      </c>
      <c r="AJ485" t="str">
        <f t="shared" si="36"/>
        <v>PROCAPS</v>
      </c>
      <c r="AK485" t="str">
        <f>IF(ISNUMBER(SEARCH("FABRICANTE",AC485)),"FABRICANTE",IF(ISNUMBER(SEARCH("IMPORTADOR",AC485)),"IMPORTADOR","OTRO"))</f>
        <v>FABRICANTE</v>
      </c>
      <c r="AL485" t="str">
        <f>IF(LEFT(Y485,1)="A","Sistema digestivo",IF(LEFT(Y485,1)="B","Sangre",IF(LEFT(Y485,1)="C","Cardiovascular",IF(LEFT(Y485,1)="D","Dermatológico",IF(LEFT(Y485,1)="G","Genitourinario",IF(LEFT(Y485,1)="H","Hormonal",IF(LEFT(Y485,1)="J","Antiinfecciosos",IF(LEFT(Y485,1)="L","Oncológicos",IF(LEFT(Y485,1)="M","Musculoesquelético",IF(LEFT(Y485,1)="N","Sistema nervioso",IF(LEFT(Y485,1)="R","Respiratorio",IF(LEFT(Y485,1)="S","Oftálmico",IF(LEFT(Y485,1)="V","Varios","OTRO")))))))))))))</f>
        <v>Respiratorio</v>
      </c>
      <c r="AM485" t="str">
        <f>IF(AG485="Vigente","ACTIVO",IF(ISNUMBER(SEARCH("Inactivo",J485)),"INACTIVO","REVISAR"))</f>
        <v>ACTIVO</v>
      </c>
      <c r="AN485" t="str">
        <f ca="1">IF(OR(AF485="",AF485="null"),"",ROUND((AF485-TODAY())/365.25,2))</f>
        <v/>
      </c>
      <c r="AO485" t="str">
        <f ca="1">IF(AND(AG485="Vigente",OR(AF485="",AF485="null",AF485&gt;TODAY())),"SI",IF(AND(NOT(OR(AF485="",AF485="null")),AF485&lt;=TODAY()),"NO",IF(AG485="Vigente","SI","DESCONOCIDO")))</f>
        <v>SI</v>
      </c>
      <c r="AP485" t="str">
        <f>IF(AND(ISNUMBER(SEARCH("IMPORTAR",AA485)),ISNUMBER(SEARCH("FABRICAR",AA485))),"MIXTO",IF(ISNUMBER(SEARCH("IMPORTAR",AA485)),"IMPORTADO",IF(ISNUMBER(SEARCH("FABRICAR",AA485)),"LOCAL","OTRO")))</f>
        <v>LOCAL</v>
      </c>
      <c r="AQ485" t="str">
        <f>IF(AD485="Si","SI",IF(AD485="No","NO",""))</f>
        <v>NO</v>
      </c>
      <c r="AR485" t="str">
        <f>IF(ISNUMBER(SEARCH("®",N485)),"MARCA/INNOVADOR","GENERICO")</f>
        <v>GENERICO</v>
      </c>
      <c r="AS485">
        <f ca="1">IF(AE485&gt;100,RANDBETWEEN(500,5000),IF(AND(AE485&gt;=10,AE485&lt;=100),RANDBETWEEN(100,1000),RANDBETWEEN(10,200)))</f>
        <v>195</v>
      </c>
      <c r="AT485">
        <f t="shared" ca="1" si="37"/>
        <v>25</v>
      </c>
      <c r="AU485">
        <f ca="1">INT(AS485*RANDBETWEEN(120,200)/100)</f>
        <v>251</v>
      </c>
      <c r="AV485" s="2">
        <f ca="1">IF(LEFT(Y485,1)="L",RANDBETWEEN(500000,5000000),IF(LEFT(Y485,1)="C",RANDBETWEEN(5000,50000),IF(LEFT(Y485,1)="N",RANDBETWEEN(10000,150000),IF(LEFT(Y485,1)="J",RANDBETWEEN(8000,200000),RANDBETWEEN(5000,100000)))))</f>
        <v>40949</v>
      </c>
      <c r="AW485" s="2">
        <f ca="1">INT(AV485*RANDBETWEEN(30,60)/100)</f>
        <v>19246</v>
      </c>
      <c r="AX485">
        <f ca="1">IF(Z485="ORAL",RANDBETWEEN(1000,10000),IF(OR(Z485="INTRAVENOSA",Z485="INTRAMUSCULAR"),RANDBETWEEN(100,2000),IF(OR(Z485="OFTÁLMICA",Z485="TOPICA (EXTERNA)"),RANDBETWEEN(200,3000),RANDBETWEEN(100,1500))))</f>
        <v>2471</v>
      </c>
      <c r="AY485" s="2">
        <f ca="1">INT(AV485*RANDBETWEEN(90,130)/100)</f>
        <v>48319</v>
      </c>
      <c r="AZ485" t="str">
        <f t="shared" ca="1" si="38"/>
        <v>5.4%</v>
      </c>
      <c r="BA485" t="str">
        <f t="shared" ca="1" si="39"/>
        <v>BAJO</v>
      </c>
    </row>
    <row r="486" spans="4:53" x14ac:dyDescent="0.35">
      <c r="D486" t="s">
        <v>3465</v>
      </c>
      <c r="E486" s="1">
        <v>43670</v>
      </c>
      <c r="F486" t="s">
        <v>3466</v>
      </c>
      <c r="G486" t="s">
        <v>108</v>
      </c>
      <c r="H486" t="s">
        <v>710</v>
      </c>
      <c r="I486">
        <v>20124003</v>
      </c>
      <c r="J486" t="s">
        <v>28</v>
      </c>
      <c r="K486">
        <v>4</v>
      </c>
      <c r="L486" t="s">
        <v>3467</v>
      </c>
      <c r="M486" t="s">
        <v>3468</v>
      </c>
      <c r="N486" t="s">
        <v>3469</v>
      </c>
      <c r="O486" t="s">
        <v>3470</v>
      </c>
      <c r="P486" t="s">
        <v>2097</v>
      </c>
      <c r="Q486" s="1">
        <v>44109</v>
      </c>
      <c r="R486" t="s">
        <v>459</v>
      </c>
      <c r="S486" t="s">
        <v>27</v>
      </c>
      <c r="T486" t="s">
        <v>3471</v>
      </c>
      <c r="U486" t="s">
        <v>247</v>
      </c>
      <c r="V486" t="s">
        <v>64</v>
      </c>
      <c r="W486" t="s">
        <v>3472</v>
      </c>
      <c r="X486">
        <v>20124003</v>
      </c>
      <c r="Y486" t="s">
        <v>716</v>
      </c>
      <c r="Z486" t="s">
        <v>119</v>
      </c>
      <c r="AA486" t="s">
        <v>24</v>
      </c>
      <c r="AB486" t="s">
        <v>133</v>
      </c>
      <c r="AC486" t="s">
        <v>25</v>
      </c>
      <c r="AD486" t="s">
        <v>155</v>
      </c>
      <c r="AE486">
        <v>1</v>
      </c>
      <c r="AF486" t="s">
        <v>27</v>
      </c>
      <c r="AG486" t="s">
        <v>26</v>
      </c>
      <c r="AH486" t="s">
        <v>3466</v>
      </c>
      <c r="AI486" t="str">
        <f t="shared" si="35"/>
        <v>NO</v>
      </c>
      <c r="AJ486" t="str">
        <f t="shared" si="36"/>
        <v>GRUINFACOL</v>
      </c>
      <c r="AK486" t="str">
        <f>IF(ISNUMBER(SEARCH("FABRICANTE",AC486)),"FABRICANTE",IF(ISNUMBER(SEARCH("IMPORTADOR",AC486)),"IMPORTADOR","OTRO"))</f>
        <v>FABRICANTE</v>
      </c>
      <c r="AL486" t="str">
        <f>IF(LEFT(Y486,1)="A","Sistema digestivo",IF(LEFT(Y486,1)="B","Sangre",IF(LEFT(Y486,1)="C","Cardiovascular",IF(LEFT(Y486,1)="D","Dermatológico",IF(LEFT(Y486,1)="G","Genitourinario",IF(LEFT(Y486,1)="H","Hormonal",IF(LEFT(Y486,1)="J","Antiinfecciosos",IF(LEFT(Y486,1)="L","Oncológicos",IF(LEFT(Y486,1)="M","Musculoesquelético",IF(LEFT(Y486,1)="N","Sistema nervioso",IF(LEFT(Y486,1)="R","Respiratorio",IF(LEFT(Y486,1)="S","Oftálmico",IF(LEFT(Y486,1)="V","Varios","OTRO")))))))))))))</f>
        <v>Respiratorio</v>
      </c>
      <c r="AM486" t="str">
        <f>IF(AG486="Vigente","ACTIVO",IF(ISNUMBER(SEARCH("Inactivo",J486)),"INACTIVO","REVISAR"))</f>
        <v>ACTIVO</v>
      </c>
      <c r="AN486" t="str">
        <f ca="1">IF(OR(AF486="",AF486="null"),"",ROUND((AF486-TODAY())/365.25,2))</f>
        <v/>
      </c>
      <c r="AO486" t="str">
        <f ca="1">IF(AND(AG486="Vigente",OR(AF486="",AF486="null",AF486&gt;TODAY())),"SI",IF(AND(NOT(OR(AF486="",AF486="null")),AF486&lt;=TODAY()),"NO",IF(AG486="Vigente","SI","DESCONOCIDO")))</f>
        <v>SI</v>
      </c>
      <c r="AP486" t="str">
        <f>IF(AND(ISNUMBER(SEARCH("IMPORTAR",AA486)),ISNUMBER(SEARCH("FABRICAR",AA486))),"MIXTO",IF(ISNUMBER(SEARCH("IMPORTAR",AA486)),"IMPORTADO",IF(ISNUMBER(SEARCH("FABRICAR",AA486)),"LOCAL","OTRO")))</f>
        <v>LOCAL</v>
      </c>
      <c r="AQ486" t="str">
        <f>IF(AD486="Si","SI",IF(AD486="No","NO",""))</f>
        <v>SI</v>
      </c>
      <c r="AR486" t="str">
        <f>IF(ISNUMBER(SEARCH("®",N486)),"MARCA/INNOVADOR","GENERICO")</f>
        <v>MARCA/INNOVADOR</v>
      </c>
      <c r="AS486">
        <f ca="1">IF(AE486&gt;100,RANDBETWEEN(500,5000),IF(AND(AE486&gt;=10,AE486&lt;=100),RANDBETWEEN(100,1000),RANDBETWEEN(10,200)))</f>
        <v>21</v>
      </c>
      <c r="AT486">
        <f t="shared" ca="1" si="37"/>
        <v>4</v>
      </c>
      <c r="AU486">
        <f ca="1">INT(AS486*RANDBETWEEN(120,200)/100)</f>
        <v>27</v>
      </c>
      <c r="AV486" s="2">
        <f ca="1">IF(LEFT(Y486,1)="L",RANDBETWEEN(500000,5000000),IF(LEFT(Y486,1)="C",RANDBETWEEN(5000,50000),IF(LEFT(Y486,1)="N",RANDBETWEEN(10000,150000),IF(LEFT(Y486,1)="J",RANDBETWEEN(8000,200000),RANDBETWEEN(5000,100000)))))</f>
        <v>99298</v>
      </c>
      <c r="AW486" s="2">
        <f ca="1">INT(AV486*RANDBETWEEN(30,60)/100)</f>
        <v>40712</v>
      </c>
      <c r="AX486">
        <f ca="1">IF(Z486="ORAL",RANDBETWEEN(1000,10000),IF(OR(Z486="INTRAVENOSA",Z486="INTRAMUSCULAR"),RANDBETWEEN(100,2000),IF(OR(Z486="OFTÁLMICA",Z486="TOPICA (EXTERNA)"),RANDBETWEEN(200,3000),RANDBETWEEN(100,1500))))</f>
        <v>1494</v>
      </c>
      <c r="AY486" s="2">
        <f ca="1">INT(AV486*RANDBETWEEN(90,130)/100)</f>
        <v>105255</v>
      </c>
      <c r="AZ486" t="str">
        <f t="shared" ca="1" si="38"/>
        <v>5.2%</v>
      </c>
      <c r="BA486" t="str">
        <f t="shared" ca="1" si="39"/>
        <v>BAJO</v>
      </c>
    </row>
    <row r="487" spans="4:53" x14ac:dyDescent="0.35">
      <c r="D487" t="s">
        <v>3473</v>
      </c>
      <c r="E487" s="1">
        <v>43203</v>
      </c>
      <c r="F487" t="s">
        <v>3474</v>
      </c>
      <c r="G487" t="s">
        <v>108</v>
      </c>
      <c r="H487" t="s">
        <v>3475</v>
      </c>
      <c r="I487">
        <v>20121186</v>
      </c>
      <c r="J487" t="s">
        <v>28</v>
      </c>
      <c r="K487">
        <v>1</v>
      </c>
      <c r="L487" t="s">
        <v>3476</v>
      </c>
      <c r="M487" t="s">
        <v>3477</v>
      </c>
      <c r="N487" t="s">
        <v>3478</v>
      </c>
      <c r="O487" t="s">
        <v>3479</v>
      </c>
      <c r="P487" t="s">
        <v>1973</v>
      </c>
      <c r="Q487" s="1">
        <v>43192</v>
      </c>
      <c r="R487" t="s">
        <v>37</v>
      </c>
      <c r="S487" t="s">
        <v>27</v>
      </c>
      <c r="T487" t="s">
        <v>81</v>
      </c>
      <c r="U487" t="s">
        <v>115</v>
      </c>
      <c r="V487" t="s">
        <v>2365</v>
      </c>
      <c r="W487">
        <v>40</v>
      </c>
      <c r="X487">
        <v>20121186</v>
      </c>
      <c r="Y487" t="s">
        <v>2367</v>
      </c>
      <c r="Z487" t="s">
        <v>119</v>
      </c>
      <c r="AA487" t="s">
        <v>165</v>
      </c>
      <c r="AB487" t="s">
        <v>120</v>
      </c>
      <c r="AC487" t="s">
        <v>25</v>
      </c>
      <c r="AD487" t="s">
        <v>121</v>
      </c>
      <c r="AE487">
        <v>300</v>
      </c>
      <c r="AF487" t="s">
        <v>27</v>
      </c>
      <c r="AG487" t="s">
        <v>26</v>
      </c>
      <c r="AH487" t="s">
        <v>2365</v>
      </c>
      <c r="AI487" t="str">
        <f t="shared" si="35"/>
        <v>NO</v>
      </c>
      <c r="AJ487" t="str">
        <f t="shared" si="36"/>
        <v>LABORATORIOS MK</v>
      </c>
      <c r="AK487" t="str">
        <f>IF(ISNUMBER(SEARCH("FABRICANTE",AC487)),"FABRICANTE",IF(ISNUMBER(SEARCH("IMPORTADOR",AC487)),"IMPORTADOR","OTRO"))</f>
        <v>FABRICANTE</v>
      </c>
      <c r="AL487" t="str">
        <f>IF(LEFT(Y487,1)="A","Sistema digestivo",IF(LEFT(Y487,1)="B","Sangre",IF(LEFT(Y487,1)="C","Cardiovascular",IF(LEFT(Y487,1)="D","Dermatológico",IF(LEFT(Y487,1)="G","Genitourinario",IF(LEFT(Y487,1)="H","Hormonal",IF(LEFT(Y487,1)="J","Antiinfecciosos",IF(LEFT(Y487,1)="L","Oncológicos",IF(LEFT(Y487,1)="M","Musculoesquelético",IF(LEFT(Y487,1)="N","Sistema nervioso",IF(LEFT(Y487,1)="R","Respiratorio",IF(LEFT(Y487,1)="S","Oftálmico",IF(LEFT(Y487,1)="V","Varios","OTRO")))))))))))))</f>
        <v>Sistema digestivo</v>
      </c>
      <c r="AM487" t="str">
        <f>IF(AG487="Vigente","ACTIVO",IF(ISNUMBER(SEARCH("Inactivo",J487)),"INACTIVO","REVISAR"))</f>
        <v>ACTIVO</v>
      </c>
      <c r="AN487" t="str">
        <f ca="1">IF(OR(AF487="",AF487="null"),"",ROUND((AF487-TODAY())/365.25,2))</f>
        <v/>
      </c>
      <c r="AO487" t="str">
        <f ca="1">IF(AND(AG487="Vigente",OR(AF487="",AF487="null",AF487&gt;TODAY())),"SI",IF(AND(NOT(OR(AF487="",AF487="null")),AF487&lt;=TODAY()),"NO",IF(AG487="Vigente","SI","DESCONOCIDO")))</f>
        <v>SI</v>
      </c>
      <c r="AP487" t="str">
        <f>IF(AND(ISNUMBER(SEARCH("IMPORTAR",AA487)),ISNUMBER(SEARCH("FABRICAR",AA487))),"MIXTO",IF(ISNUMBER(SEARCH("IMPORTAR",AA487)),"IMPORTADO",IF(ISNUMBER(SEARCH("FABRICAR",AA487)),"LOCAL","OTRO")))</f>
        <v>IMPORTADO</v>
      </c>
      <c r="AQ487" t="str">
        <f>IF(AD487="Si","SI",IF(AD487="No","NO",""))</f>
        <v>NO</v>
      </c>
      <c r="AR487" t="str">
        <f>IF(ISNUMBER(SEARCH("®",N487)),"MARCA/INNOVADOR","GENERICO")</f>
        <v>GENERICO</v>
      </c>
      <c r="AS487">
        <f ca="1">IF(AE487&gt;100,RANDBETWEEN(500,5000),IF(AND(AE487&gt;=10,AE487&lt;=100),RANDBETWEEN(100,1000),RANDBETWEEN(10,200)))</f>
        <v>4723</v>
      </c>
      <c r="AT487">
        <f t="shared" ca="1" si="37"/>
        <v>613</v>
      </c>
      <c r="AU487">
        <f ca="1">INT(AS487*RANDBETWEEN(120,200)/100)</f>
        <v>9115</v>
      </c>
      <c r="AV487" s="2">
        <f ca="1">IF(LEFT(Y487,1)="L",RANDBETWEEN(500000,5000000),IF(LEFT(Y487,1)="C",RANDBETWEEN(5000,50000),IF(LEFT(Y487,1)="N",RANDBETWEEN(10000,150000),IF(LEFT(Y487,1)="J",RANDBETWEEN(8000,200000),RANDBETWEEN(5000,100000)))))</f>
        <v>56483</v>
      </c>
      <c r="AW487" s="2">
        <f ca="1">INT(AV487*RANDBETWEEN(30,60)/100)</f>
        <v>22593</v>
      </c>
      <c r="AX487">
        <f ca="1">IF(Z487="ORAL",RANDBETWEEN(1000,10000),IF(OR(Z487="INTRAVENOSA",Z487="INTRAMUSCULAR"),RANDBETWEEN(100,2000),IF(OR(Z487="OFTÁLMICA",Z487="TOPICA (EXTERNA)"),RANDBETWEEN(200,3000),RANDBETWEEN(100,1500))))</f>
        <v>9655</v>
      </c>
      <c r="AY487" s="2">
        <f ca="1">INT(AV487*RANDBETWEEN(90,130)/100)</f>
        <v>68344</v>
      </c>
      <c r="AZ487" t="str">
        <f t="shared" ca="1" si="38"/>
        <v>21.2%</v>
      </c>
      <c r="BA487" t="str">
        <f t="shared" ca="1" si="39"/>
        <v>BAJO</v>
      </c>
    </row>
    <row r="488" spans="4:53" x14ac:dyDescent="0.35">
      <c r="D488" t="s">
        <v>3480</v>
      </c>
      <c r="E488" s="1">
        <v>42412</v>
      </c>
      <c r="F488" t="s">
        <v>3230</v>
      </c>
      <c r="G488" t="s">
        <v>108</v>
      </c>
      <c r="H488" t="s">
        <v>3206</v>
      </c>
      <c r="I488">
        <v>20076204</v>
      </c>
      <c r="J488" t="s">
        <v>28</v>
      </c>
      <c r="K488">
        <v>1</v>
      </c>
      <c r="L488" t="s">
        <v>27</v>
      </c>
      <c r="M488" t="s">
        <v>3232</v>
      </c>
      <c r="N488" t="s">
        <v>3233</v>
      </c>
      <c r="O488" t="s">
        <v>3481</v>
      </c>
      <c r="P488" t="s">
        <v>621</v>
      </c>
      <c r="Q488" s="1">
        <v>42213</v>
      </c>
      <c r="R488" t="s">
        <v>50</v>
      </c>
      <c r="S488" t="s">
        <v>27</v>
      </c>
      <c r="T488" t="s">
        <v>3235</v>
      </c>
      <c r="U488" t="s">
        <v>115</v>
      </c>
      <c r="V488" t="s">
        <v>629</v>
      </c>
      <c r="W488">
        <v>50</v>
      </c>
      <c r="X488">
        <v>20076204</v>
      </c>
      <c r="Y488" t="s">
        <v>630</v>
      </c>
      <c r="Z488" t="s">
        <v>260</v>
      </c>
      <c r="AA488" t="s">
        <v>32</v>
      </c>
      <c r="AB488" t="s">
        <v>120</v>
      </c>
      <c r="AC488" t="s">
        <v>38</v>
      </c>
      <c r="AD488" t="s">
        <v>121</v>
      </c>
      <c r="AE488">
        <v>3</v>
      </c>
      <c r="AF488" t="s">
        <v>27</v>
      </c>
      <c r="AG488" t="s">
        <v>26</v>
      </c>
      <c r="AH488" t="s">
        <v>629</v>
      </c>
      <c r="AI488" t="str">
        <f t="shared" si="35"/>
        <v>NO</v>
      </c>
      <c r="AJ488" t="str">
        <f t="shared" si="36"/>
        <v>MENARINI INTERNATIONAL OPERATIONS</v>
      </c>
      <c r="AK488" t="str">
        <f>IF(ISNUMBER(SEARCH("FABRICANTE",AC488)),"FABRICANTE",IF(ISNUMBER(SEARCH("IMPORTADOR",AC488)),"IMPORTADOR","OTRO"))</f>
        <v>IMPORTADOR</v>
      </c>
      <c r="AL488" t="str">
        <f>IF(LEFT(Y488,1)="A","Sistema digestivo",IF(LEFT(Y488,1)="B","Sangre",IF(LEFT(Y488,1)="C","Cardiovascular",IF(LEFT(Y488,1)="D","Dermatológico",IF(LEFT(Y488,1)="G","Genitourinario",IF(LEFT(Y488,1)="H","Hormonal",IF(LEFT(Y488,1)="J","Antiinfecciosos",IF(LEFT(Y488,1)="L","Oncológicos",IF(LEFT(Y488,1)="M","Musculoesquelético",IF(LEFT(Y488,1)="N","Sistema nervioso",IF(LEFT(Y488,1)="R","Respiratorio",IF(LEFT(Y488,1)="S","Oftálmico",IF(LEFT(Y488,1)="V","Varios","OTRO")))))))))))))</f>
        <v>Musculoesquelético</v>
      </c>
      <c r="AM488" t="str">
        <f>IF(AG488="Vigente","ACTIVO",IF(ISNUMBER(SEARCH("Inactivo",J488)),"INACTIVO","REVISAR"))</f>
        <v>ACTIVO</v>
      </c>
      <c r="AN488" t="str">
        <f ca="1">IF(OR(AF488="",AF488="null"),"",ROUND((AF488-TODAY())/365.25,2))</f>
        <v/>
      </c>
      <c r="AO488" t="str">
        <f ca="1">IF(AND(AG488="Vigente",OR(AF488="",AF488="null",AF488&gt;TODAY())),"SI",IF(AND(NOT(OR(AF488="",AF488="null")),AF488&lt;=TODAY()),"NO",IF(AG488="Vigente","SI","DESCONOCIDO")))</f>
        <v>SI</v>
      </c>
      <c r="AP488" t="str">
        <f>IF(AND(ISNUMBER(SEARCH("IMPORTAR",AA488)),ISNUMBER(SEARCH("FABRICAR",AA488))),"MIXTO",IF(ISNUMBER(SEARCH("IMPORTAR",AA488)),"IMPORTADO",IF(ISNUMBER(SEARCH("FABRICAR",AA488)),"LOCAL","OTRO")))</f>
        <v>IMPORTADO</v>
      </c>
      <c r="AQ488" t="str">
        <f>IF(AD488="Si","SI",IF(AD488="No","NO",""))</f>
        <v>NO</v>
      </c>
      <c r="AR488" t="str">
        <f>IF(ISNUMBER(SEARCH("®",N488)),"MARCA/INNOVADOR","GENERICO")</f>
        <v>MARCA/INNOVADOR</v>
      </c>
      <c r="AS488">
        <f ca="1">IF(AE488&gt;100,RANDBETWEEN(500,5000),IF(AND(AE488&gt;=10,AE488&lt;=100),RANDBETWEEN(100,1000),RANDBETWEEN(10,200)))</f>
        <v>191</v>
      </c>
      <c r="AT488">
        <f t="shared" ca="1" si="37"/>
        <v>42</v>
      </c>
      <c r="AU488">
        <f ca="1">INT(AS488*RANDBETWEEN(120,200)/100)</f>
        <v>282</v>
      </c>
      <c r="AV488" s="2">
        <f ca="1">IF(LEFT(Y488,1)="L",RANDBETWEEN(500000,5000000),IF(LEFT(Y488,1)="C",RANDBETWEEN(5000,50000),IF(LEFT(Y488,1)="N",RANDBETWEEN(10000,150000),IF(LEFT(Y488,1)="J",RANDBETWEEN(8000,200000),RANDBETWEEN(5000,100000)))))</f>
        <v>56186</v>
      </c>
      <c r="AW488" s="2">
        <f ca="1">INT(AV488*RANDBETWEEN(30,60)/100)</f>
        <v>25283</v>
      </c>
      <c r="AX488">
        <f ca="1">IF(Z488="ORAL",RANDBETWEEN(1000,10000),IF(OR(Z488="INTRAVENOSA",Z488="INTRAMUSCULAR"),RANDBETWEEN(100,2000),IF(OR(Z488="OFTÁLMICA",Z488="TOPICA (EXTERNA)"),RANDBETWEEN(200,3000),RANDBETWEEN(100,1500))))</f>
        <v>484</v>
      </c>
      <c r="AY488" s="2">
        <f ca="1">INT(AV488*RANDBETWEEN(90,130)/100)</f>
        <v>68546</v>
      </c>
      <c r="AZ488" t="str">
        <f t="shared" ca="1" si="38"/>
        <v>4.7%</v>
      </c>
      <c r="BA488" t="str">
        <f t="shared" ca="1" si="39"/>
        <v>BAJO</v>
      </c>
    </row>
    <row r="489" spans="4:53" x14ac:dyDescent="0.35">
      <c r="D489" t="s">
        <v>3482</v>
      </c>
      <c r="E489" s="1">
        <v>41557</v>
      </c>
      <c r="F489" t="s">
        <v>515</v>
      </c>
      <c r="G489" t="s">
        <v>108</v>
      </c>
      <c r="H489" t="s">
        <v>187</v>
      </c>
      <c r="I489">
        <v>20061571</v>
      </c>
      <c r="J489" t="s">
        <v>28</v>
      </c>
      <c r="K489">
        <v>1</v>
      </c>
      <c r="L489" t="s">
        <v>27</v>
      </c>
      <c r="M489" t="s">
        <v>3483</v>
      </c>
      <c r="N489" t="s">
        <v>3484</v>
      </c>
      <c r="O489" t="s">
        <v>3485</v>
      </c>
      <c r="P489" t="s">
        <v>1061</v>
      </c>
      <c r="Q489" s="1">
        <v>41544</v>
      </c>
      <c r="R489" t="s">
        <v>527</v>
      </c>
      <c r="S489" t="s">
        <v>27</v>
      </c>
      <c r="T489" t="s">
        <v>80</v>
      </c>
      <c r="U489" t="s">
        <v>115</v>
      </c>
      <c r="V489" t="s">
        <v>515</v>
      </c>
      <c r="W489">
        <v>800</v>
      </c>
      <c r="X489">
        <v>20061571</v>
      </c>
      <c r="Y489" t="s">
        <v>1567</v>
      </c>
      <c r="Z489" t="s">
        <v>119</v>
      </c>
      <c r="AA489" t="s">
        <v>24</v>
      </c>
      <c r="AB489" t="s">
        <v>120</v>
      </c>
      <c r="AC489" t="s">
        <v>25</v>
      </c>
      <c r="AD489" t="s">
        <v>121</v>
      </c>
      <c r="AE489">
        <v>5</v>
      </c>
      <c r="AF489" t="s">
        <v>27</v>
      </c>
      <c r="AG489" t="s">
        <v>26</v>
      </c>
      <c r="AH489" t="s">
        <v>515</v>
      </c>
      <c r="AI489" t="str">
        <f t="shared" si="35"/>
        <v>NO</v>
      </c>
      <c r="AJ489" t="str">
        <f t="shared" si="36"/>
        <v>TECNOQUIMICAS</v>
      </c>
      <c r="AK489" t="str">
        <f>IF(ISNUMBER(SEARCH("FABRICANTE",AC489)),"FABRICANTE",IF(ISNUMBER(SEARCH("IMPORTADOR",AC489)),"IMPORTADOR","OTRO"))</f>
        <v>FABRICANTE</v>
      </c>
      <c r="AL489" t="str">
        <f>IF(LEFT(Y489,1)="A","Sistema digestivo",IF(LEFT(Y489,1)="B","Sangre",IF(LEFT(Y489,1)="C","Cardiovascular",IF(LEFT(Y489,1)="D","Dermatológico",IF(LEFT(Y489,1)="G","Genitourinario",IF(LEFT(Y489,1)="H","Hormonal",IF(LEFT(Y489,1)="J","Antiinfecciosos",IF(LEFT(Y489,1)="L","Oncológicos",IF(LEFT(Y489,1)="M","Musculoesquelético",IF(LEFT(Y489,1)="N","Sistema nervioso",IF(LEFT(Y489,1)="R","Respiratorio",IF(LEFT(Y489,1)="S","Oftálmico",IF(LEFT(Y489,1)="V","Varios","OTRO")))))))))))))</f>
        <v>Musculoesquelético</v>
      </c>
      <c r="AM489" t="str">
        <f>IF(AG489="Vigente","ACTIVO",IF(ISNUMBER(SEARCH("Inactivo",J489)),"INACTIVO","REVISAR"))</f>
        <v>ACTIVO</v>
      </c>
      <c r="AN489" t="str">
        <f ca="1">IF(OR(AF489="",AF489="null"),"",ROUND((AF489-TODAY())/365.25,2))</f>
        <v/>
      </c>
      <c r="AO489" t="str">
        <f ca="1">IF(AND(AG489="Vigente",OR(AF489="",AF489="null",AF489&gt;TODAY())),"SI",IF(AND(NOT(OR(AF489="",AF489="null")),AF489&lt;=TODAY()),"NO",IF(AG489="Vigente","SI","DESCONOCIDO")))</f>
        <v>SI</v>
      </c>
      <c r="AP489" t="str">
        <f>IF(AND(ISNUMBER(SEARCH("IMPORTAR",AA489)),ISNUMBER(SEARCH("FABRICAR",AA489))),"MIXTO",IF(ISNUMBER(SEARCH("IMPORTAR",AA489)),"IMPORTADO",IF(ISNUMBER(SEARCH("FABRICAR",AA489)),"LOCAL","OTRO")))</f>
        <v>LOCAL</v>
      </c>
      <c r="AQ489" t="str">
        <f>IF(AD489="Si","SI",IF(AD489="No","NO",""))</f>
        <v>NO</v>
      </c>
      <c r="AR489" t="str">
        <f>IF(ISNUMBER(SEARCH("®",N489)),"MARCA/INNOVADOR","GENERICO")</f>
        <v>GENERICO</v>
      </c>
      <c r="AS489">
        <f ca="1">IF(AE489&gt;100,RANDBETWEEN(500,5000),IF(AND(AE489&gt;=10,AE489&lt;=100),RANDBETWEEN(100,1000),RANDBETWEEN(10,200)))</f>
        <v>193</v>
      </c>
      <c r="AT489">
        <f t="shared" ca="1" si="37"/>
        <v>46</v>
      </c>
      <c r="AU489">
        <f ca="1">INT(AS489*RANDBETWEEN(120,200)/100)</f>
        <v>357</v>
      </c>
      <c r="AV489" s="2">
        <f ca="1">IF(LEFT(Y489,1)="L",RANDBETWEEN(500000,5000000),IF(LEFT(Y489,1)="C",RANDBETWEEN(5000,50000),IF(LEFT(Y489,1)="N",RANDBETWEEN(10000,150000),IF(LEFT(Y489,1)="J",RANDBETWEEN(8000,200000),RANDBETWEEN(5000,100000)))))</f>
        <v>34092</v>
      </c>
      <c r="AW489" s="2">
        <f ca="1">INT(AV489*RANDBETWEEN(30,60)/100)</f>
        <v>12614</v>
      </c>
      <c r="AX489">
        <f ca="1">IF(Z489="ORAL",RANDBETWEEN(1000,10000),IF(OR(Z489="INTRAVENOSA",Z489="INTRAMUSCULAR"),RANDBETWEEN(100,2000),IF(OR(Z489="OFTÁLMICA",Z489="TOPICA (EXTERNA)"),RANDBETWEEN(200,3000),RANDBETWEEN(100,1500))))</f>
        <v>9201</v>
      </c>
      <c r="AY489" s="2">
        <f ca="1">INT(AV489*RANDBETWEEN(90,130)/100)</f>
        <v>35796</v>
      </c>
      <c r="AZ489" t="str">
        <f t="shared" ca="1" si="38"/>
        <v>14.6%</v>
      </c>
      <c r="BA489" t="str">
        <f t="shared" ca="1" si="39"/>
        <v>BAJO</v>
      </c>
    </row>
    <row r="490" spans="4:53" x14ac:dyDescent="0.35">
      <c r="D490" t="s">
        <v>3486</v>
      </c>
      <c r="E490" s="1">
        <v>42403</v>
      </c>
      <c r="F490" t="s">
        <v>215</v>
      </c>
      <c r="G490" t="s">
        <v>108</v>
      </c>
      <c r="H490" t="s">
        <v>52</v>
      </c>
      <c r="I490">
        <v>20087493</v>
      </c>
      <c r="J490" t="s">
        <v>28</v>
      </c>
      <c r="K490">
        <v>6</v>
      </c>
      <c r="L490" t="s">
        <v>27</v>
      </c>
      <c r="M490" t="s">
        <v>3487</v>
      </c>
      <c r="N490" t="s">
        <v>3488</v>
      </c>
      <c r="O490" t="s">
        <v>3489</v>
      </c>
      <c r="P490" t="s">
        <v>33</v>
      </c>
      <c r="Q490" s="1">
        <v>42547</v>
      </c>
      <c r="R490" t="s">
        <v>33</v>
      </c>
      <c r="S490" t="s">
        <v>27</v>
      </c>
      <c r="T490" t="s">
        <v>52</v>
      </c>
      <c r="U490" t="s">
        <v>115</v>
      </c>
      <c r="V490" t="s">
        <v>215</v>
      </c>
      <c r="W490">
        <v>1000</v>
      </c>
      <c r="X490">
        <v>20087493</v>
      </c>
      <c r="Y490" t="s">
        <v>221</v>
      </c>
      <c r="Z490" t="s">
        <v>119</v>
      </c>
      <c r="AA490" t="s">
        <v>32</v>
      </c>
      <c r="AB490" t="s">
        <v>120</v>
      </c>
      <c r="AC490" t="s">
        <v>38</v>
      </c>
      <c r="AD490" t="s">
        <v>155</v>
      </c>
      <c r="AE490">
        <v>30</v>
      </c>
      <c r="AF490" t="s">
        <v>27</v>
      </c>
      <c r="AG490" t="s">
        <v>26</v>
      </c>
      <c r="AH490" t="s">
        <v>215</v>
      </c>
      <c r="AI490" t="str">
        <f t="shared" si="35"/>
        <v>NO</v>
      </c>
      <c r="AJ490" t="str">
        <f t="shared" si="36"/>
        <v>ALTADIS FARMACEUTICA</v>
      </c>
      <c r="AK490" t="str">
        <f>IF(ISNUMBER(SEARCH("FABRICANTE",AC490)),"FABRICANTE",IF(ISNUMBER(SEARCH("IMPORTADOR",AC490)),"IMPORTADOR","OTRO"))</f>
        <v>IMPORTADOR</v>
      </c>
      <c r="AL490" t="str">
        <f>IF(LEFT(Y490,1)="A","Sistema digestivo",IF(LEFT(Y490,1)="B","Sangre",IF(LEFT(Y490,1)="C","Cardiovascular",IF(LEFT(Y490,1)="D","Dermatológico",IF(LEFT(Y490,1)="G","Genitourinario",IF(LEFT(Y490,1)="H","Hormonal",IF(LEFT(Y490,1)="J","Antiinfecciosos",IF(LEFT(Y490,1)="L","Oncológicos",IF(LEFT(Y490,1)="M","Musculoesquelético",IF(LEFT(Y490,1)="N","Sistema nervioso",IF(LEFT(Y490,1)="R","Respiratorio",IF(LEFT(Y490,1)="S","Oftálmico",IF(LEFT(Y490,1)="V","Varios","OTRO")))))))))))))</f>
        <v>Sistema nervioso</v>
      </c>
      <c r="AM490" t="str">
        <f>IF(AG490="Vigente","ACTIVO",IF(ISNUMBER(SEARCH("Inactivo",J490)),"INACTIVO","REVISAR"))</f>
        <v>ACTIVO</v>
      </c>
      <c r="AN490" t="str">
        <f ca="1">IF(OR(AF490="",AF490="null"),"",ROUND((AF490-TODAY())/365.25,2))</f>
        <v/>
      </c>
      <c r="AO490" t="str">
        <f ca="1">IF(AND(AG490="Vigente",OR(AF490="",AF490="null",AF490&gt;TODAY())),"SI",IF(AND(NOT(OR(AF490="",AF490="null")),AF490&lt;=TODAY()),"NO",IF(AG490="Vigente","SI","DESCONOCIDO")))</f>
        <v>SI</v>
      </c>
      <c r="AP490" t="str">
        <f>IF(AND(ISNUMBER(SEARCH("IMPORTAR",AA490)),ISNUMBER(SEARCH("FABRICAR",AA490))),"MIXTO",IF(ISNUMBER(SEARCH("IMPORTAR",AA490)),"IMPORTADO",IF(ISNUMBER(SEARCH("FABRICAR",AA490)),"LOCAL","OTRO")))</f>
        <v>IMPORTADO</v>
      </c>
      <c r="AQ490" t="str">
        <f>IF(AD490="Si","SI",IF(AD490="No","NO",""))</f>
        <v>SI</v>
      </c>
      <c r="AR490" t="str">
        <f>IF(ISNUMBER(SEARCH("®",N490)),"MARCA/INNOVADOR","GENERICO")</f>
        <v>MARCA/INNOVADOR</v>
      </c>
      <c r="AS490">
        <f ca="1">IF(AE490&gt;100,RANDBETWEEN(500,5000),IF(AND(AE490&gt;=10,AE490&lt;=100),RANDBETWEEN(100,1000),RANDBETWEEN(10,200)))</f>
        <v>106</v>
      </c>
      <c r="AT490">
        <f t="shared" ca="1" si="37"/>
        <v>11</v>
      </c>
      <c r="AU490">
        <f ca="1">INT(AS490*RANDBETWEEN(120,200)/100)</f>
        <v>212</v>
      </c>
      <c r="AV490" s="2">
        <f ca="1">IF(LEFT(Y490,1)="L",RANDBETWEEN(500000,5000000),IF(LEFT(Y490,1)="C",RANDBETWEEN(5000,50000),IF(LEFT(Y490,1)="N",RANDBETWEEN(10000,150000),IF(LEFT(Y490,1)="J",RANDBETWEEN(8000,200000),RANDBETWEEN(5000,100000)))))</f>
        <v>98583</v>
      </c>
      <c r="AW490" s="2">
        <f ca="1">INT(AV490*RANDBETWEEN(30,60)/100)</f>
        <v>54220</v>
      </c>
      <c r="AX490">
        <f ca="1">IF(Z490="ORAL",RANDBETWEEN(1000,10000),IF(OR(Z490="INTRAVENOSA",Z490="INTRAMUSCULAR"),RANDBETWEEN(100,2000),IF(OR(Z490="OFTÁLMICA",Z490="TOPICA (EXTERNA)"),RANDBETWEEN(200,3000),RANDBETWEEN(100,1500))))</f>
        <v>7927</v>
      </c>
      <c r="AY490" s="2">
        <f ca="1">INT(AV490*RANDBETWEEN(90,130)/100)</f>
        <v>89710</v>
      </c>
      <c r="AZ490" t="str">
        <f t="shared" ca="1" si="38"/>
        <v>10.1%</v>
      </c>
      <c r="BA490" t="str">
        <f t="shared" ca="1" si="39"/>
        <v>BAJO</v>
      </c>
    </row>
    <row r="491" spans="4:53" x14ac:dyDescent="0.35">
      <c r="D491" t="s">
        <v>3490</v>
      </c>
      <c r="E491" s="1">
        <v>40966</v>
      </c>
      <c r="F491" t="s">
        <v>3491</v>
      </c>
      <c r="G491" t="s">
        <v>108</v>
      </c>
      <c r="H491" t="s">
        <v>253</v>
      </c>
      <c r="I491">
        <v>20030605</v>
      </c>
      <c r="J491" t="s">
        <v>28</v>
      </c>
      <c r="K491">
        <v>3</v>
      </c>
      <c r="L491" t="s">
        <v>27</v>
      </c>
      <c r="M491" t="s">
        <v>254</v>
      </c>
      <c r="N491" t="s">
        <v>255</v>
      </c>
      <c r="O491" t="s">
        <v>256</v>
      </c>
      <c r="P491" t="s">
        <v>257</v>
      </c>
      <c r="Q491" s="1">
        <v>40847</v>
      </c>
      <c r="R491" t="s">
        <v>258</v>
      </c>
      <c r="S491" t="s">
        <v>27</v>
      </c>
      <c r="T491" t="s">
        <v>253</v>
      </c>
      <c r="U491" t="s">
        <v>247</v>
      </c>
      <c r="V491" t="s">
        <v>64</v>
      </c>
      <c r="W491">
        <v>4</v>
      </c>
      <c r="X491">
        <v>20030605</v>
      </c>
      <c r="Y491" t="s">
        <v>259</v>
      </c>
      <c r="Z491" t="s">
        <v>260</v>
      </c>
      <c r="AA491" t="s">
        <v>32</v>
      </c>
      <c r="AB491" t="s">
        <v>120</v>
      </c>
      <c r="AC491" t="s">
        <v>25</v>
      </c>
      <c r="AD491" t="s">
        <v>121</v>
      </c>
      <c r="AE491">
        <v>5</v>
      </c>
      <c r="AF491" t="s">
        <v>27</v>
      </c>
      <c r="AG491" t="s">
        <v>26</v>
      </c>
      <c r="AH491" t="s">
        <v>6669</v>
      </c>
      <c r="AI491" t="str">
        <f t="shared" si="35"/>
        <v>NO</v>
      </c>
      <c r="AJ491" t="str">
        <f t="shared" si="36"/>
        <v>B. BRAUN MELSUNGEN</v>
      </c>
      <c r="AK491" t="str">
        <f>IF(ISNUMBER(SEARCH("FABRICANTE",AC491)),"FABRICANTE",IF(ISNUMBER(SEARCH("IMPORTADOR",AC491)),"IMPORTADOR","OTRO"))</f>
        <v>FABRICANTE</v>
      </c>
      <c r="AL491" t="str">
        <f>IF(LEFT(Y491,1)="A","Sistema digestivo",IF(LEFT(Y491,1)="B","Sangre",IF(LEFT(Y491,1)="C","Cardiovascular",IF(LEFT(Y491,1)="D","Dermatológico",IF(LEFT(Y491,1)="G","Genitourinario",IF(LEFT(Y491,1)="H","Hormonal",IF(LEFT(Y491,1)="J","Antiinfecciosos",IF(LEFT(Y491,1)="L","Oncológicos",IF(LEFT(Y491,1)="M","Musculoesquelético",IF(LEFT(Y491,1)="N","Sistema nervioso",IF(LEFT(Y491,1)="R","Respiratorio",IF(LEFT(Y491,1)="S","Oftálmico",IF(LEFT(Y491,1)="V","Varios","OTRO")))))))))))))</f>
        <v>Sangre</v>
      </c>
      <c r="AM491" t="str">
        <f>IF(AG491="Vigente","ACTIVO",IF(ISNUMBER(SEARCH("Inactivo",J491)),"INACTIVO","REVISAR"))</f>
        <v>ACTIVO</v>
      </c>
      <c r="AN491" t="str">
        <f ca="1">IF(OR(AF491="",AF491="null"),"",ROUND((AF491-TODAY())/365.25,2))</f>
        <v/>
      </c>
      <c r="AO491" t="str">
        <f ca="1">IF(AND(AG491="Vigente",OR(AF491="",AF491="null",AF491&gt;TODAY())),"SI",IF(AND(NOT(OR(AF491="",AF491="null")),AF491&lt;=TODAY()),"NO",IF(AG491="Vigente","SI","DESCONOCIDO")))</f>
        <v>SI</v>
      </c>
      <c r="AP491" t="str">
        <f>IF(AND(ISNUMBER(SEARCH("IMPORTAR",AA491)),ISNUMBER(SEARCH("FABRICAR",AA491))),"MIXTO",IF(ISNUMBER(SEARCH("IMPORTAR",AA491)),"IMPORTADO",IF(ISNUMBER(SEARCH("FABRICAR",AA491)),"LOCAL","OTRO")))</f>
        <v>IMPORTADO</v>
      </c>
      <c r="AQ491" t="str">
        <f>IF(AD491="Si","SI",IF(AD491="No","NO",""))</f>
        <v>NO</v>
      </c>
      <c r="AR491" t="str">
        <f>IF(ISNUMBER(SEARCH("®",N491)),"MARCA/INNOVADOR","GENERICO")</f>
        <v>MARCA/INNOVADOR</v>
      </c>
      <c r="AS491">
        <f ca="1">IF(AE491&gt;100,RANDBETWEEN(500,5000),IF(AND(AE491&gt;=10,AE491&lt;=100),RANDBETWEEN(100,1000),RANDBETWEEN(10,200)))</f>
        <v>99</v>
      </c>
      <c r="AT491">
        <f t="shared" ca="1" si="37"/>
        <v>19</v>
      </c>
      <c r="AU491">
        <f ca="1">INT(AS491*RANDBETWEEN(120,200)/100)</f>
        <v>168</v>
      </c>
      <c r="AV491" s="2">
        <f ca="1">IF(LEFT(Y491,1)="L",RANDBETWEEN(500000,5000000),IF(LEFT(Y491,1)="C",RANDBETWEEN(5000,50000),IF(LEFT(Y491,1)="N",RANDBETWEEN(10000,150000),IF(LEFT(Y491,1)="J",RANDBETWEEN(8000,200000),RANDBETWEEN(5000,100000)))))</f>
        <v>25976</v>
      </c>
      <c r="AW491" s="2">
        <f ca="1">INT(AV491*RANDBETWEEN(30,60)/100)</f>
        <v>15325</v>
      </c>
      <c r="AX491">
        <f ca="1">IF(Z491="ORAL",RANDBETWEEN(1000,10000),IF(OR(Z491="INTRAVENOSA",Z491="INTRAMUSCULAR"),RANDBETWEEN(100,2000),IF(OR(Z491="OFTÁLMICA",Z491="TOPICA (EXTERNA)"),RANDBETWEEN(200,3000),RANDBETWEEN(100,1500))))</f>
        <v>1250</v>
      </c>
      <c r="AY491" s="2">
        <f ca="1">INT(AV491*RANDBETWEEN(90,130)/100)</f>
        <v>32989</v>
      </c>
      <c r="AZ491" t="str">
        <f t="shared" ca="1" si="38"/>
        <v>2.3%</v>
      </c>
      <c r="BA491" t="str">
        <f t="shared" ca="1" si="39"/>
        <v>BAJO</v>
      </c>
    </row>
    <row r="492" spans="4:53" x14ac:dyDescent="0.35">
      <c r="D492" t="s">
        <v>3492</v>
      </c>
      <c r="E492" s="1">
        <v>42888</v>
      </c>
      <c r="F492" t="s">
        <v>3493</v>
      </c>
      <c r="G492" t="s">
        <v>108</v>
      </c>
      <c r="H492" t="s">
        <v>1490</v>
      </c>
      <c r="I492">
        <v>20069479</v>
      </c>
      <c r="J492" t="s">
        <v>110</v>
      </c>
      <c r="K492">
        <v>1</v>
      </c>
      <c r="L492" t="s">
        <v>27</v>
      </c>
      <c r="M492" t="s">
        <v>3494</v>
      </c>
      <c r="N492" t="s">
        <v>3495</v>
      </c>
      <c r="O492" t="s">
        <v>3496</v>
      </c>
      <c r="P492" t="s">
        <v>3497</v>
      </c>
      <c r="Q492" s="1">
        <v>42198</v>
      </c>
      <c r="R492" t="s">
        <v>3498</v>
      </c>
      <c r="S492" t="s">
        <v>27</v>
      </c>
      <c r="T492" t="s">
        <v>1490</v>
      </c>
      <c r="U492" t="s">
        <v>115</v>
      </c>
      <c r="V492" t="s">
        <v>3493</v>
      </c>
      <c r="W492">
        <v>75</v>
      </c>
      <c r="X492">
        <v>20069479</v>
      </c>
      <c r="Y492" t="s">
        <v>3499</v>
      </c>
      <c r="Z492" t="s">
        <v>132</v>
      </c>
      <c r="AA492" t="s">
        <v>32</v>
      </c>
      <c r="AB492" t="s">
        <v>120</v>
      </c>
      <c r="AC492" t="s">
        <v>38</v>
      </c>
      <c r="AD492" t="s">
        <v>121</v>
      </c>
      <c r="AE492">
        <v>10</v>
      </c>
      <c r="AF492" t="s">
        <v>27</v>
      </c>
      <c r="AG492" t="s">
        <v>26</v>
      </c>
      <c r="AH492" t="s">
        <v>3493</v>
      </c>
      <c r="AI492" t="str">
        <f t="shared" si="35"/>
        <v>NO</v>
      </c>
      <c r="AJ492" t="str">
        <f t="shared" si="36"/>
        <v>LABORATORIO FRANCO COLOMBIANO - LAFRANCOL</v>
      </c>
      <c r="AK492" t="str">
        <f>IF(ISNUMBER(SEARCH("FABRICANTE",AC492)),"FABRICANTE",IF(ISNUMBER(SEARCH("IMPORTADOR",AC492)),"IMPORTADOR","OTRO"))</f>
        <v>IMPORTADOR</v>
      </c>
      <c r="AL492" t="str">
        <f>IF(LEFT(Y492,1)="A","Sistema digestivo",IF(LEFT(Y492,1)="B","Sangre",IF(LEFT(Y492,1)="C","Cardiovascular",IF(LEFT(Y492,1)="D","Dermatológico",IF(LEFT(Y492,1)="G","Genitourinario",IF(LEFT(Y492,1)="H","Hormonal",IF(LEFT(Y492,1)="J","Antiinfecciosos",IF(LEFT(Y492,1)="L","Oncológicos",IF(LEFT(Y492,1)="M","Musculoesquelético",IF(LEFT(Y492,1)="N","Sistema nervioso",IF(LEFT(Y492,1)="R","Respiratorio",IF(LEFT(Y492,1)="S","Oftálmico",IF(LEFT(Y492,1)="V","Varios","OTRO")))))))))))))</f>
        <v>Genitourinario</v>
      </c>
      <c r="AM492" t="str">
        <f>IF(AG492="Vigente","ACTIVO",IF(ISNUMBER(SEARCH("Inactivo",J492)),"INACTIVO","REVISAR"))</f>
        <v>ACTIVO</v>
      </c>
      <c r="AN492" t="str">
        <f ca="1">IF(OR(AF492="",AF492="null"),"",ROUND((AF492-TODAY())/365.25,2))</f>
        <v/>
      </c>
      <c r="AO492" t="str">
        <f ca="1">IF(AND(AG492="Vigente",OR(AF492="",AF492="null",AF492&gt;TODAY())),"SI",IF(AND(NOT(OR(AF492="",AF492="null")),AF492&lt;=TODAY()),"NO",IF(AG492="Vigente","SI","DESCONOCIDO")))</f>
        <v>SI</v>
      </c>
      <c r="AP492" t="str">
        <f>IF(AND(ISNUMBER(SEARCH("IMPORTAR",AA492)),ISNUMBER(SEARCH("FABRICAR",AA492))),"MIXTO",IF(ISNUMBER(SEARCH("IMPORTAR",AA492)),"IMPORTADO",IF(ISNUMBER(SEARCH("FABRICAR",AA492)),"LOCAL","OTRO")))</f>
        <v>IMPORTADO</v>
      </c>
      <c r="AQ492" t="str">
        <f>IF(AD492="Si","SI",IF(AD492="No","NO",""))</f>
        <v>NO</v>
      </c>
      <c r="AR492" t="str">
        <f>IF(ISNUMBER(SEARCH("®",N492)),"MARCA/INNOVADOR","GENERICO")</f>
        <v>MARCA/INNOVADOR</v>
      </c>
      <c r="AS492">
        <f ca="1">IF(AE492&gt;100,RANDBETWEEN(500,5000),IF(AND(AE492&gt;=10,AE492&lt;=100),RANDBETWEEN(100,1000),RANDBETWEEN(10,200)))</f>
        <v>451</v>
      </c>
      <c r="AT492">
        <f t="shared" ca="1" si="37"/>
        <v>135</v>
      </c>
      <c r="AU492">
        <f ca="1">INT(AS492*RANDBETWEEN(120,200)/100)</f>
        <v>784</v>
      </c>
      <c r="AV492" s="2">
        <f ca="1">IF(LEFT(Y492,1)="L",RANDBETWEEN(500000,5000000),IF(LEFT(Y492,1)="C",RANDBETWEEN(5000,50000),IF(LEFT(Y492,1)="N",RANDBETWEEN(10000,150000),IF(LEFT(Y492,1)="J",RANDBETWEEN(8000,200000),RANDBETWEEN(5000,100000)))))</f>
        <v>48529</v>
      </c>
      <c r="AW492" s="2">
        <f ca="1">INT(AV492*RANDBETWEEN(30,60)/100)</f>
        <v>21838</v>
      </c>
      <c r="AX492">
        <f ca="1">IF(Z492="ORAL",RANDBETWEEN(1000,10000),IF(OR(Z492="INTRAVENOSA",Z492="INTRAMUSCULAR"),RANDBETWEEN(100,2000),IF(OR(Z492="OFTÁLMICA",Z492="TOPICA (EXTERNA)"),RANDBETWEEN(200,3000),RANDBETWEEN(100,1500))))</f>
        <v>526</v>
      </c>
      <c r="AY492" s="2">
        <f ca="1">INT(AV492*RANDBETWEEN(90,130)/100)</f>
        <v>55323</v>
      </c>
      <c r="AZ492" t="str">
        <f t="shared" ca="1" si="38"/>
        <v>9.3%</v>
      </c>
      <c r="BA492" t="str">
        <f t="shared" ca="1" si="39"/>
        <v>ALTO</v>
      </c>
    </row>
    <row r="493" spans="4:53" x14ac:dyDescent="0.35">
      <c r="D493" t="s">
        <v>3500</v>
      </c>
      <c r="E493" s="1">
        <v>42272</v>
      </c>
      <c r="F493" t="s">
        <v>3501</v>
      </c>
      <c r="G493" t="s">
        <v>108</v>
      </c>
      <c r="H493" t="s">
        <v>80</v>
      </c>
      <c r="I493">
        <v>20085390</v>
      </c>
      <c r="J493" t="s">
        <v>28</v>
      </c>
      <c r="K493">
        <v>26</v>
      </c>
      <c r="L493" t="s">
        <v>27</v>
      </c>
      <c r="M493" t="s">
        <v>3502</v>
      </c>
      <c r="N493" t="s">
        <v>3503</v>
      </c>
      <c r="O493" t="s">
        <v>3504</v>
      </c>
      <c r="P493" t="s">
        <v>33</v>
      </c>
      <c r="Q493" s="1">
        <v>42104</v>
      </c>
      <c r="R493" t="s">
        <v>33</v>
      </c>
      <c r="S493" t="s">
        <v>27</v>
      </c>
      <c r="T493" t="s">
        <v>80</v>
      </c>
      <c r="U493" t="s">
        <v>247</v>
      </c>
      <c r="V493" t="s">
        <v>2420</v>
      </c>
      <c r="W493">
        <v>1</v>
      </c>
      <c r="X493">
        <v>20085390</v>
      </c>
      <c r="Y493" t="s">
        <v>2421</v>
      </c>
      <c r="Z493" t="s">
        <v>119</v>
      </c>
      <c r="AA493" t="s">
        <v>24</v>
      </c>
      <c r="AB493" t="s">
        <v>120</v>
      </c>
      <c r="AC493" t="s">
        <v>25</v>
      </c>
      <c r="AD493" t="s">
        <v>155</v>
      </c>
      <c r="AE493">
        <v>20</v>
      </c>
      <c r="AF493" t="s">
        <v>27</v>
      </c>
      <c r="AG493" t="s">
        <v>26</v>
      </c>
      <c r="AH493" t="s">
        <v>2420</v>
      </c>
      <c r="AI493" t="str">
        <f t="shared" si="35"/>
        <v>NO</v>
      </c>
      <c r="AJ493" t="str">
        <f t="shared" si="36"/>
        <v>TECNOQUIMICAS</v>
      </c>
      <c r="AK493" t="str">
        <f>IF(ISNUMBER(SEARCH("FABRICANTE",AC493)),"FABRICANTE",IF(ISNUMBER(SEARCH("IMPORTADOR",AC493)),"IMPORTADOR","OTRO"))</f>
        <v>FABRICANTE</v>
      </c>
      <c r="AL493" t="str">
        <f>IF(LEFT(Y493,1)="A","Sistema digestivo",IF(LEFT(Y493,1)="B","Sangre",IF(LEFT(Y493,1)="C","Cardiovascular",IF(LEFT(Y493,1)="D","Dermatológico",IF(LEFT(Y493,1)="G","Genitourinario",IF(LEFT(Y493,1)="H","Hormonal",IF(LEFT(Y493,1)="J","Antiinfecciosos",IF(LEFT(Y493,1)="L","Oncológicos",IF(LEFT(Y493,1)="M","Musculoesquelético",IF(LEFT(Y493,1)="N","Sistema nervioso",IF(LEFT(Y493,1)="R","Respiratorio",IF(LEFT(Y493,1)="S","Oftálmico",IF(LEFT(Y493,1)="V","Varios","OTRO")))))))))))))</f>
        <v>Antiinfecciosos</v>
      </c>
      <c r="AM493" t="str">
        <f>IF(AG493="Vigente","ACTIVO",IF(ISNUMBER(SEARCH("Inactivo",J493)),"INACTIVO","REVISAR"))</f>
        <v>ACTIVO</v>
      </c>
      <c r="AN493" t="str">
        <f ca="1">IF(OR(AF493="",AF493="null"),"",ROUND((AF493-TODAY())/365.25,2))</f>
        <v/>
      </c>
      <c r="AO493" t="str">
        <f ca="1">IF(AND(AG493="Vigente",OR(AF493="",AF493="null",AF493&gt;TODAY())),"SI",IF(AND(NOT(OR(AF493="",AF493="null")),AF493&lt;=TODAY()),"NO",IF(AG493="Vigente","SI","DESCONOCIDO")))</f>
        <v>SI</v>
      </c>
      <c r="AP493" t="str">
        <f>IF(AND(ISNUMBER(SEARCH("IMPORTAR",AA493)),ISNUMBER(SEARCH("FABRICAR",AA493))),"MIXTO",IF(ISNUMBER(SEARCH("IMPORTAR",AA493)),"IMPORTADO",IF(ISNUMBER(SEARCH("FABRICAR",AA493)),"LOCAL","OTRO")))</f>
        <v>LOCAL</v>
      </c>
      <c r="AQ493" t="str">
        <f>IF(AD493="Si","SI",IF(AD493="No","NO",""))</f>
        <v>SI</v>
      </c>
      <c r="AR493" t="str">
        <f>IF(ISNUMBER(SEARCH("®",N493)),"MARCA/INNOVADOR","GENERICO")</f>
        <v>GENERICO</v>
      </c>
      <c r="AS493">
        <f ca="1">IF(AE493&gt;100,RANDBETWEEN(500,5000),IF(AND(AE493&gt;=10,AE493&lt;=100),RANDBETWEEN(100,1000),RANDBETWEEN(10,200)))</f>
        <v>964</v>
      </c>
      <c r="AT493">
        <f t="shared" ca="1" si="37"/>
        <v>279</v>
      </c>
      <c r="AU493">
        <f ca="1">INT(AS493*RANDBETWEEN(120,200)/100)</f>
        <v>1754</v>
      </c>
      <c r="AV493" s="2">
        <f ca="1">IF(LEFT(Y493,1)="L",RANDBETWEEN(500000,5000000),IF(LEFT(Y493,1)="C",RANDBETWEEN(5000,50000),IF(LEFT(Y493,1)="N",RANDBETWEEN(10000,150000),IF(LEFT(Y493,1)="J",RANDBETWEEN(8000,200000),RANDBETWEEN(5000,100000)))))</f>
        <v>18153</v>
      </c>
      <c r="AW493" s="2">
        <f ca="1">INT(AV493*RANDBETWEEN(30,60)/100)</f>
        <v>7805</v>
      </c>
      <c r="AX493">
        <f ca="1">IF(Z493="ORAL",RANDBETWEEN(1000,10000),IF(OR(Z493="INTRAVENOSA",Z493="INTRAMUSCULAR"),RANDBETWEEN(100,2000),IF(OR(Z493="OFTÁLMICA",Z493="TOPICA (EXTERNA)"),RANDBETWEEN(200,3000),RANDBETWEEN(100,1500))))</f>
        <v>7243</v>
      </c>
      <c r="AY493" s="2">
        <f ca="1">INT(AV493*RANDBETWEEN(90,130)/100)</f>
        <v>17608</v>
      </c>
      <c r="AZ493" t="str">
        <f t="shared" ca="1" si="38"/>
        <v>14%</v>
      </c>
      <c r="BA493" t="str">
        <f t="shared" ca="1" si="39"/>
        <v>BAJO</v>
      </c>
    </row>
    <row r="494" spans="4:53" x14ac:dyDescent="0.35">
      <c r="D494" t="s">
        <v>3505</v>
      </c>
      <c r="E494" s="1">
        <v>45789</v>
      </c>
      <c r="F494" t="s">
        <v>3506</v>
      </c>
      <c r="G494" t="s">
        <v>108</v>
      </c>
      <c r="H494" t="s">
        <v>55</v>
      </c>
      <c r="I494">
        <v>20206151</v>
      </c>
      <c r="J494" t="s">
        <v>28</v>
      </c>
      <c r="K494">
        <v>10</v>
      </c>
      <c r="L494" t="s">
        <v>27</v>
      </c>
      <c r="M494" t="s">
        <v>3507</v>
      </c>
      <c r="N494" t="s">
        <v>3508</v>
      </c>
      <c r="O494" t="s">
        <v>3509</v>
      </c>
      <c r="P494" t="s">
        <v>3510</v>
      </c>
      <c r="Q494" s="1">
        <v>45776</v>
      </c>
      <c r="R494" t="s">
        <v>37</v>
      </c>
      <c r="S494" t="s">
        <v>27</v>
      </c>
      <c r="T494" t="s">
        <v>56</v>
      </c>
      <c r="U494" t="s">
        <v>115</v>
      </c>
      <c r="V494" t="s">
        <v>3506</v>
      </c>
      <c r="W494">
        <v>4</v>
      </c>
      <c r="X494">
        <v>20206151</v>
      </c>
      <c r="Y494" t="s">
        <v>3511</v>
      </c>
      <c r="Z494" t="s">
        <v>119</v>
      </c>
      <c r="AA494" t="s">
        <v>32</v>
      </c>
      <c r="AB494" t="s">
        <v>120</v>
      </c>
      <c r="AC494" t="s">
        <v>38</v>
      </c>
      <c r="AD494" t="s">
        <v>155</v>
      </c>
      <c r="AE494">
        <v>21</v>
      </c>
      <c r="AF494" s="1">
        <v>47630</v>
      </c>
      <c r="AG494" t="s">
        <v>26</v>
      </c>
      <c r="AH494" t="s">
        <v>3506</v>
      </c>
      <c r="AI494" t="str">
        <f t="shared" si="35"/>
        <v>NO</v>
      </c>
      <c r="AJ494" t="str">
        <f t="shared" si="36"/>
        <v>DR. REDDY´S LABORATORIES</v>
      </c>
      <c r="AK494" t="str">
        <f>IF(ISNUMBER(SEARCH("FABRICANTE",AC494)),"FABRICANTE",IF(ISNUMBER(SEARCH("IMPORTADOR",AC494)),"IMPORTADOR","OTRO"))</f>
        <v>IMPORTADOR</v>
      </c>
      <c r="AL494" t="str">
        <f>IF(LEFT(Y494,1)="A","Sistema digestivo",IF(LEFT(Y494,1)="B","Sangre",IF(LEFT(Y494,1)="C","Cardiovascular",IF(LEFT(Y494,1)="D","Dermatológico",IF(LEFT(Y494,1)="G","Genitourinario",IF(LEFT(Y494,1)="H","Hormonal",IF(LEFT(Y494,1)="J","Antiinfecciosos",IF(LEFT(Y494,1)="L","Oncológicos",IF(LEFT(Y494,1)="M","Musculoesquelético",IF(LEFT(Y494,1)="N","Sistema nervioso",IF(LEFT(Y494,1)="R","Respiratorio",IF(LEFT(Y494,1)="S","Oftálmico",IF(LEFT(Y494,1)="V","Varios","OTRO")))))))))))))</f>
        <v>Oncológicos</v>
      </c>
      <c r="AM494" t="str">
        <f>IF(AG494="Vigente","ACTIVO",IF(ISNUMBER(SEARCH("Inactivo",J494)),"INACTIVO","REVISAR"))</f>
        <v>ACTIVO</v>
      </c>
      <c r="AN494">
        <f ca="1">IF(OR(AF494="",AF494="null"),"",ROUND((AF494-TODAY())/365.25,2))</f>
        <v>4</v>
      </c>
      <c r="AO494" t="str">
        <f ca="1">IF(AND(AG494="Vigente",OR(AF494="",AF494="null",AF494&gt;TODAY())),"SI",IF(AND(NOT(OR(AF494="",AF494="null")),AF494&lt;=TODAY()),"NO",IF(AG494="Vigente","SI","DESCONOCIDO")))</f>
        <v>SI</v>
      </c>
      <c r="AP494" t="str">
        <f>IF(AND(ISNUMBER(SEARCH("IMPORTAR",AA494)),ISNUMBER(SEARCH("FABRICAR",AA494))),"MIXTO",IF(ISNUMBER(SEARCH("IMPORTAR",AA494)),"IMPORTADO",IF(ISNUMBER(SEARCH("FABRICAR",AA494)),"LOCAL","OTRO")))</f>
        <v>IMPORTADO</v>
      </c>
      <c r="AQ494" t="str">
        <f>IF(AD494="Si","SI",IF(AD494="No","NO",""))</f>
        <v>SI</v>
      </c>
      <c r="AR494" t="str">
        <f>IF(ISNUMBER(SEARCH("®",N494)),"MARCA/INNOVADOR","GENERICO")</f>
        <v>MARCA/INNOVADOR</v>
      </c>
      <c r="AS494">
        <f ca="1">IF(AE494&gt;100,RANDBETWEEN(500,5000),IF(AND(AE494&gt;=10,AE494&lt;=100),RANDBETWEEN(100,1000),RANDBETWEEN(10,200)))</f>
        <v>704</v>
      </c>
      <c r="AT494">
        <f t="shared" ca="1" si="37"/>
        <v>105</v>
      </c>
      <c r="AU494">
        <f ca="1">INT(AS494*RANDBETWEEN(120,200)/100)</f>
        <v>1027</v>
      </c>
      <c r="AV494" s="2">
        <f ca="1">IF(LEFT(Y494,1)="L",RANDBETWEEN(500000,5000000),IF(LEFT(Y494,1)="C",RANDBETWEEN(5000,50000),IF(LEFT(Y494,1)="N",RANDBETWEEN(10000,150000),IF(LEFT(Y494,1)="J",RANDBETWEEN(8000,200000),RANDBETWEEN(5000,100000)))))</f>
        <v>4273515</v>
      </c>
      <c r="AW494" s="2">
        <f ca="1">INT(AV494*RANDBETWEEN(30,60)/100)</f>
        <v>1666670</v>
      </c>
      <c r="AX494">
        <f ca="1">IF(Z494="ORAL",RANDBETWEEN(1000,10000),IF(OR(Z494="INTRAVENOSA",Z494="INTRAMUSCULAR"),RANDBETWEEN(100,2000),IF(OR(Z494="OFTÁLMICA",Z494="TOPICA (EXTERNA)"),RANDBETWEEN(200,3000),RANDBETWEEN(100,1500))))</f>
        <v>3640</v>
      </c>
      <c r="AY494" s="2">
        <f ca="1">INT(AV494*RANDBETWEEN(90,130)/100)</f>
        <v>5470099</v>
      </c>
      <c r="AZ494" t="str">
        <f t="shared" ca="1" si="38"/>
        <v>8%</v>
      </c>
      <c r="BA494" t="str">
        <f t="shared" ca="1" si="39"/>
        <v>MEDIO</v>
      </c>
    </row>
    <row r="495" spans="4:53" x14ac:dyDescent="0.35">
      <c r="D495" t="s">
        <v>3512</v>
      </c>
      <c r="E495" s="1">
        <v>40946</v>
      </c>
      <c r="F495" t="s">
        <v>3513</v>
      </c>
      <c r="G495" t="s">
        <v>108</v>
      </c>
      <c r="H495" t="s">
        <v>454</v>
      </c>
      <c r="I495">
        <v>20028268</v>
      </c>
      <c r="J495" t="s">
        <v>28</v>
      </c>
      <c r="K495">
        <v>1</v>
      </c>
      <c r="L495" t="s">
        <v>27</v>
      </c>
      <c r="M495" t="s">
        <v>3514</v>
      </c>
      <c r="N495" t="s">
        <v>3515</v>
      </c>
      <c r="O495" t="s">
        <v>3516</v>
      </c>
      <c r="P495" t="s">
        <v>527</v>
      </c>
      <c r="Q495" s="1">
        <v>40659</v>
      </c>
      <c r="R495" t="s">
        <v>527</v>
      </c>
      <c r="S495" t="s">
        <v>27</v>
      </c>
      <c r="T495" t="s">
        <v>63</v>
      </c>
      <c r="U495" t="s">
        <v>115</v>
      </c>
      <c r="V495" t="s">
        <v>3517</v>
      </c>
      <c r="W495">
        <v>400</v>
      </c>
      <c r="X495">
        <v>20028268</v>
      </c>
      <c r="Y495" t="s">
        <v>3518</v>
      </c>
      <c r="Z495" t="s">
        <v>119</v>
      </c>
      <c r="AA495" t="s">
        <v>24</v>
      </c>
      <c r="AB495" t="s">
        <v>120</v>
      </c>
      <c r="AC495" t="s">
        <v>25</v>
      </c>
      <c r="AD495" t="s">
        <v>121</v>
      </c>
      <c r="AE495">
        <v>30</v>
      </c>
      <c r="AF495" t="s">
        <v>27</v>
      </c>
      <c r="AG495" t="s">
        <v>26</v>
      </c>
      <c r="AH495" t="s">
        <v>3515</v>
      </c>
      <c r="AI495" t="str">
        <f t="shared" si="35"/>
        <v>NO</v>
      </c>
      <c r="AJ495" t="str">
        <f t="shared" si="36"/>
        <v>TRIDEX FARMACEUTICA</v>
      </c>
      <c r="AK495" t="str">
        <f>IF(ISNUMBER(SEARCH("FABRICANTE",AC495)),"FABRICANTE",IF(ISNUMBER(SEARCH("IMPORTADOR",AC495)),"IMPORTADOR","OTRO"))</f>
        <v>FABRICANTE</v>
      </c>
      <c r="AL495" t="str">
        <f>IF(LEFT(Y495,1)="A","Sistema digestivo",IF(LEFT(Y495,1)="B","Sangre",IF(LEFT(Y495,1)="C","Cardiovascular",IF(LEFT(Y495,1)="D","Dermatológico",IF(LEFT(Y495,1)="G","Genitourinario",IF(LEFT(Y495,1)="H","Hormonal",IF(LEFT(Y495,1)="J","Antiinfecciosos",IF(LEFT(Y495,1)="L","Oncológicos",IF(LEFT(Y495,1)="M","Musculoesquelético",IF(LEFT(Y495,1)="N","Sistema nervioso",IF(LEFT(Y495,1)="R","Respiratorio",IF(LEFT(Y495,1)="S","Oftálmico",IF(LEFT(Y495,1)="V","Varios","OTRO")))))))))))))</f>
        <v>Sistema digestivo</v>
      </c>
      <c r="AM495" t="str">
        <f>IF(AG495="Vigente","ACTIVO",IF(ISNUMBER(SEARCH("Inactivo",J495)),"INACTIVO","REVISAR"))</f>
        <v>ACTIVO</v>
      </c>
      <c r="AN495" t="str">
        <f ca="1">IF(OR(AF495="",AF495="null"),"",ROUND((AF495-TODAY())/365.25,2))</f>
        <v/>
      </c>
      <c r="AO495" t="str">
        <f ca="1">IF(AND(AG495="Vigente",OR(AF495="",AF495="null",AF495&gt;TODAY())),"SI",IF(AND(NOT(OR(AF495="",AF495="null")),AF495&lt;=TODAY()),"NO",IF(AG495="Vigente","SI","DESCONOCIDO")))</f>
        <v>SI</v>
      </c>
      <c r="AP495" t="str">
        <f>IF(AND(ISNUMBER(SEARCH("IMPORTAR",AA495)),ISNUMBER(SEARCH("FABRICAR",AA495))),"MIXTO",IF(ISNUMBER(SEARCH("IMPORTAR",AA495)),"IMPORTADO",IF(ISNUMBER(SEARCH("FABRICAR",AA495)),"LOCAL","OTRO")))</f>
        <v>LOCAL</v>
      </c>
      <c r="AQ495" t="str">
        <f>IF(AD495="Si","SI",IF(AD495="No","NO",""))</f>
        <v>NO</v>
      </c>
      <c r="AR495" t="str">
        <f>IF(ISNUMBER(SEARCH("®",N495)),"MARCA/INNOVADOR","GENERICO")</f>
        <v>GENERICO</v>
      </c>
      <c r="AS495">
        <f ca="1">IF(AE495&gt;100,RANDBETWEEN(500,5000),IF(AND(AE495&gt;=10,AE495&lt;=100),RANDBETWEEN(100,1000),RANDBETWEEN(10,200)))</f>
        <v>604</v>
      </c>
      <c r="AT495">
        <f t="shared" ca="1" si="37"/>
        <v>90</v>
      </c>
      <c r="AU495">
        <f ca="1">INT(AS495*RANDBETWEEN(120,200)/100)</f>
        <v>1123</v>
      </c>
      <c r="AV495" s="2">
        <f ca="1">IF(LEFT(Y495,1)="L",RANDBETWEEN(500000,5000000),IF(LEFT(Y495,1)="C",RANDBETWEEN(5000,50000),IF(LEFT(Y495,1)="N",RANDBETWEEN(10000,150000),IF(LEFT(Y495,1)="J",RANDBETWEEN(8000,200000),RANDBETWEEN(5000,100000)))))</f>
        <v>92756</v>
      </c>
      <c r="AW495" s="2">
        <f ca="1">INT(AV495*RANDBETWEEN(30,60)/100)</f>
        <v>32464</v>
      </c>
      <c r="AX495">
        <f ca="1">IF(Z495="ORAL",RANDBETWEEN(1000,10000),IF(OR(Z495="INTRAVENOSA",Z495="INTRAMUSCULAR"),RANDBETWEEN(100,2000),IF(OR(Z495="OFTÁLMICA",Z495="TOPICA (EXTERNA)"),RANDBETWEEN(200,3000),RANDBETWEEN(100,1500))))</f>
        <v>7033</v>
      </c>
      <c r="AY495" s="2">
        <f ca="1">INT(AV495*RANDBETWEEN(90,130)/100)</f>
        <v>115945</v>
      </c>
      <c r="AZ495" t="str">
        <f t="shared" ca="1" si="38"/>
        <v>17.6%</v>
      </c>
      <c r="BA495" t="str">
        <f t="shared" ca="1" si="39"/>
        <v>BAJO</v>
      </c>
    </row>
    <row r="496" spans="4:53" x14ac:dyDescent="0.35">
      <c r="D496" t="s">
        <v>3519</v>
      </c>
      <c r="E496" s="1">
        <v>36161</v>
      </c>
      <c r="F496" t="s">
        <v>3520</v>
      </c>
      <c r="G496" t="s">
        <v>108</v>
      </c>
      <c r="H496" t="s">
        <v>520</v>
      </c>
      <c r="I496">
        <v>19906457</v>
      </c>
      <c r="J496" t="s">
        <v>110</v>
      </c>
      <c r="K496">
        <v>18</v>
      </c>
      <c r="L496" t="s">
        <v>27</v>
      </c>
      <c r="M496" t="s">
        <v>3308</v>
      </c>
      <c r="N496" t="s">
        <v>3309</v>
      </c>
      <c r="O496" t="s">
        <v>3521</v>
      </c>
      <c r="P496" t="s">
        <v>29</v>
      </c>
      <c r="Q496" s="1">
        <v>40571</v>
      </c>
      <c r="R496" t="s">
        <v>29</v>
      </c>
      <c r="S496" s="1">
        <v>43880</v>
      </c>
      <c r="T496" t="s">
        <v>520</v>
      </c>
      <c r="U496" t="s">
        <v>115</v>
      </c>
      <c r="V496" t="s">
        <v>321</v>
      </c>
      <c r="W496">
        <v>2</v>
      </c>
      <c r="X496">
        <v>19906457</v>
      </c>
      <c r="Y496" t="s">
        <v>322</v>
      </c>
      <c r="Z496" t="s">
        <v>119</v>
      </c>
      <c r="AA496" t="s">
        <v>32</v>
      </c>
      <c r="AB496" t="s">
        <v>120</v>
      </c>
      <c r="AC496" t="s">
        <v>38</v>
      </c>
      <c r="AD496" t="s">
        <v>155</v>
      </c>
      <c r="AE496">
        <v>60</v>
      </c>
      <c r="AF496" t="s">
        <v>27</v>
      </c>
      <c r="AG496" t="s">
        <v>26</v>
      </c>
      <c r="AH496" t="s">
        <v>6809</v>
      </c>
      <c r="AI496" t="str">
        <f t="shared" si="35"/>
        <v>NO</v>
      </c>
      <c r="AJ496" t="str">
        <f t="shared" si="36"/>
        <v>HALEON COLOMBIA</v>
      </c>
      <c r="AK496" t="str">
        <f>IF(ISNUMBER(SEARCH("FABRICANTE",AC496)),"FABRICANTE",IF(ISNUMBER(SEARCH("IMPORTADOR",AC496)),"IMPORTADOR","OTRO"))</f>
        <v>IMPORTADOR</v>
      </c>
      <c r="AL496" t="str">
        <f>IF(LEFT(Y496,1)="A","Sistema digestivo",IF(LEFT(Y496,1)="B","Sangre",IF(LEFT(Y496,1)="C","Cardiovascular",IF(LEFT(Y496,1)="D","Dermatológico",IF(LEFT(Y496,1)="G","Genitourinario",IF(LEFT(Y496,1)="H","Hormonal",IF(LEFT(Y496,1)="J","Antiinfecciosos",IF(LEFT(Y496,1)="L","Oncológicos",IF(LEFT(Y496,1)="M","Musculoesquelético",IF(LEFT(Y496,1)="N","Sistema nervioso",IF(LEFT(Y496,1)="R","Respiratorio",IF(LEFT(Y496,1)="S","Oftálmico",IF(LEFT(Y496,1)="V","Varios","OTRO")))))))))))))</f>
        <v>Sistema nervioso</v>
      </c>
      <c r="AM496" t="str">
        <f>IF(AG496="Vigente","ACTIVO",IF(ISNUMBER(SEARCH("Inactivo",J496)),"INACTIVO","REVISAR"))</f>
        <v>ACTIVO</v>
      </c>
      <c r="AN496" t="str">
        <f ca="1">IF(OR(AF496="",AF496="null"),"",ROUND((AF496-TODAY())/365.25,2))</f>
        <v/>
      </c>
      <c r="AO496" t="str">
        <f ca="1">IF(AND(AG496="Vigente",OR(AF496="",AF496="null",AF496&gt;TODAY())),"SI",IF(AND(NOT(OR(AF496="",AF496="null")),AF496&lt;=TODAY()),"NO",IF(AG496="Vigente","SI","DESCONOCIDO")))</f>
        <v>SI</v>
      </c>
      <c r="AP496" t="str">
        <f>IF(AND(ISNUMBER(SEARCH("IMPORTAR",AA496)),ISNUMBER(SEARCH("FABRICAR",AA496))),"MIXTO",IF(ISNUMBER(SEARCH("IMPORTAR",AA496)),"IMPORTADO",IF(ISNUMBER(SEARCH("FABRICAR",AA496)),"LOCAL","OTRO")))</f>
        <v>IMPORTADO</v>
      </c>
      <c r="AQ496" t="str">
        <f>IF(AD496="Si","SI",IF(AD496="No","NO",""))</f>
        <v>SI</v>
      </c>
      <c r="AR496" t="str">
        <f>IF(ISNUMBER(SEARCH("®",N496)),"MARCA/INNOVADOR","GENERICO")</f>
        <v>MARCA/INNOVADOR</v>
      </c>
      <c r="AS496">
        <f ca="1">IF(AE496&gt;100,RANDBETWEEN(500,5000),IF(AND(AE496&gt;=10,AE496&lt;=100),RANDBETWEEN(100,1000),RANDBETWEEN(10,200)))</f>
        <v>146</v>
      </c>
      <c r="AT496">
        <f t="shared" ca="1" si="37"/>
        <v>36</v>
      </c>
      <c r="AU496">
        <f ca="1">INT(AS496*RANDBETWEEN(120,200)/100)</f>
        <v>262</v>
      </c>
      <c r="AV496" s="2">
        <f ca="1">IF(LEFT(Y496,1)="L",RANDBETWEEN(500000,5000000),IF(LEFT(Y496,1)="C",RANDBETWEEN(5000,50000),IF(LEFT(Y496,1)="N",RANDBETWEEN(10000,150000),IF(LEFT(Y496,1)="J",RANDBETWEEN(8000,200000),RANDBETWEEN(5000,100000)))))</f>
        <v>79400</v>
      </c>
      <c r="AW496" s="2">
        <f ca="1">INT(AV496*RANDBETWEEN(30,60)/100)</f>
        <v>33348</v>
      </c>
      <c r="AX496">
        <f ca="1">IF(Z496="ORAL",RANDBETWEEN(1000,10000),IF(OR(Z496="INTRAVENOSA",Z496="INTRAMUSCULAR"),RANDBETWEEN(100,2000),IF(OR(Z496="OFTÁLMICA",Z496="TOPICA (EXTERNA)"),RANDBETWEEN(200,3000),RANDBETWEEN(100,1500))))</f>
        <v>1155</v>
      </c>
      <c r="AY496" s="2">
        <f ca="1">INT(AV496*RANDBETWEEN(90,130)/100)</f>
        <v>86546</v>
      </c>
      <c r="AZ496" t="str">
        <f t="shared" ca="1" si="38"/>
        <v>16.6%</v>
      </c>
      <c r="BA496" t="str">
        <f t="shared" ca="1" si="39"/>
        <v>ALTO</v>
      </c>
    </row>
    <row r="497" spans="4:53" x14ac:dyDescent="0.35">
      <c r="D497" t="s">
        <v>3522</v>
      </c>
      <c r="E497" s="1">
        <v>38911</v>
      </c>
      <c r="F497" t="s">
        <v>3523</v>
      </c>
      <c r="G497" t="s">
        <v>108</v>
      </c>
      <c r="H497" t="s">
        <v>114</v>
      </c>
      <c r="I497">
        <v>19962531</v>
      </c>
      <c r="J497" t="s">
        <v>110</v>
      </c>
      <c r="K497">
        <v>9</v>
      </c>
      <c r="L497" t="s">
        <v>27</v>
      </c>
      <c r="M497" t="s">
        <v>3524</v>
      </c>
      <c r="N497" t="s">
        <v>3525</v>
      </c>
      <c r="O497" t="s">
        <v>3526</v>
      </c>
      <c r="P497" t="s">
        <v>97</v>
      </c>
      <c r="Q497" s="1">
        <v>42717</v>
      </c>
      <c r="R497" t="s">
        <v>29</v>
      </c>
      <c r="S497" t="s">
        <v>27</v>
      </c>
      <c r="T497" t="s">
        <v>114</v>
      </c>
      <c r="U497" t="s">
        <v>115</v>
      </c>
      <c r="V497" t="s">
        <v>3527</v>
      </c>
      <c r="W497">
        <v>5</v>
      </c>
      <c r="X497">
        <v>19962531</v>
      </c>
      <c r="Y497" t="s">
        <v>3528</v>
      </c>
      <c r="Z497" t="s">
        <v>119</v>
      </c>
      <c r="AA497" t="s">
        <v>848</v>
      </c>
      <c r="AB497" t="s">
        <v>120</v>
      </c>
      <c r="AC497" t="s">
        <v>38</v>
      </c>
      <c r="AD497" t="s">
        <v>121</v>
      </c>
      <c r="AE497">
        <v>50</v>
      </c>
      <c r="AF497" t="s">
        <v>27</v>
      </c>
      <c r="AG497" t="s">
        <v>26</v>
      </c>
      <c r="AH497" t="s">
        <v>3523</v>
      </c>
      <c r="AI497" t="str">
        <f t="shared" si="35"/>
        <v>NO</v>
      </c>
      <c r="AJ497" t="str">
        <f t="shared" si="36"/>
        <v>LABORATORIOS LEGRAND</v>
      </c>
      <c r="AK497" t="str">
        <f>IF(ISNUMBER(SEARCH("FABRICANTE",AC497)),"FABRICANTE",IF(ISNUMBER(SEARCH("IMPORTADOR",AC497)),"IMPORTADOR","OTRO"))</f>
        <v>IMPORTADOR</v>
      </c>
      <c r="AL497" t="str">
        <f>IF(LEFT(Y497,1)="A","Sistema digestivo",IF(LEFT(Y497,1)="B","Sangre",IF(LEFT(Y497,1)="C","Cardiovascular",IF(LEFT(Y497,1)="D","Dermatológico",IF(LEFT(Y497,1)="G","Genitourinario",IF(LEFT(Y497,1)="H","Hormonal",IF(LEFT(Y497,1)="J","Antiinfecciosos",IF(LEFT(Y497,1)="L","Oncológicos",IF(LEFT(Y497,1)="M","Musculoesquelético",IF(LEFT(Y497,1)="N","Sistema nervioso",IF(LEFT(Y497,1)="R","Respiratorio",IF(LEFT(Y497,1)="S","Oftálmico",IF(LEFT(Y497,1)="V","Varios","OTRO")))))))))))))</f>
        <v>Sistema nervioso</v>
      </c>
      <c r="AM497" t="str">
        <f>IF(AG497="Vigente","ACTIVO",IF(ISNUMBER(SEARCH("Inactivo",J497)),"INACTIVO","REVISAR"))</f>
        <v>ACTIVO</v>
      </c>
      <c r="AN497" t="str">
        <f ca="1">IF(OR(AF497="",AF497="null"),"",ROUND((AF497-TODAY())/365.25,2))</f>
        <v/>
      </c>
      <c r="AO497" t="str">
        <f ca="1">IF(AND(AG497="Vigente",OR(AF497="",AF497="null",AF497&gt;TODAY())),"SI",IF(AND(NOT(OR(AF497="",AF497="null")),AF497&lt;=TODAY()),"NO",IF(AG497="Vigente","SI","DESCONOCIDO")))</f>
        <v>SI</v>
      </c>
      <c r="AP497" t="str">
        <f>IF(AND(ISNUMBER(SEARCH("IMPORTAR",AA497)),ISNUMBER(SEARCH("FABRICAR",AA497))),"MIXTO",IF(ISNUMBER(SEARCH("IMPORTAR",AA497)),"IMPORTADO",IF(ISNUMBER(SEARCH("FABRICAR",AA497)),"LOCAL","OTRO")))</f>
        <v>IMPORTADO</v>
      </c>
      <c r="AQ497" t="str">
        <f>IF(AD497="Si","SI",IF(AD497="No","NO",""))</f>
        <v>NO</v>
      </c>
      <c r="AR497" t="str">
        <f>IF(ISNUMBER(SEARCH("®",N497)),"MARCA/INNOVADOR","GENERICO")</f>
        <v>MARCA/INNOVADOR</v>
      </c>
      <c r="AS497">
        <f ca="1">IF(AE497&gt;100,RANDBETWEEN(500,5000),IF(AND(AE497&gt;=10,AE497&lt;=100),RANDBETWEEN(100,1000),RANDBETWEEN(10,200)))</f>
        <v>322</v>
      </c>
      <c r="AT497">
        <f t="shared" ca="1" si="37"/>
        <v>86</v>
      </c>
      <c r="AU497">
        <f ca="1">INT(AS497*RANDBETWEEN(120,200)/100)</f>
        <v>392</v>
      </c>
      <c r="AV497" s="2">
        <f ca="1">IF(LEFT(Y497,1)="L",RANDBETWEEN(500000,5000000),IF(LEFT(Y497,1)="C",RANDBETWEEN(5000,50000),IF(LEFT(Y497,1)="N",RANDBETWEEN(10000,150000),IF(LEFT(Y497,1)="J",RANDBETWEEN(8000,200000),RANDBETWEEN(5000,100000)))))</f>
        <v>10812</v>
      </c>
      <c r="AW497" s="2">
        <f ca="1">INT(AV497*RANDBETWEEN(30,60)/100)</f>
        <v>6379</v>
      </c>
      <c r="AX497">
        <f ca="1">IF(Z497="ORAL",RANDBETWEEN(1000,10000),IF(OR(Z497="INTRAVENOSA",Z497="INTRAMUSCULAR"),RANDBETWEEN(100,2000),IF(OR(Z497="OFTÁLMICA",Z497="TOPICA (EXTERNA)"),RANDBETWEEN(200,3000),RANDBETWEEN(100,1500))))</f>
        <v>1626</v>
      </c>
      <c r="AY497" s="2">
        <f ca="1">INT(AV497*RANDBETWEEN(90,130)/100)</f>
        <v>12109</v>
      </c>
      <c r="AZ497" t="str">
        <f t="shared" ca="1" si="38"/>
        <v>20.6%</v>
      </c>
      <c r="BA497" t="str">
        <f t="shared" ca="1" si="39"/>
        <v>ALTO</v>
      </c>
    </row>
    <row r="498" spans="4:53" x14ac:dyDescent="0.35">
      <c r="D498" t="s">
        <v>3529</v>
      </c>
      <c r="E498" s="1">
        <v>40590</v>
      </c>
      <c r="F498" t="s">
        <v>3530</v>
      </c>
      <c r="G498" t="s">
        <v>108</v>
      </c>
      <c r="H498" t="s">
        <v>80</v>
      </c>
      <c r="I498">
        <v>20020419</v>
      </c>
      <c r="J498" t="s">
        <v>28</v>
      </c>
      <c r="K498">
        <v>6</v>
      </c>
      <c r="L498" t="s">
        <v>27</v>
      </c>
      <c r="M498" t="s">
        <v>3531</v>
      </c>
      <c r="N498" t="s">
        <v>3532</v>
      </c>
      <c r="O498" t="s">
        <v>3533</v>
      </c>
      <c r="P498" t="s">
        <v>37</v>
      </c>
      <c r="Q498" s="1">
        <v>40414</v>
      </c>
      <c r="R498" t="s">
        <v>2592</v>
      </c>
      <c r="S498" t="s">
        <v>27</v>
      </c>
      <c r="T498" t="s">
        <v>81</v>
      </c>
      <c r="U498" t="s">
        <v>115</v>
      </c>
      <c r="V498" t="s">
        <v>2593</v>
      </c>
      <c r="W498">
        <v>30</v>
      </c>
      <c r="X498">
        <v>20020419</v>
      </c>
      <c r="Y498" t="s">
        <v>2594</v>
      </c>
      <c r="Z498" t="s">
        <v>119</v>
      </c>
      <c r="AA498" t="s">
        <v>165</v>
      </c>
      <c r="AB498" t="s">
        <v>120</v>
      </c>
      <c r="AC498" t="s">
        <v>38</v>
      </c>
      <c r="AD498" t="s">
        <v>121</v>
      </c>
      <c r="AE498">
        <v>7</v>
      </c>
      <c r="AF498" t="s">
        <v>27</v>
      </c>
      <c r="AG498" t="s">
        <v>26</v>
      </c>
      <c r="AH498" t="s">
        <v>2593</v>
      </c>
      <c r="AI498" t="str">
        <f t="shared" si="35"/>
        <v>SI</v>
      </c>
      <c r="AJ498" t="str">
        <f t="shared" si="36"/>
        <v>LABORATORIOS MK</v>
      </c>
      <c r="AK498" t="str">
        <f>IF(ISNUMBER(SEARCH("FABRICANTE",AC498)),"FABRICANTE",IF(ISNUMBER(SEARCH("IMPORTADOR",AC498)),"IMPORTADOR","OTRO"))</f>
        <v>IMPORTADOR</v>
      </c>
      <c r="AL498" t="str">
        <f>IF(LEFT(Y498,1)="A","Sistema digestivo",IF(LEFT(Y498,1)="B","Sangre",IF(LEFT(Y498,1)="C","Cardiovascular",IF(LEFT(Y498,1)="D","Dermatológico",IF(LEFT(Y498,1)="G","Genitourinario",IF(LEFT(Y498,1)="H","Hormonal",IF(LEFT(Y498,1)="J","Antiinfecciosos",IF(LEFT(Y498,1)="L","Oncológicos",IF(LEFT(Y498,1)="M","Musculoesquelético",IF(LEFT(Y498,1)="N","Sistema nervioso",IF(LEFT(Y498,1)="R","Respiratorio",IF(LEFT(Y498,1)="S","Oftálmico",IF(LEFT(Y498,1)="V","Varios","OTRO")))))))))))))</f>
        <v>Sistema nervioso</v>
      </c>
      <c r="AM498" t="str">
        <f>IF(AG498="Vigente","ACTIVO",IF(ISNUMBER(SEARCH("Inactivo",J498)),"INACTIVO","REVISAR"))</f>
        <v>ACTIVO</v>
      </c>
      <c r="AN498" t="str">
        <f ca="1">IF(OR(AF498="",AF498="null"),"",ROUND((AF498-TODAY())/365.25,2))</f>
        <v/>
      </c>
      <c r="AO498" t="str">
        <f ca="1">IF(AND(AG498="Vigente",OR(AF498="",AF498="null",AF498&gt;TODAY())),"SI",IF(AND(NOT(OR(AF498="",AF498="null")),AF498&lt;=TODAY()),"NO",IF(AG498="Vigente","SI","DESCONOCIDO")))</f>
        <v>SI</v>
      </c>
      <c r="AP498" t="str">
        <f>IF(AND(ISNUMBER(SEARCH("IMPORTAR",AA498)),ISNUMBER(SEARCH("FABRICAR",AA498))),"MIXTO",IF(ISNUMBER(SEARCH("IMPORTAR",AA498)),"IMPORTADO",IF(ISNUMBER(SEARCH("FABRICAR",AA498)),"LOCAL","OTRO")))</f>
        <v>IMPORTADO</v>
      </c>
      <c r="AQ498" t="str">
        <f>IF(AD498="Si","SI",IF(AD498="No","NO",""))</f>
        <v>NO</v>
      </c>
      <c r="AR498" t="str">
        <f>IF(ISNUMBER(SEARCH("®",N498)),"MARCA/INNOVADOR","GENERICO")</f>
        <v>GENERICO</v>
      </c>
      <c r="AS498">
        <f ca="1">IF(AE498&gt;100,RANDBETWEEN(500,5000),IF(AND(AE498&gt;=10,AE498&lt;=100),RANDBETWEEN(100,1000),RANDBETWEEN(10,200)))</f>
        <v>95</v>
      </c>
      <c r="AT498">
        <f t="shared" ca="1" si="37"/>
        <v>26</v>
      </c>
      <c r="AU498">
        <f ca="1">INT(AS498*RANDBETWEEN(120,200)/100)</f>
        <v>114</v>
      </c>
      <c r="AV498" s="2">
        <f ca="1">IF(LEFT(Y498,1)="L",RANDBETWEEN(500000,5000000),IF(LEFT(Y498,1)="C",RANDBETWEEN(5000,50000),IF(LEFT(Y498,1)="N",RANDBETWEEN(10000,150000),IF(LEFT(Y498,1)="J",RANDBETWEEN(8000,200000),RANDBETWEEN(5000,100000)))))</f>
        <v>37780</v>
      </c>
      <c r="AW498" s="2">
        <f ca="1">INT(AV498*RANDBETWEEN(30,60)/100)</f>
        <v>12845</v>
      </c>
      <c r="AX498">
        <f ca="1">IF(Z498="ORAL",RANDBETWEEN(1000,10000),IF(OR(Z498="INTRAVENOSA",Z498="INTRAMUSCULAR"),RANDBETWEEN(100,2000),IF(OR(Z498="OFTÁLMICA",Z498="TOPICA (EXTERNA)"),RANDBETWEEN(200,3000),RANDBETWEEN(100,1500))))</f>
        <v>5035</v>
      </c>
      <c r="AY498" s="2">
        <f ca="1">INT(AV498*RANDBETWEEN(90,130)/100)</f>
        <v>46847</v>
      </c>
      <c r="AZ498" t="str">
        <f t="shared" ca="1" si="38"/>
        <v>5.3%</v>
      </c>
      <c r="BA498" t="str">
        <f t="shared" ca="1" si="39"/>
        <v>BAJO</v>
      </c>
    </row>
    <row r="499" spans="4:53" x14ac:dyDescent="0.35">
      <c r="D499" t="s">
        <v>3534</v>
      </c>
      <c r="E499" s="1">
        <v>45355</v>
      </c>
      <c r="F499" t="s">
        <v>3535</v>
      </c>
      <c r="G499" t="s">
        <v>108</v>
      </c>
      <c r="H499" t="s">
        <v>3536</v>
      </c>
      <c r="I499">
        <v>20190057</v>
      </c>
      <c r="J499" t="s">
        <v>28</v>
      </c>
      <c r="K499">
        <v>1</v>
      </c>
      <c r="L499" t="s">
        <v>3537</v>
      </c>
      <c r="M499" t="s">
        <v>3538</v>
      </c>
      <c r="N499" t="s">
        <v>3539</v>
      </c>
      <c r="O499" t="s">
        <v>3540</v>
      </c>
      <c r="P499" t="s">
        <v>29</v>
      </c>
      <c r="Q499" s="1">
        <v>44980</v>
      </c>
      <c r="R499" t="s">
        <v>29</v>
      </c>
      <c r="S499" t="s">
        <v>27</v>
      </c>
      <c r="T499" t="s">
        <v>3541</v>
      </c>
      <c r="U499" t="s">
        <v>115</v>
      </c>
      <c r="V499" t="s">
        <v>3535</v>
      </c>
      <c r="W499">
        <v>200</v>
      </c>
      <c r="X499">
        <v>20190057</v>
      </c>
      <c r="Y499" t="s">
        <v>3542</v>
      </c>
      <c r="Z499" t="s">
        <v>119</v>
      </c>
      <c r="AA499" t="s">
        <v>32</v>
      </c>
      <c r="AB499" t="s">
        <v>120</v>
      </c>
      <c r="AC499" t="s">
        <v>25</v>
      </c>
      <c r="AD499" t="s">
        <v>121</v>
      </c>
      <c r="AE499">
        <v>1</v>
      </c>
      <c r="AF499" s="1">
        <v>401769</v>
      </c>
      <c r="AG499" t="s">
        <v>26</v>
      </c>
      <c r="AH499" t="s">
        <v>3535</v>
      </c>
      <c r="AI499" t="str">
        <f t="shared" si="35"/>
        <v>NO</v>
      </c>
      <c r="AJ499" t="str">
        <f t="shared" si="36"/>
        <v>DKT COLOMBIA</v>
      </c>
      <c r="AK499" t="str">
        <f>IF(ISNUMBER(SEARCH("FABRICANTE",AC499)),"FABRICANTE",IF(ISNUMBER(SEARCH("IMPORTADOR",AC499)),"IMPORTADOR","OTRO"))</f>
        <v>FABRICANTE</v>
      </c>
      <c r="AL499" t="str">
        <f>IF(LEFT(Y499,1)="A","Sistema digestivo",IF(LEFT(Y499,1)="B","Sangre",IF(LEFT(Y499,1)="C","Cardiovascular",IF(LEFT(Y499,1)="D","Dermatológico",IF(LEFT(Y499,1)="G","Genitourinario",IF(LEFT(Y499,1)="H","Hormonal",IF(LEFT(Y499,1)="J","Antiinfecciosos",IF(LEFT(Y499,1)="L","Oncológicos",IF(LEFT(Y499,1)="M","Musculoesquelético",IF(LEFT(Y499,1)="N","Sistema nervioso",IF(LEFT(Y499,1)="R","Respiratorio",IF(LEFT(Y499,1)="S","Oftálmico",IF(LEFT(Y499,1)="V","Varios","OTRO")))))))))))))</f>
        <v>Genitourinario</v>
      </c>
      <c r="AM499" t="str">
        <f>IF(AG499="Vigente","ACTIVO",IF(ISNUMBER(SEARCH("Inactivo",J499)),"INACTIVO","REVISAR"))</f>
        <v>ACTIVO</v>
      </c>
      <c r="AN499">
        <f ca="1">IF(OR(AF499="",AF499="null"),"",ROUND((AF499-TODAY())/365.25,2))</f>
        <v>973.58</v>
      </c>
      <c r="AO499" t="str">
        <f ca="1">IF(AND(AG499="Vigente",OR(AF499="",AF499="null",AF499&gt;TODAY())),"SI",IF(AND(NOT(OR(AF499="",AF499="null")),AF499&lt;=TODAY()),"NO",IF(AG499="Vigente","SI","DESCONOCIDO")))</f>
        <v>SI</v>
      </c>
      <c r="AP499" t="str">
        <f>IF(AND(ISNUMBER(SEARCH("IMPORTAR",AA499)),ISNUMBER(SEARCH("FABRICAR",AA499))),"MIXTO",IF(ISNUMBER(SEARCH("IMPORTAR",AA499)),"IMPORTADO",IF(ISNUMBER(SEARCH("FABRICAR",AA499)),"LOCAL","OTRO")))</f>
        <v>IMPORTADO</v>
      </c>
      <c r="AQ499" t="str">
        <f>IF(AD499="Si","SI",IF(AD499="No","NO",""))</f>
        <v>NO</v>
      </c>
      <c r="AR499" t="str">
        <f>IF(ISNUMBER(SEARCH("®",N499)),"MARCA/INNOVADOR","GENERICO")</f>
        <v>GENERICO</v>
      </c>
      <c r="AS499">
        <f ca="1">IF(AE499&gt;100,RANDBETWEEN(500,5000),IF(AND(AE499&gt;=10,AE499&lt;=100),RANDBETWEEN(100,1000),RANDBETWEEN(10,200)))</f>
        <v>129</v>
      </c>
      <c r="AT499">
        <f t="shared" ca="1" si="37"/>
        <v>32</v>
      </c>
      <c r="AU499">
        <f ca="1">INT(AS499*RANDBETWEEN(120,200)/100)</f>
        <v>174</v>
      </c>
      <c r="AV499" s="2">
        <f ca="1">IF(LEFT(Y499,1)="L",RANDBETWEEN(500000,5000000),IF(LEFT(Y499,1)="C",RANDBETWEEN(5000,50000),IF(LEFT(Y499,1)="N",RANDBETWEEN(10000,150000),IF(LEFT(Y499,1)="J",RANDBETWEEN(8000,200000),RANDBETWEEN(5000,100000)))))</f>
        <v>68522</v>
      </c>
      <c r="AW499" s="2">
        <f ca="1">INT(AV499*RANDBETWEEN(30,60)/100)</f>
        <v>26038</v>
      </c>
      <c r="AX499">
        <f ca="1">IF(Z499="ORAL",RANDBETWEEN(1000,10000),IF(OR(Z499="INTRAVENOSA",Z499="INTRAMUSCULAR"),RANDBETWEEN(100,2000),IF(OR(Z499="OFTÁLMICA",Z499="TOPICA (EXTERNA)"),RANDBETWEEN(200,3000),RANDBETWEEN(100,1500))))</f>
        <v>7424</v>
      </c>
      <c r="AY499" s="2">
        <f ca="1">INT(AV499*RANDBETWEEN(90,130)/100)</f>
        <v>81541</v>
      </c>
      <c r="AZ499" t="str">
        <f t="shared" ca="1" si="38"/>
        <v>9.4%</v>
      </c>
      <c r="BA499" t="str">
        <f t="shared" ca="1" si="39"/>
        <v>BAJO</v>
      </c>
    </row>
    <row r="500" spans="4:53" x14ac:dyDescent="0.35">
      <c r="D500" t="s">
        <v>3543</v>
      </c>
      <c r="E500" s="1">
        <v>42202</v>
      </c>
      <c r="F500" t="s">
        <v>856</v>
      </c>
      <c r="G500" t="s">
        <v>108</v>
      </c>
      <c r="H500" t="s">
        <v>80</v>
      </c>
      <c r="I500">
        <v>20078742</v>
      </c>
      <c r="J500" t="s">
        <v>28</v>
      </c>
      <c r="K500">
        <v>32</v>
      </c>
      <c r="L500" t="s">
        <v>27</v>
      </c>
      <c r="M500" t="s">
        <v>419</v>
      </c>
      <c r="N500" t="s">
        <v>420</v>
      </c>
      <c r="O500" t="s">
        <v>3544</v>
      </c>
      <c r="P500" t="s">
        <v>422</v>
      </c>
      <c r="Q500" s="1">
        <v>42396</v>
      </c>
      <c r="R500" t="s">
        <v>423</v>
      </c>
      <c r="S500" t="s">
        <v>27</v>
      </c>
      <c r="T500" t="s">
        <v>80</v>
      </c>
      <c r="U500" t="s">
        <v>115</v>
      </c>
      <c r="V500" t="s">
        <v>424</v>
      </c>
      <c r="W500">
        <v>10</v>
      </c>
      <c r="X500">
        <v>20078742</v>
      </c>
      <c r="Y500" t="s">
        <v>425</v>
      </c>
      <c r="Z500" t="s">
        <v>119</v>
      </c>
      <c r="AA500" t="s">
        <v>165</v>
      </c>
      <c r="AB500" t="s">
        <v>120</v>
      </c>
      <c r="AC500" t="s">
        <v>38</v>
      </c>
      <c r="AD500" t="s">
        <v>121</v>
      </c>
      <c r="AE500">
        <v>11</v>
      </c>
      <c r="AF500" t="s">
        <v>27</v>
      </c>
      <c r="AG500" t="s">
        <v>26</v>
      </c>
      <c r="AH500" t="s">
        <v>6739</v>
      </c>
      <c r="AI500" t="str">
        <f t="shared" si="35"/>
        <v>NO</v>
      </c>
      <c r="AJ500" t="str">
        <f t="shared" si="36"/>
        <v>TECNOQUIMICAS</v>
      </c>
      <c r="AK500" t="str">
        <f>IF(ISNUMBER(SEARCH("FABRICANTE",AC500)),"FABRICANTE",IF(ISNUMBER(SEARCH("IMPORTADOR",AC500)),"IMPORTADOR","OTRO"))</f>
        <v>IMPORTADOR</v>
      </c>
      <c r="AL500" t="str">
        <f>IF(LEFT(Y500,1)="A","Sistema digestivo",IF(LEFT(Y500,1)="B","Sangre",IF(LEFT(Y500,1)="C","Cardiovascular",IF(LEFT(Y500,1)="D","Dermatológico",IF(LEFT(Y500,1)="G","Genitourinario",IF(LEFT(Y500,1)="H","Hormonal",IF(LEFT(Y500,1)="J","Antiinfecciosos",IF(LEFT(Y500,1)="L","Oncológicos",IF(LEFT(Y500,1)="M","Musculoesquelético",IF(LEFT(Y500,1)="N","Sistema nervioso",IF(LEFT(Y500,1)="R","Respiratorio",IF(LEFT(Y500,1)="S","Oftálmico",IF(LEFT(Y500,1)="V","Varios","OTRO")))))))))))))</f>
        <v>Sistema nervioso</v>
      </c>
      <c r="AM500" t="str">
        <f>IF(AG500="Vigente","ACTIVO",IF(ISNUMBER(SEARCH("Inactivo",J500)),"INACTIVO","REVISAR"))</f>
        <v>ACTIVO</v>
      </c>
      <c r="AN500" t="str">
        <f ca="1">IF(OR(AF500="",AF500="null"),"",ROUND((AF500-TODAY())/365.25,2))</f>
        <v/>
      </c>
      <c r="AO500" t="str">
        <f ca="1">IF(AND(AG500="Vigente",OR(AF500="",AF500="null",AF500&gt;TODAY())),"SI",IF(AND(NOT(OR(AF500="",AF500="null")),AF500&lt;=TODAY()),"NO",IF(AG500="Vigente","SI","DESCONOCIDO")))</f>
        <v>SI</v>
      </c>
      <c r="AP500" t="str">
        <f>IF(AND(ISNUMBER(SEARCH("IMPORTAR",AA500)),ISNUMBER(SEARCH("FABRICAR",AA500))),"MIXTO",IF(ISNUMBER(SEARCH("IMPORTAR",AA500)),"IMPORTADO",IF(ISNUMBER(SEARCH("FABRICAR",AA500)),"LOCAL","OTRO")))</f>
        <v>IMPORTADO</v>
      </c>
      <c r="AQ500" t="str">
        <f>IF(AD500="Si","SI",IF(AD500="No","NO",""))</f>
        <v>NO</v>
      </c>
      <c r="AR500" t="str">
        <f>IF(ISNUMBER(SEARCH("®",N500)),"MARCA/INNOVADOR","GENERICO")</f>
        <v>MARCA/INNOVADOR</v>
      </c>
      <c r="AS500">
        <f ca="1">IF(AE500&gt;100,RANDBETWEEN(500,5000),IF(AND(AE500&gt;=10,AE500&lt;=100),RANDBETWEEN(100,1000),RANDBETWEEN(10,200)))</f>
        <v>977</v>
      </c>
      <c r="AT500">
        <f t="shared" ca="1" si="37"/>
        <v>234</v>
      </c>
      <c r="AU500">
        <f ca="1">INT(AS500*RANDBETWEEN(120,200)/100)</f>
        <v>1807</v>
      </c>
      <c r="AV500" s="2">
        <f ca="1">IF(LEFT(Y500,1)="L",RANDBETWEEN(500000,5000000),IF(LEFT(Y500,1)="C",RANDBETWEEN(5000,50000),IF(LEFT(Y500,1)="N",RANDBETWEEN(10000,150000),IF(LEFT(Y500,1)="J",RANDBETWEEN(8000,200000),RANDBETWEEN(5000,100000)))))</f>
        <v>55875</v>
      </c>
      <c r="AW500" s="2">
        <f ca="1">INT(AV500*RANDBETWEEN(30,60)/100)</f>
        <v>17880</v>
      </c>
      <c r="AX500">
        <f ca="1">IF(Z500="ORAL",RANDBETWEEN(1000,10000),IF(OR(Z500="INTRAVENOSA",Z500="INTRAMUSCULAR"),RANDBETWEEN(100,2000),IF(OR(Z500="OFTÁLMICA",Z500="TOPICA (EXTERNA)"),RANDBETWEEN(200,3000),RANDBETWEEN(100,1500))))</f>
        <v>7270</v>
      </c>
      <c r="AY500" s="2">
        <f ca="1">INT(AV500*RANDBETWEEN(90,130)/100)</f>
        <v>67050</v>
      </c>
      <c r="AZ500" t="str">
        <f t="shared" ca="1" si="38"/>
        <v>24.9%</v>
      </c>
      <c r="BA500" t="str">
        <f t="shared" ca="1" si="39"/>
        <v>BAJO</v>
      </c>
    </row>
    <row r="501" spans="4:53" x14ac:dyDescent="0.35">
      <c r="D501" t="s">
        <v>3545</v>
      </c>
      <c r="E501" s="1">
        <v>42438</v>
      </c>
      <c r="F501" t="s">
        <v>2901</v>
      </c>
      <c r="G501" t="s">
        <v>108</v>
      </c>
      <c r="H501" t="s">
        <v>1426</v>
      </c>
      <c r="I501">
        <v>20060362</v>
      </c>
      <c r="J501" t="s">
        <v>28</v>
      </c>
      <c r="K501">
        <v>1</v>
      </c>
      <c r="L501" t="s">
        <v>27</v>
      </c>
      <c r="M501" t="s">
        <v>3546</v>
      </c>
      <c r="N501" t="s">
        <v>3547</v>
      </c>
      <c r="O501" t="s">
        <v>3548</v>
      </c>
      <c r="P501" t="s">
        <v>358</v>
      </c>
      <c r="Q501" s="1">
        <v>41535</v>
      </c>
      <c r="R501" t="s">
        <v>37</v>
      </c>
      <c r="S501" t="s">
        <v>27</v>
      </c>
      <c r="T501" t="s">
        <v>947</v>
      </c>
      <c r="U501" t="s">
        <v>115</v>
      </c>
      <c r="V501" t="s">
        <v>460</v>
      </c>
      <c r="W501" t="s">
        <v>1117</v>
      </c>
      <c r="X501">
        <v>20060362</v>
      </c>
      <c r="Y501" t="s">
        <v>461</v>
      </c>
      <c r="Z501" t="s">
        <v>119</v>
      </c>
      <c r="AA501" t="s">
        <v>24</v>
      </c>
      <c r="AB501" t="s">
        <v>120</v>
      </c>
      <c r="AC501" t="s">
        <v>25</v>
      </c>
      <c r="AD501" t="s">
        <v>121</v>
      </c>
      <c r="AE501">
        <v>10</v>
      </c>
      <c r="AF501" t="s">
        <v>27</v>
      </c>
      <c r="AG501" t="s">
        <v>26</v>
      </c>
      <c r="AH501" t="s">
        <v>2901</v>
      </c>
      <c r="AI501" t="str">
        <f t="shared" si="35"/>
        <v>NO</v>
      </c>
      <c r="AJ501" t="str">
        <f t="shared" si="36"/>
        <v>CLOSTER PHARMA</v>
      </c>
      <c r="AK501" t="str">
        <f>IF(ISNUMBER(SEARCH("FABRICANTE",AC501)),"FABRICANTE",IF(ISNUMBER(SEARCH("IMPORTADOR",AC501)),"IMPORTADOR","OTRO"))</f>
        <v>FABRICANTE</v>
      </c>
      <c r="AL501" t="str">
        <f>IF(LEFT(Y501,1)="A","Sistema digestivo",IF(LEFT(Y501,1)="B","Sangre",IF(LEFT(Y501,1)="C","Cardiovascular",IF(LEFT(Y501,1)="D","Dermatológico",IF(LEFT(Y501,1)="G","Genitourinario",IF(LEFT(Y501,1)="H","Hormonal",IF(LEFT(Y501,1)="J","Antiinfecciosos",IF(LEFT(Y501,1)="L","Oncológicos",IF(LEFT(Y501,1)="M","Musculoesquelético",IF(LEFT(Y501,1)="N","Sistema nervioso",IF(LEFT(Y501,1)="R","Respiratorio",IF(LEFT(Y501,1)="S","Oftálmico",IF(LEFT(Y501,1)="V","Varios","OTRO")))))))))))))</f>
        <v>Respiratorio</v>
      </c>
      <c r="AM501" t="str">
        <f>IF(AG501="Vigente","ACTIVO",IF(ISNUMBER(SEARCH("Inactivo",J501)),"INACTIVO","REVISAR"))</f>
        <v>ACTIVO</v>
      </c>
      <c r="AN501" t="str">
        <f ca="1">IF(OR(AF501="",AF501="null"),"",ROUND((AF501-TODAY())/365.25,2))</f>
        <v/>
      </c>
      <c r="AO501" t="str">
        <f ca="1">IF(AND(AG501="Vigente",OR(AF501="",AF501="null",AF501&gt;TODAY())),"SI",IF(AND(NOT(OR(AF501="",AF501="null")),AF501&lt;=TODAY()),"NO",IF(AG501="Vigente","SI","DESCONOCIDO")))</f>
        <v>SI</v>
      </c>
      <c r="AP501" t="str">
        <f>IF(AND(ISNUMBER(SEARCH("IMPORTAR",AA501)),ISNUMBER(SEARCH("FABRICAR",AA501))),"MIXTO",IF(ISNUMBER(SEARCH("IMPORTAR",AA501)),"IMPORTADO",IF(ISNUMBER(SEARCH("FABRICAR",AA501)),"LOCAL","OTRO")))</f>
        <v>LOCAL</v>
      </c>
      <c r="AQ501" t="str">
        <f>IF(AD501="Si","SI",IF(AD501="No","NO",""))</f>
        <v>NO</v>
      </c>
      <c r="AR501" t="str">
        <f>IF(ISNUMBER(SEARCH("®",N501)),"MARCA/INNOVADOR","GENERICO")</f>
        <v>MARCA/INNOVADOR</v>
      </c>
      <c r="AS501">
        <f ca="1">IF(AE501&gt;100,RANDBETWEEN(500,5000),IF(AND(AE501&gt;=10,AE501&lt;=100),RANDBETWEEN(100,1000),RANDBETWEEN(10,200)))</f>
        <v>407</v>
      </c>
      <c r="AT501">
        <f t="shared" ca="1" si="37"/>
        <v>48</v>
      </c>
      <c r="AU501">
        <f ca="1">INT(AS501*RANDBETWEEN(120,200)/100)</f>
        <v>586</v>
      </c>
      <c r="AV501" s="2">
        <f ca="1">IF(LEFT(Y501,1)="L",RANDBETWEEN(500000,5000000),IF(LEFT(Y501,1)="C",RANDBETWEEN(5000,50000),IF(LEFT(Y501,1)="N",RANDBETWEEN(10000,150000),IF(LEFT(Y501,1)="J",RANDBETWEEN(8000,200000),RANDBETWEEN(5000,100000)))))</f>
        <v>93229</v>
      </c>
      <c r="AW501" s="2">
        <f ca="1">INT(AV501*RANDBETWEEN(30,60)/100)</f>
        <v>39156</v>
      </c>
      <c r="AX501">
        <f ca="1">IF(Z501="ORAL",RANDBETWEEN(1000,10000),IF(OR(Z501="INTRAVENOSA",Z501="INTRAMUSCULAR"),RANDBETWEEN(100,2000),IF(OR(Z501="OFTÁLMICA",Z501="TOPICA (EXTERNA)"),RANDBETWEEN(200,3000),RANDBETWEEN(100,1500))))</f>
        <v>2197</v>
      </c>
      <c r="AY501" s="2">
        <f ca="1">INT(AV501*RANDBETWEEN(90,130)/100)</f>
        <v>98822</v>
      </c>
      <c r="AZ501" t="str">
        <f t="shared" ca="1" si="38"/>
        <v>14.5%</v>
      </c>
      <c r="BA501" t="str">
        <f t="shared" ca="1" si="39"/>
        <v>BAJO</v>
      </c>
    </row>
    <row r="502" spans="4:53" x14ac:dyDescent="0.35">
      <c r="D502" t="s">
        <v>3549</v>
      </c>
      <c r="E502" s="1">
        <v>40238</v>
      </c>
      <c r="F502" t="s">
        <v>2661</v>
      </c>
      <c r="G502" t="s">
        <v>108</v>
      </c>
      <c r="H502" t="s">
        <v>2662</v>
      </c>
      <c r="I502">
        <v>20005109</v>
      </c>
      <c r="J502" t="s">
        <v>28</v>
      </c>
      <c r="K502">
        <v>8</v>
      </c>
      <c r="L502" t="s">
        <v>27</v>
      </c>
      <c r="M502" t="s">
        <v>3550</v>
      </c>
      <c r="N502" t="s">
        <v>3551</v>
      </c>
      <c r="O502" t="s">
        <v>3552</v>
      </c>
      <c r="P502" t="s">
        <v>29</v>
      </c>
      <c r="Q502" s="1">
        <v>42068</v>
      </c>
      <c r="R502" t="s">
        <v>29</v>
      </c>
      <c r="S502" t="s">
        <v>27</v>
      </c>
      <c r="T502" t="s">
        <v>48</v>
      </c>
      <c r="U502" t="s">
        <v>115</v>
      </c>
      <c r="V502" t="s">
        <v>2661</v>
      </c>
      <c r="W502" t="s">
        <v>117</v>
      </c>
      <c r="X502">
        <v>20005109</v>
      </c>
      <c r="Y502" t="s">
        <v>2666</v>
      </c>
      <c r="Z502" t="s">
        <v>119</v>
      </c>
      <c r="AA502" t="s">
        <v>24</v>
      </c>
      <c r="AB502" t="s">
        <v>120</v>
      </c>
      <c r="AC502" t="s">
        <v>25</v>
      </c>
      <c r="AD502" t="s">
        <v>121</v>
      </c>
      <c r="AE502">
        <v>500</v>
      </c>
      <c r="AF502" t="s">
        <v>27</v>
      </c>
      <c r="AG502" t="s">
        <v>26</v>
      </c>
      <c r="AH502" t="s">
        <v>2661</v>
      </c>
      <c r="AI502" t="str">
        <f t="shared" si="35"/>
        <v>NO</v>
      </c>
      <c r="AJ502" t="str">
        <f t="shared" si="36"/>
        <v>GENFAR</v>
      </c>
      <c r="AK502" t="str">
        <f>IF(ISNUMBER(SEARCH("FABRICANTE",AC502)),"FABRICANTE",IF(ISNUMBER(SEARCH("IMPORTADOR",AC502)),"IMPORTADOR","OTRO"))</f>
        <v>FABRICANTE</v>
      </c>
      <c r="AL502" t="str">
        <f>IF(LEFT(Y502,1)="A","Sistema digestivo",IF(LEFT(Y502,1)="B","Sangre",IF(LEFT(Y502,1)="C","Cardiovascular",IF(LEFT(Y502,1)="D","Dermatológico",IF(LEFT(Y502,1)="G","Genitourinario",IF(LEFT(Y502,1)="H","Hormonal",IF(LEFT(Y502,1)="J","Antiinfecciosos",IF(LEFT(Y502,1)="L","Oncológicos",IF(LEFT(Y502,1)="M","Musculoesquelético",IF(LEFT(Y502,1)="N","Sistema nervioso",IF(LEFT(Y502,1)="R","Respiratorio",IF(LEFT(Y502,1)="S","Oftálmico",IF(LEFT(Y502,1)="V","Varios","OTRO")))))))))))))</f>
        <v>Cardiovascular</v>
      </c>
      <c r="AM502" t="str">
        <f>IF(AG502="Vigente","ACTIVO",IF(ISNUMBER(SEARCH("Inactivo",J502)),"INACTIVO","REVISAR"))</f>
        <v>ACTIVO</v>
      </c>
      <c r="AN502" t="str">
        <f ca="1">IF(OR(AF502="",AF502="null"),"",ROUND((AF502-TODAY())/365.25,2))</f>
        <v/>
      </c>
      <c r="AO502" t="str">
        <f ca="1">IF(AND(AG502="Vigente",OR(AF502="",AF502="null",AF502&gt;TODAY())),"SI",IF(AND(NOT(OR(AF502="",AF502="null")),AF502&lt;=TODAY()),"NO",IF(AG502="Vigente","SI","DESCONOCIDO")))</f>
        <v>SI</v>
      </c>
      <c r="AP502" t="str">
        <f>IF(AND(ISNUMBER(SEARCH("IMPORTAR",AA502)),ISNUMBER(SEARCH("FABRICAR",AA502))),"MIXTO",IF(ISNUMBER(SEARCH("IMPORTAR",AA502)),"IMPORTADO",IF(ISNUMBER(SEARCH("FABRICAR",AA502)),"LOCAL","OTRO")))</f>
        <v>LOCAL</v>
      </c>
      <c r="AQ502" t="str">
        <f>IF(AD502="Si","SI",IF(AD502="No","NO",""))</f>
        <v>NO</v>
      </c>
      <c r="AR502" t="str">
        <f>IF(ISNUMBER(SEARCH("®",N502)),"MARCA/INNOVADOR","GENERICO")</f>
        <v>GENERICO</v>
      </c>
      <c r="AS502">
        <f ca="1">IF(AE502&gt;100,RANDBETWEEN(500,5000),IF(AND(AE502&gt;=10,AE502&lt;=100),RANDBETWEEN(100,1000),RANDBETWEEN(10,200)))</f>
        <v>1604</v>
      </c>
      <c r="AT502">
        <f t="shared" ca="1" si="37"/>
        <v>304</v>
      </c>
      <c r="AU502">
        <f ca="1">INT(AS502*RANDBETWEEN(120,200)/100)</f>
        <v>2085</v>
      </c>
      <c r="AV502" s="2">
        <f ca="1">IF(LEFT(Y502,1)="L",RANDBETWEEN(500000,5000000),IF(LEFT(Y502,1)="C",RANDBETWEEN(5000,50000),IF(LEFT(Y502,1)="N",RANDBETWEEN(10000,150000),IF(LEFT(Y502,1)="J",RANDBETWEEN(8000,200000),RANDBETWEEN(5000,100000)))))</f>
        <v>22125</v>
      </c>
      <c r="AW502" s="2">
        <f ca="1">INT(AV502*RANDBETWEEN(30,60)/100)</f>
        <v>11726</v>
      </c>
      <c r="AX502">
        <f ca="1">IF(Z502="ORAL",RANDBETWEEN(1000,10000),IF(OR(Z502="INTRAVENOSA",Z502="INTRAMUSCULAR"),RANDBETWEEN(100,2000),IF(OR(Z502="OFTÁLMICA",Z502="TOPICA (EXTERNA)"),RANDBETWEEN(200,3000),RANDBETWEEN(100,1500))))</f>
        <v>4840</v>
      </c>
      <c r="AY502" s="2">
        <f ca="1">INT(AV502*RANDBETWEEN(90,130)/100)</f>
        <v>19912</v>
      </c>
      <c r="AZ502" t="str">
        <f t="shared" ca="1" si="38"/>
        <v>11%</v>
      </c>
      <c r="BA502" t="str">
        <f t="shared" ca="1" si="39"/>
        <v>BAJO</v>
      </c>
    </row>
    <row r="503" spans="4:53" x14ac:dyDescent="0.35">
      <c r="D503" t="s">
        <v>3553</v>
      </c>
      <c r="E503" s="1">
        <v>41012</v>
      </c>
      <c r="F503" t="s">
        <v>107</v>
      </c>
      <c r="G503" t="s">
        <v>108</v>
      </c>
      <c r="H503" t="s">
        <v>3554</v>
      </c>
      <c r="I503">
        <v>20043703</v>
      </c>
      <c r="J503" t="s">
        <v>110</v>
      </c>
      <c r="K503">
        <v>9</v>
      </c>
      <c r="L503" t="s">
        <v>27</v>
      </c>
      <c r="M503" t="s">
        <v>3555</v>
      </c>
      <c r="N503" t="s">
        <v>3556</v>
      </c>
      <c r="O503" t="s">
        <v>3557</v>
      </c>
      <c r="P503" t="s">
        <v>27</v>
      </c>
      <c r="Q503" s="1">
        <v>40980</v>
      </c>
      <c r="R503" t="s">
        <v>33</v>
      </c>
      <c r="S503" s="1">
        <v>43193</v>
      </c>
      <c r="T503" t="s">
        <v>3554</v>
      </c>
      <c r="U503" t="s">
        <v>115</v>
      </c>
      <c r="V503" t="s">
        <v>116</v>
      </c>
      <c r="W503" t="s">
        <v>117</v>
      </c>
      <c r="X503">
        <v>20043703</v>
      </c>
      <c r="Y503" t="s">
        <v>118</v>
      </c>
      <c r="Z503" t="s">
        <v>119</v>
      </c>
      <c r="AA503" t="s">
        <v>24</v>
      </c>
      <c r="AB503" t="s">
        <v>120</v>
      </c>
      <c r="AC503" t="s">
        <v>25</v>
      </c>
      <c r="AD503" t="s">
        <v>155</v>
      </c>
      <c r="AE503">
        <v>5</v>
      </c>
      <c r="AF503" t="s">
        <v>27</v>
      </c>
      <c r="AG503" t="s">
        <v>26</v>
      </c>
      <c r="AH503" t="s">
        <v>107</v>
      </c>
      <c r="AI503" t="str">
        <f t="shared" si="35"/>
        <v>NO</v>
      </c>
      <c r="AJ503" t="str">
        <f t="shared" si="36"/>
        <v>PROCAPS</v>
      </c>
      <c r="AK503" t="str">
        <f>IF(ISNUMBER(SEARCH("FABRICANTE",AC503)),"FABRICANTE",IF(ISNUMBER(SEARCH("IMPORTADOR",AC503)),"IMPORTADOR","OTRO"))</f>
        <v>FABRICANTE</v>
      </c>
      <c r="AL503" t="str">
        <f>IF(LEFT(Y503,1)="A","Sistema digestivo",IF(LEFT(Y503,1)="B","Sangre",IF(LEFT(Y503,1)="C","Cardiovascular",IF(LEFT(Y503,1)="D","Dermatológico",IF(LEFT(Y503,1)="G","Genitourinario",IF(LEFT(Y503,1)="H","Hormonal",IF(LEFT(Y503,1)="J","Antiinfecciosos",IF(LEFT(Y503,1)="L","Oncológicos",IF(LEFT(Y503,1)="M","Musculoesquelético",IF(LEFT(Y503,1)="N","Sistema nervioso",IF(LEFT(Y503,1)="R","Respiratorio",IF(LEFT(Y503,1)="S","Oftálmico",IF(LEFT(Y503,1)="V","Varios","OTRO")))))))))))))</f>
        <v>Cardiovascular</v>
      </c>
      <c r="AM503" t="str">
        <f>IF(AG503="Vigente","ACTIVO",IF(ISNUMBER(SEARCH("Inactivo",J503)),"INACTIVO","REVISAR"))</f>
        <v>ACTIVO</v>
      </c>
      <c r="AN503" t="str">
        <f ca="1">IF(OR(AF503="",AF503="null"),"",ROUND((AF503-TODAY())/365.25,2))</f>
        <v/>
      </c>
      <c r="AO503" t="str">
        <f ca="1">IF(AND(AG503="Vigente",OR(AF503="",AF503="null",AF503&gt;TODAY())),"SI",IF(AND(NOT(OR(AF503="",AF503="null")),AF503&lt;=TODAY()),"NO",IF(AG503="Vigente","SI","DESCONOCIDO")))</f>
        <v>SI</v>
      </c>
      <c r="AP503" t="str">
        <f>IF(AND(ISNUMBER(SEARCH("IMPORTAR",AA503)),ISNUMBER(SEARCH("FABRICAR",AA503))),"MIXTO",IF(ISNUMBER(SEARCH("IMPORTAR",AA503)),"IMPORTADO",IF(ISNUMBER(SEARCH("FABRICAR",AA503)),"LOCAL","OTRO")))</f>
        <v>LOCAL</v>
      </c>
      <c r="AQ503" t="str">
        <f>IF(AD503="Si","SI",IF(AD503="No","NO",""))</f>
        <v>SI</v>
      </c>
      <c r="AR503" t="str">
        <f>IF(ISNUMBER(SEARCH("®",N503)),"MARCA/INNOVADOR","GENERICO")</f>
        <v>MARCA/INNOVADOR</v>
      </c>
      <c r="AS503">
        <f ca="1">IF(AE503&gt;100,RANDBETWEEN(500,5000),IF(AND(AE503&gt;=10,AE503&lt;=100),RANDBETWEEN(100,1000),RANDBETWEEN(10,200)))</f>
        <v>139</v>
      </c>
      <c r="AT503">
        <f t="shared" ca="1" si="37"/>
        <v>13</v>
      </c>
      <c r="AU503">
        <f ca="1">INT(AS503*RANDBETWEEN(120,200)/100)</f>
        <v>204</v>
      </c>
      <c r="AV503" s="2">
        <f ca="1">IF(LEFT(Y503,1)="L",RANDBETWEEN(500000,5000000),IF(LEFT(Y503,1)="C",RANDBETWEEN(5000,50000),IF(LEFT(Y503,1)="N",RANDBETWEEN(10000,150000),IF(LEFT(Y503,1)="J",RANDBETWEEN(8000,200000),RANDBETWEEN(5000,100000)))))</f>
        <v>15091</v>
      </c>
      <c r="AW503" s="2">
        <f ca="1">INT(AV503*RANDBETWEEN(30,60)/100)</f>
        <v>5281</v>
      </c>
      <c r="AX503">
        <f ca="1">IF(Z503="ORAL",RANDBETWEEN(1000,10000),IF(OR(Z503="INTRAVENOSA",Z503="INTRAMUSCULAR"),RANDBETWEEN(100,2000),IF(OR(Z503="OFTÁLMICA",Z503="TOPICA (EXTERNA)"),RANDBETWEEN(200,3000),RANDBETWEEN(100,1500))))</f>
        <v>4150</v>
      </c>
      <c r="AY503" s="2">
        <f ca="1">INT(AV503*RANDBETWEEN(90,130)/100)</f>
        <v>19618</v>
      </c>
      <c r="AZ503" t="str">
        <f t="shared" ca="1" si="38"/>
        <v>8%</v>
      </c>
      <c r="BA503" t="str">
        <f t="shared" ca="1" si="39"/>
        <v>ALTO</v>
      </c>
    </row>
    <row r="504" spans="4:53" x14ac:dyDescent="0.35">
      <c r="D504" t="s">
        <v>3558</v>
      </c>
      <c r="E504" s="1">
        <v>42704</v>
      </c>
      <c r="F504" t="s">
        <v>3559</v>
      </c>
      <c r="G504" t="s">
        <v>108</v>
      </c>
      <c r="H504" t="s">
        <v>428</v>
      </c>
      <c r="I504">
        <v>20081179</v>
      </c>
      <c r="J504" t="s">
        <v>28</v>
      </c>
      <c r="K504">
        <v>6</v>
      </c>
      <c r="L504" t="s">
        <v>27</v>
      </c>
      <c r="M504" t="s">
        <v>3560</v>
      </c>
      <c r="N504" t="s">
        <v>3561</v>
      </c>
      <c r="O504" t="s">
        <v>3562</v>
      </c>
      <c r="P504" t="s">
        <v>29</v>
      </c>
      <c r="Q504" s="1">
        <v>42279</v>
      </c>
      <c r="R504" t="s">
        <v>29</v>
      </c>
      <c r="S504" t="s">
        <v>27</v>
      </c>
      <c r="T504" t="s">
        <v>428</v>
      </c>
      <c r="U504" t="s">
        <v>115</v>
      </c>
      <c r="V504" t="s">
        <v>689</v>
      </c>
      <c r="W504">
        <v>325</v>
      </c>
      <c r="X504">
        <v>20081179</v>
      </c>
      <c r="Y504" t="s">
        <v>690</v>
      </c>
      <c r="Z504" t="s">
        <v>119</v>
      </c>
      <c r="AA504" t="s">
        <v>165</v>
      </c>
      <c r="AB504" t="s">
        <v>120</v>
      </c>
      <c r="AC504" t="s">
        <v>38</v>
      </c>
      <c r="AD504" t="s">
        <v>155</v>
      </c>
      <c r="AE504">
        <v>2</v>
      </c>
      <c r="AF504" t="s">
        <v>27</v>
      </c>
      <c r="AG504" t="s">
        <v>26</v>
      </c>
      <c r="AH504" t="s">
        <v>522</v>
      </c>
      <c r="AI504" t="str">
        <f t="shared" si="35"/>
        <v>NO</v>
      </c>
      <c r="AJ504" t="str">
        <f t="shared" si="36"/>
        <v>LABORATORIOS SIEGFRIED</v>
      </c>
      <c r="AK504" t="str">
        <f>IF(ISNUMBER(SEARCH("FABRICANTE",AC504)),"FABRICANTE",IF(ISNUMBER(SEARCH("IMPORTADOR",AC504)),"IMPORTADOR","OTRO"))</f>
        <v>IMPORTADOR</v>
      </c>
      <c r="AL504" t="str">
        <f>IF(LEFT(Y504,1)="A","Sistema digestivo",IF(LEFT(Y504,1)="B","Sangre",IF(LEFT(Y504,1)="C","Cardiovascular",IF(LEFT(Y504,1)="D","Dermatológico",IF(LEFT(Y504,1)="G","Genitourinario",IF(LEFT(Y504,1)="H","Hormonal",IF(LEFT(Y504,1)="J","Antiinfecciosos",IF(LEFT(Y504,1)="L","Oncológicos",IF(LEFT(Y504,1)="M","Musculoesquelético",IF(LEFT(Y504,1)="N","Sistema nervioso",IF(LEFT(Y504,1)="R","Respiratorio",IF(LEFT(Y504,1)="S","Oftálmico",IF(LEFT(Y504,1)="V","Varios","OTRO")))))))))))))</f>
        <v>Sistema nervioso</v>
      </c>
      <c r="AM504" t="str">
        <f>IF(AG504="Vigente","ACTIVO",IF(ISNUMBER(SEARCH("Inactivo",J504)),"INACTIVO","REVISAR"))</f>
        <v>ACTIVO</v>
      </c>
      <c r="AN504" t="str">
        <f ca="1">IF(OR(AF504="",AF504="null"),"",ROUND((AF504-TODAY())/365.25,2))</f>
        <v/>
      </c>
      <c r="AO504" t="str">
        <f ca="1">IF(AND(AG504="Vigente",OR(AF504="",AF504="null",AF504&gt;TODAY())),"SI",IF(AND(NOT(OR(AF504="",AF504="null")),AF504&lt;=TODAY()),"NO",IF(AG504="Vigente","SI","DESCONOCIDO")))</f>
        <v>SI</v>
      </c>
      <c r="AP504" t="str">
        <f>IF(AND(ISNUMBER(SEARCH("IMPORTAR",AA504)),ISNUMBER(SEARCH("FABRICAR",AA504))),"MIXTO",IF(ISNUMBER(SEARCH("IMPORTAR",AA504)),"IMPORTADO",IF(ISNUMBER(SEARCH("FABRICAR",AA504)),"LOCAL","OTRO")))</f>
        <v>IMPORTADO</v>
      </c>
      <c r="AQ504" t="str">
        <f>IF(AD504="Si","SI",IF(AD504="No","NO",""))</f>
        <v>SI</v>
      </c>
      <c r="AR504" t="str">
        <f>IF(ISNUMBER(SEARCH("®",N504)),"MARCA/INNOVADOR","GENERICO")</f>
        <v>MARCA/INNOVADOR</v>
      </c>
      <c r="AS504">
        <f ca="1">IF(AE504&gt;100,RANDBETWEEN(500,5000),IF(AND(AE504&gt;=10,AE504&lt;=100),RANDBETWEEN(100,1000),RANDBETWEEN(10,200)))</f>
        <v>151</v>
      </c>
      <c r="AT504">
        <f t="shared" ca="1" si="37"/>
        <v>19</v>
      </c>
      <c r="AU504">
        <f ca="1">INT(AS504*RANDBETWEEN(120,200)/100)</f>
        <v>249</v>
      </c>
      <c r="AV504" s="2">
        <f ca="1">IF(LEFT(Y504,1)="L",RANDBETWEEN(500000,5000000),IF(LEFT(Y504,1)="C",RANDBETWEEN(5000,50000),IF(LEFT(Y504,1)="N",RANDBETWEEN(10000,150000),IF(LEFT(Y504,1)="J",RANDBETWEEN(8000,200000),RANDBETWEEN(5000,100000)))))</f>
        <v>33463</v>
      </c>
      <c r="AW504" s="2">
        <f ca="1">INT(AV504*RANDBETWEEN(30,60)/100)</f>
        <v>17400</v>
      </c>
      <c r="AX504">
        <f ca="1">IF(Z504="ORAL",RANDBETWEEN(1000,10000),IF(OR(Z504="INTRAVENOSA",Z504="INTRAMUSCULAR"),RANDBETWEEN(100,2000),IF(OR(Z504="OFTÁLMICA",Z504="TOPICA (EXTERNA)"),RANDBETWEEN(200,3000),RANDBETWEEN(100,1500))))</f>
        <v>1897</v>
      </c>
      <c r="AY504" s="2">
        <f ca="1">INT(AV504*RANDBETWEEN(90,130)/100)</f>
        <v>39486</v>
      </c>
      <c r="AZ504" t="str">
        <f t="shared" ca="1" si="38"/>
        <v>13.4%</v>
      </c>
      <c r="BA504" t="str">
        <f t="shared" ca="1" si="39"/>
        <v>BAJO</v>
      </c>
    </row>
    <row r="505" spans="4:53" x14ac:dyDescent="0.35">
      <c r="D505" t="s">
        <v>3563</v>
      </c>
      <c r="E505" s="1">
        <v>40238</v>
      </c>
      <c r="F505" t="s">
        <v>3564</v>
      </c>
      <c r="G505" t="s">
        <v>108</v>
      </c>
      <c r="H505" t="s">
        <v>1632</v>
      </c>
      <c r="I505">
        <v>20008051</v>
      </c>
      <c r="J505" t="s">
        <v>28</v>
      </c>
      <c r="K505">
        <v>2</v>
      </c>
      <c r="L505" t="s">
        <v>27</v>
      </c>
      <c r="M505" t="s">
        <v>3565</v>
      </c>
      <c r="N505" t="s">
        <v>3566</v>
      </c>
      <c r="O505" t="s">
        <v>3567</v>
      </c>
      <c r="P505" t="s">
        <v>3568</v>
      </c>
      <c r="Q505" s="1">
        <v>40077</v>
      </c>
      <c r="R505" t="s">
        <v>1312</v>
      </c>
      <c r="S505" s="1">
        <v>43811</v>
      </c>
      <c r="T505" t="s">
        <v>3569</v>
      </c>
      <c r="U505" t="s">
        <v>115</v>
      </c>
      <c r="V505" t="s">
        <v>1313</v>
      </c>
      <c r="W505">
        <v>500</v>
      </c>
      <c r="X505">
        <v>20008051</v>
      </c>
      <c r="Y505" t="s">
        <v>1314</v>
      </c>
      <c r="Z505" t="s">
        <v>260</v>
      </c>
      <c r="AA505" t="s">
        <v>32</v>
      </c>
      <c r="AB505" t="s">
        <v>120</v>
      </c>
      <c r="AC505" t="s">
        <v>25</v>
      </c>
      <c r="AD505" t="s">
        <v>121</v>
      </c>
      <c r="AE505">
        <v>25</v>
      </c>
      <c r="AF505" t="s">
        <v>27</v>
      </c>
      <c r="AG505" t="s">
        <v>26</v>
      </c>
      <c r="AH505" t="s">
        <v>6810</v>
      </c>
      <c r="AI505" t="str">
        <f t="shared" si="35"/>
        <v>NO</v>
      </c>
      <c r="AJ505" t="str">
        <f t="shared" si="36"/>
        <v>COMERCIAL MEDICA</v>
      </c>
      <c r="AK505" t="str">
        <f>IF(ISNUMBER(SEARCH("FABRICANTE",AC505)),"FABRICANTE",IF(ISNUMBER(SEARCH("IMPORTADOR",AC505)),"IMPORTADOR","OTRO"))</f>
        <v>FABRICANTE</v>
      </c>
      <c r="AL505" t="str">
        <f>IF(LEFT(Y505,1)="A","Sistema digestivo",IF(LEFT(Y505,1)="B","Sangre",IF(LEFT(Y505,1)="C","Cardiovascular",IF(LEFT(Y505,1)="D","Dermatológico",IF(LEFT(Y505,1)="G","Genitourinario",IF(LEFT(Y505,1)="H","Hormonal",IF(LEFT(Y505,1)="J","Antiinfecciosos",IF(LEFT(Y505,1)="L","Oncológicos",IF(LEFT(Y505,1)="M","Musculoesquelético",IF(LEFT(Y505,1)="N","Sistema nervioso",IF(LEFT(Y505,1)="R","Respiratorio",IF(LEFT(Y505,1)="S","Oftálmico",IF(LEFT(Y505,1)="V","Varios","OTRO")))))))))))))</f>
        <v>Antiinfecciosos</v>
      </c>
      <c r="AM505" t="str">
        <f>IF(AG505="Vigente","ACTIVO",IF(ISNUMBER(SEARCH("Inactivo",J505)),"INACTIVO","REVISAR"))</f>
        <v>ACTIVO</v>
      </c>
      <c r="AN505" t="str">
        <f ca="1">IF(OR(AF505="",AF505="null"),"",ROUND((AF505-TODAY())/365.25,2))</f>
        <v/>
      </c>
      <c r="AO505" t="str">
        <f ca="1">IF(AND(AG505="Vigente",OR(AF505="",AF505="null",AF505&gt;TODAY())),"SI",IF(AND(NOT(OR(AF505="",AF505="null")),AF505&lt;=TODAY()),"NO",IF(AG505="Vigente","SI","DESCONOCIDO")))</f>
        <v>SI</v>
      </c>
      <c r="AP505" t="str">
        <f>IF(AND(ISNUMBER(SEARCH("IMPORTAR",AA505)),ISNUMBER(SEARCH("FABRICAR",AA505))),"MIXTO",IF(ISNUMBER(SEARCH("IMPORTAR",AA505)),"IMPORTADO",IF(ISNUMBER(SEARCH("FABRICAR",AA505)),"LOCAL","OTRO")))</f>
        <v>IMPORTADO</v>
      </c>
      <c r="AQ505" t="str">
        <f>IF(AD505="Si","SI",IF(AD505="No","NO",""))</f>
        <v>NO</v>
      </c>
      <c r="AR505" t="str">
        <f>IF(ISNUMBER(SEARCH("®",N505)),"MARCA/INNOVADOR","GENERICO")</f>
        <v>GENERICO</v>
      </c>
      <c r="AS505">
        <f ca="1">IF(AE505&gt;100,RANDBETWEEN(500,5000),IF(AND(AE505&gt;=10,AE505&lt;=100),RANDBETWEEN(100,1000),RANDBETWEEN(10,200)))</f>
        <v>163</v>
      </c>
      <c r="AT505">
        <f t="shared" ca="1" si="37"/>
        <v>32</v>
      </c>
      <c r="AU505">
        <f ca="1">INT(AS505*RANDBETWEEN(120,200)/100)</f>
        <v>195</v>
      </c>
      <c r="AV505" s="2">
        <f ca="1">IF(LEFT(Y505,1)="L",RANDBETWEEN(500000,5000000),IF(LEFT(Y505,1)="C",RANDBETWEEN(5000,50000),IF(LEFT(Y505,1)="N",RANDBETWEEN(10000,150000),IF(LEFT(Y505,1)="J",RANDBETWEEN(8000,200000),RANDBETWEEN(5000,100000)))))</f>
        <v>132202</v>
      </c>
      <c r="AW505" s="2">
        <f ca="1">INT(AV505*RANDBETWEEN(30,60)/100)</f>
        <v>47592</v>
      </c>
      <c r="AX505">
        <f ca="1">IF(Z505="ORAL",RANDBETWEEN(1000,10000),IF(OR(Z505="INTRAVENOSA",Z505="INTRAMUSCULAR"),RANDBETWEEN(100,2000),IF(OR(Z505="OFTÁLMICA",Z505="TOPICA (EXTERNA)"),RANDBETWEEN(200,3000),RANDBETWEEN(100,1500))))</f>
        <v>1557</v>
      </c>
      <c r="AY505" s="2">
        <f ca="1">INT(AV505*RANDBETWEEN(90,130)/100)</f>
        <v>120303</v>
      </c>
      <c r="AZ505" t="str">
        <f t="shared" ca="1" si="38"/>
        <v>0.8%</v>
      </c>
      <c r="BA505" t="str">
        <f t="shared" ca="1" si="39"/>
        <v>BAJO</v>
      </c>
    </row>
    <row r="506" spans="4:53" x14ac:dyDescent="0.35">
      <c r="D506" t="s">
        <v>3570</v>
      </c>
      <c r="E506" s="1">
        <v>42342</v>
      </c>
      <c r="F506" t="s">
        <v>2909</v>
      </c>
      <c r="G506" t="s">
        <v>108</v>
      </c>
      <c r="H506" t="s">
        <v>454</v>
      </c>
      <c r="I506">
        <v>20094916</v>
      </c>
      <c r="J506" t="s">
        <v>28</v>
      </c>
      <c r="K506">
        <v>7</v>
      </c>
      <c r="L506" t="s">
        <v>3571</v>
      </c>
      <c r="M506" t="s">
        <v>3572</v>
      </c>
      <c r="N506" t="s">
        <v>3573</v>
      </c>
      <c r="O506" t="s">
        <v>3574</v>
      </c>
      <c r="P506" t="s">
        <v>527</v>
      </c>
      <c r="Q506" s="1">
        <v>42257</v>
      </c>
      <c r="R506" t="s">
        <v>527</v>
      </c>
      <c r="S506" t="s">
        <v>27</v>
      </c>
      <c r="T506" t="s">
        <v>958</v>
      </c>
      <c r="U506" t="s">
        <v>115</v>
      </c>
      <c r="V506" t="s">
        <v>162</v>
      </c>
      <c r="W506">
        <v>30</v>
      </c>
      <c r="X506">
        <v>20094916</v>
      </c>
      <c r="Y506" t="s">
        <v>164</v>
      </c>
      <c r="Z506" t="s">
        <v>119</v>
      </c>
      <c r="AA506" t="s">
        <v>24</v>
      </c>
      <c r="AB506" t="s">
        <v>120</v>
      </c>
      <c r="AC506" t="s">
        <v>25</v>
      </c>
      <c r="AD506" t="s">
        <v>121</v>
      </c>
      <c r="AE506">
        <v>16</v>
      </c>
      <c r="AF506" t="s">
        <v>27</v>
      </c>
      <c r="AG506" t="s">
        <v>26</v>
      </c>
      <c r="AH506" t="s">
        <v>976</v>
      </c>
      <c r="AI506" t="str">
        <f t="shared" si="35"/>
        <v>NO</v>
      </c>
      <c r="AJ506" t="str">
        <f t="shared" si="36"/>
        <v>EUROFARMA COLOMBIA</v>
      </c>
      <c r="AK506" t="str">
        <f>IF(ISNUMBER(SEARCH("FABRICANTE",AC506)),"FABRICANTE",IF(ISNUMBER(SEARCH("IMPORTADOR",AC506)),"IMPORTADOR","OTRO"))</f>
        <v>FABRICANTE</v>
      </c>
      <c r="AL506" t="str">
        <f>IF(LEFT(Y506,1)="A","Sistema digestivo",IF(LEFT(Y506,1)="B","Sangre",IF(LEFT(Y506,1)="C","Cardiovascular",IF(LEFT(Y506,1)="D","Dermatológico",IF(LEFT(Y506,1)="G","Genitourinario",IF(LEFT(Y506,1)="H","Hormonal",IF(LEFT(Y506,1)="J","Antiinfecciosos",IF(LEFT(Y506,1)="L","Oncológicos",IF(LEFT(Y506,1)="M","Musculoesquelético",IF(LEFT(Y506,1)="N","Sistema nervioso",IF(LEFT(Y506,1)="R","Respiratorio",IF(LEFT(Y506,1)="S","Oftálmico",IF(LEFT(Y506,1)="V","Varios","OTRO")))))))))))))</f>
        <v>Musculoesquelético</v>
      </c>
      <c r="AM506" t="str">
        <f>IF(AG506="Vigente","ACTIVO",IF(ISNUMBER(SEARCH("Inactivo",J506)),"INACTIVO","REVISAR"))</f>
        <v>ACTIVO</v>
      </c>
      <c r="AN506" t="str">
        <f ca="1">IF(OR(AF506="",AF506="null"),"",ROUND((AF506-TODAY())/365.25,2))</f>
        <v/>
      </c>
      <c r="AO506" t="str">
        <f ca="1">IF(AND(AG506="Vigente",OR(AF506="",AF506="null",AF506&gt;TODAY())),"SI",IF(AND(NOT(OR(AF506="",AF506="null")),AF506&lt;=TODAY()),"NO",IF(AG506="Vigente","SI","DESCONOCIDO")))</f>
        <v>SI</v>
      </c>
      <c r="AP506" t="str">
        <f>IF(AND(ISNUMBER(SEARCH("IMPORTAR",AA506)),ISNUMBER(SEARCH("FABRICAR",AA506))),"MIXTO",IF(ISNUMBER(SEARCH("IMPORTAR",AA506)),"IMPORTADO",IF(ISNUMBER(SEARCH("FABRICAR",AA506)),"LOCAL","OTRO")))</f>
        <v>LOCAL</v>
      </c>
      <c r="AQ506" t="str">
        <f>IF(AD506="Si","SI",IF(AD506="No","NO",""))</f>
        <v>NO</v>
      </c>
      <c r="AR506" t="str">
        <f>IF(ISNUMBER(SEARCH("®",N506)),"MARCA/INNOVADOR","GENERICO")</f>
        <v>MARCA/INNOVADOR</v>
      </c>
      <c r="AS506">
        <f ca="1">IF(AE506&gt;100,RANDBETWEEN(500,5000),IF(AND(AE506&gt;=10,AE506&lt;=100),RANDBETWEEN(100,1000),RANDBETWEEN(10,200)))</f>
        <v>740</v>
      </c>
      <c r="AT506">
        <f t="shared" ca="1" si="37"/>
        <v>148</v>
      </c>
      <c r="AU506">
        <f ca="1">INT(AS506*RANDBETWEEN(120,200)/100)</f>
        <v>1073</v>
      </c>
      <c r="AV506" s="2">
        <f ca="1">IF(LEFT(Y506,1)="L",RANDBETWEEN(500000,5000000),IF(LEFT(Y506,1)="C",RANDBETWEEN(5000,50000),IF(LEFT(Y506,1)="N",RANDBETWEEN(10000,150000),IF(LEFT(Y506,1)="J",RANDBETWEEN(8000,200000),RANDBETWEEN(5000,100000)))))</f>
        <v>76009</v>
      </c>
      <c r="AW506" s="2">
        <f ca="1">INT(AV506*RANDBETWEEN(30,60)/100)</f>
        <v>22802</v>
      </c>
      <c r="AX506">
        <f ca="1">IF(Z506="ORAL",RANDBETWEEN(1000,10000),IF(OR(Z506="INTRAVENOSA",Z506="INTRAMUSCULAR"),RANDBETWEEN(100,2000),IF(OR(Z506="OFTÁLMICA",Z506="TOPICA (EXTERNA)"),RANDBETWEEN(200,3000),RANDBETWEEN(100,1500))))</f>
        <v>3099</v>
      </c>
      <c r="AY506" s="2">
        <f ca="1">INT(AV506*RANDBETWEEN(90,130)/100)</f>
        <v>92730</v>
      </c>
      <c r="AZ506" t="str">
        <f t="shared" ca="1" si="38"/>
        <v>15%</v>
      </c>
      <c r="BA506" t="str">
        <f t="shared" ca="1" si="39"/>
        <v>BAJO</v>
      </c>
    </row>
    <row r="507" spans="4:53" x14ac:dyDescent="0.35">
      <c r="D507" t="s">
        <v>3575</v>
      </c>
      <c r="E507" s="1">
        <v>39840</v>
      </c>
      <c r="F507" t="s">
        <v>71</v>
      </c>
      <c r="G507" t="s">
        <v>108</v>
      </c>
      <c r="H507" t="s">
        <v>367</v>
      </c>
      <c r="I507">
        <v>19993863</v>
      </c>
      <c r="J507" t="s">
        <v>28</v>
      </c>
      <c r="K507">
        <v>51</v>
      </c>
      <c r="L507" t="s">
        <v>2115</v>
      </c>
      <c r="M507" t="s">
        <v>363</v>
      </c>
      <c r="N507" t="s">
        <v>364</v>
      </c>
      <c r="O507" t="s">
        <v>3576</v>
      </c>
      <c r="P507" t="s">
        <v>366</v>
      </c>
      <c r="Q507" s="1">
        <v>45665</v>
      </c>
      <c r="R507" t="s">
        <v>67</v>
      </c>
      <c r="S507" t="s">
        <v>27</v>
      </c>
      <c r="T507" t="s">
        <v>367</v>
      </c>
      <c r="U507" t="s">
        <v>247</v>
      </c>
      <c r="V507" t="s">
        <v>248</v>
      </c>
      <c r="W507" t="s">
        <v>3058</v>
      </c>
      <c r="X507">
        <v>19993863</v>
      </c>
      <c r="Y507" t="s">
        <v>249</v>
      </c>
      <c r="Z507" t="s">
        <v>119</v>
      </c>
      <c r="AA507" t="s">
        <v>32</v>
      </c>
      <c r="AB507" t="s">
        <v>250</v>
      </c>
      <c r="AC507" t="s">
        <v>25</v>
      </c>
      <c r="AD507" t="s">
        <v>121</v>
      </c>
      <c r="AE507">
        <v>1</v>
      </c>
      <c r="AF507" s="1">
        <v>401769</v>
      </c>
      <c r="AG507" t="s">
        <v>26</v>
      </c>
      <c r="AH507" t="s">
        <v>6800</v>
      </c>
      <c r="AI507" t="str">
        <f t="shared" si="35"/>
        <v>NO</v>
      </c>
      <c r="AJ507" t="str">
        <f t="shared" si="36"/>
        <v>LABORATORIOS PISA</v>
      </c>
      <c r="AK507" t="str">
        <f>IF(ISNUMBER(SEARCH("FABRICANTE",AC507)),"FABRICANTE",IF(ISNUMBER(SEARCH("IMPORTADOR",AC507)),"IMPORTADOR","OTRO"))</f>
        <v>FABRICANTE</v>
      </c>
      <c r="AL507" t="str">
        <f>IF(LEFT(Y507,1)="A","Sistema digestivo",IF(LEFT(Y507,1)="B","Sangre",IF(LEFT(Y507,1)="C","Cardiovascular",IF(LEFT(Y507,1)="D","Dermatológico",IF(LEFT(Y507,1)="G","Genitourinario",IF(LEFT(Y507,1)="H","Hormonal",IF(LEFT(Y507,1)="J","Antiinfecciosos",IF(LEFT(Y507,1)="L","Oncológicos",IF(LEFT(Y507,1)="M","Musculoesquelético",IF(LEFT(Y507,1)="N","Sistema nervioso",IF(LEFT(Y507,1)="R","Respiratorio",IF(LEFT(Y507,1)="S","Oftálmico",IF(LEFT(Y507,1)="V","Varios","OTRO")))))))))))))</f>
        <v>Sistema digestivo</v>
      </c>
      <c r="AM507" t="str">
        <f>IF(AG507="Vigente","ACTIVO",IF(ISNUMBER(SEARCH("Inactivo",J507)),"INACTIVO","REVISAR"))</f>
        <v>ACTIVO</v>
      </c>
      <c r="AN507">
        <f ca="1">IF(OR(AF507="",AF507="null"),"",ROUND((AF507-TODAY())/365.25,2))</f>
        <v>973.58</v>
      </c>
      <c r="AO507" t="str">
        <f ca="1">IF(AND(AG507="Vigente",OR(AF507="",AF507="null",AF507&gt;TODAY())),"SI",IF(AND(NOT(OR(AF507="",AF507="null")),AF507&lt;=TODAY()),"NO",IF(AG507="Vigente","SI","DESCONOCIDO")))</f>
        <v>SI</v>
      </c>
      <c r="AP507" t="str">
        <f>IF(AND(ISNUMBER(SEARCH("IMPORTAR",AA507)),ISNUMBER(SEARCH("FABRICAR",AA507))),"MIXTO",IF(ISNUMBER(SEARCH("IMPORTAR",AA507)),"IMPORTADO",IF(ISNUMBER(SEARCH("FABRICAR",AA507)),"LOCAL","OTRO")))</f>
        <v>IMPORTADO</v>
      </c>
      <c r="AQ507" t="str">
        <f>IF(AD507="Si","SI",IF(AD507="No","NO",""))</f>
        <v>NO</v>
      </c>
      <c r="AR507" t="str">
        <f>IF(ISNUMBER(SEARCH("®",N507)),"MARCA/INNOVADOR","GENERICO")</f>
        <v>MARCA/INNOVADOR</v>
      </c>
      <c r="AS507">
        <f ca="1">IF(AE507&gt;100,RANDBETWEEN(500,5000),IF(AND(AE507&gt;=10,AE507&lt;=100),RANDBETWEEN(100,1000),RANDBETWEEN(10,200)))</f>
        <v>95</v>
      </c>
      <c r="AT507">
        <f t="shared" ca="1" si="37"/>
        <v>23</v>
      </c>
      <c r="AU507">
        <f ca="1">INT(AS507*RANDBETWEEN(120,200)/100)</f>
        <v>129</v>
      </c>
      <c r="AV507" s="2">
        <f ca="1">IF(LEFT(Y507,1)="L",RANDBETWEEN(500000,5000000),IF(LEFT(Y507,1)="C",RANDBETWEEN(5000,50000),IF(LEFT(Y507,1)="N",RANDBETWEEN(10000,150000),IF(LEFT(Y507,1)="J",RANDBETWEEN(8000,200000),RANDBETWEEN(5000,100000)))))</f>
        <v>5801</v>
      </c>
      <c r="AW507" s="2">
        <f ca="1">INT(AV507*RANDBETWEEN(30,60)/100)</f>
        <v>2088</v>
      </c>
      <c r="AX507">
        <f ca="1">IF(Z507="ORAL",RANDBETWEEN(1000,10000),IF(OR(Z507="INTRAVENOSA",Z507="INTRAMUSCULAR"),RANDBETWEEN(100,2000),IF(OR(Z507="OFTÁLMICA",Z507="TOPICA (EXTERNA)"),RANDBETWEEN(200,3000),RANDBETWEEN(100,1500))))</f>
        <v>1216</v>
      </c>
      <c r="AY507" s="2">
        <f ca="1">INT(AV507*RANDBETWEEN(90,130)/100)</f>
        <v>6555</v>
      </c>
      <c r="AZ507" t="str">
        <f t="shared" ca="1" si="38"/>
        <v>6.8%</v>
      </c>
      <c r="BA507" t="str">
        <f t="shared" ca="1" si="39"/>
        <v>BAJO</v>
      </c>
    </row>
    <row r="508" spans="4:53" x14ac:dyDescent="0.35">
      <c r="D508" t="s">
        <v>3577</v>
      </c>
      <c r="E508" s="1">
        <v>36161</v>
      </c>
      <c r="F508" t="s">
        <v>3578</v>
      </c>
      <c r="G508" t="s">
        <v>108</v>
      </c>
      <c r="H508" t="s">
        <v>3579</v>
      </c>
      <c r="I508">
        <v>26168</v>
      </c>
      <c r="J508" t="s">
        <v>28</v>
      </c>
      <c r="K508">
        <v>1</v>
      </c>
      <c r="L508" t="s">
        <v>27</v>
      </c>
      <c r="M508" t="s">
        <v>3580</v>
      </c>
      <c r="N508" t="s">
        <v>3581</v>
      </c>
      <c r="O508" t="s">
        <v>3582</v>
      </c>
      <c r="P508" t="s">
        <v>3583</v>
      </c>
      <c r="Q508" s="1">
        <v>39031</v>
      </c>
      <c r="R508" t="s">
        <v>50</v>
      </c>
      <c r="S508" t="s">
        <v>27</v>
      </c>
      <c r="T508" t="s">
        <v>428</v>
      </c>
      <c r="U508" t="s">
        <v>115</v>
      </c>
      <c r="V508" t="s">
        <v>3584</v>
      </c>
      <c r="W508">
        <v>500</v>
      </c>
      <c r="X508">
        <v>26168</v>
      </c>
      <c r="Y508" t="s">
        <v>3585</v>
      </c>
      <c r="Z508" t="s">
        <v>213</v>
      </c>
      <c r="AA508" t="s">
        <v>32</v>
      </c>
      <c r="AB508" t="s">
        <v>120</v>
      </c>
      <c r="AC508" t="s">
        <v>25</v>
      </c>
      <c r="AD508" t="s">
        <v>121</v>
      </c>
      <c r="AE508">
        <v>1</v>
      </c>
      <c r="AF508" t="s">
        <v>27</v>
      </c>
      <c r="AG508" t="s">
        <v>26</v>
      </c>
      <c r="AH508" t="s">
        <v>3584</v>
      </c>
      <c r="AI508" t="str">
        <f t="shared" si="35"/>
        <v>SI</v>
      </c>
      <c r="AJ508" t="str">
        <f t="shared" si="36"/>
        <v>LABORATORIOS SIEGFRIED</v>
      </c>
      <c r="AK508" t="str">
        <f>IF(ISNUMBER(SEARCH("FABRICANTE",AC508)),"FABRICANTE",IF(ISNUMBER(SEARCH("IMPORTADOR",AC508)),"IMPORTADOR","OTRO"))</f>
        <v>FABRICANTE</v>
      </c>
      <c r="AL508" t="str">
        <f>IF(LEFT(Y508,1)="A","Sistema digestivo",IF(LEFT(Y508,1)="B","Sangre",IF(LEFT(Y508,1)="C","Cardiovascular",IF(LEFT(Y508,1)="D","Dermatológico",IF(LEFT(Y508,1)="G","Genitourinario",IF(LEFT(Y508,1)="H","Hormonal",IF(LEFT(Y508,1)="J","Antiinfecciosos",IF(LEFT(Y508,1)="L","Oncológicos",IF(LEFT(Y508,1)="M","Musculoesquelético",IF(LEFT(Y508,1)="N","Sistema nervioso",IF(LEFT(Y508,1)="R","Respiratorio",IF(LEFT(Y508,1)="S","Oftálmico",IF(LEFT(Y508,1)="V","Varios","OTRO")))))))))))))</f>
        <v>Sistema nervioso</v>
      </c>
      <c r="AM508" t="str">
        <f>IF(AG508="Vigente","ACTIVO",IF(ISNUMBER(SEARCH("Inactivo",J508)),"INACTIVO","REVISAR"))</f>
        <v>ACTIVO</v>
      </c>
      <c r="AN508" t="str">
        <f ca="1">IF(OR(AF508="",AF508="null"),"",ROUND((AF508-TODAY())/365.25,2))</f>
        <v/>
      </c>
      <c r="AO508" t="str">
        <f ca="1">IF(AND(AG508="Vigente",OR(AF508="",AF508="null",AF508&gt;TODAY())),"SI",IF(AND(NOT(OR(AF508="",AF508="null")),AF508&lt;=TODAY()),"NO",IF(AG508="Vigente","SI","DESCONOCIDO")))</f>
        <v>SI</v>
      </c>
      <c r="AP508" t="str">
        <f>IF(AND(ISNUMBER(SEARCH("IMPORTAR",AA508)),ISNUMBER(SEARCH("FABRICAR",AA508))),"MIXTO",IF(ISNUMBER(SEARCH("IMPORTAR",AA508)),"IMPORTADO",IF(ISNUMBER(SEARCH("FABRICAR",AA508)),"LOCAL","OTRO")))</f>
        <v>IMPORTADO</v>
      </c>
      <c r="AQ508" t="str">
        <f>IF(AD508="Si","SI",IF(AD508="No","NO",""))</f>
        <v>NO</v>
      </c>
      <c r="AR508" t="str">
        <f>IF(ISNUMBER(SEARCH("®",N508)),"MARCA/INNOVADOR","GENERICO")</f>
        <v>GENERICO</v>
      </c>
      <c r="AS508">
        <f ca="1">IF(AE508&gt;100,RANDBETWEEN(500,5000),IF(AND(AE508&gt;=10,AE508&lt;=100),RANDBETWEEN(100,1000),RANDBETWEEN(10,200)))</f>
        <v>150</v>
      </c>
      <c r="AT508">
        <f t="shared" ca="1" si="37"/>
        <v>19</v>
      </c>
      <c r="AU508">
        <f ca="1">INT(AS508*RANDBETWEEN(120,200)/100)</f>
        <v>244</v>
      </c>
      <c r="AV508" s="2">
        <f ca="1">IF(LEFT(Y508,1)="L",RANDBETWEEN(500000,5000000),IF(LEFT(Y508,1)="C",RANDBETWEEN(5000,50000),IF(LEFT(Y508,1)="N",RANDBETWEEN(10000,150000),IF(LEFT(Y508,1)="J",RANDBETWEEN(8000,200000),RANDBETWEEN(5000,100000)))))</f>
        <v>129833</v>
      </c>
      <c r="AW508" s="2">
        <f ca="1">INT(AV508*RANDBETWEEN(30,60)/100)</f>
        <v>71408</v>
      </c>
      <c r="AX508">
        <f ca="1">IF(Z508="ORAL",RANDBETWEEN(1000,10000),IF(OR(Z508="INTRAVENOSA",Z508="INTRAMUSCULAR"),RANDBETWEEN(100,2000),IF(OR(Z508="OFTÁLMICA",Z508="TOPICA (EXTERNA)"),RANDBETWEEN(200,3000),RANDBETWEEN(100,1500))))</f>
        <v>1200</v>
      </c>
      <c r="AY508" s="2">
        <f ca="1">INT(AV508*RANDBETWEEN(90,130)/100)</f>
        <v>137622</v>
      </c>
      <c r="AZ508" t="str">
        <f t="shared" ca="1" si="38"/>
        <v>9.1%</v>
      </c>
      <c r="BA508" t="str">
        <f t="shared" ca="1" si="39"/>
        <v>BAJO</v>
      </c>
    </row>
    <row r="509" spans="4:53" x14ac:dyDescent="0.35">
      <c r="D509" t="s">
        <v>3586</v>
      </c>
      <c r="E509" s="1">
        <v>45113</v>
      </c>
      <c r="F509" t="s">
        <v>3339</v>
      </c>
      <c r="G509" t="s">
        <v>108</v>
      </c>
      <c r="H509" t="s">
        <v>958</v>
      </c>
      <c r="I509">
        <v>20190047</v>
      </c>
      <c r="J509" t="s">
        <v>28</v>
      </c>
      <c r="K509">
        <v>9</v>
      </c>
      <c r="L509" t="s">
        <v>3587</v>
      </c>
      <c r="M509" t="s">
        <v>3341</v>
      </c>
      <c r="N509" t="s">
        <v>3342</v>
      </c>
      <c r="O509" t="s">
        <v>3588</v>
      </c>
      <c r="P509" t="s">
        <v>33</v>
      </c>
      <c r="Q509" s="1">
        <v>44958</v>
      </c>
      <c r="R509" t="s">
        <v>33</v>
      </c>
      <c r="S509" t="s">
        <v>27</v>
      </c>
      <c r="T509" t="s">
        <v>1403</v>
      </c>
      <c r="U509" t="s">
        <v>115</v>
      </c>
      <c r="V509" t="s">
        <v>3344</v>
      </c>
      <c r="W509" t="s">
        <v>1956</v>
      </c>
      <c r="X509">
        <v>20190047</v>
      </c>
      <c r="Y509" t="s">
        <v>3345</v>
      </c>
      <c r="Z509" t="s">
        <v>119</v>
      </c>
      <c r="AA509" t="s">
        <v>32</v>
      </c>
      <c r="AB509" t="s">
        <v>120</v>
      </c>
      <c r="AC509" t="s">
        <v>38</v>
      </c>
      <c r="AD509" t="s">
        <v>155</v>
      </c>
      <c r="AE509">
        <v>10</v>
      </c>
      <c r="AF509" t="s">
        <v>27</v>
      </c>
      <c r="AG509" t="s">
        <v>26</v>
      </c>
      <c r="AH509" t="s">
        <v>3339</v>
      </c>
      <c r="AI509" t="str">
        <f t="shared" si="35"/>
        <v>NO</v>
      </c>
      <c r="AJ509" t="str">
        <f t="shared" si="36"/>
        <v>MOMENTA FARMACEUTICA</v>
      </c>
      <c r="AK509" t="str">
        <f>IF(ISNUMBER(SEARCH("FABRICANTE",AC509)),"FABRICANTE",IF(ISNUMBER(SEARCH("IMPORTADOR",AC509)),"IMPORTADOR","OTRO"))</f>
        <v>IMPORTADOR</v>
      </c>
      <c r="AL509" t="str">
        <f>IF(LEFT(Y509,1)="A","Sistema digestivo",IF(LEFT(Y509,1)="B","Sangre",IF(LEFT(Y509,1)="C","Cardiovascular",IF(LEFT(Y509,1)="D","Dermatológico",IF(LEFT(Y509,1)="G","Genitourinario",IF(LEFT(Y509,1)="H","Hormonal",IF(LEFT(Y509,1)="J","Antiinfecciosos",IF(LEFT(Y509,1)="L","Oncológicos",IF(LEFT(Y509,1)="M","Musculoesquelético",IF(LEFT(Y509,1)="N","Sistema nervioso",IF(LEFT(Y509,1)="R","Respiratorio",IF(LEFT(Y509,1)="S","Oftálmico",IF(LEFT(Y509,1)="V","Varios","OTRO")))))))))))))</f>
        <v>Sistema nervioso</v>
      </c>
      <c r="AM509" t="str">
        <f>IF(AG509="Vigente","ACTIVO",IF(ISNUMBER(SEARCH("Inactivo",J509)),"INACTIVO","REVISAR"))</f>
        <v>ACTIVO</v>
      </c>
      <c r="AN509" t="str">
        <f ca="1">IF(OR(AF509="",AF509="null"),"",ROUND((AF509-TODAY())/365.25,2))</f>
        <v/>
      </c>
      <c r="AO509" t="str">
        <f ca="1">IF(AND(AG509="Vigente",OR(AF509="",AF509="null",AF509&gt;TODAY())),"SI",IF(AND(NOT(OR(AF509="",AF509="null")),AF509&lt;=TODAY()),"NO",IF(AG509="Vigente","SI","DESCONOCIDO")))</f>
        <v>SI</v>
      </c>
      <c r="AP509" t="str">
        <f>IF(AND(ISNUMBER(SEARCH("IMPORTAR",AA509)),ISNUMBER(SEARCH("FABRICAR",AA509))),"MIXTO",IF(ISNUMBER(SEARCH("IMPORTAR",AA509)),"IMPORTADO",IF(ISNUMBER(SEARCH("FABRICAR",AA509)),"LOCAL","OTRO")))</f>
        <v>IMPORTADO</v>
      </c>
      <c r="AQ509" t="str">
        <f>IF(AD509="Si","SI",IF(AD509="No","NO",""))</f>
        <v>SI</v>
      </c>
      <c r="AR509" t="str">
        <f>IF(ISNUMBER(SEARCH("®",N509)),"MARCA/INNOVADOR","GENERICO")</f>
        <v>MARCA/INNOVADOR</v>
      </c>
      <c r="AS509">
        <f ca="1">IF(AE509&gt;100,RANDBETWEEN(500,5000),IF(AND(AE509&gt;=10,AE509&lt;=100),RANDBETWEEN(100,1000),RANDBETWEEN(10,200)))</f>
        <v>501</v>
      </c>
      <c r="AT509">
        <f t="shared" ca="1" si="37"/>
        <v>55</v>
      </c>
      <c r="AU509">
        <f ca="1">INT(AS509*RANDBETWEEN(120,200)/100)</f>
        <v>931</v>
      </c>
      <c r="AV509" s="2">
        <f ca="1">IF(LEFT(Y509,1)="L",RANDBETWEEN(500000,5000000),IF(LEFT(Y509,1)="C",RANDBETWEEN(5000,50000),IF(LEFT(Y509,1)="N",RANDBETWEEN(10000,150000),IF(LEFT(Y509,1)="J",RANDBETWEEN(8000,200000),RANDBETWEEN(5000,100000)))))</f>
        <v>23272</v>
      </c>
      <c r="AW509" s="2">
        <f ca="1">INT(AV509*RANDBETWEEN(30,60)/100)</f>
        <v>13265</v>
      </c>
      <c r="AX509">
        <f ca="1">IF(Z509="ORAL",RANDBETWEEN(1000,10000),IF(OR(Z509="INTRAVENOSA",Z509="INTRAMUSCULAR"),RANDBETWEEN(100,2000),IF(OR(Z509="OFTÁLMICA",Z509="TOPICA (EXTERNA)"),RANDBETWEEN(200,3000),RANDBETWEEN(100,1500))))</f>
        <v>2175</v>
      </c>
      <c r="AY509" s="2">
        <f ca="1">INT(AV509*RANDBETWEEN(90,130)/100)</f>
        <v>23272</v>
      </c>
      <c r="AZ509" t="str">
        <f t="shared" ca="1" si="38"/>
        <v>15.6%</v>
      </c>
      <c r="BA509" t="str">
        <f t="shared" ca="1" si="39"/>
        <v>BAJO</v>
      </c>
    </row>
    <row r="510" spans="4:53" x14ac:dyDescent="0.35">
      <c r="D510" t="s">
        <v>3589</v>
      </c>
      <c r="E510" s="1">
        <v>39405</v>
      </c>
      <c r="F510" t="s">
        <v>2015</v>
      </c>
      <c r="G510" t="s">
        <v>108</v>
      </c>
      <c r="H510" t="s">
        <v>3590</v>
      </c>
      <c r="I510">
        <v>19983120</v>
      </c>
      <c r="J510" t="s">
        <v>110</v>
      </c>
      <c r="K510">
        <v>3</v>
      </c>
      <c r="L510" t="s">
        <v>27</v>
      </c>
      <c r="M510" t="s">
        <v>3591</v>
      </c>
      <c r="N510" t="s">
        <v>3592</v>
      </c>
      <c r="O510" t="s">
        <v>3593</v>
      </c>
      <c r="P510" t="s">
        <v>47</v>
      </c>
      <c r="Q510" s="1">
        <v>39393</v>
      </c>
      <c r="R510" t="s">
        <v>47</v>
      </c>
      <c r="S510" s="1">
        <v>42047</v>
      </c>
      <c r="T510" t="s">
        <v>2016</v>
      </c>
      <c r="U510" t="s">
        <v>115</v>
      </c>
      <c r="V510" t="s">
        <v>2021</v>
      </c>
      <c r="W510" t="s">
        <v>3594</v>
      </c>
      <c r="X510">
        <v>19983120</v>
      </c>
      <c r="Y510" t="s">
        <v>2023</v>
      </c>
      <c r="Z510" t="s">
        <v>119</v>
      </c>
      <c r="AA510" t="s">
        <v>32</v>
      </c>
      <c r="AB510" t="s">
        <v>120</v>
      </c>
      <c r="AC510" t="s">
        <v>25</v>
      </c>
      <c r="AD510" t="s">
        <v>121</v>
      </c>
      <c r="AE510">
        <v>21</v>
      </c>
      <c r="AF510" t="s">
        <v>27</v>
      </c>
      <c r="AG510" t="s">
        <v>26</v>
      </c>
      <c r="AH510" t="s">
        <v>2021</v>
      </c>
      <c r="AI510" t="str">
        <f t="shared" si="35"/>
        <v>NO</v>
      </c>
      <c r="AJ510" t="str">
        <f t="shared" si="36"/>
        <v>JANSSEN CILAG</v>
      </c>
      <c r="AK510" t="str">
        <f>IF(ISNUMBER(SEARCH("FABRICANTE",AC510)),"FABRICANTE",IF(ISNUMBER(SEARCH("IMPORTADOR",AC510)),"IMPORTADOR","OTRO"))</f>
        <v>FABRICANTE</v>
      </c>
      <c r="AL510" t="str">
        <f>IF(LEFT(Y510,1)="A","Sistema digestivo",IF(LEFT(Y510,1)="B","Sangre",IF(LEFT(Y510,1)="C","Cardiovascular",IF(LEFT(Y510,1)="D","Dermatológico",IF(LEFT(Y510,1)="G","Genitourinario",IF(LEFT(Y510,1)="H","Hormonal",IF(LEFT(Y510,1)="J","Antiinfecciosos",IF(LEFT(Y510,1)="L","Oncológicos",IF(LEFT(Y510,1)="M","Musculoesquelético",IF(LEFT(Y510,1)="N","Sistema nervioso",IF(LEFT(Y510,1)="R","Respiratorio",IF(LEFT(Y510,1)="S","Oftálmico",IF(LEFT(Y510,1)="V","Varios","OTRO")))))))))))))</f>
        <v>Sistema nervioso</v>
      </c>
      <c r="AM510" t="str">
        <f>IF(AG510="Vigente","ACTIVO",IF(ISNUMBER(SEARCH("Inactivo",J510)),"INACTIVO","REVISAR"))</f>
        <v>ACTIVO</v>
      </c>
      <c r="AN510" t="str">
        <f ca="1">IF(OR(AF510="",AF510="null"),"",ROUND((AF510-TODAY())/365.25,2))</f>
        <v/>
      </c>
      <c r="AO510" t="str">
        <f ca="1">IF(AND(AG510="Vigente",OR(AF510="",AF510="null",AF510&gt;TODAY())),"SI",IF(AND(NOT(OR(AF510="",AF510="null")),AF510&lt;=TODAY()),"NO",IF(AG510="Vigente","SI","DESCONOCIDO")))</f>
        <v>SI</v>
      </c>
      <c r="AP510" t="str">
        <f>IF(AND(ISNUMBER(SEARCH("IMPORTAR",AA510)),ISNUMBER(SEARCH("FABRICAR",AA510))),"MIXTO",IF(ISNUMBER(SEARCH("IMPORTAR",AA510)),"IMPORTADO",IF(ISNUMBER(SEARCH("FABRICAR",AA510)),"LOCAL","OTRO")))</f>
        <v>IMPORTADO</v>
      </c>
      <c r="AQ510" t="str">
        <f>IF(AD510="Si","SI",IF(AD510="No","NO",""))</f>
        <v>NO</v>
      </c>
      <c r="AR510" t="str">
        <f>IF(ISNUMBER(SEARCH("®",N510)),"MARCA/INNOVADOR","GENERICO")</f>
        <v>MARCA/INNOVADOR</v>
      </c>
      <c r="AS510">
        <f ca="1">IF(AE510&gt;100,RANDBETWEEN(500,5000),IF(AND(AE510&gt;=10,AE510&lt;=100),RANDBETWEEN(100,1000),RANDBETWEEN(10,200)))</f>
        <v>142</v>
      </c>
      <c r="AT510">
        <f t="shared" ca="1" si="37"/>
        <v>22</v>
      </c>
      <c r="AU510">
        <f ca="1">INT(AS510*RANDBETWEEN(120,200)/100)</f>
        <v>235</v>
      </c>
      <c r="AV510" s="2">
        <f ca="1">IF(LEFT(Y510,1)="L",RANDBETWEEN(500000,5000000),IF(LEFT(Y510,1)="C",RANDBETWEEN(5000,50000),IF(LEFT(Y510,1)="N",RANDBETWEEN(10000,150000),IF(LEFT(Y510,1)="J",RANDBETWEEN(8000,200000),RANDBETWEEN(5000,100000)))))</f>
        <v>38345</v>
      </c>
      <c r="AW510" s="2">
        <f ca="1">INT(AV510*RANDBETWEEN(30,60)/100)</f>
        <v>19939</v>
      </c>
      <c r="AX510">
        <f ca="1">IF(Z510="ORAL",RANDBETWEEN(1000,10000),IF(OR(Z510="INTRAVENOSA",Z510="INTRAMUSCULAR"),RANDBETWEEN(100,2000),IF(OR(Z510="OFTÁLMICA",Z510="TOPICA (EXTERNA)"),RANDBETWEEN(200,3000),RANDBETWEEN(100,1500))))</f>
        <v>3083</v>
      </c>
      <c r="AY510" s="2">
        <f ca="1">INT(AV510*RANDBETWEEN(90,130)/100)</f>
        <v>45630</v>
      </c>
      <c r="AZ510" t="str">
        <f t="shared" ca="1" si="38"/>
        <v>23%</v>
      </c>
      <c r="BA510" t="str">
        <f t="shared" ca="1" si="39"/>
        <v>ALTO</v>
      </c>
    </row>
    <row r="511" spans="4:53" x14ac:dyDescent="0.35">
      <c r="D511" t="s">
        <v>3595</v>
      </c>
      <c r="E511" s="1">
        <v>42325</v>
      </c>
      <c r="F511" t="s">
        <v>1303</v>
      </c>
      <c r="G511" t="s">
        <v>108</v>
      </c>
      <c r="H511" t="s">
        <v>1252</v>
      </c>
      <c r="I511">
        <v>20097680</v>
      </c>
      <c r="J511" t="s">
        <v>110</v>
      </c>
      <c r="K511">
        <v>2</v>
      </c>
      <c r="L511" t="s">
        <v>27</v>
      </c>
      <c r="M511" t="s">
        <v>3596</v>
      </c>
      <c r="N511" t="s">
        <v>3597</v>
      </c>
      <c r="O511" t="s">
        <v>3598</v>
      </c>
      <c r="P511" t="s">
        <v>3599</v>
      </c>
      <c r="Q511" s="1">
        <v>42304</v>
      </c>
      <c r="R511" t="s">
        <v>3600</v>
      </c>
      <c r="S511" s="1">
        <v>42318</v>
      </c>
      <c r="T511" t="s">
        <v>3601</v>
      </c>
      <c r="U511" t="s">
        <v>115</v>
      </c>
      <c r="V511" t="s">
        <v>2143</v>
      </c>
      <c r="W511">
        <v>200</v>
      </c>
      <c r="X511">
        <v>20097680</v>
      </c>
      <c r="Y511" t="s">
        <v>2144</v>
      </c>
      <c r="Z511" t="s">
        <v>1305</v>
      </c>
      <c r="AA511" t="s">
        <v>848</v>
      </c>
      <c r="AB511" t="s">
        <v>120</v>
      </c>
      <c r="AC511" t="s">
        <v>25</v>
      </c>
      <c r="AD511" t="s">
        <v>121</v>
      </c>
      <c r="AE511">
        <v>2</v>
      </c>
      <c r="AF511" t="s">
        <v>27</v>
      </c>
      <c r="AG511" t="s">
        <v>26</v>
      </c>
      <c r="AH511" t="s">
        <v>1303</v>
      </c>
      <c r="AI511" t="str">
        <f t="shared" si="35"/>
        <v>NO</v>
      </c>
      <c r="AJ511" t="str">
        <f t="shared" si="36"/>
        <v>GLOBAL INTERNACIONAL MEDICINE - GIMED</v>
      </c>
      <c r="AK511" t="str">
        <f>IF(ISNUMBER(SEARCH("FABRICANTE",AC511)),"FABRICANTE",IF(ISNUMBER(SEARCH("IMPORTADOR",AC511)),"IMPORTADOR","OTRO"))</f>
        <v>FABRICANTE</v>
      </c>
      <c r="AL511" t="str">
        <f>IF(LEFT(Y511,1)="A","Sistema digestivo",IF(LEFT(Y511,1)="B","Sangre",IF(LEFT(Y511,1)="C","Cardiovascular",IF(LEFT(Y511,1)="D","Dermatológico",IF(LEFT(Y511,1)="G","Genitourinario",IF(LEFT(Y511,1)="H","Hormonal",IF(LEFT(Y511,1)="J","Antiinfecciosos",IF(LEFT(Y511,1)="L","Oncológicos",IF(LEFT(Y511,1)="M","Musculoesquelético",IF(LEFT(Y511,1)="N","Sistema nervioso",IF(LEFT(Y511,1)="R","Respiratorio",IF(LEFT(Y511,1)="S","Oftálmico",IF(LEFT(Y511,1)="V","Varios","OTRO")))))))))))))</f>
        <v>Genitourinario</v>
      </c>
      <c r="AM511" t="str">
        <f>IF(AG511="Vigente","ACTIVO",IF(ISNUMBER(SEARCH("Inactivo",J511)),"INACTIVO","REVISAR"))</f>
        <v>ACTIVO</v>
      </c>
      <c r="AN511" t="str">
        <f ca="1">IF(OR(AF511="",AF511="null"),"",ROUND((AF511-TODAY())/365.25,2))</f>
        <v/>
      </c>
      <c r="AO511" t="str">
        <f ca="1">IF(AND(AG511="Vigente",OR(AF511="",AF511="null",AF511&gt;TODAY())),"SI",IF(AND(NOT(OR(AF511="",AF511="null")),AF511&lt;=TODAY()),"NO",IF(AG511="Vigente","SI","DESCONOCIDO")))</f>
        <v>SI</v>
      </c>
      <c r="AP511" t="str">
        <f>IF(AND(ISNUMBER(SEARCH("IMPORTAR",AA511)),ISNUMBER(SEARCH("FABRICAR",AA511))),"MIXTO",IF(ISNUMBER(SEARCH("IMPORTAR",AA511)),"IMPORTADO",IF(ISNUMBER(SEARCH("FABRICAR",AA511)),"LOCAL","OTRO")))</f>
        <v>IMPORTADO</v>
      </c>
      <c r="AQ511" t="str">
        <f>IF(AD511="Si","SI",IF(AD511="No","NO",""))</f>
        <v>NO</v>
      </c>
      <c r="AR511" t="str">
        <f>IF(ISNUMBER(SEARCH("®",N511)),"MARCA/INNOVADOR","GENERICO")</f>
        <v>GENERICO</v>
      </c>
      <c r="AS511">
        <f ca="1">IF(AE511&gt;100,RANDBETWEEN(500,5000),IF(AND(AE511&gt;=10,AE511&lt;=100),RANDBETWEEN(100,1000),RANDBETWEEN(10,200)))</f>
        <v>94</v>
      </c>
      <c r="AT511">
        <f t="shared" ca="1" si="37"/>
        <v>19</v>
      </c>
      <c r="AU511">
        <f ca="1">INT(AS511*RANDBETWEEN(120,200)/100)</f>
        <v>146</v>
      </c>
      <c r="AV511" s="2">
        <f ca="1">IF(LEFT(Y511,1)="L",RANDBETWEEN(500000,5000000),IF(LEFT(Y511,1)="C",RANDBETWEEN(5000,50000),IF(LEFT(Y511,1)="N",RANDBETWEEN(10000,150000),IF(LEFT(Y511,1)="J",RANDBETWEEN(8000,200000),RANDBETWEEN(5000,100000)))))</f>
        <v>10363</v>
      </c>
      <c r="AW511" s="2">
        <f ca="1">INT(AV511*RANDBETWEEN(30,60)/100)</f>
        <v>5906</v>
      </c>
      <c r="AX511">
        <f ca="1">IF(Z511="ORAL",RANDBETWEEN(1000,10000),IF(OR(Z511="INTRAVENOSA",Z511="INTRAMUSCULAR"),RANDBETWEEN(100,2000),IF(OR(Z511="OFTÁLMICA",Z511="TOPICA (EXTERNA)"),RANDBETWEEN(200,3000),RANDBETWEEN(100,1500))))</f>
        <v>853</v>
      </c>
      <c r="AY511" s="2">
        <f ca="1">INT(AV511*RANDBETWEEN(90,130)/100)</f>
        <v>11502</v>
      </c>
      <c r="AZ511" t="str">
        <f t="shared" ca="1" si="38"/>
        <v>5.9%</v>
      </c>
      <c r="BA511" t="str">
        <f t="shared" ca="1" si="39"/>
        <v>ALTO</v>
      </c>
    </row>
    <row r="512" spans="4:53" x14ac:dyDescent="0.35">
      <c r="D512" t="s">
        <v>3602</v>
      </c>
      <c r="E512" s="1">
        <v>45322</v>
      </c>
      <c r="F512" t="s">
        <v>3603</v>
      </c>
      <c r="G512" t="s">
        <v>108</v>
      </c>
      <c r="H512" t="s">
        <v>977</v>
      </c>
      <c r="I512">
        <v>20254461</v>
      </c>
      <c r="J512" t="s">
        <v>28</v>
      </c>
      <c r="K512">
        <v>11</v>
      </c>
      <c r="L512" t="s">
        <v>27</v>
      </c>
      <c r="M512" t="s">
        <v>3604</v>
      </c>
      <c r="N512" t="s">
        <v>3605</v>
      </c>
      <c r="O512" t="s">
        <v>3606</v>
      </c>
      <c r="P512" t="s">
        <v>3607</v>
      </c>
      <c r="Q512" s="1">
        <v>45289</v>
      </c>
      <c r="R512" t="s">
        <v>78</v>
      </c>
      <c r="S512" t="s">
        <v>27</v>
      </c>
      <c r="T512" t="s">
        <v>1256</v>
      </c>
      <c r="U512" t="s">
        <v>247</v>
      </c>
      <c r="V512" t="s">
        <v>3608</v>
      </c>
      <c r="W512" t="s">
        <v>3609</v>
      </c>
      <c r="X512">
        <v>20254461</v>
      </c>
      <c r="Y512" t="s">
        <v>3610</v>
      </c>
      <c r="Z512" t="s">
        <v>119</v>
      </c>
      <c r="AA512" t="s">
        <v>24</v>
      </c>
      <c r="AB512" t="s">
        <v>250</v>
      </c>
      <c r="AC512" t="s">
        <v>25</v>
      </c>
      <c r="AD512" t="s">
        <v>121</v>
      </c>
      <c r="AE512">
        <v>24</v>
      </c>
      <c r="AF512" s="1">
        <v>401769</v>
      </c>
      <c r="AG512" t="s">
        <v>26</v>
      </c>
      <c r="AH512" t="s">
        <v>6811</v>
      </c>
      <c r="AI512" t="str">
        <f t="shared" si="35"/>
        <v>NO</v>
      </c>
      <c r="AJ512" t="str">
        <f t="shared" si="36"/>
        <v>GENOMMA LAB COLOMBIA</v>
      </c>
      <c r="AK512" t="str">
        <f>IF(ISNUMBER(SEARCH("FABRICANTE",AC512)),"FABRICANTE",IF(ISNUMBER(SEARCH("IMPORTADOR",AC512)),"IMPORTADOR","OTRO"))</f>
        <v>FABRICANTE</v>
      </c>
      <c r="AL512" t="str">
        <f>IF(LEFT(Y512,1)="A","Sistema digestivo",IF(LEFT(Y512,1)="B","Sangre",IF(LEFT(Y512,1)="C","Cardiovascular",IF(LEFT(Y512,1)="D","Dermatológico",IF(LEFT(Y512,1)="G","Genitourinario",IF(LEFT(Y512,1)="H","Hormonal",IF(LEFT(Y512,1)="J","Antiinfecciosos",IF(LEFT(Y512,1)="L","Oncológicos",IF(LEFT(Y512,1)="M","Musculoesquelético",IF(LEFT(Y512,1)="N","Sistema nervioso",IF(LEFT(Y512,1)="R","Respiratorio",IF(LEFT(Y512,1)="S","Oftálmico",IF(LEFT(Y512,1)="V","Varios","OTRO")))))))))))))</f>
        <v>Sistema digestivo</v>
      </c>
      <c r="AM512" t="str">
        <f>IF(AG512="Vigente","ACTIVO",IF(ISNUMBER(SEARCH("Inactivo",J512)),"INACTIVO","REVISAR"))</f>
        <v>ACTIVO</v>
      </c>
      <c r="AN512">
        <f ca="1">IF(OR(AF512="",AF512="null"),"",ROUND((AF512-TODAY())/365.25,2))</f>
        <v>973.58</v>
      </c>
      <c r="AO512" t="str">
        <f ca="1">IF(AND(AG512="Vigente",OR(AF512="",AF512="null",AF512&gt;TODAY())),"SI",IF(AND(NOT(OR(AF512="",AF512="null")),AF512&lt;=TODAY()),"NO",IF(AG512="Vigente","SI","DESCONOCIDO")))</f>
        <v>SI</v>
      </c>
      <c r="AP512" t="str">
        <f>IF(AND(ISNUMBER(SEARCH("IMPORTAR",AA512)),ISNUMBER(SEARCH("FABRICAR",AA512))),"MIXTO",IF(ISNUMBER(SEARCH("IMPORTAR",AA512)),"IMPORTADO",IF(ISNUMBER(SEARCH("FABRICAR",AA512)),"LOCAL","OTRO")))</f>
        <v>LOCAL</v>
      </c>
      <c r="AQ512" t="str">
        <f>IF(AD512="Si","SI",IF(AD512="No","NO",""))</f>
        <v>NO</v>
      </c>
      <c r="AR512" t="str">
        <f>IF(ISNUMBER(SEARCH("®",N512)),"MARCA/INNOVADOR","GENERICO")</f>
        <v>MARCA/INNOVADOR</v>
      </c>
      <c r="AS512">
        <f ca="1">IF(AE512&gt;100,RANDBETWEEN(500,5000),IF(AND(AE512&gt;=10,AE512&lt;=100),RANDBETWEEN(100,1000),RANDBETWEEN(10,200)))</f>
        <v>142</v>
      </c>
      <c r="AT512">
        <f t="shared" ca="1" si="37"/>
        <v>18</v>
      </c>
      <c r="AU512">
        <f ca="1">INT(AS512*RANDBETWEEN(120,200)/100)</f>
        <v>228</v>
      </c>
      <c r="AV512" s="2">
        <f ca="1">IF(LEFT(Y512,1)="L",RANDBETWEEN(500000,5000000),IF(LEFT(Y512,1)="C",RANDBETWEEN(5000,50000),IF(LEFT(Y512,1)="N",RANDBETWEEN(10000,150000),IF(LEFT(Y512,1)="J",RANDBETWEEN(8000,200000),RANDBETWEEN(5000,100000)))))</f>
        <v>42893</v>
      </c>
      <c r="AW512" s="2">
        <f ca="1">INT(AV512*RANDBETWEEN(30,60)/100)</f>
        <v>17157</v>
      </c>
      <c r="AX512">
        <f ca="1">IF(Z512="ORAL",RANDBETWEEN(1000,10000),IF(OR(Z512="INTRAVENOSA",Z512="INTRAMUSCULAR"),RANDBETWEEN(100,2000),IF(OR(Z512="OFTÁLMICA",Z512="TOPICA (EXTERNA)"),RANDBETWEEN(200,3000),RANDBETWEEN(100,1500))))</f>
        <v>6601</v>
      </c>
      <c r="AY512" s="2">
        <f ca="1">INT(AV512*RANDBETWEEN(90,130)/100)</f>
        <v>52329</v>
      </c>
      <c r="AZ512" t="str">
        <f t="shared" ca="1" si="38"/>
        <v>22.5%</v>
      </c>
      <c r="BA512" t="str">
        <f t="shared" ca="1" si="39"/>
        <v>BAJO</v>
      </c>
    </row>
    <row r="513" spans="4:53" x14ac:dyDescent="0.35">
      <c r="D513" t="s">
        <v>3611</v>
      </c>
      <c r="E513" s="1">
        <v>35815</v>
      </c>
      <c r="F513" t="s">
        <v>3612</v>
      </c>
      <c r="G513" t="s">
        <v>108</v>
      </c>
      <c r="H513" t="s">
        <v>3613</v>
      </c>
      <c r="I513">
        <v>218588</v>
      </c>
      <c r="J513" t="s">
        <v>28</v>
      </c>
      <c r="K513">
        <v>11</v>
      </c>
      <c r="L513" t="s">
        <v>27</v>
      </c>
      <c r="M513" t="s">
        <v>3614</v>
      </c>
      <c r="N513" t="s">
        <v>3615</v>
      </c>
      <c r="O513" t="s">
        <v>3616</v>
      </c>
      <c r="P513" t="s">
        <v>33</v>
      </c>
      <c r="Q513" s="1">
        <v>44428</v>
      </c>
      <c r="R513" t="s">
        <v>33</v>
      </c>
      <c r="S513" t="s">
        <v>27</v>
      </c>
      <c r="T513" t="s">
        <v>1689</v>
      </c>
      <c r="U513" t="s">
        <v>781</v>
      </c>
      <c r="V513" t="s">
        <v>1696</v>
      </c>
      <c r="W513">
        <v>20</v>
      </c>
      <c r="X513">
        <v>218588</v>
      </c>
      <c r="Y513" t="s">
        <v>1697</v>
      </c>
      <c r="Z513" t="s">
        <v>119</v>
      </c>
      <c r="AA513" t="s">
        <v>32</v>
      </c>
      <c r="AB513" t="s">
        <v>120</v>
      </c>
      <c r="AC513" t="s">
        <v>25</v>
      </c>
      <c r="AD513" t="s">
        <v>121</v>
      </c>
      <c r="AE513">
        <v>30</v>
      </c>
      <c r="AF513" t="s">
        <v>27</v>
      </c>
      <c r="AG513" t="s">
        <v>26</v>
      </c>
      <c r="AH513" t="s">
        <v>6670</v>
      </c>
      <c r="AI513" t="str">
        <f t="shared" si="35"/>
        <v>NO</v>
      </c>
      <c r="AJ513" t="str">
        <f t="shared" si="36"/>
        <v>GLAXOSMITHKLINE COLOMBIA</v>
      </c>
      <c r="AK513" t="str">
        <f>IF(ISNUMBER(SEARCH("FABRICANTE",AC513)),"FABRICANTE",IF(ISNUMBER(SEARCH("IMPORTADOR",AC513)),"IMPORTADOR","OTRO"))</f>
        <v>FABRICANTE</v>
      </c>
      <c r="AL513" t="str">
        <f>IF(LEFT(Y513,1)="A","Sistema digestivo",IF(LEFT(Y513,1)="B","Sangre",IF(LEFT(Y513,1)="C","Cardiovascular",IF(LEFT(Y513,1)="D","Dermatológico",IF(LEFT(Y513,1)="G","Genitourinario",IF(LEFT(Y513,1)="H","Hormonal",IF(LEFT(Y513,1)="J","Antiinfecciosos",IF(LEFT(Y513,1)="L","Oncológicos",IF(LEFT(Y513,1)="M","Musculoesquelético",IF(LEFT(Y513,1)="N","Sistema nervioso",IF(LEFT(Y513,1)="R","Respiratorio",IF(LEFT(Y513,1)="S","Oftálmico",IF(LEFT(Y513,1)="V","Varios","OTRO")))))))))))))</f>
        <v>Sistema nervioso</v>
      </c>
      <c r="AM513" t="str">
        <f>IF(AG513="Vigente","ACTIVO",IF(ISNUMBER(SEARCH("Inactivo",J513)),"INACTIVO","REVISAR"))</f>
        <v>ACTIVO</v>
      </c>
      <c r="AN513" t="str">
        <f ca="1">IF(OR(AF513="",AF513="null"),"",ROUND((AF513-TODAY())/365.25,2))</f>
        <v/>
      </c>
      <c r="AO513" t="str">
        <f ca="1">IF(AND(AG513="Vigente",OR(AF513="",AF513="null",AF513&gt;TODAY())),"SI",IF(AND(NOT(OR(AF513="",AF513="null")),AF513&lt;=TODAY()),"NO",IF(AG513="Vigente","SI","DESCONOCIDO")))</f>
        <v>SI</v>
      </c>
      <c r="AP513" t="str">
        <f>IF(AND(ISNUMBER(SEARCH("IMPORTAR",AA513)),ISNUMBER(SEARCH("FABRICAR",AA513))),"MIXTO",IF(ISNUMBER(SEARCH("IMPORTAR",AA513)),"IMPORTADO",IF(ISNUMBER(SEARCH("FABRICAR",AA513)),"LOCAL","OTRO")))</f>
        <v>IMPORTADO</v>
      </c>
      <c r="AQ513" t="str">
        <f>IF(AD513="Si","SI",IF(AD513="No","NO",""))</f>
        <v>NO</v>
      </c>
      <c r="AR513" t="str">
        <f>IF(ISNUMBER(SEARCH("®",N513)),"MARCA/INNOVADOR","GENERICO")</f>
        <v>MARCA/INNOVADOR</v>
      </c>
      <c r="AS513">
        <f ca="1">IF(AE513&gt;100,RANDBETWEEN(500,5000),IF(AND(AE513&gt;=10,AE513&lt;=100),RANDBETWEEN(100,1000),RANDBETWEEN(10,200)))</f>
        <v>793</v>
      </c>
      <c r="AT513">
        <f t="shared" ca="1" si="37"/>
        <v>126</v>
      </c>
      <c r="AU513">
        <f ca="1">INT(AS513*RANDBETWEEN(120,200)/100)</f>
        <v>967</v>
      </c>
      <c r="AV513" s="2">
        <f ca="1">IF(LEFT(Y513,1)="L",RANDBETWEEN(500000,5000000),IF(LEFT(Y513,1)="C",RANDBETWEEN(5000,50000),IF(LEFT(Y513,1)="N",RANDBETWEEN(10000,150000),IF(LEFT(Y513,1)="J",RANDBETWEEN(8000,200000),RANDBETWEEN(5000,100000)))))</f>
        <v>136290</v>
      </c>
      <c r="AW513" s="2">
        <f ca="1">INT(AV513*RANDBETWEEN(30,60)/100)</f>
        <v>59967</v>
      </c>
      <c r="AX513">
        <f ca="1">IF(Z513="ORAL",RANDBETWEEN(1000,10000),IF(OR(Z513="INTRAVENOSA",Z513="INTRAMUSCULAR"),RANDBETWEEN(100,2000),IF(OR(Z513="OFTÁLMICA",Z513="TOPICA (EXTERNA)"),RANDBETWEEN(200,3000),RANDBETWEEN(100,1500))))</f>
        <v>9892</v>
      </c>
      <c r="AY513" s="2">
        <f ca="1">INT(AV513*RANDBETWEEN(90,130)/100)</f>
        <v>128112</v>
      </c>
      <c r="AZ513" t="str">
        <f t="shared" ca="1" si="38"/>
        <v>20.1%</v>
      </c>
      <c r="BA513" t="str">
        <f t="shared" ca="1" si="39"/>
        <v>BAJO</v>
      </c>
    </row>
    <row r="514" spans="4:53" x14ac:dyDescent="0.35">
      <c r="D514" t="s">
        <v>3617</v>
      </c>
      <c r="E514" s="1">
        <v>43683</v>
      </c>
      <c r="F514" t="s">
        <v>3618</v>
      </c>
      <c r="G514" t="s">
        <v>108</v>
      </c>
      <c r="H514" t="s">
        <v>52</v>
      </c>
      <c r="I514">
        <v>20130178</v>
      </c>
      <c r="J514" t="s">
        <v>110</v>
      </c>
      <c r="K514">
        <v>8</v>
      </c>
      <c r="L514" t="s">
        <v>27</v>
      </c>
      <c r="M514" t="s">
        <v>3619</v>
      </c>
      <c r="N514" t="s">
        <v>3620</v>
      </c>
      <c r="O514" t="s">
        <v>3621</v>
      </c>
      <c r="P514" t="s">
        <v>97</v>
      </c>
      <c r="Q514" s="1">
        <v>43587</v>
      </c>
      <c r="R514" t="s">
        <v>574</v>
      </c>
      <c r="S514" s="1">
        <v>43641</v>
      </c>
      <c r="T514" t="s">
        <v>52</v>
      </c>
      <c r="U514" t="s">
        <v>115</v>
      </c>
      <c r="V514" t="s">
        <v>3622</v>
      </c>
      <c r="W514">
        <v>20</v>
      </c>
      <c r="X514">
        <v>20130178</v>
      </c>
      <c r="Y514" t="s">
        <v>3623</v>
      </c>
      <c r="Z514" t="s">
        <v>119</v>
      </c>
      <c r="AA514" t="s">
        <v>32</v>
      </c>
      <c r="AB514" t="s">
        <v>120</v>
      </c>
      <c r="AC514" t="s">
        <v>38</v>
      </c>
      <c r="AD514" t="s">
        <v>155</v>
      </c>
      <c r="AE514">
        <v>15</v>
      </c>
      <c r="AF514" t="s">
        <v>27</v>
      </c>
      <c r="AG514" t="s">
        <v>26</v>
      </c>
      <c r="AH514" t="s">
        <v>3622</v>
      </c>
      <c r="AI514" t="str">
        <f t="shared" si="35"/>
        <v>SI</v>
      </c>
      <c r="AJ514" t="str">
        <f t="shared" si="36"/>
        <v>ALTADIS FARMACEUTICA</v>
      </c>
      <c r="AK514" t="str">
        <f>IF(ISNUMBER(SEARCH("FABRICANTE",AC514)),"FABRICANTE",IF(ISNUMBER(SEARCH("IMPORTADOR",AC514)),"IMPORTADOR","OTRO"))</f>
        <v>IMPORTADOR</v>
      </c>
      <c r="AL514" t="str">
        <f>IF(LEFT(Y514,1)="A","Sistema digestivo",IF(LEFT(Y514,1)="B","Sangre",IF(LEFT(Y514,1)="C","Cardiovascular",IF(LEFT(Y514,1)="D","Dermatológico",IF(LEFT(Y514,1)="G","Genitourinario",IF(LEFT(Y514,1)="H","Hormonal",IF(LEFT(Y514,1)="J","Antiinfecciosos",IF(LEFT(Y514,1)="L","Oncológicos",IF(LEFT(Y514,1)="M","Musculoesquelético",IF(LEFT(Y514,1)="N","Sistema nervioso",IF(LEFT(Y514,1)="R","Respiratorio",IF(LEFT(Y514,1)="S","Oftálmico",IF(LEFT(Y514,1)="V","Varios","OTRO")))))))))))))</f>
        <v>Cardiovascular</v>
      </c>
      <c r="AM514" t="str">
        <f>IF(AG514="Vigente","ACTIVO",IF(ISNUMBER(SEARCH("Inactivo",J514)),"INACTIVO","REVISAR"))</f>
        <v>ACTIVO</v>
      </c>
      <c r="AN514" t="str">
        <f ca="1">IF(OR(AF514="",AF514="null"),"",ROUND((AF514-TODAY())/365.25,2))</f>
        <v/>
      </c>
      <c r="AO514" t="str">
        <f ca="1">IF(AND(AG514="Vigente",OR(AF514="",AF514="null",AF514&gt;TODAY())),"SI",IF(AND(NOT(OR(AF514="",AF514="null")),AF514&lt;=TODAY()),"NO",IF(AG514="Vigente","SI","DESCONOCIDO")))</f>
        <v>SI</v>
      </c>
      <c r="AP514" t="str">
        <f>IF(AND(ISNUMBER(SEARCH("IMPORTAR",AA514)),ISNUMBER(SEARCH("FABRICAR",AA514))),"MIXTO",IF(ISNUMBER(SEARCH("IMPORTAR",AA514)),"IMPORTADO",IF(ISNUMBER(SEARCH("FABRICAR",AA514)),"LOCAL","OTRO")))</f>
        <v>IMPORTADO</v>
      </c>
      <c r="AQ514" t="str">
        <f>IF(AD514="Si","SI",IF(AD514="No","NO",""))</f>
        <v>SI</v>
      </c>
      <c r="AR514" t="str">
        <f>IF(ISNUMBER(SEARCH("®",N514)),"MARCA/INNOVADOR","GENERICO")</f>
        <v>GENERICO</v>
      </c>
      <c r="AS514">
        <f ca="1">IF(AE514&gt;100,RANDBETWEEN(500,5000),IF(AND(AE514&gt;=10,AE514&lt;=100),RANDBETWEEN(100,1000),RANDBETWEEN(10,200)))</f>
        <v>365</v>
      </c>
      <c r="AT514">
        <f t="shared" ca="1" si="37"/>
        <v>73</v>
      </c>
      <c r="AU514">
        <f ca="1">INT(AS514*RANDBETWEEN(120,200)/100)</f>
        <v>485</v>
      </c>
      <c r="AV514" s="2">
        <f ca="1">IF(LEFT(Y514,1)="L",RANDBETWEEN(500000,5000000),IF(LEFT(Y514,1)="C",RANDBETWEEN(5000,50000),IF(LEFT(Y514,1)="N",RANDBETWEEN(10000,150000),IF(LEFT(Y514,1)="J",RANDBETWEEN(8000,200000),RANDBETWEEN(5000,100000)))))</f>
        <v>26146</v>
      </c>
      <c r="AW514" s="2">
        <f ca="1">INT(AV514*RANDBETWEEN(30,60)/100)</f>
        <v>8366</v>
      </c>
      <c r="AX514">
        <f ca="1">IF(Z514="ORAL",RANDBETWEEN(1000,10000),IF(OR(Z514="INTRAVENOSA",Z514="INTRAMUSCULAR"),RANDBETWEEN(100,2000),IF(OR(Z514="OFTÁLMICA",Z514="TOPICA (EXTERNA)"),RANDBETWEEN(200,3000),RANDBETWEEN(100,1500))))</f>
        <v>2290</v>
      </c>
      <c r="AY514" s="2">
        <f ca="1">INT(AV514*RANDBETWEEN(90,130)/100)</f>
        <v>28760</v>
      </c>
      <c r="AZ514" t="str">
        <f t="shared" ca="1" si="38"/>
        <v>12.5%</v>
      </c>
      <c r="BA514" t="str">
        <f t="shared" ca="1" si="39"/>
        <v>ALTO</v>
      </c>
    </row>
    <row r="515" spans="4:53" x14ac:dyDescent="0.35">
      <c r="D515" t="s">
        <v>3624</v>
      </c>
      <c r="E515" s="1">
        <v>42794</v>
      </c>
      <c r="F515" t="s">
        <v>660</v>
      </c>
      <c r="G515" t="s">
        <v>108</v>
      </c>
      <c r="H515" t="s">
        <v>624</v>
      </c>
      <c r="I515">
        <v>20097771</v>
      </c>
      <c r="J515" t="s">
        <v>110</v>
      </c>
      <c r="K515">
        <v>6</v>
      </c>
      <c r="L515" t="s">
        <v>27</v>
      </c>
      <c r="M515" t="s">
        <v>1712</v>
      </c>
      <c r="N515" t="s">
        <v>1713</v>
      </c>
      <c r="O515" t="s">
        <v>3625</v>
      </c>
      <c r="P515" t="s">
        <v>33</v>
      </c>
      <c r="Q515" s="1">
        <v>42409</v>
      </c>
      <c r="R515" t="s">
        <v>33</v>
      </c>
      <c r="S515" s="1">
        <v>43158</v>
      </c>
      <c r="T515" t="s">
        <v>624</v>
      </c>
      <c r="U515" t="s">
        <v>115</v>
      </c>
      <c r="V515" t="s">
        <v>1715</v>
      </c>
      <c r="W515">
        <v>160</v>
      </c>
      <c r="X515">
        <v>20097771</v>
      </c>
      <c r="Y515" t="s">
        <v>1716</v>
      </c>
      <c r="Z515" t="s">
        <v>119</v>
      </c>
      <c r="AA515" t="s">
        <v>32</v>
      </c>
      <c r="AB515" t="s">
        <v>120</v>
      </c>
      <c r="AC515" t="s">
        <v>38</v>
      </c>
      <c r="AD515" t="s">
        <v>155</v>
      </c>
      <c r="AE515">
        <v>28</v>
      </c>
      <c r="AF515" t="s">
        <v>27</v>
      </c>
      <c r="AG515" t="s">
        <v>26</v>
      </c>
      <c r="AH515" t="s">
        <v>660</v>
      </c>
      <c r="AI515" t="str">
        <f t="shared" ref="AI515:AI578" si="40">IF(OR(ISNUMBER(SEARCH("+",F515)),ISNUMBER(SEARCH(".",F515))),"SI","NO")</f>
        <v>NO</v>
      </c>
      <c r="AJ515" t="str">
        <f t="shared" ref="AJ515:AJ578" si="4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515)," S.A.S.",""),"S.A.S.","")," S.A.S",""),"S.A.S","")," S.A.C.I.","")," S.A.C.I","")," SAS","")," S.A.","")," S.A","")," LTDA.","")," LTDA","")," LIMITED","")," LTD.","")," LTD","")," INC.","")," INC","")," GMBH &amp; CO. KG.","")," GMBH","")," LLC","")," A.G.","")," A.G","")," A/S","")," S.R.L.","")," S.R.L","")," S.P.A.","")," DE C.V.","")," AG",""),"  "," "))</f>
        <v>GALENICUM HEALTH COLOMBIA</v>
      </c>
      <c r="AK515" t="str">
        <f>IF(ISNUMBER(SEARCH("FABRICANTE",AC515)),"FABRICANTE",IF(ISNUMBER(SEARCH("IMPORTADOR",AC515)),"IMPORTADOR","OTRO"))</f>
        <v>IMPORTADOR</v>
      </c>
      <c r="AL515" t="str">
        <f>IF(LEFT(Y515,1)="A","Sistema digestivo",IF(LEFT(Y515,1)="B","Sangre",IF(LEFT(Y515,1)="C","Cardiovascular",IF(LEFT(Y515,1)="D","Dermatológico",IF(LEFT(Y515,1)="G","Genitourinario",IF(LEFT(Y515,1)="H","Hormonal",IF(LEFT(Y515,1)="J","Antiinfecciosos",IF(LEFT(Y515,1)="L","Oncológicos",IF(LEFT(Y515,1)="M","Musculoesquelético",IF(LEFT(Y515,1)="N","Sistema nervioso",IF(LEFT(Y515,1)="R","Respiratorio",IF(LEFT(Y515,1)="S","Oftálmico",IF(LEFT(Y515,1)="V","Varios","OTRO")))))))))))))</f>
        <v>Cardiovascular</v>
      </c>
      <c r="AM515" t="str">
        <f>IF(AG515="Vigente","ACTIVO",IF(ISNUMBER(SEARCH("Inactivo",J515)),"INACTIVO","REVISAR"))</f>
        <v>ACTIVO</v>
      </c>
      <c r="AN515" t="str">
        <f ca="1">IF(OR(AF515="",AF515="null"),"",ROUND((AF515-TODAY())/365.25,2))</f>
        <v/>
      </c>
      <c r="AO515" t="str">
        <f ca="1">IF(AND(AG515="Vigente",OR(AF515="",AF515="null",AF515&gt;TODAY())),"SI",IF(AND(NOT(OR(AF515="",AF515="null")),AF515&lt;=TODAY()),"NO",IF(AG515="Vigente","SI","DESCONOCIDO")))</f>
        <v>SI</v>
      </c>
      <c r="AP515" t="str">
        <f>IF(AND(ISNUMBER(SEARCH("IMPORTAR",AA515)),ISNUMBER(SEARCH("FABRICAR",AA515))),"MIXTO",IF(ISNUMBER(SEARCH("IMPORTAR",AA515)),"IMPORTADO",IF(ISNUMBER(SEARCH("FABRICAR",AA515)),"LOCAL","OTRO")))</f>
        <v>IMPORTADO</v>
      </c>
      <c r="AQ515" t="str">
        <f>IF(AD515="Si","SI",IF(AD515="No","NO",""))</f>
        <v>SI</v>
      </c>
      <c r="AR515" t="str">
        <f>IF(ISNUMBER(SEARCH("®",N515)),"MARCA/INNOVADOR","GENERICO")</f>
        <v>MARCA/INNOVADOR</v>
      </c>
      <c r="AS515">
        <f ca="1">IF(AE515&gt;100,RANDBETWEEN(500,5000),IF(AND(AE515&gt;=10,AE515&lt;=100),RANDBETWEEN(100,1000),RANDBETWEEN(10,200)))</f>
        <v>200</v>
      </c>
      <c r="AT515">
        <f t="shared" ref="AT515:AT578" ca="1" si="42">INT(AS515*RANDBETWEEN(10,30)/100)</f>
        <v>60</v>
      </c>
      <c r="AU515">
        <f ca="1">INT(AS515*RANDBETWEEN(120,200)/100)</f>
        <v>244</v>
      </c>
      <c r="AV515" s="2">
        <f ca="1">IF(LEFT(Y515,1)="L",RANDBETWEEN(500000,5000000),IF(LEFT(Y515,1)="C",RANDBETWEEN(5000,50000),IF(LEFT(Y515,1)="N",RANDBETWEEN(10000,150000),IF(LEFT(Y515,1)="J",RANDBETWEEN(8000,200000),RANDBETWEEN(5000,100000)))))</f>
        <v>13630</v>
      </c>
      <c r="AW515" s="2">
        <f ca="1">INT(AV515*RANDBETWEEN(30,60)/100)</f>
        <v>7905</v>
      </c>
      <c r="AX515">
        <f ca="1">IF(Z515="ORAL",RANDBETWEEN(1000,10000),IF(OR(Z515="INTRAVENOSA",Z515="INTRAMUSCULAR"),RANDBETWEEN(100,2000),IF(OR(Z515="OFTÁLMICA",Z515="TOPICA (EXTERNA)"),RANDBETWEEN(200,3000),RANDBETWEEN(100,1500))))</f>
        <v>2112</v>
      </c>
      <c r="AY515" s="2">
        <f ca="1">INT(AV515*RANDBETWEEN(90,130)/100)</f>
        <v>13493</v>
      </c>
      <c r="AZ515" t="str">
        <f t="shared" ref="AZ515:AZ578" ca="1" si="43">IF(Z515="ORAL",RANDBETWEEN(50,250)/10,IF(OR(Z515="TOPICA (EXTERNA)",Z515="OFTÁLMICA"),RANDBETWEEN(20,150)/10,IF(OR(Z515="SUBCUTANEA",Z515="INTRAMUSCULAR"),RANDBETWEEN(10,100)/10,IF(Z515="INTRAVENOSA",RANDBETWEEN(1,50)/10,RANDBETWEEN(5,80)/10))))&amp;"%"</f>
        <v>11.4%</v>
      </c>
      <c r="BA515" t="str">
        <f t="shared" ref="BA515:BA578" ca="1" si="44">IF(OR(AG515&lt;&gt;"Vigente",AND(ISNUMBER(AF515),AF515&lt;TODAY()),AND(J515="Inactivo",NOT(ISNUMBER(AF515)))),"ALTO",IF(OR(AND(J515="Inactivo",ISNUMBER(AF515)),AND(ISNUMBER(AF515),AF515&gt;TODAY(),AF515&lt;=TODAY()+1825)),"MEDIO","BAJO"))</f>
        <v>ALTO</v>
      </c>
    </row>
    <row r="516" spans="4:53" x14ac:dyDescent="0.35">
      <c r="D516" t="s">
        <v>3626</v>
      </c>
      <c r="E516" s="1">
        <v>39778</v>
      </c>
      <c r="F516" t="s">
        <v>1510</v>
      </c>
      <c r="G516" t="s">
        <v>108</v>
      </c>
      <c r="H516" t="s">
        <v>109</v>
      </c>
      <c r="I516">
        <v>19991802</v>
      </c>
      <c r="J516" t="s">
        <v>28</v>
      </c>
      <c r="K516">
        <v>5</v>
      </c>
      <c r="L516" t="s">
        <v>3627</v>
      </c>
      <c r="M516" t="s">
        <v>3628</v>
      </c>
      <c r="N516" t="s">
        <v>3629</v>
      </c>
      <c r="O516" t="s">
        <v>3630</v>
      </c>
      <c r="P516" t="s">
        <v>33</v>
      </c>
      <c r="Q516" s="1">
        <v>44049</v>
      </c>
      <c r="R516" t="s">
        <v>33</v>
      </c>
      <c r="S516" t="s">
        <v>27</v>
      </c>
      <c r="T516" t="s">
        <v>464</v>
      </c>
      <c r="U516" t="s">
        <v>115</v>
      </c>
      <c r="V516" t="s">
        <v>1514</v>
      </c>
      <c r="W516">
        <v>120</v>
      </c>
      <c r="X516">
        <v>19991802</v>
      </c>
      <c r="Y516" t="s">
        <v>1515</v>
      </c>
      <c r="Z516" t="s">
        <v>119</v>
      </c>
      <c r="AA516" t="s">
        <v>24</v>
      </c>
      <c r="AB516" t="s">
        <v>120</v>
      </c>
      <c r="AC516" t="s">
        <v>25</v>
      </c>
      <c r="AD516" t="s">
        <v>121</v>
      </c>
      <c r="AE516">
        <v>1000</v>
      </c>
      <c r="AF516" t="s">
        <v>27</v>
      </c>
      <c r="AG516" t="s">
        <v>26</v>
      </c>
      <c r="AH516" t="s">
        <v>1510</v>
      </c>
      <c r="AI516" t="str">
        <f t="shared" si="40"/>
        <v>NO</v>
      </c>
      <c r="AJ516" t="str">
        <f t="shared" si="41"/>
        <v>MEGALABS COLOMBIA</v>
      </c>
      <c r="AK516" t="str">
        <f>IF(ISNUMBER(SEARCH("FABRICANTE",AC516)),"FABRICANTE",IF(ISNUMBER(SEARCH("IMPORTADOR",AC516)),"IMPORTADOR","OTRO"))</f>
        <v>FABRICANTE</v>
      </c>
      <c r="AL516" t="str">
        <f>IF(LEFT(Y516,1)="A","Sistema digestivo",IF(LEFT(Y516,1)="B","Sangre",IF(LEFT(Y516,1)="C","Cardiovascular",IF(LEFT(Y516,1)="D","Dermatológico",IF(LEFT(Y516,1)="G","Genitourinario",IF(LEFT(Y516,1)="H","Hormonal",IF(LEFT(Y516,1)="J","Antiinfecciosos",IF(LEFT(Y516,1)="L","Oncológicos",IF(LEFT(Y516,1)="M","Musculoesquelético",IF(LEFT(Y516,1)="N","Sistema nervioso",IF(LEFT(Y516,1)="R","Respiratorio",IF(LEFT(Y516,1)="S","Oftálmico",IF(LEFT(Y516,1)="V","Varios","OTRO")))))))))))))</f>
        <v>Respiratorio</v>
      </c>
      <c r="AM516" t="str">
        <f>IF(AG516="Vigente","ACTIVO",IF(ISNUMBER(SEARCH("Inactivo",J516)),"INACTIVO","REVISAR"))</f>
        <v>ACTIVO</v>
      </c>
      <c r="AN516" t="str">
        <f ca="1">IF(OR(AF516="",AF516="null"),"",ROUND((AF516-TODAY())/365.25,2))</f>
        <v/>
      </c>
      <c r="AO516" t="str">
        <f ca="1">IF(AND(AG516="Vigente",OR(AF516="",AF516="null",AF516&gt;TODAY())),"SI",IF(AND(NOT(OR(AF516="",AF516="null")),AF516&lt;=TODAY()),"NO",IF(AG516="Vigente","SI","DESCONOCIDO")))</f>
        <v>SI</v>
      </c>
      <c r="AP516" t="str">
        <f>IF(AND(ISNUMBER(SEARCH("IMPORTAR",AA516)),ISNUMBER(SEARCH("FABRICAR",AA516))),"MIXTO",IF(ISNUMBER(SEARCH("IMPORTAR",AA516)),"IMPORTADO",IF(ISNUMBER(SEARCH("FABRICAR",AA516)),"LOCAL","OTRO")))</f>
        <v>LOCAL</v>
      </c>
      <c r="AQ516" t="str">
        <f>IF(AD516="Si","SI",IF(AD516="No","NO",""))</f>
        <v>NO</v>
      </c>
      <c r="AR516" t="str">
        <f>IF(ISNUMBER(SEARCH("®",N516)),"MARCA/INNOVADOR","GENERICO")</f>
        <v>MARCA/INNOVADOR</v>
      </c>
      <c r="AS516">
        <f ca="1">IF(AE516&gt;100,RANDBETWEEN(500,5000),IF(AND(AE516&gt;=10,AE516&lt;=100),RANDBETWEEN(100,1000),RANDBETWEEN(10,200)))</f>
        <v>3159</v>
      </c>
      <c r="AT516">
        <f t="shared" ca="1" si="42"/>
        <v>663</v>
      </c>
      <c r="AU516">
        <f ca="1">INT(AS516*RANDBETWEEN(120,200)/100)</f>
        <v>4264</v>
      </c>
      <c r="AV516" s="2">
        <f ca="1">IF(LEFT(Y516,1)="L",RANDBETWEEN(500000,5000000),IF(LEFT(Y516,1)="C",RANDBETWEEN(5000,50000),IF(LEFT(Y516,1)="N",RANDBETWEEN(10000,150000),IF(LEFT(Y516,1)="J",RANDBETWEEN(8000,200000),RANDBETWEEN(5000,100000)))))</f>
        <v>5988</v>
      </c>
      <c r="AW516" s="2">
        <f ca="1">INT(AV516*RANDBETWEEN(30,60)/100)</f>
        <v>3173</v>
      </c>
      <c r="AX516">
        <f ca="1">IF(Z516="ORAL",RANDBETWEEN(1000,10000),IF(OR(Z516="INTRAVENOSA",Z516="INTRAMUSCULAR"),RANDBETWEEN(100,2000),IF(OR(Z516="OFTÁLMICA",Z516="TOPICA (EXTERNA)"),RANDBETWEEN(200,3000),RANDBETWEEN(100,1500))))</f>
        <v>9720</v>
      </c>
      <c r="AY516" s="2">
        <f ca="1">INT(AV516*RANDBETWEEN(90,130)/100)</f>
        <v>7005</v>
      </c>
      <c r="AZ516" t="str">
        <f t="shared" ca="1" si="43"/>
        <v>19.6%</v>
      </c>
      <c r="BA516" t="str">
        <f t="shared" ca="1" si="44"/>
        <v>BAJO</v>
      </c>
    </row>
    <row r="517" spans="4:53" x14ac:dyDescent="0.35">
      <c r="D517" t="s">
        <v>3631</v>
      </c>
      <c r="E517" s="1">
        <v>36161</v>
      </c>
      <c r="F517" t="s">
        <v>3632</v>
      </c>
      <c r="G517" t="s">
        <v>108</v>
      </c>
      <c r="H517" t="s">
        <v>1700</v>
      </c>
      <c r="I517">
        <v>19903694</v>
      </c>
      <c r="J517" t="s">
        <v>28</v>
      </c>
      <c r="K517">
        <v>10</v>
      </c>
      <c r="L517" t="s">
        <v>27</v>
      </c>
      <c r="M517" t="s">
        <v>3633</v>
      </c>
      <c r="N517" t="s">
        <v>3634</v>
      </c>
      <c r="O517" t="s">
        <v>3635</v>
      </c>
      <c r="P517" t="s">
        <v>3636</v>
      </c>
      <c r="Q517" s="1">
        <v>44729</v>
      </c>
      <c r="R517" t="s">
        <v>50</v>
      </c>
      <c r="S517" t="s">
        <v>27</v>
      </c>
      <c r="T517" t="s">
        <v>2030</v>
      </c>
      <c r="U517" t="s">
        <v>115</v>
      </c>
      <c r="V517" t="s">
        <v>3637</v>
      </c>
      <c r="W517">
        <v>20</v>
      </c>
      <c r="X517">
        <v>19903694</v>
      </c>
      <c r="Y517" t="s">
        <v>3638</v>
      </c>
      <c r="Z517" t="s">
        <v>213</v>
      </c>
      <c r="AA517" t="s">
        <v>24</v>
      </c>
      <c r="AB517" t="s">
        <v>120</v>
      </c>
      <c r="AC517" t="s">
        <v>25</v>
      </c>
      <c r="AD517" t="s">
        <v>121</v>
      </c>
      <c r="AE517">
        <v>25</v>
      </c>
      <c r="AF517" t="s">
        <v>27</v>
      </c>
      <c r="AG517" t="s">
        <v>26</v>
      </c>
      <c r="AH517" t="s">
        <v>3632</v>
      </c>
      <c r="AI517" t="str">
        <f t="shared" si="40"/>
        <v>NO</v>
      </c>
      <c r="AJ517" t="str">
        <f t="shared" si="41"/>
        <v>LABORATORIOS RYAN DE COLOMBIA S.EN C.</v>
      </c>
      <c r="AK517" t="str">
        <f>IF(ISNUMBER(SEARCH("FABRICANTE",AC517)),"FABRICANTE",IF(ISNUMBER(SEARCH("IMPORTADOR",AC517)),"IMPORTADOR","OTRO"))</f>
        <v>FABRICANTE</v>
      </c>
      <c r="AL517" t="str">
        <f>IF(LEFT(Y517,1)="A","Sistema digestivo",IF(LEFT(Y517,1)="B","Sangre",IF(LEFT(Y517,1)="C","Cardiovascular",IF(LEFT(Y517,1)="D","Dermatológico",IF(LEFT(Y517,1)="G","Genitourinario",IF(LEFT(Y517,1)="H","Hormonal",IF(LEFT(Y517,1)="J","Antiinfecciosos",IF(LEFT(Y517,1)="L","Oncológicos",IF(LEFT(Y517,1)="M","Musculoesquelético",IF(LEFT(Y517,1)="N","Sistema nervioso",IF(LEFT(Y517,1)="R","Respiratorio",IF(LEFT(Y517,1)="S","Oftálmico",IF(LEFT(Y517,1)="V","Varios","OTRO")))))))))))))</f>
        <v>Sistema digestivo</v>
      </c>
      <c r="AM517" t="str">
        <f>IF(AG517="Vigente","ACTIVO",IF(ISNUMBER(SEARCH("Inactivo",J517)),"INACTIVO","REVISAR"))</f>
        <v>ACTIVO</v>
      </c>
      <c r="AN517" t="str">
        <f ca="1">IF(OR(AF517="",AF517="null"),"",ROUND((AF517-TODAY())/365.25,2))</f>
        <v/>
      </c>
      <c r="AO517" t="str">
        <f ca="1">IF(AND(AG517="Vigente",OR(AF517="",AF517="null",AF517&gt;TODAY())),"SI",IF(AND(NOT(OR(AF517="",AF517="null")),AF517&lt;=TODAY()),"NO",IF(AG517="Vigente","SI","DESCONOCIDO")))</f>
        <v>SI</v>
      </c>
      <c r="AP517" t="str">
        <f>IF(AND(ISNUMBER(SEARCH("IMPORTAR",AA517)),ISNUMBER(SEARCH("FABRICAR",AA517))),"MIXTO",IF(ISNUMBER(SEARCH("IMPORTAR",AA517)),"IMPORTADO",IF(ISNUMBER(SEARCH("FABRICAR",AA517)),"LOCAL","OTRO")))</f>
        <v>LOCAL</v>
      </c>
      <c r="AQ517" t="str">
        <f>IF(AD517="Si","SI",IF(AD517="No","NO",""))</f>
        <v>NO</v>
      </c>
      <c r="AR517" t="str">
        <f>IF(ISNUMBER(SEARCH("®",N517)),"MARCA/INNOVADOR","GENERICO")</f>
        <v>GENERICO</v>
      </c>
      <c r="AS517">
        <f ca="1">IF(AE517&gt;100,RANDBETWEEN(500,5000),IF(AND(AE517&gt;=10,AE517&lt;=100),RANDBETWEEN(100,1000),RANDBETWEEN(10,200)))</f>
        <v>682</v>
      </c>
      <c r="AT517">
        <f t="shared" ca="1" si="42"/>
        <v>184</v>
      </c>
      <c r="AU517">
        <f ca="1">INT(AS517*RANDBETWEEN(120,200)/100)</f>
        <v>1043</v>
      </c>
      <c r="AV517" s="2">
        <f ca="1">IF(LEFT(Y517,1)="L",RANDBETWEEN(500000,5000000),IF(LEFT(Y517,1)="C",RANDBETWEEN(5000,50000),IF(LEFT(Y517,1)="N",RANDBETWEEN(10000,150000),IF(LEFT(Y517,1)="J",RANDBETWEEN(8000,200000),RANDBETWEEN(5000,100000)))))</f>
        <v>51745</v>
      </c>
      <c r="AW517" s="2">
        <f ca="1">INT(AV517*RANDBETWEEN(30,60)/100)</f>
        <v>21215</v>
      </c>
      <c r="AX517">
        <f ca="1">IF(Z517="ORAL",RANDBETWEEN(1000,10000),IF(OR(Z517="INTRAVENOSA",Z517="INTRAMUSCULAR"),RANDBETWEEN(100,2000),IF(OR(Z517="OFTÁLMICA",Z517="TOPICA (EXTERNA)"),RANDBETWEEN(200,3000),RANDBETWEEN(100,1500))))</f>
        <v>1093</v>
      </c>
      <c r="AY517" s="2">
        <f ca="1">INT(AV517*RANDBETWEEN(90,130)/100)</f>
        <v>62611</v>
      </c>
      <c r="AZ517" t="str">
        <f t="shared" ca="1" si="43"/>
        <v>8.4%</v>
      </c>
      <c r="BA517" t="str">
        <f t="shared" ca="1" si="44"/>
        <v>BAJO</v>
      </c>
    </row>
    <row r="518" spans="4:53" x14ac:dyDescent="0.35">
      <c r="D518" t="s">
        <v>3639</v>
      </c>
      <c r="E518" s="1">
        <v>45730</v>
      </c>
      <c r="F518" t="s">
        <v>91</v>
      </c>
      <c r="G518" t="s">
        <v>108</v>
      </c>
      <c r="H518" t="s">
        <v>3640</v>
      </c>
      <c r="I518">
        <v>20206133</v>
      </c>
      <c r="J518" t="s">
        <v>28</v>
      </c>
      <c r="K518">
        <v>3</v>
      </c>
      <c r="L518" t="s">
        <v>27</v>
      </c>
      <c r="M518" t="s">
        <v>3641</v>
      </c>
      <c r="N518" t="s">
        <v>3642</v>
      </c>
      <c r="O518" t="s">
        <v>3643</v>
      </c>
      <c r="P518" t="s">
        <v>33</v>
      </c>
      <c r="Q518" s="1">
        <v>45184</v>
      </c>
      <c r="R518" t="s">
        <v>33</v>
      </c>
      <c r="S518" t="s">
        <v>27</v>
      </c>
      <c r="T518" t="s">
        <v>624</v>
      </c>
      <c r="U518" t="s">
        <v>115</v>
      </c>
      <c r="V518" t="s">
        <v>91</v>
      </c>
      <c r="W518">
        <v>15</v>
      </c>
      <c r="X518">
        <v>20206133</v>
      </c>
      <c r="Y518" t="s">
        <v>92</v>
      </c>
      <c r="Z518" t="s">
        <v>119</v>
      </c>
      <c r="AA518" t="s">
        <v>32</v>
      </c>
      <c r="AB518" t="s">
        <v>120</v>
      </c>
      <c r="AC518" t="s">
        <v>38</v>
      </c>
      <c r="AD518" t="s">
        <v>155</v>
      </c>
      <c r="AE518">
        <v>14</v>
      </c>
      <c r="AF518" s="1">
        <v>47574</v>
      </c>
      <c r="AG518" t="s">
        <v>26</v>
      </c>
      <c r="AH518" t="s">
        <v>91</v>
      </c>
      <c r="AI518" t="str">
        <f t="shared" si="40"/>
        <v>NO</v>
      </c>
      <c r="AJ518" t="str">
        <f t="shared" si="41"/>
        <v>GALENICUM HEALTH COLOMBIA</v>
      </c>
      <c r="AK518" t="str">
        <f>IF(ISNUMBER(SEARCH("FABRICANTE",AC518)),"FABRICANTE",IF(ISNUMBER(SEARCH("IMPORTADOR",AC518)),"IMPORTADOR","OTRO"))</f>
        <v>IMPORTADOR</v>
      </c>
      <c r="AL518" t="str">
        <f>IF(LEFT(Y518,1)="A","Sistema digestivo",IF(LEFT(Y518,1)="B","Sangre",IF(LEFT(Y518,1)="C","Cardiovascular",IF(LEFT(Y518,1)="D","Dermatológico",IF(LEFT(Y518,1)="G","Genitourinario",IF(LEFT(Y518,1)="H","Hormonal",IF(LEFT(Y518,1)="J","Antiinfecciosos",IF(LEFT(Y518,1)="L","Oncológicos",IF(LEFT(Y518,1)="M","Musculoesquelético",IF(LEFT(Y518,1)="N","Sistema nervioso",IF(LEFT(Y518,1)="R","Respiratorio",IF(LEFT(Y518,1)="S","Oftálmico",IF(LEFT(Y518,1)="V","Varios","OTRO")))))))))))))</f>
        <v>Sangre</v>
      </c>
      <c r="AM518" t="str">
        <f>IF(AG518="Vigente","ACTIVO",IF(ISNUMBER(SEARCH("Inactivo",J518)),"INACTIVO","REVISAR"))</f>
        <v>ACTIVO</v>
      </c>
      <c r="AN518">
        <f ca="1">IF(OR(AF518="",AF518="null"),"",ROUND((AF518-TODAY())/365.25,2))</f>
        <v>3.85</v>
      </c>
      <c r="AO518" t="str">
        <f ca="1">IF(AND(AG518="Vigente",OR(AF518="",AF518="null",AF518&gt;TODAY())),"SI",IF(AND(NOT(OR(AF518="",AF518="null")),AF518&lt;=TODAY()),"NO",IF(AG518="Vigente","SI","DESCONOCIDO")))</f>
        <v>SI</v>
      </c>
      <c r="AP518" t="str">
        <f>IF(AND(ISNUMBER(SEARCH("IMPORTAR",AA518)),ISNUMBER(SEARCH("FABRICAR",AA518))),"MIXTO",IF(ISNUMBER(SEARCH("IMPORTAR",AA518)),"IMPORTADO",IF(ISNUMBER(SEARCH("FABRICAR",AA518)),"LOCAL","OTRO")))</f>
        <v>IMPORTADO</v>
      </c>
      <c r="AQ518" t="str">
        <f>IF(AD518="Si","SI",IF(AD518="No","NO",""))</f>
        <v>SI</v>
      </c>
      <c r="AR518" t="str">
        <f>IF(ISNUMBER(SEARCH("®",N518)),"MARCA/INNOVADOR","GENERICO")</f>
        <v>GENERICO</v>
      </c>
      <c r="AS518">
        <f ca="1">IF(AE518&gt;100,RANDBETWEEN(500,5000),IF(AND(AE518&gt;=10,AE518&lt;=100),RANDBETWEEN(100,1000),RANDBETWEEN(10,200)))</f>
        <v>923</v>
      </c>
      <c r="AT518">
        <f t="shared" ca="1" si="42"/>
        <v>138</v>
      </c>
      <c r="AU518">
        <f ca="1">INT(AS518*RANDBETWEEN(120,200)/100)</f>
        <v>1153</v>
      </c>
      <c r="AV518" s="2">
        <f ca="1">IF(LEFT(Y518,1)="L",RANDBETWEEN(500000,5000000),IF(LEFT(Y518,1)="C",RANDBETWEEN(5000,50000),IF(LEFT(Y518,1)="N",RANDBETWEEN(10000,150000),IF(LEFT(Y518,1)="J",RANDBETWEEN(8000,200000),RANDBETWEEN(5000,100000)))))</f>
        <v>17659</v>
      </c>
      <c r="AW518" s="2">
        <f ca="1">INT(AV518*RANDBETWEEN(30,60)/100)</f>
        <v>6887</v>
      </c>
      <c r="AX518">
        <f ca="1">IF(Z518="ORAL",RANDBETWEEN(1000,10000),IF(OR(Z518="INTRAVENOSA",Z518="INTRAMUSCULAR"),RANDBETWEEN(100,2000),IF(OR(Z518="OFTÁLMICA",Z518="TOPICA (EXTERNA)"),RANDBETWEEN(200,3000),RANDBETWEEN(100,1500))))</f>
        <v>1002</v>
      </c>
      <c r="AY518" s="2">
        <f ca="1">INT(AV518*RANDBETWEEN(90,130)/100)</f>
        <v>19424</v>
      </c>
      <c r="AZ518" t="str">
        <f t="shared" ca="1" si="43"/>
        <v>13.9%</v>
      </c>
      <c r="BA518" t="str">
        <f t="shared" ca="1" si="44"/>
        <v>MEDIO</v>
      </c>
    </row>
    <row r="519" spans="4:53" x14ac:dyDescent="0.35">
      <c r="D519" t="s">
        <v>3644</v>
      </c>
      <c r="E519" s="1">
        <v>36161</v>
      </c>
      <c r="F519" t="s">
        <v>302</v>
      </c>
      <c r="G519" t="s">
        <v>108</v>
      </c>
      <c r="H519" t="s">
        <v>3645</v>
      </c>
      <c r="I519">
        <v>41773</v>
      </c>
      <c r="J519" t="s">
        <v>110</v>
      </c>
      <c r="K519">
        <v>9</v>
      </c>
      <c r="L519" t="s">
        <v>27</v>
      </c>
      <c r="M519" t="s">
        <v>3646</v>
      </c>
      <c r="N519" t="s">
        <v>3647</v>
      </c>
      <c r="O519" t="s">
        <v>3648</v>
      </c>
      <c r="P519" t="s">
        <v>33</v>
      </c>
      <c r="Q519" s="1">
        <v>39031</v>
      </c>
      <c r="R519" t="s">
        <v>33</v>
      </c>
      <c r="S519" s="1">
        <v>40735</v>
      </c>
      <c r="T519" t="s">
        <v>3649</v>
      </c>
      <c r="U519" t="s">
        <v>115</v>
      </c>
      <c r="V519" t="s">
        <v>1073</v>
      </c>
      <c r="W519">
        <v>275</v>
      </c>
      <c r="X519">
        <v>41773</v>
      </c>
      <c r="Y519" t="s">
        <v>1077</v>
      </c>
      <c r="Z519" t="s">
        <v>119</v>
      </c>
      <c r="AA519" t="s">
        <v>32</v>
      </c>
      <c r="AB519" t="s">
        <v>120</v>
      </c>
      <c r="AC519" t="s">
        <v>25</v>
      </c>
      <c r="AD519" t="s">
        <v>121</v>
      </c>
      <c r="AE519">
        <v>60</v>
      </c>
      <c r="AF519" t="s">
        <v>27</v>
      </c>
      <c r="AG519" t="s">
        <v>26</v>
      </c>
      <c r="AH519" t="s">
        <v>302</v>
      </c>
      <c r="AI519" t="str">
        <f t="shared" si="40"/>
        <v>NO</v>
      </c>
      <c r="AJ519" t="str">
        <f t="shared" si="41"/>
        <v>BAYER CONSUMER CARE</v>
      </c>
      <c r="AK519" t="str">
        <f>IF(ISNUMBER(SEARCH("FABRICANTE",AC519)),"FABRICANTE",IF(ISNUMBER(SEARCH("IMPORTADOR",AC519)),"IMPORTADOR","OTRO"))</f>
        <v>FABRICANTE</v>
      </c>
      <c r="AL519" t="str">
        <f>IF(LEFT(Y519,1)="A","Sistema digestivo",IF(LEFT(Y519,1)="B","Sangre",IF(LEFT(Y519,1)="C","Cardiovascular",IF(LEFT(Y519,1)="D","Dermatológico",IF(LEFT(Y519,1)="G","Genitourinario",IF(LEFT(Y519,1)="H","Hormonal",IF(LEFT(Y519,1)="J","Antiinfecciosos",IF(LEFT(Y519,1)="L","Oncológicos",IF(LEFT(Y519,1)="M","Musculoesquelético",IF(LEFT(Y519,1)="N","Sistema nervioso",IF(LEFT(Y519,1)="R","Respiratorio",IF(LEFT(Y519,1)="S","Oftálmico",IF(LEFT(Y519,1)="V","Varios","OTRO")))))))))))))</f>
        <v>Musculoesquelético</v>
      </c>
      <c r="AM519" t="str">
        <f>IF(AG519="Vigente","ACTIVO",IF(ISNUMBER(SEARCH("Inactivo",J519)),"INACTIVO","REVISAR"))</f>
        <v>ACTIVO</v>
      </c>
      <c r="AN519" t="str">
        <f ca="1">IF(OR(AF519="",AF519="null"),"",ROUND((AF519-TODAY())/365.25,2))</f>
        <v/>
      </c>
      <c r="AO519" t="str">
        <f ca="1">IF(AND(AG519="Vigente",OR(AF519="",AF519="null",AF519&gt;TODAY())),"SI",IF(AND(NOT(OR(AF519="",AF519="null")),AF519&lt;=TODAY()),"NO",IF(AG519="Vigente","SI","DESCONOCIDO")))</f>
        <v>SI</v>
      </c>
      <c r="AP519" t="str">
        <f>IF(AND(ISNUMBER(SEARCH("IMPORTAR",AA519)),ISNUMBER(SEARCH("FABRICAR",AA519))),"MIXTO",IF(ISNUMBER(SEARCH("IMPORTAR",AA519)),"IMPORTADO",IF(ISNUMBER(SEARCH("FABRICAR",AA519)),"LOCAL","OTRO")))</f>
        <v>IMPORTADO</v>
      </c>
      <c r="AQ519" t="str">
        <f>IF(AD519="Si","SI",IF(AD519="No","NO",""))</f>
        <v>NO</v>
      </c>
      <c r="AR519" t="str">
        <f>IF(ISNUMBER(SEARCH("®",N519)),"MARCA/INNOVADOR","GENERICO")</f>
        <v>GENERICO</v>
      </c>
      <c r="AS519">
        <f ca="1">IF(AE519&gt;100,RANDBETWEEN(500,5000),IF(AND(AE519&gt;=10,AE519&lt;=100),RANDBETWEEN(100,1000),RANDBETWEEN(10,200)))</f>
        <v>566</v>
      </c>
      <c r="AT519">
        <f t="shared" ca="1" si="42"/>
        <v>141</v>
      </c>
      <c r="AU519">
        <f ca="1">INT(AS519*RANDBETWEEN(120,200)/100)</f>
        <v>979</v>
      </c>
      <c r="AV519" s="2">
        <f ca="1">IF(LEFT(Y519,1)="L",RANDBETWEEN(500000,5000000),IF(LEFT(Y519,1)="C",RANDBETWEEN(5000,50000),IF(LEFT(Y519,1)="N",RANDBETWEEN(10000,150000),IF(LEFT(Y519,1)="J",RANDBETWEEN(8000,200000),RANDBETWEEN(5000,100000)))))</f>
        <v>27543</v>
      </c>
      <c r="AW519" s="2">
        <f ca="1">INT(AV519*RANDBETWEEN(30,60)/100)</f>
        <v>9364</v>
      </c>
      <c r="AX519">
        <f ca="1">IF(Z519="ORAL",RANDBETWEEN(1000,10000),IF(OR(Z519="INTRAVENOSA",Z519="INTRAMUSCULAR"),RANDBETWEEN(100,2000),IF(OR(Z519="OFTÁLMICA",Z519="TOPICA (EXTERNA)"),RANDBETWEEN(200,3000),RANDBETWEEN(100,1500))))</f>
        <v>8109</v>
      </c>
      <c r="AY519" s="2">
        <f ca="1">INT(AV519*RANDBETWEEN(90,130)/100)</f>
        <v>35530</v>
      </c>
      <c r="AZ519" t="str">
        <f t="shared" ca="1" si="43"/>
        <v>11.3%</v>
      </c>
      <c r="BA519" t="str">
        <f t="shared" ca="1" si="44"/>
        <v>ALTO</v>
      </c>
    </row>
    <row r="520" spans="4:53" x14ac:dyDescent="0.35">
      <c r="D520" t="s">
        <v>3650</v>
      </c>
      <c r="E520" s="1">
        <v>43327</v>
      </c>
      <c r="F520" t="s">
        <v>539</v>
      </c>
      <c r="G520" t="s">
        <v>108</v>
      </c>
      <c r="H520" t="s">
        <v>540</v>
      </c>
      <c r="I520">
        <v>20120348</v>
      </c>
      <c r="J520" t="s">
        <v>28</v>
      </c>
      <c r="K520">
        <v>19</v>
      </c>
      <c r="L520" t="s">
        <v>3651</v>
      </c>
      <c r="M520" t="s">
        <v>542</v>
      </c>
      <c r="N520" t="s">
        <v>543</v>
      </c>
      <c r="O520" t="s">
        <v>3652</v>
      </c>
      <c r="P520" t="s">
        <v>29</v>
      </c>
      <c r="Q520" s="1">
        <v>43306</v>
      </c>
      <c r="R520" t="s">
        <v>29</v>
      </c>
      <c r="S520" t="s">
        <v>27</v>
      </c>
      <c r="T520" t="s">
        <v>545</v>
      </c>
      <c r="U520" t="s">
        <v>115</v>
      </c>
      <c r="V520" t="s">
        <v>539</v>
      </c>
      <c r="W520">
        <v>25</v>
      </c>
      <c r="X520">
        <v>20120348</v>
      </c>
      <c r="Y520" t="s">
        <v>546</v>
      </c>
      <c r="Z520" t="s">
        <v>119</v>
      </c>
      <c r="AA520" t="s">
        <v>32</v>
      </c>
      <c r="AB520" t="s">
        <v>120</v>
      </c>
      <c r="AC520" t="s">
        <v>25</v>
      </c>
      <c r="AD520" t="s">
        <v>155</v>
      </c>
      <c r="AE520">
        <v>10</v>
      </c>
      <c r="AF520" t="s">
        <v>27</v>
      </c>
      <c r="AG520" t="s">
        <v>26</v>
      </c>
      <c r="AH520" t="s">
        <v>539</v>
      </c>
      <c r="AI520" t="str">
        <f t="shared" si="40"/>
        <v>NO</v>
      </c>
      <c r="AJ520" t="str">
        <f t="shared" si="41"/>
        <v>IPCA LABORATORIES</v>
      </c>
      <c r="AK520" t="str">
        <f>IF(ISNUMBER(SEARCH("FABRICANTE",AC520)),"FABRICANTE",IF(ISNUMBER(SEARCH("IMPORTADOR",AC520)),"IMPORTADOR","OTRO"))</f>
        <v>FABRICANTE</v>
      </c>
      <c r="AL520" t="str">
        <f>IF(LEFT(Y520,1)="A","Sistema digestivo",IF(LEFT(Y520,1)="B","Sangre",IF(LEFT(Y520,1)="C","Cardiovascular",IF(LEFT(Y520,1)="D","Dermatológico",IF(LEFT(Y520,1)="G","Genitourinario",IF(LEFT(Y520,1)="H","Hormonal",IF(LEFT(Y520,1)="J","Antiinfecciosos",IF(LEFT(Y520,1)="L","Oncológicos",IF(LEFT(Y520,1)="M","Musculoesquelético",IF(LEFT(Y520,1)="N","Sistema nervioso",IF(LEFT(Y520,1)="R","Respiratorio",IF(LEFT(Y520,1)="S","Oftálmico",IF(LEFT(Y520,1)="V","Varios","OTRO")))))))))))))</f>
        <v>Cardiovascular</v>
      </c>
      <c r="AM520" t="str">
        <f>IF(AG520="Vigente","ACTIVO",IF(ISNUMBER(SEARCH("Inactivo",J520)),"INACTIVO","REVISAR"))</f>
        <v>ACTIVO</v>
      </c>
      <c r="AN520" t="str">
        <f ca="1">IF(OR(AF520="",AF520="null"),"",ROUND((AF520-TODAY())/365.25,2))</f>
        <v/>
      </c>
      <c r="AO520" t="str">
        <f ca="1">IF(AND(AG520="Vigente",OR(AF520="",AF520="null",AF520&gt;TODAY())),"SI",IF(AND(NOT(OR(AF520="",AF520="null")),AF520&lt;=TODAY()),"NO",IF(AG520="Vigente","SI","DESCONOCIDO")))</f>
        <v>SI</v>
      </c>
      <c r="AP520" t="str">
        <f>IF(AND(ISNUMBER(SEARCH("IMPORTAR",AA520)),ISNUMBER(SEARCH("FABRICAR",AA520))),"MIXTO",IF(ISNUMBER(SEARCH("IMPORTAR",AA520)),"IMPORTADO",IF(ISNUMBER(SEARCH("FABRICAR",AA520)),"LOCAL","OTRO")))</f>
        <v>IMPORTADO</v>
      </c>
      <c r="AQ520" t="str">
        <f>IF(AD520="Si","SI",IF(AD520="No","NO",""))</f>
        <v>SI</v>
      </c>
      <c r="AR520" t="str">
        <f>IF(ISNUMBER(SEARCH("®",N520)),"MARCA/INNOVADOR","GENERICO")</f>
        <v>MARCA/INNOVADOR</v>
      </c>
      <c r="AS520">
        <f ca="1">IF(AE520&gt;100,RANDBETWEEN(500,5000),IF(AND(AE520&gt;=10,AE520&lt;=100),RANDBETWEEN(100,1000),RANDBETWEEN(10,200)))</f>
        <v>431</v>
      </c>
      <c r="AT520">
        <f t="shared" ca="1" si="42"/>
        <v>73</v>
      </c>
      <c r="AU520">
        <f ca="1">INT(AS520*RANDBETWEEN(120,200)/100)</f>
        <v>586</v>
      </c>
      <c r="AV520" s="2">
        <f ca="1">IF(LEFT(Y520,1)="L",RANDBETWEEN(500000,5000000),IF(LEFT(Y520,1)="C",RANDBETWEEN(5000,50000),IF(LEFT(Y520,1)="N",RANDBETWEEN(10000,150000),IF(LEFT(Y520,1)="J",RANDBETWEEN(8000,200000),RANDBETWEEN(5000,100000)))))</f>
        <v>13505</v>
      </c>
      <c r="AW520" s="2">
        <f ca="1">INT(AV520*RANDBETWEEN(30,60)/100)</f>
        <v>5807</v>
      </c>
      <c r="AX520">
        <f ca="1">IF(Z520="ORAL",RANDBETWEEN(1000,10000),IF(OR(Z520="INTRAVENOSA",Z520="INTRAMUSCULAR"),RANDBETWEEN(100,2000),IF(OR(Z520="OFTÁLMICA",Z520="TOPICA (EXTERNA)"),RANDBETWEEN(200,3000),RANDBETWEEN(100,1500))))</f>
        <v>2497</v>
      </c>
      <c r="AY520" s="2">
        <f ca="1">INT(AV520*RANDBETWEEN(90,130)/100)</f>
        <v>14990</v>
      </c>
      <c r="AZ520" t="str">
        <f t="shared" ca="1" si="43"/>
        <v>9%</v>
      </c>
      <c r="BA520" t="str">
        <f t="shared" ca="1" si="44"/>
        <v>BAJO</v>
      </c>
    </row>
    <row r="521" spans="4:53" x14ac:dyDescent="0.35">
      <c r="D521" t="s">
        <v>3653</v>
      </c>
      <c r="E521" s="1">
        <v>39618</v>
      </c>
      <c r="F521" t="s">
        <v>87</v>
      </c>
      <c r="G521" t="s">
        <v>108</v>
      </c>
      <c r="H521" t="s">
        <v>1951</v>
      </c>
      <c r="I521">
        <v>19989858</v>
      </c>
      <c r="J521" t="s">
        <v>28</v>
      </c>
      <c r="K521">
        <v>5</v>
      </c>
      <c r="L521" t="s">
        <v>27</v>
      </c>
      <c r="M521" t="s">
        <v>3654</v>
      </c>
      <c r="N521" t="s">
        <v>3655</v>
      </c>
      <c r="O521" t="s">
        <v>3656</v>
      </c>
      <c r="P521" t="s">
        <v>638</v>
      </c>
      <c r="Q521" s="1">
        <v>42222</v>
      </c>
      <c r="R521" t="s">
        <v>200</v>
      </c>
      <c r="S521" t="s">
        <v>27</v>
      </c>
      <c r="T521" t="s">
        <v>545</v>
      </c>
      <c r="U521" t="s">
        <v>781</v>
      </c>
      <c r="V521" t="s">
        <v>90</v>
      </c>
      <c r="W521">
        <v>200</v>
      </c>
      <c r="X521">
        <v>19989858</v>
      </c>
      <c r="Y521" t="s">
        <v>88</v>
      </c>
      <c r="Z521" t="s">
        <v>119</v>
      </c>
      <c r="AA521" t="s">
        <v>32</v>
      </c>
      <c r="AB521" t="s">
        <v>120</v>
      </c>
      <c r="AC521" t="s">
        <v>38</v>
      </c>
      <c r="AD521" t="s">
        <v>121</v>
      </c>
      <c r="AE521">
        <v>20</v>
      </c>
      <c r="AF521" t="s">
        <v>27</v>
      </c>
      <c r="AG521" t="s">
        <v>26</v>
      </c>
      <c r="AH521" t="s">
        <v>87</v>
      </c>
      <c r="AI521" t="str">
        <f t="shared" si="40"/>
        <v>NO</v>
      </c>
      <c r="AJ521" t="str">
        <f t="shared" si="41"/>
        <v>IPCA LABORATORIES</v>
      </c>
      <c r="AK521" t="str">
        <f>IF(ISNUMBER(SEARCH("FABRICANTE",AC521)),"FABRICANTE",IF(ISNUMBER(SEARCH("IMPORTADOR",AC521)),"IMPORTADOR","OTRO"))</f>
        <v>IMPORTADOR</v>
      </c>
      <c r="AL521" t="str">
        <f>IF(LEFT(Y521,1)="A","Sistema digestivo",IF(LEFT(Y521,1)="B","Sangre",IF(LEFT(Y521,1)="C","Cardiovascular",IF(LEFT(Y521,1)="D","Dermatológico",IF(LEFT(Y521,1)="G","Genitourinario",IF(LEFT(Y521,1)="H","Hormonal",IF(LEFT(Y521,1)="J","Antiinfecciosos",IF(LEFT(Y521,1)="L","Oncológicos",IF(LEFT(Y521,1)="M","Musculoesquelético",IF(LEFT(Y521,1)="N","Sistema nervioso",IF(LEFT(Y521,1)="R","Respiratorio",IF(LEFT(Y521,1)="S","Oftálmico",IF(LEFT(Y521,1)="V","Varios","OTRO")))))))))))))</f>
        <v>OTRO</v>
      </c>
      <c r="AM521" t="str">
        <f>IF(AG521="Vigente","ACTIVO",IF(ISNUMBER(SEARCH("Inactivo",J521)),"INACTIVO","REVISAR"))</f>
        <v>ACTIVO</v>
      </c>
      <c r="AN521" t="str">
        <f ca="1">IF(OR(AF521="",AF521="null"),"",ROUND((AF521-TODAY())/365.25,2))</f>
        <v/>
      </c>
      <c r="AO521" t="str">
        <f ca="1">IF(AND(AG521="Vigente",OR(AF521="",AF521="null",AF521&gt;TODAY())),"SI",IF(AND(NOT(OR(AF521="",AF521="null")),AF521&lt;=TODAY()),"NO",IF(AG521="Vigente","SI","DESCONOCIDO")))</f>
        <v>SI</v>
      </c>
      <c r="AP521" t="str">
        <f>IF(AND(ISNUMBER(SEARCH("IMPORTAR",AA521)),ISNUMBER(SEARCH("FABRICAR",AA521))),"MIXTO",IF(ISNUMBER(SEARCH("IMPORTAR",AA521)),"IMPORTADO",IF(ISNUMBER(SEARCH("FABRICAR",AA521)),"LOCAL","OTRO")))</f>
        <v>IMPORTADO</v>
      </c>
      <c r="AQ521" t="str">
        <f>IF(AD521="Si","SI",IF(AD521="No","NO",""))</f>
        <v>NO</v>
      </c>
      <c r="AR521" t="str">
        <f>IF(ISNUMBER(SEARCH("®",N521)),"MARCA/INNOVADOR","GENERICO")</f>
        <v>MARCA/INNOVADOR</v>
      </c>
      <c r="AS521">
        <f ca="1">IF(AE521&gt;100,RANDBETWEEN(500,5000),IF(AND(AE521&gt;=10,AE521&lt;=100),RANDBETWEEN(100,1000),RANDBETWEEN(10,200)))</f>
        <v>619</v>
      </c>
      <c r="AT521">
        <f t="shared" ca="1" si="42"/>
        <v>148</v>
      </c>
      <c r="AU521">
        <f ca="1">INT(AS521*RANDBETWEEN(120,200)/100)</f>
        <v>829</v>
      </c>
      <c r="AV521" s="2">
        <f ca="1">IF(LEFT(Y521,1)="L",RANDBETWEEN(500000,5000000),IF(LEFT(Y521,1)="C",RANDBETWEEN(5000,50000),IF(LEFT(Y521,1)="N",RANDBETWEEN(10000,150000),IF(LEFT(Y521,1)="J",RANDBETWEEN(8000,200000),RANDBETWEEN(5000,100000)))))</f>
        <v>78801</v>
      </c>
      <c r="AW521" s="2">
        <f ca="1">INT(AV521*RANDBETWEEN(30,60)/100)</f>
        <v>37824</v>
      </c>
      <c r="AX521">
        <f ca="1">IF(Z521="ORAL",RANDBETWEEN(1000,10000),IF(OR(Z521="INTRAVENOSA",Z521="INTRAMUSCULAR"),RANDBETWEEN(100,2000),IF(OR(Z521="OFTÁLMICA",Z521="TOPICA (EXTERNA)"),RANDBETWEEN(200,3000),RANDBETWEEN(100,1500))))</f>
        <v>5410</v>
      </c>
      <c r="AY521" s="2">
        <f ca="1">INT(AV521*RANDBETWEEN(90,130)/100)</f>
        <v>92985</v>
      </c>
      <c r="AZ521" t="str">
        <f t="shared" ca="1" si="43"/>
        <v>5.6%</v>
      </c>
      <c r="BA521" t="str">
        <f t="shared" ca="1" si="44"/>
        <v>BAJO</v>
      </c>
    </row>
    <row r="522" spans="4:53" x14ac:dyDescent="0.35">
      <c r="D522" t="s">
        <v>3657</v>
      </c>
      <c r="E522" s="1">
        <v>45065</v>
      </c>
      <c r="F522" t="s">
        <v>3658</v>
      </c>
      <c r="G522" t="s">
        <v>108</v>
      </c>
      <c r="H522" t="s">
        <v>503</v>
      </c>
      <c r="I522">
        <v>20229953</v>
      </c>
      <c r="J522" t="s">
        <v>28</v>
      </c>
      <c r="K522">
        <v>2</v>
      </c>
      <c r="L522" t="s">
        <v>27</v>
      </c>
      <c r="M522" t="s">
        <v>3659</v>
      </c>
      <c r="N522" t="s">
        <v>3660</v>
      </c>
      <c r="O522" t="s">
        <v>3661</v>
      </c>
      <c r="P522" t="s">
        <v>3662</v>
      </c>
      <c r="Q522" s="1">
        <v>45051</v>
      </c>
      <c r="R522" t="s">
        <v>151</v>
      </c>
      <c r="S522" t="s">
        <v>27</v>
      </c>
      <c r="T522" t="s">
        <v>454</v>
      </c>
      <c r="U522" t="s">
        <v>115</v>
      </c>
      <c r="V522" t="s">
        <v>3663</v>
      </c>
      <c r="W522">
        <v>4</v>
      </c>
      <c r="X522">
        <v>20229953</v>
      </c>
      <c r="Y522" t="s">
        <v>3664</v>
      </c>
      <c r="Z522" t="s">
        <v>154</v>
      </c>
      <c r="AA522" t="s">
        <v>24</v>
      </c>
      <c r="AB522" t="s">
        <v>133</v>
      </c>
      <c r="AC522" t="s">
        <v>25</v>
      </c>
      <c r="AD522" t="s">
        <v>155</v>
      </c>
      <c r="AE522">
        <v>1</v>
      </c>
      <c r="AF522" t="s">
        <v>27</v>
      </c>
      <c r="AG522" t="s">
        <v>26</v>
      </c>
      <c r="AH522" t="s">
        <v>6812</v>
      </c>
      <c r="AI522" t="str">
        <f t="shared" si="40"/>
        <v>NO</v>
      </c>
      <c r="AJ522" t="str">
        <f t="shared" si="41"/>
        <v>PROCAPS</v>
      </c>
      <c r="AK522" t="str">
        <f>IF(ISNUMBER(SEARCH("FABRICANTE",AC522)),"FABRICANTE",IF(ISNUMBER(SEARCH("IMPORTADOR",AC522)),"IMPORTADOR","OTRO"))</f>
        <v>FABRICANTE</v>
      </c>
      <c r="AL522" t="str">
        <f>IF(LEFT(Y522,1)="A","Sistema digestivo",IF(LEFT(Y522,1)="B","Sangre",IF(LEFT(Y522,1)="C","Cardiovascular",IF(LEFT(Y522,1)="D","Dermatológico",IF(LEFT(Y522,1)="G","Genitourinario",IF(LEFT(Y522,1)="H","Hormonal",IF(LEFT(Y522,1)="J","Antiinfecciosos",IF(LEFT(Y522,1)="L","Oncológicos",IF(LEFT(Y522,1)="M","Musculoesquelético",IF(LEFT(Y522,1)="N","Sistema nervioso",IF(LEFT(Y522,1)="R","Respiratorio",IF(LEFT(Y522,1)="S","Oftálmico",IF(LEFT(Y522,1)="V","Varios","OTRO")))))))))))))</f>
        <v>Oftálmico</v>
      </c>
      <c r="AM522" t="str">
        <f>IF(AG522="Vigente","ACTIVO",IF(ISNUMBER(SEARCH("Inactivo",J522)),"INACTIVO","REVISAR"))</f>
        <v>ACTIVO</v>
      </c>
      <c r="AN522" t="str">
        <f ca="1">IF(OR(AF522="",AF522="null"),"",ROUND((AF522-TODAY())/365.25,2))</f>
        <v/>
      </c>
      <c r="AO522" t="str">
        <f ca="1">IF(AND(AG522="Vigente",OR(AF522="",AF522="null",AF522&gt;TODAY())),"SI",IF(AND(NOT(OR(AF522="",AF522="null")),AF522&lt;=TODAY()),"NO",IF(AG522="Vigente","SI","DESCONOCIDO")))</f>
        <v>SI</v>
      </c>
      <c r="AP522" t="str">
        <f>IF(AND(ISNUMBER(SEARCH("IMPORTAR",AA522)),ISNUMBER(SEARCH("FABRICAR",AA522))),"MIXTO",IF(ISNUMBER(SEARCH("IMPORTAR",AA522)),"IMPORTADO",IF(ISNUMBER(SEARCH("FABRICAR",AA522)),"LOCAL","OTRO")))</f>
        <v>LOCAL</v>
      </c>
      <c r="AQ522" t="str">
        <f>IF(AD522="Si","SI",IF(AD522="No","NO",""))</f>
        <v>SI</v>
      </c>
      <c r="AR522" t="str">
        <f>IF(ISNUMBER(SEARCH("®",N522)),"MARCA/INNOVADOR","GENERICO")</f>
        <v>MARCA/INNOVADOR</v>
      </c>
      <c r="AS522">
        <f ca="1">IF(AE522&gt;100,RANDBETWEEN(500,5000),IF(AND(AE522&gt;=10,AE522&lt;=100),RANDBETWEEN(100,1000),RANDBETWEEN(10,200)))</f>
        <v>157</v>
      </c>
      <c r="AT522">
        <f t="shared" ca="1" si="42"/>
        <v>45</v>
      </c>
      <c r="AU522">
        <f ca="1">INT(AS522*RANDBETWEEN(120,200)/100)</f>
        <v>292</v>
      </c>
      <c r="AV522" s="2">
        <f ca="1">IF(LEFT(Y522,1)="L",RANDBETWEEN(500000,5000000),IF(LEFT(Y522,1)="C",RANDBETWEEN(5000,50000),IF(LEFT(Y522,1)="N",RANDBETWEEN(10000,150000),IF(LEFT(Y522,1)="J",RANDBETWEEN(8000,200000),RANDBETWEEN(5000,100000)))))</f>
        <v>52393</v>
      </c>
      <c r="AW522" s="2">
        <f ca="1">INT(AV522*RANDBETWEEN(30,60)/100)</f>
        <v>20957</v>
      </c>
      <c r="AX522">
        <f ca="1">IF(Z522="ORAL",RANDBETWEEN(1000,10000),IF(OR(Z522="INTRAVENOSA",Z522="INTRAMUSCULAR"),RANDBETWEEN(100,2000),IF(OR(Z522="OFTÁLMICA",Z522="TOPICA (EXTERNA)"),RANDBETWEEN(200,3000),RANDBETWEEN(100,1500))))</f>
        <v>2142</v>
      </c>
      <c r="AY522" s="2">
        <f ca="1">INT(AV522*RANDBETWEEN(90,130)/100)</f>
        <v>68110</v>
      </c>
      <c r="AZ522" t="str">
        <f t="shared" ca="1" si="43"/>
        <v>14.4%</v>
      </c>
      <c r="BA522" t="str">
        <f t="shared" ca="1" si="44"/>
        <v>BAJO</v>
      </c>
    </row>
    <row r="523" spans="4:53" x14ac:dyDescent="0.35">
      <c r="D523" t="s">
        <v>3665</v>
      </c>
      <c r="E523" s="1">
        <v>36161</v>
      </c>
      <c r="F523" t="s">
        <v>3666</v>
      </c>
      <c r="G523" t="s">
        <v>108</v>
      </c>
      <c r="H523" t="s">
        <v>3667</v>
      </c>
      <c r="I523">
        <v>19905582</v>
      </c>
      <c r="J523" t="s">
        <v>28</v>
      </c>
      <c r="K523">
        <v>1</v>
      </c>
      <c r="L523" t="s">
        <v>27</v>
      </c>
      <c r="M523" t="s">
        <v>3668</v>
      </c>
      <c r="N523" t="s">
        <v>3669</v>
      </c>
      <c r="O523" t="s">
        <v>3670</v>
      </c>
      <c r="P523" t="s">
        <v>659</v>
      </c>
      <c r="Q523" s="1">
        <v>39031</v>
      </c>
      <c r="R523" t="s">
        <v>37</v>
      </c>
      <c r="S523" t="s">
        <v>27</v>
      </c>
      <c r="T523" t="s">
        <v>3671</v>
      </c>
      <c r="U523" t="s">
        <v>115</v>
      </c>
      <c r="V523" t="s">
        <v>3666</v>
      </c>
      <c r="W523">
        <v>200</v>
      </c>
      <c r="X523">
        <v>19905582</v>
      </c>
      <c r="Y523" t="s">
        <v>3672</v>
      </c>
      <c r="Z523" t="s">
        <v>119</v>
      </c>
      <c r="AA523" t="s">
        <v>32</v>
      </c>
      <c r="AB523" t="s">
        <v>120</v>
      </c>
      <c r="AC523" t="s">
        <v>38</v>
      </c>
      <c r="AD523" t="s">
        <v>121</v>
      </c>
      <c r="AE523">
        <v>10</v>
      </c>
      <c r="AF523" t="s">
        <v>27</v>
      </c>
      <c r="AG523" t="s">
        <v>26</v>
      </c>
      <c r="AH523" t="s">
        <v>3666</v>
      </c>
      <c r="AI523" t="str">
        <f t="shared" si="40"/>
        <v>NO</v>
      </c>
      <c r="AJ523" t="str">
        <f t="shared" si="41"/>
        <v>CIPLA. VERNA. SALCETTE.GOA</v>
      </c>
      <c r="AK523" t="str">
        <f>IF(ISNUMBER(SEARCH("FABRICANTE",AC523)),"FABRICANTE",IF(ISNUMBER(SEARCH("IMPORTADOR",AC523)),"IMPORTADOR","OTRO"))</f>
        <v>IMPORTADOR</v>
      </c>
      <c r="AL523" t="str">
        <f>IF(LEFT(Y523,1)="A","Sistema digestivo",IF(LEFT(Y523,1)="B","Sangre",IF(LEFT(Y523,1)="C","Cardiovascular",IF(LEFT(Y523,1)="D","Dermatológico",IF(LEFT(Y523,1)="G","Genitourinario",IF(LEFT(Y523,1)="H","Hormonal",IF(LEFT(Y523,1)="J","Antiinfecciosos",IF(LEFT(Y523,1)="L","Oncológicos",IF(LEFT(Y523,1)="M","Musculoesquelético",IF(LEFT(Y523,1)="N","Sistema nervioso",IF(LEFT(Y523,1)="R","Respiratorio",IF(LEFT(Y523,1)="S","Oftálmico",IF(LEFT(Y523,1)="V","Varios","OTRO")))))))))))))</f>
        <v>Genitourinario</v>
      </c>
      <c r="AM523" t="str">
        <f>IF(AG523="Vigente","ACTIVO",IF(ISNUMBER(SEARCH("Inactivo",J523)),"INACTIVO","REVISAR"))</f>
        <v>ACTIVO</v>
      </c>
      <c r="AN523" t="str">
        <f ca="1">IF(OR(AF523="",AF523="null"),"",ROUND((AF523-TODAY())/365.25,2))</f>
        <v/>
      </c>
      <c r="AO523" t="str">
        <f ca="1">IF(AND(AG523="Vigente",OR(AF523="",AF523="null",AF523&gt;TODAY())),"SI",IF(AND(NOT(OR(AF523="",AF523="null")),AF523&lt;=TODAY()),"NO",IF(AG523="Vigente","SI","DESCONOCIDO")))</f>
        <v>SI</v>
      </c>
      <c r="AP523" t="str">
        <f>IF(AND(ISNUMBER(SEARCH("IMPORTAR",AA523)),ISNUMBER(SEARCH("FABRICAR",AA523))),"MIXTO",IF(ISNUMBER(SEARCH("IMPORTAR",AA523)),"IMPORTADO",IF(ISNUMBER(SEARCH("FABRICAR",AA523)),"LOCAL","OTRO")))</f>
        <v>IMPORTADO</v>
      </c>
      <c r="AQ523" t="str">
        <f>IF(AD523="Si","SI",IF(AD523="No","NO",""))</f>
        <v>NO</v>
      </c>
      <c r="AR523" t="str">
        <f>IF(ISNUMBER(SEARCH("®",N523)),"MARCA/INNOVADOR","GENERICO")</f>
        <v>MARCA/INNOVADOR</v>
      </c>
      <c r="AS523">
        <f ca="1">IF(AE523&gt;100,RANDBETWEEN(500,5000),IF(AND(AE523&gt;=10,AE523&lt;=100),RANDBETWEEN(100,1000),RANDBETWEEN(10,200)))</f>
        <v>990</v>
      </c>
      <c r="AT523">
        <f t="shared" ca="1" si="42"/>
        <v>257</v>
      </c>
      <c r="AU523">
        <f ca="1">INT(AS523*RANDBETWEEN(120,200)/100)</f>
        <v>1633</v>
      </c>
      <c r="AV523" s="2">
        <f ca="1">IF(LEFT(Y523,1)="L",RANDBETWEEN(500000,5000000),IF(LEFT(Y523,1)="C",RANDBETWEEN(5000,50000),IF(LEFT(Y523,1)="N",RANDBETWEEN(10000,150000),IF(LEFT(Y523,1)="J",RANDBETWEEN(8000,200000),RANDBETWEEN(5000,100000)))))</f>
        <v>36928</v>
      </c>
      <c r="AW523" s="2">
        <f ca="1">INT(AV523*RANDBETWEEN(30,60)/100)</f>
        <v>12555</v>
      </c>
      <c r="AX523">
        <f ca="1">IF(Z523="ORAL",RANDBETWEEN(1000,10000),IF(OR(Z523="INTRAVENOSA",Z523="INTRAMUSCULAR"),RANDBETWEEN(100,2000),IF(OR(Z523="OFTÁLMICA",Z523="TOPICA (EXTERNA)"),RANDBETWEEN(200,3000),RANDBETWEEN(100,1500))))</f>
        <v>3024</v>
      </c>
      <c r="AY523" s="2">
        <f ca="1">INT(AV523*RANDBETWEEN(90,130)/100)</f>
        <v>40620</v>
      </c>
      <c r="AZ523" t="str">
        <f t="shared" ca="1" si="43"/>
        <v>15.5%</v>
      </c>
      <c r="BA523" t="str">
        <f t="shared" ca="1" si="44"/>
        <v>BAJO</v>
      </c>
    </row>
    <row r="524" spans="4:53" x14ac:dyDescent="0.35">
      <c r="D524" t="s">
        <v>3673</v>
      </c>
      <c r="E524" s="1">
        <v>37827</v>
      </c>
      <c r="F524" t="s">
        <v>157</v>
      </c>
      <c r="G524" t="s">
        <v>108</v>
      </c>
      <c r="H524" t="s">
        <v>316</v>
      </c>
      <c r="I524">
        <v>19937061</v>
      </c>
      <c r="J524" t="s">
        <v>110</v>
      </c>
      <c r="K524">
        <v>30</v>
      </c>
      <c r="L524" t="s">
        <v>27</v>
      </c>
      <c r="M524" t="s">
        <v>159</v>
      </c>
      <c r="N524" t="s">
        <v>160</v>
      </c>
      <c r="O524" t="s">
        <v>3674</v>
      </c>
      <c r="P524" t="s">
        <v>37</v>
      </c>
      <c r="Q524" s="1">
        <v>39602</v>
      </c>
      <c r="R524" t="s">
        <v>37</v>
      </c>
      <c r="S524" s="1">
        <v>41614</v>
      </c>
      <c r="T524" t="s">
        <v>80</v>
      </c>
      <c r="U524" t="s">
        <v>115</v>
      </c>
      <c r="V524" t="s">
        <v>162</v>
      </c>
      <c r="W524" t="s">
        <v>3675</v>
      </c>
      <c r="X524">
        <v>19937061</v>
      </c>
      <c r="Y524" t="s">
        <v>164</v>
      </c>
      <c r="Z524" t="s">
        <v>119</v>
      </c>
      <c r="AA524" t="s">
        <v>165</v>
      </c>
      <c r="AB524" t="s">
        <v>120</v>
      </c>
      <c r="AC524" t="s">
        <v>25</v>
      </c>
      <c r="AD524" t="s">
        <v>121</v>
      </c>
      <c r="AE524">
        <v>54</v>
      </c>
      <c r="AF524" t="s">
        <v>27</v>
      </c>
      <c r="AG524" t="s">
        <v>26</v>
      </c>
      <c r="AH524" t="s">
        <v>6611</v>
      </c>
      <c r="AI524" t="str">
        <f t="shared" si="40"/>
        <v>SI</v>
      </c>
      <c r="AJ524" t="str">
        <f t="shared" si="41"/>
        <v>TECNOQUIMICAS</v>
      </c>
      <c r="AK524" t="str">
        <f>IF(ISNUMBER(SEARCH("FABRICANTE",AC524)),"FABRICANTE",IF(ISNUMBER(SEARCH("IMPORTADOR",AC524)),"IMPORTADOR","OTRO"))</f>
        <v>FABRICANTE</v>
      </c>
      <c r="AL524" t="str">
        <f>IF(LEFT(Y524,1)="A","Sistema digestivo",IF(LEFT(Y524,1)="B","Sangre",IF(LEFT(Y524,1)="C","Cardiovascular",IF(LEFT(Y524,1)="D","Dermatológico",IF(LEFT(Y524,1)="G","Genitourinario",IF(LEFT(Y524,1)="H","Hormonal",IF(LEFT(Y524,1)="J","Antiinfecciosos",IF(LEFT(Y524,1)="L","Oncológicos",IF(LEFT(Y524,1)="M","Musculoesquelético",IF(LEFT(Y524,1)="N","Sistema nervioso",IF(LEFT(Y524,1)="R","Respiratorio",IF(LEFT(Y524,1)="S","Oftálmico",IF(LEFT(Y524,1)="V","Varios","OTRO")))))))))))))</f>
        <v>Musculoesquelético</v>
      </c>
      <c r="AM524" t="str">
        <f>IF(AG524="Vigente","ACTIVO",IF(ISNUMBER(SEARCH("Inactivo",J524)),"INACTIVO","REVISAR"))</f>
        <v>ACTIVO</v>
      </c>
      <c r="AN524" t="str">
        <f ca="1">IF(OR(AF524="",AF524="null"),"",ROUND((AF524-TODAY())/365.25,2))</f>
        <v/>
      </c>
      <c r="AO524" t="str">
        <f ca="1">IF(AND(AG524="Vigente",OR(AF524="",AF524="null",AF524&gt;TODAY())),"SI",IF(AND(NOT(OR(AF524="",AF524="null")),AF524&lt;=TODAY()),"NO",IF(AG524="Vigente","SI","DESCONOCIDO")))</f>
        <v>SI</v>
      </c>
      <c r="AP524" t="str">
        <f>IF(AND(ISNUMBER(SEARCH("IMPORTAR",AA524)),ISNUMBER(SEARCH("FABRICAR",AA524))),"MIXTO",IF(ISNUMBER(SEARCH("IMPORTAR",AA524)),"IMPORTADO",IF(ISNUMBER(SEARCH("FABRICAR",AA524)),"LOCAL","OTRO")))</f>
        <v>IMPORTADO</v>
      </c>
      <c r="AQ524" t="str">
        <f>IF(AD524="Si","SI",IF(AD524="No","NO",""))</f>
        <v>NO</v>
      </c>
      <c r="AR524" t="str">
        <f>IF(ISNUMBER(SEARCH("®",N524)),"MARCA/INNOVADOR","GENERICO")</f>
        <v>GENERICO</v>
      </c>
      <c r="AS524">
        <f ca="1">IF(AE524&gt;100,RANDBETWEEN(500,5000),IF(AND(AE524&gt;=10,AE524&lt;=100),RANDBETWEEN(100,1000),RANDBETWEEN(10,200)))</f>
        <v>240</v>
      </c>
      <c r="AT524">
        <f t="shared" ca="1" si="42"/>
        <v>48</v>
      </c>
      <c r="AU524">
        <f ca="1">INT(AS524*RANDBETWEEN(120,200)/100)</f>
        <v>331</v>
      </c>
      <c r="AV524" s="2">
        <f ca="1">IF(LEFT(Y524,1)="L",RANDBETWEEN(500000,5000000),IF(LEFT(Y524,1)="C",RANDBETWEEN(5000,50000),IF(LEFT(Y524,1)="N",RANDBETWEEN(10000,150000),IF(LEFT(Y524,1)="J",RANDBETWEEN(8000,200000),RANDBETWEEN(5000,100000)))))</f>
        <v>85270</v>
      </c>
      <c r="AW524" s="2">
        <f ca="1">INT(AV524*RANDBETWEEN(30,60)/100)</f>
        <v>36666</v>
      </c>
      <c r="AX524">
        <f ca="1">IF(Z524="ORAL",RANDBETWEEN(1000,10000),IF(OR(Z524="INTRAVENOSA",Z524="INTRAMUSCULAR"),RANDBETWEEN(100,2000),IF(OR(Z524="OFTÁLMICA",Z524="TOPICA (EXTERNA)"),RANDBETWEEN(200,3000),RANDBETWEEN(100,1500))))</f>
        <v>5614</v>
      </c>
      <c r="AY524" s="2">
        <f ca="1">INT(AV524*RANDBETWEEN(90,130)/100)</f>
        <v>104029</v>
      </c>
      <c r="AZ524" t="str">
        <f t="shared" ca="1" si="43"/>
        <v>24.9%</v>
      </c>
      <c r="BA524" t="str">
        <f t="shared" ca="1" si="44"/>
        <v>ALTO</v>
      </c>
    </row>
    <row r="525" spans="4:53" x14ac:dyDescent="0.35">
      <c r="D525" t="s">
        <v>3676</v>
      </c>
      <c r="E525" s="1">
        <v>45302</v>
      </c>
      <c r="F525" t="s">
        <v>2717</v>
      </c>
      <c r="G525" t="s">
        <v>108</v>
      </c>
      <c r="H525" t="s">
        <v>958</v>
      </c>
      <c r="I525">
        <v>20248216</v>
      </c>
      <c r="J525" t="s">
        <v>28</v>
      </c>
      <c r="K525">
        <v>4</v>
      </c>
      <c r="L525" t="s">
        <v>27</v>
      </c>
      <c r="M525" t="s">
        <v>3677</v>
      </c>
      <c r="N525" t="s">
        <v>3678</v>
      </c>
      <c r="O525" t="s">
        <v>3679</v>
      </c>
      <c r="P525" t="s">
        <v>33</v>
      </c>
      <c r="Q525" s="1">
        <v>45264</v>
      </c>
      <c r="R525" t="s">
        <v>33</v>
      </c>
      <c r="S525" t="s">
        <v>27</v>
      </c>
      <c r="T525" t="s">
        <v>1403</v>
      </c>
      <c r="U525" t="s">
        <v>115</v>
      </c>
      <c r="V525" t="s">
        <v>2717</v>
      </c>
      <c r="W525">
        <v>25</v>
      </c>
      <c r="X525">
        <v>20248216</v>
      </c>
      <c r="Y525" t="s">
        <v>2718</v>
      </c>
      <c r="Z525" t="s">
        <v>119</v>
      </c>
      <c r="AA525" t="s">
        <v>24</v>
      </c>
      <c r="AB525" t="s">
        <v>120</v>
      </c>
      <c r="AC525" t="s">
        <v>25</v>
      </c>
      <c r="AD525" t="s">
        <v>155</v>
      </c>
      <c r="AE525">
        <v>100</v>
      </c>
      <c r="AF525" s="1">
        <v>401769</v>
      </c>
      <c r="AG525" t="s">
        <v>26</v>
      </c>
      <c r="AH525" t="s">
        <v>2717</v>
      </c>
      <c r="AI525" t="str">
        <f t="shared" si="40"/>
        <v>NO</v>
      </c>
      <c r="AJ525" t="str">
        <f t="shared" si="41"/>
        <v>MOMENTA FARMACEUTICA</v>
      </c>
      <c r="AK525" t="str">
        <f>IF(ISNUMBER(SEARCH("FABRICANTE",AC525)),"FABRICANTE",IF(ISNUMBER(SEARCH("IMPORTADOR",AC525)),"IMPORTADOR","OTRO"))</f>
        <v>FABRICANTE</v>
      </c>
      <c r="AL525" t="str">
        <f>IF(LEFT(Y525,1)="A","Sistema digestivo",IF(LEFT(Y525,1)="B","Sangre",IF(LEFT(Y525,1)="C","Cardiovascular",IF(LEFT(Y525,1)="D","Dermatológico",IF(LEFT(Y525,1)="G","Genitourinario",IF(LEFT(Y525,1)="H","Hormonal",IF(LEFT(Y525,1)="J","Antiinfecciosos",IF(LEFT(Y525,1)="L","Oncológicos",IF(LEFT(Y525,1)="M","Musculoesquelético",IF(LEFT(Y525,1)="N","Sistema nervioso",IF(LEFT(Y525,1)="R","Respiratorio",IF(LEFT(Y525,1)="S","Oftálmico",IF(LEFT(Y525,1)="V","Varios","OTRO")))))))))))))</f>
        <v>Cardiovascular</v>
      </c>
      <c r="AM525" t="str">
        <f>IF(AG525="Vigente","ACTIVO",IF(ISNUMBER(SEARCH("Inactivo",J525)),"INACTIVO","REVISAR"))</f>
        <v>ACTIVO</v>
      </c>
      <c r="AN525">
        <f ca="1">IF(OR(AF525="",AF525="null"),"",ROUND((AF525-TODAY())/365.25,2))</f>
        <v>973.58</v>
      </c>
      <c r="AO525" t="str">
        <f ca="1">IF(AND(AG525="Vigente",OR(AF525="",AF525="null",AF525&gt;TODAY())),"SI",IF(AND(NOT(OR(AF525="",AF525="null")),AF525&lt;=TODAY()),"NO",IF(AG525="Vigente","SI","DESCONOCIDO")))</f>
        <v>SI</v>
      </c>
      <c r="AP525" t="str">
        <f>IF(AND(ISNUMBER(SEARCH("IMPORTAR",AA525)),ISNUMBER(SEARCH("FABRICAR",AA525))),"MIXTO",IF(ISNUMBER(SEARCH("IMPORTAR",AA525)),"IMPORTADO",IF(ISNUMBER(SEARCH("FABRICAR",AA525)),"LOCAL","OTRO")))</f>
        <v>LOCAL</v>
      </c>
      <c r="AQ525" t="str">
        <f>IF(AD525="Si","SI",IF(AD525="No","NO",""))</f>
        <v>SI</v>
      </c>
      <c r="AR525" t="str">
        <f>IF(ISNUMBER(SEARCH("®",N525)),"MARCA/INNOVADOR","GENERICO")</f>
        <v>GENERICO</v>
      </c>
      <c r="AS525">
        <f ca="1">IF(AE525&gt;100,RANDBETWEEN(500,5000),IF(AND(AE525&gt;=10,AE525&lt;=100),RANDBETWEEN(100,1000),RANDBETWEEN(10,200)))</f>
        <v>904</v>
      </c>
      <c r="AT525">
        <f t="shared" ca="1" si="42"/>
        <v>226</v>
      </c>
      <c r="AU525">
        <f ca="1">INT(AS525*RANDBETWEEN(120,200)/100)</f>
        <v>1563</v>
      </c>
      <c r="AV525" s="2">
        <f ca="1">IF(LEFT(Y525,1)="L",RANDBETWEEN(500000,5000000),IF(LEFT(Y525,1)="C",RANDBETWEEN(5000,50000),IF(LEFT(Y525,1)="N",RANDBETWEEN(10000,150000),IF(LEFT(Y525,1)="J",RANDBETWEEN(8000,200000),RANDBETWEEN(5000,100000)))))</f>
        <v>21927</v>
      </c>
      <c r="AW525" s="2">
        <f ca="1">INT(AV525*RANDBETWEEN(30,60)/100)</f>
        <v>9867</v>
      </c>
      <c r="AX525">
        <f ca="1">IF(Z525="ORAL",RANDBETWEEN(1000,10000),IF(OR(Z525="INTRAVENOSA",Z525="INTRAMUSCULAR"),RANDBETWEEN(100,2000),IF(OR(Z525="OFTÁLMICA",Z525="TOPICA (EXTERNA)"),RANDBETWEEN(200,3000),RANDBETWEEN(100,1500))))</f>
        <v>2996</v>
      </c>
      <c r="AY525" s="2">
        <f ca="1">INT(AV525*RANDBETWEEN(90,130)/100)</f>
        <v>24996</v>
      </c>
      <c r="AZ525" t="str">
        <f t="shared" ca="1" si="43"/>
        <v>12.8%</v>
      </c>
      <c r="BA525" t="str">
        <f t="shared" ca="1" si="44"/>
        <v>BAJO</v>
      </c>
    </row>
    <row r="526" spans="4:53" x14ac:dyDescent="0.35">
      <c r="D526" t="s">
        <v>3680</v>
      </c>
      <c r="E526" s="1">
        <v>36434</v>
      </c>
      <c r="F526" t="s">
        <v>3681</v>
      </c>
      <c r="G526" t="s">
        <v>502</v>
      </c>
      <c r="H526" t="s">
        <v>3682</v>
      </c>
      <c r="I526">
        <v>19903409</v>
      </c>
      <c r="J526" t="s">
        <v>28</v>
      </c>
      <c r="K526">
        <v>5</v>
      </c>
      <c r="L526" t="s">
        <v>3683</v>
      </c>
      <c r="M526" t="s">
        <v>3684</v>
      </c>
      <c r="N526" t="s">
        <v>3685</v>
      </c>
      <c r="O526" t="s">
        <v>3686</v>
      </c>
      <c r="P526" t="s">
        <v>3687</v>
      </c>
      <c r="Q526" s="1">
        <v>39988</v>
      </c>
      <c r="R526" t="s">
        <v>50</v>
      </c>
      <c r="S526" t="s">
        <v>27</v>
      </c>
      <c r="T526" t="s">
        <v>3682</v>
      </c>
      <c r="U526" t="s">
        <v>115</v>
      </c>
      <c r="V526" t="s">
        <v>2338</v>
      </c>
      <c r="W526" t="s">
        <v>433</v>
      </c>
      <c r="X526">
        <v>19903409</v>
      </c>
      <c r="Y526" t="s">
        <v>2339</v>
      </c>
      <c r="Z526" t="s">
        <v>213</v>
      </c>
      <c r="AA526" t="s">
        <v>32</v>
      </c>
      <c r="AB526" t="s">
        <v>120</v>
      </c>
      <c r="AC526" t="s">
        <v>25</v>
      </c>
      <c r="AD526" t="s">
        <v>121</v>
      </c>
      <c r="AE526">
        <v>200</v>
      </c>
      <c r="AF526" t="s">
        <v>27</v>
      </c>
      <c r="AG526" t="s">
        <v>26</v>
      </c>
      <c r="AH526" t="s">
        <v>120</v>
      </c>
      <c r="AI526" t="str">
        <f t="shared" si="40"/>
        <v>SI</v>
      </c>
      <c r="AJ526" t="str">
        <f t="shared" si="41"/>
        <v>LABORATORIOS SANDERSON</v>
      </c>
      <c r="AK526" t="str">
        <f>IF(ISNUMBER(SEARCH("FABRICANTE",AC526)),"FABRICANTE",IF(ISNUMBER(SEARCH("IMPORTADOR",AC526)),"IMPORTADOR","OTRO"))</f>
        <v>FABRICANTE</v>
      </c>
      <c r="AL526" t="str">
        <f>IF(LEFT(Y526,1)="A","Sistema digestivo",IF(LEFT(Y526,1)="B","Sangre",IF(LEFT(Y526,1)="C","Cardiovascular",IF(LEFT(Y526,1)="D","Dermatológico",IF(LEFT(Y526,1)="G","Genitourinario",IF(LEFT(Y526,1)="H","Hormonal",IF(LEFT(Y526,1)="J","Antiinfecciosos",IF(LEFT(Y526,1)="L","Oncológicos",IF(LEFT(Y526,1)="M","Musculoesquelético",IF(LEFT(Y526,1)="N","Sistema nervioso",IF(LEFT(Y526,1)="R","Respiratorio",IF(LEFT(Y526,1)="S","Oftálmico",IF(LEFT(Y526,1)="V","Varios","OTRO")))))))))))))</f>
        <v>Sistema nervioso</v>
      </c>
      <c r="AM526" t="str">
        <f>IF(AG526="Vigente","ACTIVO",IF(ISNUMBER(SEARCH("Inactivo",J526)),"INACTIVO","REVISAR"))</f>
        <v>ACTIVO</v>
      </c>
      <c r="AN526" t="str">
        <f ca="1">IF(OR(AF526="",AF526="null"),"",ROUND((AF526-TODAY())/365.25,2))</f>
        <v/>
      </c>
      <c r="AO526" t="str">
        <f ca="1">IF(AND(AG526="Vigente",OR(AF526="",AF526="null",AF526&gt;TODAY())),"SI",IF(AND(NOT(OR(AF526="",AF526="null")),AF526&lt;=TODAY()),"NO",IF(AG526="Vigente","SI","DESCONOCIDO")))</f>
        <v>SI</v>
      </c>
      <c r="AP526" t="str">
        <f>IF(AND(ISNUMBER(SEARCH("IMPORTAR",AA526)),ISNUMBER(SEARCH("FABRICAR",AA526))),"MIXTO",IF(ISNUMBER(SEARCH("IMPORTAR",AA526)),"IMPORTADO",IF(ISNUMBER(SEARCH("FABRICAR",AA526)),"LOCAL","OTRO")))</f>
        <v>IMPORTADO</v>
      </c>
      <c r="AQ526" t="str">
        <f>IF(AD526="Si","SI",IF(AD526="No","NO",""))</f>
        <v>NO</v>
      </c>
      <c r="AR526" t="str">
        <f>IF(ISNUMBER(SEARCH("®",N526)),"MARCA/INNOVADOR","GENERICO")</f>
        <v>GENERICO</v>
      </c>
      <c r="AS526">
        <f ca="1">IF(AE526&gt;100,RANDBETWEEN(500,5000),IF(AND(AE526&gt;=10,AE526&lt;=100),RANDBETWEEN(100,1000),RANDBETWEEN(10,200)))</f>
        <v>4598</v>
      </c>
      <c r="AT526">
        <f t="shared" ca="1" si="42"/>
        <v>1241</v>
      </c>
      <c r="AU526">
        <f ca="1">INT(AS526*RANDBETWEEN(120,200)/100)</f>
        <v>8414</v>
      </c>
      <c r="AV526" s="2">
        <f ca="1">IF(LEFT(Y526,1)="L",RANDBETWEEN(500000,5000000),IF(LEFT(Y526,1)="C",RANDBETWEEN(5000,50000),IF(LEFT(Y526,1)="N",RANDBETWEEN(10000,150000),IF(LEFT(Y526,1)="J",RANDBETWEEN(8000,200000),RANDBETWEEN(5000,100000)))))</f>
        <v>43807</v>
      </c>
      <c r="AW526" s="2">
        <f ca="1">INT(AV526*RANDBETWEEN(30,60)/100)</f>
        <v>25846</v>
      </c>
      <c r="AX526">
        <f ca="1">IF(Z526="ORAL",RANDBETWEEN(1000,10000),IF(OR(Z526="INTRAVENOSA",Z526="INTRAMUSCULAR"),RANDBETWEEN(100,2000),IF(OR(Z526="OFTÁLMICA",Z526="TOPICA (EXTERNA)"),RANDBETWEEN(200,3000),RANDBETWEEN(100,1500))))</f>
        <v>714</v>
      </c>
      <c r="AY526" s="2">
        <f ca="1">INT(AV526*RANDBETWEEN(90,130)/100)</f>
        <v>42492</v>
      </c>
      <c r="AZ526" t="str">
        <f t="shared" ca="1" si="43"/>
        <v>2%</v>
      </c>
      <c r="BA526" t="str">
        <f t="shared" ca="1" si="44"/>
        <v>BAJO</v>
      </c>
    </row>
    <row r="527" spans="4:53" x14ac:dyDescent="0.35">
      <c r="D527" t="s">
        <v>3688</v>
      </c>
      <c r="E527" s="1">
        <v>42843</v>
      </c>
      <c r="F527" t="s">
        <v>1083</v>
      </c>
      <c r="G527" t="s">
        <v>108</v>
      </c>
      <c r="H527" t="s">
        <v>316</v>
      </c>
      <c r="I527">
        <v>20103181</v>
      </c>
      <c r="J527" t="s">
        <v>110</v>
      </c>
      <c r="K527">
        <v>20</v>
      </c>
      <c r="L527" t="s">
        <v>27</v>
      </c>
      <c r="M527" t="s">
        <v>3226</v>
      </c>
      <c r="N527" t="s">
        <v>3227</v>
      </c>
      <c r="O527" t="s">
        <v>3689</v>
      </c>
      <c r="P527" t="s">
        <v>97</v>
      </c>
      <c r="Q527" s="1">
        <v>42824</v>
      </c>
      <c r="R527" t="s">
        <v>29</v>
      </c>
      <c r="S527" s="1">
        <v>43742</v>
      </c>
      <c r="T527" t="s">
        <v>80</v>
      </c>
      <c r="U527" t="s">
        <v>115</v>
      </c>
      <c r="V527" t="s">
        <v>846</v>
      </c>
      <c r="W527">
        <v>5</v>
      </c>
      <c r="X527">
        <v>20103181</v>
      </c>
      <c r="Y527" t="s">
        <v>847</v>
      </c>
      <c r="Z527" t="s">
        <v>119</v>
      </c>
      <c r="AA527" t="s">
        <v>165</v>
      </c>
      <c r="AB527" t="s">
        <v>120</v>
      </c>
      <c r="AC527" t="s">
        <v>25</v>
      </c>
      <c r="AD527" t="s">
        <v>121</v>
      </c>
      <c r="AE527">
        <v>100</v>
      </c>
      <c r="AF527" t="s">
        <v>27</v>
      </c>
      <c r="AG527" t="s">
        <v>26</v>
      </c>
      <c r="AH527" t="s">
        <v>2508</v>
      </c>
      <c r="AI527" t="str">
        <f t="shared" si="40"/>
        <v>NO</v>
      </c>
      <c r="AJ527" t="str">
        <f t="shared" si="41"/>
        <v>TECNOQUIMICAS</v>
      </c>
      <c r="AK527" t="str">
        <f>IF(ISNUMBER(SEARCH("FABRICANTE",AC527)),"FABRICANTE",IF(ISNUMBER(SEARCH("IMPORTADOR",AC527)),"IMPORTADOR","OTRO"))</f>
        <v>FABRICANTE</v>
      </c>
      <c r="AL527" t="str">
        <f>IF(LEFT(Y527,1)="A","Sistema digestivo",IF(LEFT(Y527,1)="B","Sangre",IF(LEFT(Y527,1)="C","Cardiovascular",IF(LEFT(Y527,1)="D","Dermatológico",IF(LEFT(Y527,1)="G","Genitourinario",IF(LEFT(Y527,1)="H","Hormonal",IF(LEFT(Y527,1)="J","Antiinfecciosos",IF(LEFT(Y527,1)="L","Oncológicos",IF(LEFT(Y527,1)="M","Musculoesquelético",IF(LEFT(Y527,1)="N","Sistema nervioso",IF(LEFT(Y527,1)="R","Respiratorio",IF(LEFT(Y527,1)="S","Oftálmico",IF(LEFT(Y527,1)="V","Varios","OTRO")))))))))))))</f>
        <v>Sistema nervioso</v>
      </c>
      <c r="AM527" t="str">
        <f>IF(AG527="Vigente","ACTIVO",IF(ISNUMBER(SEARCH("Inactivo",J527)),"INACTIVO","REVISAR"))</f>
        <v>ACTIVO</v>
      </c>
      <c r="AN527" t="str">
        <f ca="1">IF(OR(AF527="",AF527="null"),"",ROUND((AF527-TODAY())/365.25,2))</f>
        <v/>
      </c>
      <c r="AO527" t="str">
        <f ca="1">IF(AND(AG527="Vigente",OR(AF527="",AF527="null",AF527&gt;TODAY())),"SI",IF(AND(NOT(OR(AF527="",AF527="null")),AF527&lt;=TODAY()),"NO",IF(AG527="Vigente","SI","DESCONOCIDO")))</f>
        <v>SI</v>
      </c>
      <c r="AP527" t="str">
        <f>IF(AND(ISNUMBER(SEARCH("IMPORTAR",AA527)),ISNUMBER(SEARCH("FABRICAR",AA527))),"MIXTO",IF(ISNUMBER(SEARCH("IMPORTAR",AA527)),"IMPORTADO",IF(ISNUMBER(SEARCH("FABRICAR",AA527)),"LOCAL","OTRO")))</f>
        <v>IMPORTADO</v>
      </c>
      <c r="AQ527" t="str">
        <f>IF(AD527="Si","SI",IF(AD527="No","NO",""))</f>
        <v>NO</v>
      </c>
      <c r="AR527" t="str">
        <f>IF(ISNUMBER(SEARCH("®",N527)),"MARCA/INNOVADOR","GENERICO")</f>
        <v>GENERICO</v>
      </c>
      <c r="AS527">
        <f ca="1">IF(AE527&gt;100,RANDBETWEEN(500,5000),IF(AND(AE527&gt;=10,AE527&lt;=100),RANDBETWEEN(100,1000),RANDBETWEEN(10,200)))</f>
        <v>182</v>
      </c>
      <c r="AT527">
        <f t="shared" ca="1" si="42"/>
        <v>40</v>
      </c>
      <c r="AU527">
        <f ca="1">INT(AS527*RANDBETWEEN(120,200)/100)</f>
        <v>278</v>
      </c>
      <c r="AV527" s="2">
        <f ca="1">IF(LEFT(Y527,1)="L",RANDBETWEEN(500000,5000000),IF(LEFT(Y527,1)="C",RANDBETWEEN(5000,50000),IF(LEFT(Y527,1)="N",RANDBETWEEN(10000,150000),IF(LEFT(Y527,1)="J",RANDBETWEEN(8000,200000),RANDBETWEEN(5000,100000)))))</f>
        <v>76015</v>
      </c>
      <c r="AW527" s="2">
        <f ca="1">INT(AV527*RANDBETWEEN(30,60)/100)</f>
        <v>34206</v>
      </c>
      <c r="AX527">
        <f ca="1">IF(Z527="ORAL",RANDBETWEEN(1000,10000),IF(OR(Z527="INTRAVENOSA",Z527="INTRAMUSCULAR"),RANDBETWEEN(100,2000),IF(OR(Z527="OFTÁLMICA",Z527="TOPICA (EXTERNA)"),RANDBETWEEN(200,3000),RANDBETWEEN(100,1500))))</f>
        <v>8531</v>
      </c>
      <c r="AY527" s="2">
        <f ca="1">INT(AV527*RANDBETWEEN(90,130)/100)</f>
        <v>86657</v>
      </c>
      <c r="AZ527" t="str">
        <f t="shared" ca="1" si="43"/>
        <v>6.4%</v>
      </c>
      <c r="BA527" t="str">
        <f t="shared" ca="1" si="44"/>
        <v>ALTO</v>
      </c>
    </row>
    <row r="528" spans="4:53" x14ac:dyDescent="0.35">
      <c r="D528" t="s">
        <v>3690</v>
      </c>
      <c r="E528" s="1">
        <v>44166</v>
      </c>
      <c r="F528" t="s">
        <v>1482</v>
      </c>
      <c r="G528" t="s">
        <v>108</v>
      </c>
      <c r="H528" t="s">
        <v>3640</v>
      </c>
      <c r="I528">
        <v>20161847</v>
      </c>
      <c r="J528" t="s">
        <v>28</v>
      </c>
      <c r="K528">
        <v>2</v>
      </c>
      <c r="L528" t="s">
        <v>3691</v>
      </c>
      <c r="M528" t="s">
        <v>3692</v>
      </c>
      <c r="N528" t="s">
        <v>3693</v>
      </c>
      <c r="O528" t="s">
        <v>3694</v>
      </c>
      <c r="P528" t="s">
        <v>33</v>
      </c>
      <c r="Q528" s="1">
        <v>43980</v>
      </c>
      <c r="R528" t="s">
        <v>33</v>
      </c>
      <c r="S528" t="s">
        <v>27</v>
      </c>
      <c r="T528" t="s">
        <v>624</v>
      </c>
      <c r="U528" t="s">
        <v>115</v>
      </c>
      <c r="V528" t="s">
        <v>1487</v>
      </c>
      <c r="W528">
        <v>20</v>
      </c>
      <c r="X528">
        <v>20161847</v>
      </c>
      <c r="Y528" t="s">
        <v>1488</v>
      </c>
      <c r="Z528" t="s">
        <v>119</v>
      </c>
      <c r="AA528" t="s">
        <v>32</v>
      </c>
      <c r="AB528" t="s">
        <v>120</v>
      </c>
      <c r="AC528" t="s">
        <v>38</v>
      </c>
      <c r="AD528" t="s">
        <v>121</v>
      </c>
      <c r="AE528">
        <v>14</v>
      </c>
      <c r="AF528" t="s">
        <v>27</v>
      </c>
      <c r="AG528" t="s">
        <v>26</v>
      </c>
      <c r="AH528" t="s">
        <v>1482</v>
      </c>
      <c r="AI528" t="str">
        <f t="shared" si="40"/>
        <v>NO</v>
      </c>
      <c r="AJ528" t="str">
        <f t="shared" si="41"/>
        <v>GALENICUM HEALTH COLOMBIA</v>
      </c>
      <c r="AK528" t="str">
        <f>IF(ISNUMBER(SEARCH("FABRICANTE",AC528)),"FABRICANTE",IF(ISNUMBER(SEARCH("IMPORTADOR",AC528)),"IMPORTADOR","OTRO"))</f>
        <v>IMPORTADOR</v>
      </c>
      <c r="AL528" t="str">
        <f>IF(LEFT(Y528,1)="A","Sistema digestivo",IF(LEFT(Y528,1)="B","Sangre",IF(LEFT(Y528,1)="C","Cardiovascular",IF(LEFT(Y528,1)="D","Dermatológico",IF(LEFT(Y528,1)="G","Genitourinario",IF(LEFT(Y528,1)="H","Hormonal",IF(LEFT(Y528,1)="J","Antiinfecciosos",IF(LEFT(Y528,1)="L","Oncológicos",IF(LEFT(Y528,1)="M","Musculoesquelético",IF(LEFT(Y528,1)="N","Sistema nervioso",IF(LEFT(Y528,1)="R","Respiratorio",IF(LEFT(Y528,1)="S","Oftálmico",IF(LEFT(Y528,1)="V","Varios","OTRO")))))))))))))</f>
        <v>Genitourinario</v>
      </c>
      <c r="AM528" t="str">
        <f>IF(AG528="Vigente","ACTIVO",IF(ISNUMBER(SEARCH("Inactivo",J528)),"INACTIVO","REVISAR"))</f>
        <v>ACTIVO</v>
      </c>
      <c r="AN528" t="str">
        <f ca="1">IF(OR(AF528="",AF528="null"),"",ROUND((AF528-TODAY())/365.25,2))</f>
        <v/>
      </c>
      <c r="AO528" t="str">
        <f ca="1">IF(AND(AG528="Vigente",OR(AF528="",AF528="null",AF528&gt;TODAY())),"SI",IF(AND(NOT(OR(AF528="",AF528="null")),AF528&lt;=TODAY()),"NO",IF(AG528="Vigente","SI","DESCONOCIDO")))</f>
        <v>SI</v>
      </c>
      <c r="AP528" t="str">
        <f>IF(AND(ISNUMBER(SEARCH("IMPORTAR",AA528)),ISNUMBER(SEARCH("FABRICAR",AA528))),"MIXTO",IF(ISNUMBER(SEARCH("IMPORTAR",AA528)),"IMPORTADO",IF(ISNUMBER(SEARCH("FABRICAR",AA528)),"LOCAL","OTRO")))</f>
        <v>IMPORTADO</v>
      </c>
      <c r="AQ528" t="str">
        <f>IF(AD528="Si","SI",IF(AD528="No","NO",""))</f>
        <v>NO</v>
      </c>
      <c r="AR528" t="str">
        <f>IF(ISNUMBER(SEARCH("®",N528)),"MARCA/INNOVADOR","GENERICO")</f>
        <v>MARCA/INNOVADOR</v>
      </c>
      <c r="AS528">
        <f ca="1">IF(AE528&gt;100,RANDBETWEEN(500,5000),IF(AND(AE528&gt;=10,AE528&lt;=100),RANDBETWEEN(100,1000),RANDBETWEEN(10,200)))</f>
        <v>808</v>
      </c>
      <c r="AT528">
        <f t="shared" ca="1" si="42"/>
        <v>161</v>
      </c>
      <c r="AU528">
        <f ca="1">INT(AS528*RANDBETWEEN(120,200)/100)</f>
        <v>1082</v>
      </c>
      <c r="AV528" s="2">
        <f ca="1">IF(LEFT(Y528,1)="L",RANDBETWEEN(500000,5000000),IF(LEFT(Y528,1)="C",RANDBETWEEN(5000,50000),IF(LEFT(Y528,1)="N",RANDBETWEEN(10000,150000),IF(LEFT(Y528,1)="J",RANDBETWEEN(8000,200000),RANDBETWEEN(5000,100000)))))</f>
        <v>57189</v>
      </c>
      <c r="AW528" s="2">
        <f ca="1">INT(AV528*RANDBETWEEN(30,60)/100)</f>
        <v>23447</v>
      </c>
      <c r="AX528">
        <f ca="1">IF(Z528="ORAL",RANDBETWEEN(1000,10000),IF(OR(Z528="INTRAVENOSA",Z528="INTRAMUSCULAR"),RANDBETWEEN(100,2000),IF(OR(Z528="OFTÁLMICA",Z528="TOPICA (EXTERNA)"),RANDBETWEEN(200,3000),RANDBETWEEN(100,1500))))</f>
        <v>1513</v>
      </c>
      <c r="AY528" s="2">
        <f ca="1">INT(AV528*RANDBETWEEN(90,130)/100)</f>
        <v>61764</v>
      </c>
      <c r="AZ528" t="str">
        <f t="shared" ca="1" si="43"/>
        <v>7.2%</v>
      </c>
      <c r="BA528" t="str">
        <f t="shared" ca="1" si="44"/>
        <v>BAJO</v>
      </c>
    </row>
    <row r="529" spans="4:53" x14ac:dyDescent="0.35">
      <c r="D529" t="s">
        <v>3695</v>
      </c>
      <c r="E529" s="1">
        <v>41360</v>
      </c>
      <c r="F529" t="s">
        <v>3696</v>
      </c>
      <c r="G529" t="s">
        <v>108</v>
      </c>
      <c r="H529" t="s">
        <v>928</v>
      </c>
      <c r="I529">
        <v>20052635</v>
      </c>
      <c r="J529" t="s">
        <v>28</v>
      </c>
      <c r="K529">
        <v>7</v>
      </c>
      <c r="L529" t="s">
        <v>27</v>
      </c>
      <c r="M529" t="s">
        <v>3697</v>
      </c>
      <c r="N529" t="s">
        <v>3698</v>
      </c>
      <c r="O529" t="s">
        <v>3699</v>
      </c>
      <c r="P529" t="s">
        <v>3700</v>
      </c>
      <c r="Q529" s="1">
        <v>41341</v>
      </c>
      <c r="R529" t="s">
        <v>50</v>
      </c>
      <c r="S529" t="s">
        <v>27</v>
      </c>
      <c r="T529" t="s">
        <v>928</v>
      </c>
      <c r="U529" t="s">
        <v>115</v>
      </c>
      <c r="V529" t="s">
        <v>1868</v>
      </c>
      <c r="W529">
        <v>100</v>
      </c>
      <c r="X529">
        <v>20052635</v>
      </c>
      <c r="Y529" t="s">
        <v>1869</v>
      </c>
      <c r="Z529" t="s">
        <v>213</v>
      </c>
      <c r="AA529" t="s">
        <v>24</v>
      </c>
      <c r="AB529" t="s">
        <v>133</v>
      </c>
      <c r="AC529" t="s">
        <v>25</v>
      </c>
      <c r="AD529" t="s">
        <v>121</v>
      </c>
      <c r="AE529">
        <v>300</v>
      </c>
      <c r="AF529" t="s">
        <v>27</v>
      </c>
      <c r="AG529" t="s">
        <v>26</v>
      </c>
      <c r="AH529" t="s">
        <v>6671</v>
      </c>
      <c r="AI529" t="str">
        <f t="shared" si="40"/>
        <v>NO</v>
      </c>
      <c r="AJ529" t="str">
        <f t="shared" si="41"/>
        <v>LABORATORIOS ECAR</v>
      </c>
      <c r="AK529" t="str">
        <f>IF(ISNUMBER(SEARCH("FABRICANTE",AC529)),"FABRICANTE",IF(ISNUMBER(SEARCH("IMPORTADOR",AC529)),"IMPORTADOR","OTRO"))</f>
        <v>FABRICANTE</v>
      </c>
      <c r="AL529" t="str">
        <f>IF(LEFT(Y529,1)="A","Sistema digestivo",IF(LEFT(Y529,1)="B","Sangre",IF(LEFT(Y529,1)="C","Cardiovascular",IF(LEFT(Y529,1)="D","Dermatológico",IF(LEFT(Y529,1)="G","Genitourinario",IF(LEFT(Y529,1)="H","Hormonal",IF(LEFT(Y529,1)="J","Antiinfecciosos",IF(LEFT(Y529,1)="L","Oncológicos",IF(LEFT(Y529,1)="M","Musculoesquelético",IF(LEFT(Y529,1)="N","Sistema nervioso",IF(LEFT(Y529,1)="R","Respiratorio",IF(LEFT(Y529,1)="S","Oftálmico",IF(LEFT(Y529,1)="V","Varios","OTRO")))))))))))))</f>
        <v>Sistema digestivo</v>
      </c>
      <c r="AM529" t="str">
        <f>IF(AG529="Vigente","ACTIVO",IF(ISNUMBER(SEARCH("Inactivo",J529)),"INACTIVO","REVISAR"))</f>
        <v>ACTIVO</v>
      </c>
      <c r="AN529" t="str">
        <f ca="1">IF(OR(AF529="",AF529="null"),"",ROUND((AF529-TODAY())/365.25,2))</f>
        <v/>
      </c>
      <c r="AO529" t="str">
        <f ca="1">IF(AND(AG529="Vigente",OR(AF529="",AF529="null",AF529&gt;TODAY())),"SI",IF(AND(NOT(OR(AF529="",AF529="null")),AF529&lt;=TODAY()),"NO",IF(AG529="Vigente","SI","DESCONOCIDO")))</f>
        <v>SI</v>
      </c>
      <c r="AP529" t="str">
        <f>IF(AND(ISNUMBER(SEARCH("IMPORTAR",AA529)),ISNUMBER(SEARCH("FABRICAR",AA529))),"MIXTO",IF(ISNUMBER(SEARCH("IMPORTAR",AA529)),"IMPORTADO",IF(ISNUMBER(SEARCH("FABRICAR",AA529)),"LOCAL","OTRO")))</f>
        <v>LOCAL</v>
      </c>
      <c r="AQ529" t="str">
        <f>IF(AD529="Si","SI",IF(AD529="No","NO",""))</f>
        <v>NO</v>
      </c>
      <c r="AR529" t="str">
        <f>IF(ISNUMBER(SEARCH("®",N529)),"MARCA/INNOVADOR","GENERICO")</f>
        <v>GENERICO</v>
      </c>
      <c r="AS529">
        <f ca="1">IF(AE529&gt;100,RANDBETWEEN(500,5000),IF(AND(AE529&gt;=10,AE529&lt;=100),RANDBETWEEN(100,1000),RANDBETWEEN(10,200)))</f>
        <v>659</v>
      </c>
      <c r="AT529">
        <f t="shared" ca="1" si="42"/>
        <v>191</v>
      </c>
      <c r="AU529">
        <f ca="1">INT(AS529*RANDBETWEEN(120,200)/100)</f>
        <v>1087</v>
      </c>
      <c r="AV529" s="2">
        <f ca="1">IF(LEFT(Y529,1)="L",RANDBETWEEN(500000,5000000),IF(LEFT(Y529,1)="C",RANDBETWEEN(5000,50000),IF(LEFT(Y529,1)="N",RANDBETWEEN(10000,150000),IF(LEFT(Y529,1)="J",RANDBETWEEN(8000,200000),RANDBETWEEN(5000,100000)))))</f>
        <v>79477</v>
      </c>
      <c r="AW529" s="2">
        <f ca="1">INT(AV529*RANDBETWEEN(30,60)/100)</f>
        <v>37354</v>
      </c>
      <c r="AX529">
        <f ca="1">IF(Z529="ORAL",RANDBETWEEN(1000,10000),IF(OR(Z529="INTRAVENOSA",Z529="INTRAMUSCULAR"),RANDBETWEEN(100,2000),IF(OR(Z529="OFTÁLMICA",Z529="TOPICA (EXTERNA)"),RANDBETWEEN(200,3000),RANDBETWEEN(100,1500))))</f>
        <v>1183</v>
      </c>
      <c r="AY529" s="2">
        <f ca="1">INT(AV529*RANDBETWEEN(90,130)/100)</f>
        <v>75503</v>
      </c>
      <c r="AZ529" t="str">
        <f t="shared" ca="1" si="43"/>
        <v>8.6%</v>
      </c>
      <c r="BA529" t="str">
        <f t="shared" ca="1" si="44"/>
        <v>BAJO</v>
      </c>
    </row>
    <row r="530" spans="4:53" x14ac:dyDescent="0.35">
      <c r="D530" t="s">
        <v>3701</v>
      </c>
      <c r="E530" s="1">
        <v>38447</v>
      </c>
      <c r="F530" t="s">
        <v>76</v>
      </c>
      <c r="G530" t="s">
        <v>108</v>
      </c>
      <c r="H530" t="s">
        <v>68</v>
      </c>
      <c r="I530">
        <v>19950176</v>
      </c>
      <c r="J530" t="s">
        <v>110</v>
      </c>
      <c r="K530">
        <v>29</v>
      </c>
      <c r="L530" t="s">
        <v>27</v>
      </c>
      <c r="M530" t="s">
        <v>3702</v>
      </c>
      <c r="N530" t="s">
        <v>3703</v>
      </c>
      <c r="O530" t="s">
        <v>3704</v>
      </c>
      <c r="P530" t="s">
        <v>3705</v>
      </c>
      <c r="Q530" s="1">
        <v>41488</v>
      </c>
      <c r="R530" t="s">
        <v>67</v>
      </c>
      <c r="S530" s="1">
        <v>42145</v>
      </c>
      <c r="T530" t="s">
        <v>68</v>
      </c>
      <c r="U530" t="s">
        <v>115</v>
      </c>
      <c r="V530" t="s">
        <v>248</v>
      </c>
      <c r="W530" t="s">
        <v>3706</v>
      </c>
      <c r="X530">
        <v>19950176</v>
      </c>
      <c r="Y530" t="s">
        <v>249</v>
      </c>
      <c r="Z530" t="s">
        <v>119</v>
      </c>
      <c r="AA530" t="s">
        <v>24</v>
      </c>
      <c r="AB530" t="s">
        <v>250</v>
      </c>
      <c r="AC530" t="s">
        <v>25</v>
      </c>
      <c r="AD530" t="s">
        <v>121</v>
      </c>
      <c r="AE530">
        <v>1</v>
      </c>
      <c r="AF530" t="s">
        <v>27</v>
      </c>
      <c r="AG530" t="s">
        <v>26</v>
      </c>
      <c r="AH530" t="s">
        <v>6777</v>
      </c>
      <c r="AI530" t="str">
        <f t="shared" si="40"/>
        <v>NO</v>
      </c>
      <c r="AJ530" t="str">
        <f t="shared" si="41"/>
        <v>QUIBI EN REESTRUCTURACION</v>
      </c>
      <c r="AK530" t="str">
        <f>IF(ISNUMBER(SEARCH("FABRICANTE",AC530)),"FABRICANTE",IF(ISNUMBER(SEARCH("IMPORTADOR",AC530)),"IMPORTADOR","OTRO"))</f>
        <v>FABRICANTE</v>
      </c>
      <c r="AL530" t="str">
        <f>IF(LEFT(Y530,1)="A","Sistema digestivo",IF(LEFT(Y530,1)="B","Sangre",IF(LEFT(Y530,1)="C","Cardiovascular",IF(LEFT(Y530,1)="D","Dermatológico",IF(LEFT(Y530,1)="G","Genitourinario",IF(LEFT(Y530,1)="H","Hormonal",IF(LEFT(Y530,1)="J","Antiinfecciosos",IF(LEFT(Y530,1)="L","Oncológicos",IF(LEFT(Y530,1)="M","Musculoesquelético",IF(LEFT(Y530,1)="N","Sistema nervioso",IF(LEFT(Y530,1)="R","Respiratorio",IF(LEFT(Y530,1)="S","Oftálmico",IF(LEFT(Y530,1)="V","Varios","OTRO")))))))))))))</f>
        <v>Sistema digestivo</v>
      </c>
      <c r="AM530" t="str">
        <f>IF(AG530="Vigente","ACTIVO",IF(ISNUMBER(SEARCH("Inactivo",J530)),"INACTIVO","REVISAR"))</f>
        <v>ACTIVO</v>
      </c>
      <c r="AN530" t="str">
        <f ca="1">IF(OR(AF530="",AF530="null"),"",ROUND((AF530-TODAY())/365.25,2))</f>
        <v/>
      </c>
      <c r="AO530" t="str">
        <f ca="1">IF(AND(AG530="Vigente",OR(AF530="",AF530="null",AF530&gt;TODAY())),"SI",IF(AND(NOT(OR(AF530="",AF530="null")),AF530&lt;=TODAY()),"NO",IF(AG530="Vigente","SI","DESCONOCIDO")))</f>
        <v>SI</v>
      </c>
      <c r="AP530" t="str">
        <f>IF(AND(ISNUMBER(SEARCH("IMPORTAR",AA530)),ISNUMBER(SEARCH("FABRICAR",AA530))),"MIXTO",IF(ISNUMBER(SEARCH("IMPORTAR",AA530)),"IMPORTADO",IF(ISNUMBER(SEARCH("FABRICAR",AA530)),"LOCAL","OTRO")))</f>
        <v>LOCAL</v>
      </c>
      <c r="AQ530" t="str">
        <f>IF(AD530="Si","SI",IF(AD530="No","NO",""))</f>
        <v>NO</v>
      </c>
      <c r="AR530" t="str">
        <f>IF(ISNUMBER(SEARCH("®",N530)),"MARCA/INNOVADOR","GENERICO")</f>
        <v>GENERICO</v>
      </c>
      <c r="AS530">
        <f ca="1">IF(AE530&gt;100,RANDBETWEEN(500,5000),IF(AND(AE530&gt;=10,AE530&lt;=100),RANDBETWEEN(100,1000),RANDBETWEEN(10,200)))</f>
        <v>22</v>
      </c>
      <c r="AT530">
        <f t="shared" ca="1" si="42"/>
        <v>3</v>
      </c>
      <c r="AU530">
        <f ca="1">INT(AS530*RANDBETWEEN(120,200)/100)</f>
        <v>34</v>
      </c>
      <c r="AV530" s="2">
        <f ca="1">IF(LEFT(Y530,1)="L",RANDBETWEEN(500000,5000000),IF(LEFT(Y530,1)="C",RANDBETWEEN(5000,50000),IF(LEFT(Y530,1)="N",RANDBETWEEN(10000,150000),IF(LEFT(Y530,1)="J",RANDBETWEEN(8000,200000),RANDBETWEEN(5000,100000)))))</f>
        <v>91045</v>
      </c>
      <c r="AW530" s="2">
        <f ca="1">INT(AV530*RANDBETWEEN(30,60)/100)</f>
        <v>37328</v>
      </c>
      <c r="AX530">
        <f ca="1">IF(Z530="ORAL",RANDBETWEEN(1000,10000),IF(OR(Z530="INTRAVENOSA",Z530="INTRAMUSCULAR"),RANDBETWEEN(100,2000),IF(OR(Z530="OFTÁLMICA",Z530="TOPICA (EXTERNA)"),RANDBETWEEN(200,3000),RANDBETWEEN(100,1500))))</f>
        <v>6855</v>
      </c>
      <c r="AY530" s="2">
        <f ca="1">INT(AV530*RANDBETWEEN(90,130)/100)</f>
        <v>99239</v>
      </c>
      <c r="AZ530" t="str">
        <f t="shared" ca="1" si="43"/>
        <v>20%</v>
      </c>
      <c r="BA530" t="str">
        <f t="shared" ca="1" si="44"/>
        <v>ALTO</v>
      </c>
    </row>
    <row r="531" spans="4:53" x14ac:dyDescent="0.35">
      <c r="D531" t="s">
        <v>3707</v>
      </c>
      <c r="E531" s="1">
        <v>38224</v>
      </c>
      <c r="F531" t="s">
        <v>3708</v>
      </c>
      <c r="G531" t="s">
        <v>108</v>
      </c>
      <c r="H531" t="s">
        <v>1380</v>
      </c>
      <c r="I531">
        <v>19944583</v>
      </c>
      <c r="J531" t="s">
        <v>28</v>
      </c>
      <c r="K531">
        <v>20</v>
      </c>
      <c r="L531" t="s">
        <v>27</v>
      </c>
      <c r="M531" t="s">
        <v>3709</v>
      </c>
      <c r="N531" t="s">
        <v>3710</v>
      </c>
      <c r="O531" t="s">
        <v>3711</v>
      </c>
      <c r="P531" t="s">
        <v>358</v>
      </c>
      <c r="Q531" s="1">
        <v>42157</v>
      </c>
      <c r="R531" t="s">
        <v>37</v>
      </c>
      <c r="S531" t="s">
        <v>27</v>
      </c>
      <c r="T531" t="s">
        <v>172</v>
      </c>
      <c r="U531" t="s">
        <v>115</v>
      </c>
      <c r="V531" t="s">
        <v>933</v>
      </c>
      <c r="W531">
        <v>500</v>
      </c>
      <c r="X531">
        <v>19944583</v>
      </c>
      <c r="Y531" t="s">
        <v>934</v>
      </c>
      <c r="Z531" t="s">
        <v>119</v>
      </c>
      <c r="AA531" t="s">
        <v>24</v>
      </c>
      <c r="AB531" t="s">
        <v>120</v>
      </c>
      <c r="AC531" t="s">
        <v>25</v>
      </c>
      <c r="AD531" t="s">
        <v>155</v>
      </c>
      <c r="AE531">
        <v>2</v>
      </c>
      <c r="AF531" t="s">
        <v>27</v>
      </c>
      <c r="AG531" t="s">
        <v>26</v>
      </c>
      <c r="AH531" t="s">
        <v>6645</v>
      </c>
      <c r="AI531" t="str">
        <f t="shared" si="40"/>
        <v>NO</v>
      </c>
      <c r="AJ531" t="str">
        <f t="shared" si="41"/>
        <v>NOVAMED</v>
      </c>
      <c r="AK531" t="str">
        <f>IF(ISNUMBER(SEARCH("FABRICANTE",AC531)),"FABRICANTE",IF(ISNUMBER(SEARCH("IMPORTADOR",AC531)),"IMPORTADOR","OTRO"))</f>
        <v>FABRICANTE</v>
      </c>
      <c r="AL531" t="str">
        <f>IF(LEFT(Y531,1)="A","Sistema digestivo",IF(LEFT(Y531,1)="B","Sangre",IF(LEFT(Y531,1)="C","Cardiovascular",IF(LEFT(Y531,1)="D","Dermatológico",IF(LEFT(Y531,1)="G","Genitourinario",IF(LEFT(Y531,1)="H","Hormonal",IF(LEFT(Y531,1)="J","Antiinfecciosos",IF(LEFT(Y531,1)="L","Oncológicos",IF(LEFT(Y531,1)="M","Musculoesquelético",IF(LEFT(Y531,1)="N","Sistema nervioso",IF(LEFT(Y531,1)="R","Respiratorio",IF(LEFT(Y531,1)="S","Oftálmico",IF(LEFT(Y531,1)="V","Varios","OTRO")))))))))))))</f>
        <v>Sistema digestivo</v>
      </c>
      <c r="AM531" t="str">
        <f>IF(AG531="Vigente","ACTIVO",IF(ISNUMBER(SEARCH("Inactivo",J531)),"INACTIVO","REVISAR"))</f>
        <v>ACTIVO</v>
      </c>
      <c r="AN531" t="str">
        <f ca="1">IF(OR(AF531="",AF531="null"),"",ROUND((AF531-TODAY())/365.25,2))</f>
        <v/>
      </c>
      <c r="AO531" t="str">
        <f ca="1">IF(AND(AG531="Vigente",OR(AF531="",AF531="null",AF531&gt;TODAY())),"SI",IF(AND(NOT(OR(AF531="",AF531="null")),AF531&lt;=TODAY()),"NO",IF(AG531="Vigente","SI","DESCONOCIDO")))</f>
        <v>SI</v>
      </c>
      <c r="AP531" t="str">
        <f>IF(AND(ISNUMBER(SEARCH("IMPORTAR",AA531)),ISNUMBER(SEARCH("FABRICAR",AA531))),"MIXTO",IF(ISNUMBER(SEARCH("IMPORTAR",AA531)),"IMPORTADO",IF(ISNUMBER(SEARCH("FABRICAR",AA531)),"LOCAL","OTRO")))</f>
        <v>LOCAL</v>
      </c>
      <c r="AQ531" t="str">
        <f>IF(AD531="Si","SI",IF(AD531="No","NO",""))</f>
        <v>SI</v>
      </c>
      <c r="AR531" t="str">
        <f>IF(ISNUMBER(SEARCH("®",N531)),"MARCA/INNOVADOR","GENERICO")</f>
        <v>MARCA/INNOVADOR</v>
      </c>
      <c r="AS531">
        <f ca="1">IF(AE531&gt;100,RANDBETWEEN(500,5000),IF(AND(AE531&gt;=10,AE531&lt;=100),RANDBETWEEN(100,1000),RANDBETWEEN(10,200)))</f>
        <v>173</v>
      </c>
      <c r="AT531">
        <f t="shared" ca="1" si="42"/>
        <v>43</v>
      </c>
      <c r="AU531">
        <f ca="1">INT(AS531*RANDBETWEEN(120,200)/100)</f>
        <v>346</v>
      </c>
      <c r="AV531" s="2">
        <f ca="1">IF(LEFT(Y531,1)="L",RANDBETWEEN(500000,5000000),IF(LEFT(Y531,1)="C",RANDBETWEEN(5000,50000),IF(LEFT(Y531,1)="N",RANDBETWEEN(10000,150000),IF(LEFT(Y531,1)="J",RANDBETWEEN(8000,200000),RANDBETWEEN(5000,100000)))))</f>
        <v>61465</v>
      </c>
      <c r="AW531" s="2">
        <f ca="1">INT(AV531*RANDBETWEEN(30,60)/100)</f>
        <v>33805</v>
      </c>
      <c r="AX531">
        <f ca="1">IF(Z531="ORAL",RANDBETWEEN(1000,10000),IF(OR(Z531="INTRAVENOSA",Z531="INTRAMUSCULAR"),RANDBETWEEN(100,2000),IF(OR(Z531="OFTÁLMICA",Z531="TOPICA (EXTERNA)"),RANDBETWEEN(200,3000),RANDBETWEEN(100,1500))))</f>
        <v>6334</v>
      </c>
      <c r="AY531" s="2">
        <f ca="1">INT(AV531*RANDBETWEEN(90,130)/100)</f>
        <v>60235</v>
      </c>
      <c r="AZ531" t="str">
        <f t="shared" ca="1" si="43"/>
        <v>17.8%</v>
      </c>
      <c r="BA531" t="str">
        <f t="shared" ca="1" si="44"/>
        <v>BAJO</v>
      </c>
    </row>
    <row r="532" spans="4:53" x14ac:dyDescent="0.35">
      <c r="D532" t="s">
        <v>3712</v>
      </c>
      <c r="E532" s="1">
        <v>36161</v>
      </c>
      <c r="F532" t="s">
        <v>1842</v>
      </c>
      <c r="G532" t="s">
        <v>108</v>
      </c>
      <c r="H532" t="s">
        <v>1843</v>
      </c>
      <c r="I532">
        <v>19906442</v>
      </c>
      <c r="J532" t="s">
        <v>28</v>
      </c>
      <c r="K532">
        <v>6</v>
      </c>
      <c r="L532" t="s">
        <v>27</v>
      </c>
      <c r="M532" t="s">
        <v>1844</v>
      </c>
      <c r="N532" t="s">
        <v>1845</v>
      </c>
      <c r="O532" t="s">
        <v>3713</v>
      </c>
      <c r="P532" t="s">
        <v>234</v>
      </c>
      <c r="Q532" s="1">
        <v>40589</v>
      </c>
      <c r="R532" t="s">
        <v>50</v>
      </c>
      <c r="S532" t="s">
        <v>27</v>
      </c>
      <c r="T532" t="s">
        <v>1847</v>
      </c>
      <c r="U532" t="s">
        <v>115</v>
      </c>
      <c r="V532" t="s">
        <v>1848</v>
      </c>
      <c r="W532">
        <v>320</v>
      </c>
      <c r="X532">
        <v>19906442</v>
      </c>
      <c r="Y532" t="s">
        <v>1849</v>
      </c>
      <c r="Z532" t="s">
        <v>1183</v>
      </c>
      <c r="AA532" t="s">
        <v>32</v>
      </c>
      <c r="AB532" t="s">
        <v>120</v>
      </c>
      <c r="AC532" t="s">
        <v>38</v>
      </c>
      <c r="AD532" t="s">
        <v>121</v>
      </c>
      <c r="AE532">
        <v>10</v>
      </c>
      <c r="AF532" t="s">
        <v>27</v>
      </c>
      <c r="AG532" t="s">
        <v>26</v>
      </c>
      <c r="AH532" t="s">
        <v>6762</v>
      </c>
      <c r="AI532" t="str">
        <f t="shared" si="40"/>
        <v>NO</v>
      </c>
      <c r="AJ532" t="str">
        <f t="shared" si="41"/>
        <v>GE HEALTHCARE AS</v>
      </c>
      <c r="AK532" t="str">
        <f>IF(ISNUMBER(SEARCH("FABRICANTE",AC532)),"FABRICANTE",IF(ISNUMBER(SEARCH("IMPORTADOR",AC532)),"IMPORTADOR","OTRO"))</f>
        <v>IMPORTADOR</v>
      </c>
      <c r="AL532" t="str">
        <f>IF(LEFT(Y532,1)="A","Sistema digestivo",IF(LEFT(Y532,1)="B","Sangre",IF(LEFT(Y532,1)="C","Cardiovascular",IF(LEFT(Y532,1)="D","Dermatológico",IF(LEFT(Y532,1)="G","Genitourinario",IF(LEFT(Y532,1)="H","Hormonal",IF(LEFT(Y532,1)="J","Antiinfecciosos",IF(LEFT(Y532,1)="L","Oncológicos",IF(LEFT(Y532,1)="M","Musculoesquelético",IF(LEFT(Y532,1)="N","Sistema nervioso",IF(LEFT(Y532,1)="R","Respiratorio",IF(LEFT(Y532,1)="S","Oftálmico",IF(LEFT(Y532,1)="V","Varios","OTRO")))))))))))))</f>
        <v>Varios</v>
      </c>
      <c r="AM532" t="str">
        <f>IF(AG532="Vigente","ACTIVO",IF(ISNUMBER(SEARCH("Inactivo",J532)),"INACTIVO","REVISAR"))</f>
        <v>ACTIVO</v>
      </c>
      <c r="AN532" t="str">
        <f ca="1">IF(OR(AF532="",AF532="null"),"",ROUND((AF532-TODAY())/365.25,2))</f>
        <v/>
      </c>
      <c r="AO532" t="str">
        <f ca="1">IF(AND(AG532="Vigente",OR(AF532="",AF532="null",AF532&gt;TODAY())),"SI",IF(AND(NOT(OR(AF532="",AF532="null")),AF532&lt;=TODAY()),"NO",IF(AG532="Vigente","SI","DESCONOCIDO")))</f>
        <v>SI</v>
      </c>
      <c r="AP532" t="str">
        <f>IF(AND(ISNUMBER(SEARCH("IMPORTAR",AA532)),ISNUMBER(SEARCH("FABRICAR",AA532))),"MIXTO",IF(ISNUMBER(SEARCH("IMPORTAR",AA532)),"IMPORTADO",IF(ISNUMBER(SEARCH("FABRICAR",AA532)),"LOCAL","OTRO")))</f>
        <v>IMPORTADO</v>
      </c>
      <c r="AQ532" t="str">
        <f>IF(AD532="Si","SI",IF(AD532="No","NO",""))</f>
        <v>NO</v>
      </c>
      <c r="AR532" t="str">
        <f>IF(ISNUMBER(SEARCH("®",N532)),"MARCA/INNOVADOR","GENERICO")</f>
        <v>GENERICO</v>
      </c>
      <c r="AS532">
        <f ca="1">IF(AE532&gt;100,RANDBETWEEN(500,5000),IF(AND(AE532&gt;=10,AE532&lt;=100),RANDBETWEEN(100,1000),RANDBETWEEN(10,200)))</f>
        <v>806</v>
      </c>
      <c r="AT532">
        <f t="shared" ca="1" si="42"/>
        <v>233</v>
      </c>
      <c r="AU532">
        <f ca="1">INT(AS532*RANDBETWEEN(120,200)/100)</f>
        <v>1362</v>
      </c>
      <c r="AV532" s="2">
        <f ca="1">IF(LEFT(Y532,1)="L",RANDBETWEEN(500000,5000000),IF(LEFT(Y532,1)="C",RANDBETWEEN(5000,50000),IF(LEFT(Y532,1)="N",RANDBETWEEN(10000,150000),IF(LEFT(Y532,1)="J",RANDBETWEEN(8000,200000),RANDBETWEEN(5000,100000)))))</f>
        <v>94669</v>
      </c>
      <c r="AW532" s="2">
        <f ca="1">INT(AV532*RANDBETWEEN(30,60)/100)</f>
        <v>28400</v>
      </c>
      <c r="AX532">
        <f ca="1">IF(Z532="ORAL",RANDBETWEEN(1000,10000),IF(OR(Z532="INTRAVENOSA",Z532="INTRAMUSCULAR"),RANDBETWEEN(100,2000),IF(OR(Z532="OFTÁLMICA",Z532="TOPICA (EXTERNA)"),RANDBETWEEN(200,3000),RANDBETWEEN(100,1500))))</f>
        <v>930</v>
      </c>
      <c r="AY532" s="2">
        <f ca="1">INT(AV532*RANDBETWEEN(90,130)/100)</f>
        <v>99402</v>
      </c>
      <c r="AZ532" t="str">
        <f t="shared" ca="1" si="43"/>
        <v>7.6%</v>
      </c>
      <c r="BA532" t="str">
        <f t="shared" ca="1" si="44"/>
        <v>BAJO</v>
      </c>
    </row>
    <row r="533" spans="4:53" x14ac:dyDescent="0.35">
      <c r="D533" t="s">
        <v>3714</v>
      </c>
      <c r="E533" s="1">
        <v>35597</v>
      </c>
      <c r="F533" t="s">
        <v>3715</v>
      </c>
      <c r="G533" t="s">
        <v>108</v>
      </c>
      <c r="H533" t="s">
        <v>549</v>
      </c>
      <c r="I533">
        <v>24283</v>
      </c>
      <c r="J533" t="s">
        <v>28</v>
      </c>
      <c r="K533">
        <v>14</v>
      </c>
      <c r="L533" t="s">
        <v>27</v>
      </c>
      <c r="M533" t="s">
        <v>1960</v>
      </c>
      <c r="N533" t="s">
        <v>1961</v>
      </c>
      <c r="O533" t="s">
        <v>1962</v>
      </c>
      <c r="P533" t="s">
        <v>1963</v>
      </c>
      <c r="Q533" s="1">
        <v>39031</v>
      </c>
      <c r="R533" t="s">
        <v>1964</v>
      </c>
      <c r="S533" t="s">
        <v>27</v>
      </c>
      <c r="T533" t="s">
        <v>549</v>
      </c>
      <c r="U533" t="s">
        <v>115</v>
      </c>
      <c r="V533" t="s">
        <v>1965</v>
      </c>
      <c r="W533" t="s">
        <v>3716</v>
      </c>
      <c r="X533">
        <v>24283</v>
      </c>
      <c r="Y533" t="s">
        <v>1966</v>
      </c>
      <c r="Z533" t="s">
        <v>1967</v>
      </c>
      <c r="AA533" t="s">
        <v>24</v>
      </c>
      <c r="AB533" t="s">
        <v>133</v>
      </c>
      <c r="AC533" t="s">
        <v>25</v>
      </c>
      <c r="AD533" t="s">
        <v>121</v>
      </c>
      <c r="AE533">
        <v>1</v>
      </c>
      <c r="AF533" t="s">
        <v>27</v>
      </c>
      <c r="AG533" t="s">
        <v>26</v>
      </c>
      <c r="AH533" t="s">
        <v>6813</v>
      </c>
      <c r="AI533" t="str">
        <f t="shared" si="40"/>
        <v>NO</v>
      </c>
      <c r="AJ533" t="str">
        <f t="shared" si="41"/>
        <v>LABORATORIOS BAXTER</v>
      </c>
      <c r="AK533" t="str">
        <f>IF(ISNUMBER(SEARCH("FABRICANTE",AC533)),"FABRICANTE",IF(ISNUMBER(SEARCH("IMPORTADOR",AC533)),"IMPORTADOR","OTRO"))</f>
        <v>FABRICANTE</v>
      </c>
      <c r="AL533" t="str">
        <f>IF(LEFT(Y533,1)="A","Sistema digestivo",IF(LEFT(Y533,1)="B","Sangre",IF(LEFT(Y533,1)="C","Cardiovascular",IF(LEFT(Y533,1)="D","Dermatológico",IF(LEFT(Y533,1)="G","Genitourinario",IF(LEFT(Y533,1)="H","Hormonal",IF(LEFT(Y533,1)="J","Antiinfecciosos",IF(LEFT(Y533,1)="L","Oncológicos",IF(LEFT(Y533,1)="M","Musculoesquelético",IF(LEFT(Y533,1)="N","Sistema nervioso",IF(LEFT(Y533,1)="R","Respiratorio",IF(LEFT(Y533,1)="S","Oftálmico",IF(LEFT(Y533,1)="V","Varios","OTRO")))))))))))))</f>
        <v>Sangre</v>
      </c>
      <c r="AM533" t="str">
        <f>IF(AG533="Vigente","ACTIVO",IF(ISNUMBER(SEARCH("Inactivo",J533)),"INACTIVO","REVISAR"))</f>
        <v>ACTIVO</v>
      </c>
      <c r="AN533" t="str">
        <f ca="1">IF(OR(AF533="",AF533="null"),"",ROUND((AF533-TODAY())/365.25,2))</f>
        <v/>
      </c>
      <c r="AO533" t="str">
        <f ca="1">IF(AND(AG533="Vigente",OR(AF533="",AF533="null",AF533&gt;TODAY())),"SI",IF(AND(NOT(OR(AF533="",AF533="null")),AF533&lt;=TODAY()),"NO",IF(AG533="Vigente","SI","DESCONOCIDO")))</f>
        <v>SI</v>
      </c>
      <c r="AP533" t="str">
        <f>IF(AND(ISNUMBER(SEARCH("IMPORTAR",AA533)),ISNUMBER(SEARCH("FABRICAR",AA533))),"MIXTO",IF(ISNUMBER(SEARCH("IMPORTAR",AA533)),"IMPORTADO",IF(ISNUMBER(SEARCH("FABRICAR",AA533)),"LOCAL","OTRO")))</f>
        <v>LOCAL</v>
      </c>
      <c r="AQ533" t="str">
        <f>IF(AD533="Si","SI",IF(AD533="No","NO",""))</f>
        <v>NO</v>
      </c>
      <c r="AR533" t="str">
        <f>IF(ISNUMBER(SEARCH("®",N533)),"MARCA/INNOVADOR","GENERICO")</f>
        <v>GENERICO</v>
      </c>
      <c r="AS533">
        <f ca="1">IF(AE533&gt;100,RANDBETWEEN(500,5000),IF(AND(AE533&gt;=10,AE533&lt;=100),RANDBETWEEN(100,1000),RANDBETWEEN(10,200)))</f>
        <v>172</v>
      </c>
      <c r="AT533">
        <f t="shared" ca="1" si="42"/>
        <v>34</v>
      </c>
      <c r="AU533">
        <f ca="1">INT(AS533*RANDBETWEEN(120,200)/100)</f>
        <v>215</v>
      </c>
      <c r="AV533" s="2">
        <f ca="1">IF(LEFT(Y533,1)="L",RANDBETWEEN(500000,5000000),IF(LEFT(Y533,1)="C",RANDBETWEEN(5000,50000),IF(LEFT(Y533,1)="N",RANDBETWEEN(10000,150000),IF(LEFT(Y533,1)="J",RANDBETWEEN(8000,200000),RANDBETWEEN(5000,100000)))))</f>
        <v>12657</v>
      </c>
      <c r="AW533" s="2">
        <f ca="1">INT(AV533*RANDBETWEEN(30,60)/100)</f>
        <v>3797</v>
      </c>
      <c r="AX533">
        <f ca="1">IF(Z533="ORAL",RANDBETWEEN(1000,10000),IF(OR(Z533="INTRAVENOSA",Z533="INTRAMUSCULAR"),RANDBETWEEN(100,2000),IF(OR(Z533="OFTÁLMICA",Z533="TOPICA (EXTERNA)"),RANDBETWEEN(200,3000),RANDBETWEEN(100,1500))))</f>
        <v>1347</v>
      </c>
      <c r="AY533" s="2">
        <f ca="1">INT(AV533*RANDBETWEEN(90,130)/100)</f>
        <v>15188</v>
      </c>
      <c r="AZ533" t="str">
        <f t="shared" ca="1" si="43"/>
        <v>3.3%</v>
      </c>
      <c r="BA533" t="str">
        <f t="shared" ca="1" si="44"/>
        <v>BAJO</v>
      </c>
    </row>
    <row r="534" spans="4:53" x14ac:dyDescent="0.35">
      <c r="D534" t="s">
        <v>3717</v>
      </c>
      <c r="E534" s="1">
        <v>40827</v>
      </c>
      <c r="F534" t="s">
        <v>3718</v>
      </c>
      <c r="G534" t="s">
        <v>108</v>
      </c>
      <c r="H534" t="s">
        <v>312</v>
      </c>
      <c r="I534">
        <v>20029994</v>
      </c>
      <c r="J534" t="s">
        <v>28</v>
      </c>
      <c r="K534">
        <v>1</v>
      </c>
      <c r="L534" t="s">
        <v>27</v>
      </c>
      <c r="M534" t="s">
        <v>3719</v>
      </c>
      <c r="N534" t="s">
        <v>3720</v>
      </c>
      <c r="O534" t="s">
        <v>3721</v>
      </c>
      <c r="P534" t="s">
        <v>27</v>
      </c>
      <c r="Q534" s="1">
        <v>40702</v>
      </c>
      <c r="R534" t="s">
        <v>50</v>
      </c>
      <c r="S534" t="s">
        <v>27</v>
      </c>
      <c r="T534" t="s">
        <v>610</v>
      </c>
      <c r="U534" t="s">
        <v>247</v>
      </c>
      <c r="V534" t="s">
        <v>3722</v>
      </c>
      <c r="W534" t="s">
        <v>3723</v>
      </c>
      <c r="X534">
        <v>20029994</v>
      </c>
      <c r="Y534" t="s">
        <v>3724</v>
      </c>
      <c r="Z534" t="s">
        <v>260</v>
      </c>
      <c r="AA534" t="s">
        <v>32</v>
      </c>
      <c r="AB534" t="s">
        <v>120</v>
      </c>
      <c r="AC534" t="s">
        <v>38</v>
      </c>
      <c r="AD534" t="s">
        <v>121</v>
      </c>
      <c r="AE534">
        <v>10</v>
      </c>
      <c r="AF534" t="s">
        <v>27</v>
      </c>
      <c r="AG534" t="s">
        <v>26</v>
      </c>
      <c r="AH534" t="s">
        <v>6744</v>
      </c>
      <c r="AI534" t="str">
        <f t="shared" si="40"/>
        <v>NO</v>
      </c>
      <c r="AJ534" t="str">
        <f t="shared" si="41"/>
        <v>B. BRAUN MELSUNGEN</v>
      </c>
      <c r="AK534" t="str">
        <f>IF(ISNUMBER(SEARCH("FABRICANTE",AC534)),"FABRICANTE",IF(ISNUMBER(SEARCH("IMPORTADOR",AC534)),"IMPORTADOR","OTRO"))</f>
        <v>IMPORTADOR</v>
      </c>
      <c r="AL534" t="str">
        <f>IF(LEFT(Y534,1)="A","Sistema digestivo",IF(LEFT(Y534,1)="B","Sangre",IF(LEFT(Y534,1)="C","Cardiovascular",IF(LEFT(Y534,1)="D","Dermatológico",IF(LEFT(Y534,1)="G","Genitourinario",IF(LEFT(Y534,1)="H","Hormonal",IF(LEFT(Y534,1)="J","Antiinfecciosos",IF(LEFT(Y534,1)="L","Oncológicos",IF(LEFT(Y534,1)="M","Musculoesquelético",IF(LEFT(Y534,1)="N","Sistema nervioso",IF(LEFT(Y534,1)="R","Respiratorio",IF(LEFT(Y534,1)="S","Oftálmico",IF(LEFT(Y534,1)="V","Varios","OTRO")))))))))))))</f>
        <v>Sangre</v>
      </c>
      <c r="AM534" t="str">
        <f>IF(AG534="Vigente","ACTIVO",IF(ISNUMBER(SEARCH("Inactivo",J534)),"INACTIVO","REVISAR"))</f>
        <v>ACTIVO</v>
      </c>
      <c r="AN534" t="str">
        <f ca="1">IF(OR(AF534="",AF534="null"),"",ROUND((AF534-TODAY())/365.25,2))</f>
        <v/>
      </c>
      <c r="AO534" t="str">
        <f ca="1">IF(AND(AG534="Vigente",OR(AF534="",AF534="null",AF534&gt;TODAY())),"SI",IF(AND(NOT(OR(AF534="",AF534="null")),AF534&lt;=TODAY()),"NO",IF(AG534="Vigente","SI","DESCONOCIDO")))</f>
        <v>SI</v>
      </c>
      <c r="AP534" t="str">
        <f>IF(AND(ISNUMBER(SEARCH("IMPORTAR",AA534)),ISNUMBER(SEARCH("FABRICAR",AA534))),"MIXTO",IF(ISNUMBER(SEARCH("IMPORTAR",AA534)),"IMPORTADO",IF(ISNUMBER(SEARCH("FABRICAR",AA534)),"LOCAL","OTRO")))</f>
        <v>IMPORTADO</v>
      </c>
      <c r="AQ534" t="str">
        <f>IF(AD534="Si","SI",IF(AD534="No","NO",""))</f>
        <v>NO</v>
      </c>
      <c r="AR534" t="str">
        <f>IF(ISNUMBER(SEARCH("®",N534)),"MARCA/INNOVADOR","GENERICO")</f>
        <v>MARCA/INNOVADOR</v>
      </c>
      <c r="AS534">
        <f ca="1">IF(AE534&gt;100,RANDBETWEEN(500,5000),IF(AND(AE534&gt;=10,AE534&lt;=100),RANDBETWEEN(100,1000),RANDBETWEEN(10,200)))</f>
        <v>894</v>
      </c>
      <c r="AT534">
        <f t="shared" ca="1" si="42"/>
        <v>250</v>
      </c>
      <c r="AU534">
        <f ca="1">INT(AS534*RANDBETWEEN(120,200)/100)</f>
        <v>1761</v>
      </c>
      <c r="AV534" s="2">
        <f ca="1">IF(LEFT(Y534,1)="L",RANDBETWEEN(500000,5000000),IF(LEFT(Y534,1)="C",RANDBETWEEN(5000,50000),IF(LEFT(Y534,1)="N",RANDBETWEEN(10000,150000),IF(LEFT(Y534,1)="J",RANDBETWEEN(8000,200000),RANDBETWEEN(5000,100000)))))</f>
        <v>56800</v>
      </c>
      <c r="AW534" s="2">
        <f ca="1">INT(AV534*RANDBETWEEN(30,60)/100)</f>
        <v>27832</v>
      </c>
      <c r="AX534">
        <f ca="1">IF(Z534="ORAL",RANDBETWEEN(1000,10000),IF(OR(Z534="INTRAVENOSA",Z534="INTRAMUSCULAR"),RANDBETWEEN(100,2000),IF(OR(Z534="OFTÁLMICA",Z534="TOPICA (EXTERNA)"),RANDBETWEEN(200,3000),RANDBETWEEN(100,1500))))</f>
        <v>251</v>
      </c>
      <c r="AY534" s="2">
        <f ca="1">INT(AV534*RANDBETWEEN(90,130)/100)</f>
        <v>55096</v>
      </c>
      <c r="AZ534" t="str">
        <f t="shared" ca="1" si="43"/>
        <v>3.9%</v>
      </c>
      <c r="BA534" t="str">
        <f t="shared" ca="1" si="44"/>
        <v>BAJO</v>
      </c>
    </row>
    <row r="535" spans="4:53" x14ac:dyDescent="0.35">
      <c r="D535" t="s">
        <v>3725</v>
      </c>
      <c r="E535" s="1">
        <v>34416</v>
      </c>
      <c r="F535" t="s">
        <v>3726</v>
      </c>
      <c r="G535" t="s">
        <v>108</v>
      </c>
      <c r="H535" t="s">
        <v>454</v>
      </c>
      <c r="I535">
        <v>42299</v>
      </c>
      <c r="J535" t="s">
        <v>28</v>
      </c>
      <c r="K535">
        <v>27</v>
      </c>
      <c r="L535" t="s">
        <v>27</v>
      </c>
      <c r="M535" t="s">
        <v>3727</v>
      </c>
      <c r="N535" t="s">
        <v>3728</v>
      </c>
      <c r="O535" t="s">
        <v>3729</v>
      </c>
      <c r="P535" t="s">
        <v>659</v>
      </c>
      <c r="Q535" s="1">
        <v>43138</v>
      </c>
      <c r="R535" t="s">
        <v>527</v>
      </c>
      <c r="S535" t="s">
        <v>27</v>
      </c>
      <c r="T535" t="s">
        <v>508</v>
      </c>
      <c r="U535" t="s">
        <v>115</v>
      </c>
      <c r="V535" t="s">
        <v>3517</v>
      </c>
      <c r="W535">
        <v>100</v>
      </c>
      <c r="X535">
        <v>42299</v>
      </c>
      <c r="Y535" t="s">
        <v>3518</v>
      </c>
      <c r="Z535" t="s">
        <v>119</v>
      </c>
      <c r="AA535" t="s">
        <v>24</v>
      </c>
      <c r="AB535" t="s">
        <v>120</v>
      </c>
      <c r="AC535" t="s">
        <v>25</v>
      </c>
      <c r="AD535" t="s">
        <v>121</v>
      </c>
      <c r="AE535">
        <v>150</v>
      </c>
      <c r="AF535" t="s">
        <v>27</v>
      </c>
      <c r="AG535" t="s">
        <v>26</v>
      </c>
      <c r="AH535" t="s">
        <v>6672</v>
      </c>
      <c r="AI535" t="str">
        <f t="shared" si="40"/>
        <v>NO</v>
      </c>
      <c r="AJ535" t="str">
        <f t="shared" si="41"/>
        <v>PRODUCTORA DE CAPSULAS DE GELATINA. PROCAPS</v>
      </c>
      <c r="AK535" t="str">
        <f>IF(ISNUMBER(SEARCH("FABRICANTE",AC535)),"FABRICANTE",IF(ISNUMBER(SEARCH("IMPORTADOR",AC535)),"IMPORTADOR","OTRO"))</f>
        <v>FABRICANTE</v>
      </c>
      <c r="AL535" t="str">
        <f>IF(LEFT(Y535,1)="A","Sistema digestivo",IF(LEFT(Y535,1)="B","Sangre",IF(LEFT(Y535,1)="C","Cardiovascular",IF(LEFT(Y535,1)="D","Dermatológico",IF(LEFT(Y535,1)="G","Genitourinario",IF(LEFT(Y535,1)="H","Hormonal",IF(LEFT(Y535,1)="J","Antiinfecciosos",IF(LEFT(Y535,1)="L","Oncológicos",IF(LEFT(Y535,1)="M","Musculoesquelético",IF(LEFT(Y535,1)="N","Sistema nervioso",IF(LEFT(Y535,1)="R","Respiratorio",IF(LEFT(Y535,1)="S","Oftálmico",IF(LEFT(Y535,1)="V","Varios","OTRO")))))))))))))</f>
        <v>Sistema digestivo</v>
      </c>
      <c r="AM535" t="str">
        <f>IF(AG535="Vigente","ACTIVO",IF(ISNUMBER(SEARCH("Inactivo",J535)),"INACTIVO","REVISAR"))</f>
        <v>ACTIVO</v>
      </c>
      <c r="AN535" t="str">
        <f ca="1">IF(OR(AF535="",AF535="null"),"",ROUND((AF535-TODAY())/365.25,2))</f>
        <v/>
      </c>
      <c r="AO535" t="str">
        <f ca="1">IF(AND(AG535="Vigente",OR(AF535="",AF535="null",AF535&gt;TODAY())),"SI",IF(AND(NOT(OR(AF535="",AF535="null")),AF535&lt;=TODAY()),"NO",IF(AG535="Vigente","SI","DESCONOCIDO")))</f>
        <v>SI</v>
      </c>
      <c r="AP535" t="str">
        <f>IF(AND(ISNUMBER(SEARCH("IMPORTAR",AA535)),ISNUMBER(SEARCH("FABRICAR",AA535))),"MIXTO",IF(ISNUMBER(SEARCH("IMPORTAR",AA535)),"IMPORTADO",IF(ISNUMBER(SEARCH("FABRICAR",AA535)),"LOCAL","OTRO")))</f>
        <v>LOCAL</v>
      </c>
      <c r="AQ535" t="str">
        <f>IF(AD535="Si","SI",IF(AD535="No","NO",""))</f>
        <v>NO</v>
      </c>
      <c r="AR535" t="str">
        <f>IF(ISNUMBER(SEARCH("®",N535)),"MARCA/INNOVADOR","GENERICO")</f>
        <v>GENERICO</v>
      </c>
      <c r="AS535">
        <f ca="1">IF(AE535&gt;100,RANDBETWEEN(500,5000),IF(AND(AE535&gt;=10,AE535&lt;=100),RANDBETWEEN(100,1000),RANDBETWEEN(10,200)))</f>
        <v>3761</v>
      </c>
      <c r="AT535">
        <f t="shared" ca="1" si="42"/>
        <v>714</v>
      </c>
      <c r="AU535">
        <f ca="1">INT(AS535*RANDBETWEEN(120,200)/100)</f>
        <v>5152</v>
      </c>
      <c r="AV535" s="2">
        <f ca="1">IF(LEFT(Y535,1)="L",RANDBETWEEN(500000,5000000),IF(LEFT(Y535,1)="C",RANDBETWEEN(5000,50000),IF(LEFT(Y535,1)="N",RANDBETWEEN(10000,150000),IF(LEFT(Y535,1)="J",RANDBETWEEN(8000,200000),RANDBETWEEN(5000,100000)))))</f>
        <v>91839</v>
      </c>
      <c r="AW535" s="2">
        <f ca="1">INT(AV535*RANDBETWEEN(30,60)/100)</f>
        <v>47756</v>
      </c>
      <c r="AX535">
        <f ca="1">IF(Z535="ORAL",RANDBETWEEN(1000,10000),IF(OR(Z535="INTRAVENOSA",Z535="INTRAMUSCULAR"),RANDBETWEEN(100,2000),IF(OR(Z535="OFTÁLMICA",Z535="TOPICA (EXTERNA)"),RANDBETWEEN(200,3000),RANDBETWEEN(100,1500))))</f>
        <v>6796</v>
      </c>
      <c r="AY535" s="2">
        <f ca="1">INT(AV535*RANDBETWEEN(90,130)/100)</f>
        <v>101022</v>
      </c>
      <c r="AZ535" t="str">
        <f t="shared" ca="1" si="43"/>
        <v>12.3%</v>
      </c>
      <c r="BA535" t="str">
        <f t="shared" ca="1" si="44"/>
        <v>BAJO</v>
      </c>
    </row>
    <row r="536" spans="4:53" x14ac:dyDescent="0.35">
      <c r="D536" t="s">
        <v>3730</v>
      </c>
      <c r="E536" s="1">
        <v>37573</v>
      </c>
      <c r="F536" t="s">
        <v>1258</v>
      </c>
      <c r="G536" t="s">
        <v>108</v>
      </c>
      <c r="H536" t="s">
        <v>1259</v>
      </c>
      <c r="I536">
        <v>19933064</v>
      </c>
      <c r="J536" t="s">
        <v>28</v>
      </c>
      <c r="K536">
        <v>11</v>
      </c>
      <c r="L536" t="s">
        <v>27</v>
      </c>
      <c r="M536" t="s">
        <v>1260</v>
      </c>
      <c r="N536" t="s">
        <v>1261</v>
      </c>
      <c r="O536" t="s">
        <v>3731</v>
      </c>
      <c r="P536" t="s">
        <v>1263</v>
      </c>
      <c r="Q536" s="1">
        <v>41519</v>
      </c>
      <c r="R536" t="s">
        <v>50</v>
      </c>
      <c r="S536" t="s">
        <v>27</v>
      </c>
      <c r="T536" t="s">
        <v>928</v>
      </c>
      <c r="U536" t="s">
        <v>115</v>
      </c>
      <c r="V536" t="s">
        <v>1264</v>
      </c>
      <c r="W536">
        <v>10</v>
      </c>
      <c r="X536">
        <v>19933064</v>
      </c>
      <c r="Y536" t="s">
        <v>1265</v>
      </c>
      <c r="Z536" t="s">
        <v>260</v>
      </c>
      <c r="AA536" t="s">
        <v>24</v>
      </c>
      <c r="AB536" t="s">
        <v>120</v>
      </c>
      <c r="AC536" t="s">
        <v>25</v>
      </c>
      <c r="AD536" t="s">
        <v>121</v>
      </c>
      <c r="AE536">
        <v>300</v>
      </c>
      <c r="AF536" t="s">
        <v>27</v>
      </c>
      <c r="AG536" t="s">
        <v>26</v>
      </c>
      <c r="AH536" t="s">
        <v>6625</v>
      </c>
      <c r="AI536" t="str">
        <f t="shared" si="40"/>
        <v>NO</v>
      </c>
      <c r="AJ536" t="str">
        <f t="shared" si="41"/>
        <v>LABORATORIOS ECAR</v>
      </c>
      <c r="AK536" t="str">
        <f>IF(ISNUMBER(SEARCH("FABRICANTE",AC536)),"FABRICANTE",IF(ISNUMBER(SEARCH("IMPORTADOR",AC536)),"IMPORTADOR","OTRO"))</f>
        <v>FABRICANTE</v>
      </c>
      <c r="AL536" t="str">
        <f>IF(LEFT(Y536,1)="A","Sistema digestivo",IF(LEFT(Y536,1)="B","Sangre",IF(LEFT(Y536,1)="C","Cardiovascular",IF(LEFT(Y536,1)="D","Dermatológico",IF(LEFT(Y536,1)="G","Genitourinario",IF(LEFT(Y536,1)="H","Hormonal",IF(LEFT(Y536,1)="J","Antiinfecciosos",IF(LEFT(Y536,1)="L","Oncológicos",IF(LEFT(Y536,1)="M","Musculoesquelético",IF(LEFT(Y536,1)="N","Sistema nervioso",IF(LEFT(Y536,1)="R","Respiratorio",IF(LEFT(Y536,1)="S","Oftálmico",IF(LEFT(Y536,1)="V","Varios","OTRO")))))))))))))</f>
        <v>Sangre</v>
      </c>
      <c r="AM536" t="str">
        <f>IF(AG536="Vigente","ACTIVO",IF(ISNUMBER(SEARCH("Inactivo",J536)),"INACTIVO","REVISAR"))</f>
        <v>ACTIVO</v>
      </c>
      <c r="AN536" t="str">
        <f ca="1">IF(OR(AF536="",AF536="null"),"",ROUND((AF536-TODAY())/365.25,2))</f>
        <v/>
      </c>
      <c r="AO536" t="str">
        <f ca="1">IF(AND(AG536="Vigente",OR(AF536="",AF536="null",AF536&gt;TODAY())),"SI",IF(AND(NOT(OR(AF536="",AF536="null")),AF536&lt;=TODAY()),"NO",IF(AG536="Vigente","SI","DESCONOCIDO")))</f>
        <v>SI</v>
      </c>
      <c r="AP536" t="str">
        <f>IF(AND(ISNUMBER(SEARCH("IMPORTAR",AA536)),ISNUMBER(SEARCH("FABRICAR",AA536))),"MIXTO",IF(ISNUMBER(SEARCH("IMPORTAR",AA536)),"IMPORTADO",IF(ISNUMBER(SEARCH("FABRICAR",AA536)),"LOCAL","OTRO")))</f>
        <v>LOCAL</v>
      </c>
      <c r="AQ536" t="str">
        <f>IF(AD536="Si","SI",IF(AD536="No","NO",""))</f>
        <v>NO</v>
      </c>
      <c r="AR536" t="str">
        <f>IF(ISNUMBER(SEARCH("®",N536)),"MARCA/INNOVADOR","GENERICO")</f>
        <v>GENERICO</v>
      </c>
      <c r="AS536">
        <f ca="1">IF(AE536&gt;100,RANDBETWEEN(500,5000),IF(AND(AE536&gt;=10,AE536&lt;=100),RANDBETWEEN(100,1000),RANDBETWEEN(10,200)))</f>
        <v>2181</v>
      </c>
      <c r="AT536">
        <f t="shared" ca="1" si="42"/>
        <v>218</v>
      </c>
      <c r="AU536">
        <f ca="1">INT(AS536*RANDBETWEEN(120,200)/100)</f>
        <v>4100</v>
      </c>
      <c r="AV536" s="2">
        <f ca="1">IF(LEFT(Y536,1)="L",RANDBETWEEN(500000,5000000),IF(LEFT(Y536,1)="C",RANDBETWEEN(5000,50000),IF(LEFT(Y536,1)="N",RANDBETWEEN(10000,150000),IF(LEFT(Y536,1)="J",RANDBETWEEN(8000,200000),RANDBETWEEN(5000,100000)))))</f>
        <v>85903</v>
      </c>
      <c r="AW536" s="2">
        <f ca="1">INT(AV536*RANDBETWEEN(30,60)/100)</f>
        <v>43810</v>
      </c>
      <c r="AX536">
        <f ca="1">IF(Z536="ORAL",RANDBETWEEN(1000,10000),IF(OR(Z536="INTRAVENOSA",Z536="INTRAMUSCULAR"),RANDBETWEEN(100,2000),IF(OR(Z536="OFTÁLMICA",Z536="TOPICA (EXTERNA)"),RANDBETWEEN(200,3000),RANDBETWEEN(100,1500))))</f>
        <v>267</v>
      </c>
      <c r="AY536" s="2">
        <f ca="1">INT(AV536*RANDBETWEEN(90,130)/100)</f>
        <v>83325</v>
      </c>
      <c r="AZ536" t="str">
        <f t="shared" ca="1" si="43"/>
        <v>0.3%</v>
      </c>
      <c r="BA536" t="str">
        <f t="shared" ca="1" si="44"/>
        <v>BAJO</v>
      </c>
    </row>
    <row r="537" spans="4:53" x14ac:dyDescent="0.35">
      <c r="D537" t="s">
        <v>3732</v>
      </c>
      <c r="E537" s="1">
        <v>38884</v>
      </c>
      <c r="F537" t="s">
        <v>324</v>
      </c>
      <c r="G537" t="s">
        <v>108</v>
      </c>
      <c r="H537" t="s">
        <v>2342</v>
      </c>
      <c r="I537">
        <v>19965332</v>
      </c>
      <c r="J537" t="s">
        <v>28</v>
      </c>
      <c r="K537">
        <v>7</v>
      </c>
      <c r="L537" t="s">
        <v>27</v>
      </c>
      <c r="M537" t="s">
        <v>3733</v>
      </c>
      <c r="N537" t="s">
        <v>330</v>
      </c>
      <c r="O537" t="s">
        <v>3734</v>
      </c>
      <c r="P537" t="s">
        <v>266</v>
      </c>
      <c r="Q537" s="1">
        <v>39108</v>
      </c>
      <c r="R537" t="s">
        <v>33</v>
      </c>
      <c r="S537" t="s">
        <v>27</v>
      </c>
      <c r="T537" t="s">
        <v>1477</v>
      </c>
      <c r="U537" t="s">
        <v>115</v>
      </c>
      <c r="V537" t="s">
        <v>330</v>
      </c>
      <c r="W537">
        <v>50</v>
      </c>
      <c r="X537">
        <v>19965332</v>
      </c>
      <c r="Y537" t="s">
        <v>331</v>
      </c>
      <c r="Z537" t="s">
        <v>119</v>
      </c>
      <c r="AA537" t="s">
        <v>24</v>
      </c>
      <c r="AB537" t="s">
        <v>120</v>
      </c>
      <c r="AC537" t="s">
        <v>25</v>
      </c>
      <c r="AD537" t="s">
        <v>121</v>
      </c>
      <c r="AE537">
        <v>200</v>
      </c>
      <c r="AF537" t="s">
        <v>27</v>
      </c>
      <c r="AG537" t="s">
        <v>26</v>
      </c>
      <c r="AH537" t="s">
        <v>324</v>
      </c>
      <c r="AI537" t="str">
        <f t="shared" si="40"/>
        <v>NO</v>
      </c>
      <c r="AJ537" t="str">
        <f t="shared" si="41"/>
        <v>MEMPHIS PRODUCTS</v>
      </c>
      <c r="AK537" t="str">
        <f>IF(ISNUMBER(SEARCH("FABRICANTE",AC537)),"FABRICANTE",IF(ISNUMBER(SEARCH("IMPORTADOR",AC537)),"IMPORTADOR","OTRO"))</f>
        <v>FABRICANTE</v>
      </c>
      <c r="AL537" t="str">
        <f>IF(LEFT(Y537,1)="A","Sistema digestivo",IF(LEFT(Y537,1)="B","Sangre",IF(LEFT(Y537,1)="C","Cardiovascular",IF(LEFT(Y537,1)="D","Dermatológico",IF(LEFT(Y537,1)="G","Genitourinario",IF(LEFT(Y537,1)="H","Hormonal",IF(LEFT(Y537,1)="J","Antiinfecciosos",IF(LEFT(Y537,1)="L","Oncológicos",IF(LEFT(Y537,1)="M","Musculoesquelético",IF(LEFT(Y537,1)="N","Sistema nervioso",IF(LEFT(Y537,1)="R","Respiratorio",IF(LEFT(Y537,1)="S","Oftálmico",IF(LEFT(Y537,1)="V","Varios","OTRO")))))))))))))</f>
        <v>Cardiovascular</v>
      </c>
      <c r="AM537" t="str">
        <f>IF(AG537="Vigente","ACTIVO",IF(ISNUMBER(SEARCH("Inactivo",J537)),"INACTIVO","REVISAR"))</f>
        <v>ACTIVO</v>
      </c>
      <c r="AN537" t="str">
        <f ca="1">IF(OR(AF537="",AF537="null"),"",ROUND((AF537-TODAY())/365.25,2))</f>
        <v/>
      </c>
      <c r="AO537" t="str">
        <f ca="1">IF(AND(AG537="Vigente",OR(AF537="",AF537="null",AF537&gt;TODAY())),"SI",IF(AND(NOT(OR(AF537="",AF537="null")),AF537&lt;=TODAY()),"NO",IF(AG537="Vigente","SI","DESCONOCIDO")))</f>
        <v>SI</v>
      </c>
      <c r="AP537" t="str">
        <f>IF(AND(ISNUMBER(SEARCH("IMPORTAR",AA537)),ISNUMBER(SEARCH("FABRICAR",AA537))),"MIXTO",IF(ISNUMBER(SEARCH("IMPORTAR",AA537)),"IMPORTADO",IF(ISNUMBER(SEARCH("FABRICAR",AA537)),"LOCAL","OTRO")))</f>
        <v>LOCAL</v>
      </c>
      <c r="AQ537" t="str">
        <f>IF(AD537="Si","SI",IF(AD537="No","NO",""))</f>
        <v>NO</v>
      </c>
      <c r="AR537" t="str">
        <f>IF(ISNUMBER(SEARCH("®",N537)),"MARCA/INNOVADOR","GENERICO")</f>
        <v>GENERICO</v>
      </c>
      <c r="AS537">
        <f ca="1">IF(AE537&gt;100,RANDBETWEEN(500,5000),IF(AND(AE537&gt;=10,AE537&lt;=100),RANDBETWEEN(100,1000),RANDBETWEEN(10,200)))</f>
        <v>3518</v>
      </c>
      <c r="AT537">
        <f t="shared" ca="1" si="42"/>
        <v>633</v>
      </c>
      <c r="AU537">
        <f ca="1">INT(AS537*RANDBETWEEN(120,200)/100)</f>
        <v>6895</v>
      </c>
      <c r="AV537" s="2">
        <f ca="1">IF(LEFT(Y537,1)="L",RANDBETWEEN(500000,5000000),IF(LEFT(Y537,1)="C",RANDBETWEEN(5000,50000),IF(LEFT(Y537,1)="N",RANDBETWEEN(10000,150000),IF(LEFT(Y537,1)="J",RANDBETWEEN(8000,200000),RANDBETWEEN(5000,100000)))))</f>
        <v>41729</v>
      </c>
      <c r="AW537" s="2">
        <f ca="1">INT(AV537*RANDBETWEEN(30,60)/100)</f>
        <v>13353</v>
      </c>
      <c r="AX537">
        <f ca="1">IF(Z537="ORAL",RANDBETWEEN(1000,10000),IF(OR(Z537="INTRAVENOSA",Z537="INTRAMUSCULAR"),RANDBETWEEN(100,2000),IF(OR(Z537="OFTÁLMICA",Z537="TOPICA (EXTERNA)"),RANDBETWEEN(200,3000),RANDBETWEEN(100,1500))))</f>
        <v>6700</v>
      </c>
      <c r="AY537" s="2">
        <f ca="1">INT(AV537*RANDBETWEEN(90,130)/100)</f>
        <v>41311</v>
      </c>
      <c r="AZ537" t="str">
        <f t="shared" ca="1" si="43"/>
        <v>16.6%</v>
      </c>
      <c r="BA537" t="str">
        <f t="shared" ca="1" si="44"/>
        <v>BAJO</v>
      </c>
    </row>
    <row r="538" spans="4:53" x14ac:dyDescent="0.35">
      <c r="D538" t="s">
        <v>3735</v>
      </c>
      <c r="E538" s="1">
        <v>38484</v>
      </c>
      <c r="F538" t="s">
        <v>3736</v>
      </c>
      <c r="G538" t="s">
        <v>108</v>
      </c>
      <c r="H538" t="s">
        <v>710</v>
      </c>
      <c r="I538">
        <v>19949079</v>
      </c>
      <c r="J538" t="s">
        <v>28</v>
      </c>
      <c r="K538">
        <v>6</v>
      </c>
      <c r="L538" t="s">
        <v>3737</v>
      </c>
      <c r="M538" t="s">
        <v>3738</v>
      </c>
      <c r="N538" t="s">
        <v>3739</v>
      </c>
      <c r="O538" t="s">
        <v>3740</v>
      </c>
      <c r="P538" t="s">
        <v>33</v>
      </c>
      <c r="Q538" s="1">
        <v>39513</v>
      </c>
      <c r="R538" t="s">
        <v>33</v>
      </c>
      <c r="S538" t="s">
        <v>27</v>
      </c>
      <c r="T538" t="s">
        <v>1521</v>
      </c>
      <c r="U538" t="s">
        <v>115</v>
      </c>
      <c r="V538" t="s">
        <v>3741</v>
      </c>
      <c r="W538">
        <v>200</v>
      </c>
      <c r="X538">
        <v>19949079</v>
      </c>
      <c r="Y538" t="s">
        <v>3742</v>
      </c>
      <c r="Z538" t="s">
        <v>119</v>
      </c>
      <c r="AA538" t="s">
        <v>165</v>
      </c>
      <c r="AB538" t="s">
        <v>120</v>
      </c>
      <c r="AC538" t="s">
        <v>25</v>
      </c>
      <c r="AD538" t="s">
        <v>121</v>
      </c>
      <c r="AE538">
        <v>10</v>
      </c>
      <c r="AF538" t="s">
        <v>27</v>
      </c>
      <c r="AG538" t="s">
        <v>26</v>
      </c>
      <c r="AH538" t="s">
        <v>6814</v>
      </c>
      <c r="AI538" t="str">
        <f t="shared" si="40"/>
        <v>SI</v>
      </c>
      <c r="AJ538" t="str">
        <f t="shared" si="41"/>
        <v>NEVOX FARMA</v>
      </c>
      <c r="AK538" t="str">
        <f>IF(ISNUMBER(SEARCH("FABRICANTE",AC538)),"FABRICANTE",IF(ISNUMBER(SEARCH("IMPORTADOR",AC538)),"IMPORTADOR","OTRO"))</f>
        <v>FABRICANTE</v>
      </c>
      <c r="AL538" t="str">
        <f>IF(LEFT(Y538,1)="A","Sistema digestivo",IF(LEFT(Y538,1)="B","Sangre",IF(LEFT(Y538,1)="C","Cardiovascular",IF(LEFT(Y538,1)="D","Dermatológico",IF(LEFT(Y538,1)="G","Genitourinario",IF(LEFT(Y538,1)="H","Hormonal",IF(LEFT(Y538,1)="J","Antiinfecciosos",IF(LEFT(Y538,1)="L","Oncológicos",IF(LEFT(Y538,1)="M","Musculoesquelético",IF(LEFT(Y538,1)="N","Sistema nervioso",IF(LEFT(Y538,1)="R","Respiratorio",IF(LEFT(Y538,1)="S","Oftálmico",IF(LEFT(Y538,1)="V","Varios","OTRO")))))))))))))</f>
        <v>Genitourinario</v>
      </c>
      <c r="AM538" t="str">
        <f>IF(AG538="Vigente","ACTIVO",IF(ISNUMBER(SEARCH("Inactivo",J538)),"INACTIVO","REVISAR"))</f>
        <v>ACTIVO</v>
      </c>
      <c r="AN538" t="str">
        <f ca="1">IF(OR(AF538="",AF538="null"),"",ROUND((AF538-TODAY())/365.25,2))</f>
        <v/>
      </c>
      <c r="AO538" t="str">
        <f ca="1">IF(AND(AG538="Vigente",OR(AF538="",AF538="null",AF538&gt;TODAY())),"SI",IF(AND(NOT(OR(AF538="",AF538="null")),AF538&lt;=TODAY()),"NO",IF(AG538="Vigente","SI","DESCONOCIDO")))</f>
        <v>SI</v>
      </c>
      <c r="AP538" t="str">
        <f>IF(AND(ISNUMBER(SEARCH("IMPORTAR",AA538)),ISNUMBER(SEARCH("FABRICAR",AA538))),"MIXTO",IF(ISNUMBER(SEARCH("IMPORTAR",AA538)),"IMPORTADO",IF(ISNUMBER(SEARCH("FABRICAR",AA538)),"LOCAL","OTRO")))</f>
        <v>IMPORTADO</v>
      </c>
      <c r="AQ538" t="str">
        <f>IF(AD538="Si","SI",IF(AD538="No","NO",""))</f>
        <v>NO</v>
      </c>
      <c r="AR538" t="str">
        <f>IF(ISNUMBER(SEARCH("®",N538)),"MARCA/INNOVADOR","GENERICO")</f>
        <v>GENERICO</v>
      </c>
      <c r="AS538">
        <f ca="1">IF(AE538&gt;100,RANDBETWEEN(500,5000),IF(AND(AE538&gt;=10,AE538&lt;=100),RANDBETWEEN(100,1000),RANDBETWEEN(10,200)))</f>
        <v>763</v>
      </c>
      <c r="AT538">
        <f t="shared" ca="1" si="42"/>
        <v>114</v>
      </c>
      <c r="AU538">
        <f ca="1">INT(AS538*RANDBETWEEN(120,200)/100)</f>
        <v>1518</v>
      </c>
      <c r="AV538" s="2">
        <f ca="1">IF(LEFT(Y538,1)="L",RANDBETWEEN(500000,5000000),IF(LEFT(Y538,1)="C",RANDBETWEEN(5000,50000),IF(LEFT(Y538,1)="N",RANDBETWEEN(10000,150000),IF(LEFT(Y538,1)="J",RANDBETWEEN(8000,200000),RANDBETWEEN(5000,100000)))))</f>
        <v>73764</v>
      </c>
      <c r="AW538" s="2">
        <f ca="1">INT(AV538*RANDBETWEEN(30,60)/100)</f>
        <v>42783</v>
      </c>
      <c r="AX538">
        <f ca="1">IF(Z538="ORAL",RANDBETWEEN(1000,10000),IF(OR(Z538="INTRAVENOSA",Z538="INTRAMUSCULAR"),RANDBETWEEN(100,2000),IF(OR(Z538="OFTÁLMICA",Z538="TOPICA (EXTERNA)"),RANDBETWEEN(200,3000),RANDBETWEEN(100,1500))))</f>
        <v>2517</v>
      </c>
      <c r="AY538" s="2">
        <f ca="1">INT(AV538*RANDBETWEEN(90,130)/100)</f>
        <v>85566</v>
      </c>
      <c r="AZ538" t="str">
        <f t="shared" ca="1" si="43"/>
        <v>17%</v>
      </c>
      <c r="BA538" t="str">
        <f t="shared" ca="1" si="44"/>
        <v>BAJO</v>
      </c>
    </row>
    <row r="539" spans="4:53" x14ac:dyDescent="0.35">
      <c r="D539" t="s">
        <v>3743</v>
      </c>
      <c r="E539" s="1">
        <v>38194</v>
      </c>
      <c r="F539" t="s">
        <v>3744</v>
      </c>
      <c r="G539" t="s">
        <v>108</v>
      </c>
      <c r="H539" t="s">
        <v>3745</v>
      </c>
      <c r="I539">
        <v>19940656</v>
      </c>
      <c r="J539" t="s">
        <v>28</v>
      </c>
      <c r="K539">
        <v>14</v>
      </c>
      <c r="L539" t="s">
        <v>27</v>
      </c>
      <c r="M539" t="s">
        <v>3746</v>
      </c>
      <c r="N539" t="s">
        <v>3747</v>
      </c>
      <c r="O539" t="s">
        <v>3748</v>
      </c>
      <c r="P539" t="s">
        <v>3749</v>
      </c>
      <c r="Q539" s="1">
        <v>42934</v>
      </c>
      <c r="R539" t="s">
        <v>867</v>
      </c>
      <c r="S539" t="s">
        <v>27</v>
      </c>
      <c r="T539" t="s">
        <v>80</v>
      </c>
      <c r="U539" t="s">
        <v>469</v>
      </c>
      <c r="V539" t="s">
        <v>1362</v>
      </c>
      <c r="W539">
        <v>200</v>
      </c>
      <c r="X539">
        <v>19940656</v>
      </c>
      <c r="Y539" t="s">
        <v>1363</v>
      </c>
      <c r="Z539" t="s">
        <v>119</v>
      </c>
      <c r="AA539" t="s">
        <v>165</v>
      </c>
      <c r="AB539" t="s">
        <v>120</v>
      </c>
      <c r="AC539" t="s">
        <v>38</v>
      </c>
      <c r="AD539" t="s">
        <v>121</v>
      </c>
      <c r="AE539">
        <v>1000</v>
      </c>
      <c r="AF539" t="s">
        <v>27</v>
      </c>
      <c r="AG539" t="s">
        <v>26</v>
      </c>
      <c r="AH539" t="s">
        <v>6666</v>
      </c>
      <c r="AI539" t="str">
        <f t="shared" si="40"/>
        <v>NO</v>
      </c>
      <c r="AJ539" t="str">
        <f t="shared" si="41"/>
        <v>TECNOQUIMICAS</v>
      </c>
      <c r="AK539" t="str">
        <f>IF(ISNUMBER(SEARCH("FABRICANTE",AC539)),"FABRICANTE",IF(ISNUMBER(SEARCH("IMPORTADOR",AC539)),"IMPORTADOR","OTRO"))</f>
        <v>IMPORTADOR</v>
      </c>
      <c r="AL539" t="str">
        <f>IF(LEFT(Y539,1)="A","Sistema digestivo",IF(LEFT(Y539,1)="B","Sangre",IF(LEFT(Y539,1)="C","Cardiovascular",IF(LEFT(Y539,1)="D","Dermatológico",IF(LEFT(Y539,1)="G","Genitourinario",IF(LEFT(Y539,1)="H","Hormonal",IF(LEFT(Y539,1)="J","Antiinfecciosos",IF(LEFT(Y539,1)="L","Oncológicos",IF(LEFT(Y539,1)="M","Musculoesquelético",IF(LEFT(Y539,1)="N","Sistema nervioso",IF(LEFT(Y539,1)="R","Respiratorio",IF(LEFT(Y539,1)="S","Oftálmico",IF(LEFT(Y539,1)="V","Varios","OTRO")))))))))))))</f>
        <v>Sistema digestivo</v>
      </c>
      <c r="AM539" t="str">
        <f>IF(AG539="Vigente","ACTIVO",IF(ISNUMBER(SEARCH("Inactivo",J539)),"INACTIVO","REVISAR"))</f>
        <v>ACTIVO</v>
      </c>
      <c r="AN539" t="str">
        <f ca="1">IF(OR(AF539="",AF539="null"),"",ROUND((AF539-TODAY())/365.25,2))</f>
        <v/>
      </c>
      <c r="AO539" t="str">
        <f ca="1">IF(AND(AG539="Vigente",OR(AF539="",AF539="null",AF539&gt;TODAY())),"SI",IF(AND(NOT(OR(AF539="",AF539="null")),AF539&lt;=TODAY()),"NO",IF(AG539="Vigente","SI","DESCONOCIDO")))</f>
        <v>SI</v>
      </c>
      <c r="AP539" t="str">
        <f>IF(AND(ISNUMBER(SEARCH("IMPORTAR",AA539)),ISNUMBER(SEARCH("FABRICAR",AA539))),"MIXTO",IF(ISNUMBER(SEARCH("IMPORTAR",AA539)),"IMPORTADO",IF(ISNUMBER(SEARCH("FABRICAR",AA539)),"LOCAL","OTRO")))</f>
        <v>IMPORTADO</v>
      </c>
      <c r="AQ539" t="str">
        <f>IF(AD539="Si","SI",IF(AD539="No","NO",""))</f>
        <v>NO</v>
      </c>
      <c r="AR539" t="str">
        <f>IF(ISNUMBER(SEARCH("®",N539)),"MARCA/INNOVADOR","GENERICO")</f>
        <v>MARCA/INNOVADOR</v>
      </c>
      <c r="AS539">
        <f ca="1">IF(AE539&gt;100,RANDBETWEEN(500,5000),IF(AND(AE539&gt;=10,AE539&lt;=100),RANDBETWEEN(100,1000),RANDBETWEEN(10,200)))</f>
        <v>2772</v>
      </c>
      <c r="AT539">
        <f t="shared" ca="1" si="42"/>
        <v>748</v>
      </c>
      <c r="AU539">
        <f ca="1">INT(AS539*RANDBETWEEN(120,200)/100)</f>
        <v>4213</v>
      </c>
      <c r="AV539" s="2">
        <f ca="1">IF(LEFT(Y539,1)="L",RANDBETWEEN(500000,5000000),IF(LEFT(Y539,1)="C",RANDBETWEEN(5000,50000),IF(LEFT(Y539,1)="N",RANDBETWEEN(10000,150000),IF(LEFT(Y539,1)="J",RANDBETWEEN(8000,200000),RANDBETWEEN(5000,100000)))))</f>
        <v>64896</v>
      </c>
      <c r="AW539" s="2">
        <f ca="1">INT(AV539*RANDBETWEEN(30,60)/100)</f>
        <v>19468</v>
      </c>
      <c r="AX539">
        <f ca="1">IF(Z539="ORAL",RANDBETWEEN(1000,10000),IF(OR(Z539="INTRAVENOSA",Z539="INTRAMUSCULAR"),RANDBETWEEN(100,2000),IF(OR(Z539="OFTÁLMICA",Z539="TOPICA (EXTERNA)"),RANDBETWEEN(200,3000),RANDBETWEEN(100,1500))))</f>
        <v>1386</v>
      </c>
      <c r="AY539" s="2">
        <f ca="1">INT(AV539*RANDBETWEEN(90,130)/100)</f>
        <v>68140</v>
      </c>
      <c r="AZ539" t="str">
        <f t="shared" ca="1" si="43"/>
        <v>15.5%</v>
      </c>
      <c r="BA539" t="str">
        <f t="shared" ca="1" si="44"/>
        <v>BAJO</v>
      </c>
    </row>
    <row r="540" spans="4:53" x14ac:dyDescent="0.35">
      <c r="D540" t="s">
        <v>3750</v>
      </c>
      <c r="E540" s="1">
        <v>41054</v>
      </c>
      <c r="F540" t="s">
        <v>473</v>
      </c>
      <c r="G540" t="s">
        <v>108</v>
      </c>
      <c r="H540" t="s">
        <v>242</v>
      </c>
      <c r="I540">
        <v>20042480</v>
      </c>
      <c r="J540" t="s">
        <v>28</v>
      </c>
      <c r="K540">
        <v>9</v>
      </c>
      <c r="L540" t="s">
        <v>27</v>
      </c>
      <c r="M540" t="s">
        <v>243</v>
      </c>
      <c r="N540" t="s">
        <v>244</v>
      </c>
      <c r="O540" t="s">
        <v>3751</v>
      </c>
      <c r="P540" t="s">
        <v>246</v>
      </c>
      <c r="Q540" s="1">
        <v>41037</v>
      </c>
      <c r="R540" t="s">
        <v>67</v>
      </c>
      <c r="S540" t="s">
        <v>27</v>
      </c>
      <c r="T540" t="s">
        <v>80</v>
      </c>
      <c r="U540" t="s">
        <v>247</v>
      </c>
      <c r="V540" t="s">
        <v>248</v>
      </c>
      <c r="W540" t="s">
        <v>1912</v>
      </c>
      <c r="X540">
        <v>20042480</v>
      </c>
      <c r="Y540" t="s">
        <v>249</v>
      </c>
      <c r="Z540" t="s">
        <v>119</v>
      </c>
      <c r="AA540" t="s">
        <v>24</v>
      </c>
      <c r="AB540" t="s">
        <v>250</v>
      </c>
      <c r="AC540" t="s">
        <v>25</v>
      </c>
      <c r="AD540" t="s">
        <v>155</v>
      </c>
      <c r="AE540">
        <v>1</v>
      </c>
      <c r="AF540" t="s">
        <v>27</v>
      </c>
      <c r="AG540" t="s">
        <v>26</v>
      </c>
      <c r="AH540" t="s">
        <v>6731</v>
      </c>
      <c r="AI540" t="str">
        <f t="shared" si="40"/>
        <v>NO</v>
      </c>
      <c r="AJ540" t="str">
        <f t="shared" si="41"/>
        <v>TECNOQUIMICAS</v>
      </c>
      <c r="AK540" t="str">
        <f>IF(ISNUMBER(SEARCH("FABRICANTE",AC540)),"FABRICANTE",IF(ISNUMBER(SEARCH("IMPORTADOR",AC540)),"IMPORTADOR","OTRO"))</f>
        <v>FABRICANTE</v>
      </c>
      <c r="AL540" t="str">
        <f>IF(LEFT(Y540,1)="A","Sistema digestivo",IF(LEFT(Y540,1)="B","Sangre",IF(LEFT(Y540,1)="C","Cardiovascular",IF(LEFT(Y540,1)="D","Dermatológico",IF(LEFT(Y540,1)="G","Genitourinario",IF(LEFT(Y540,1)="H","Hormonal",IF(LEFT(Y540,1)="J","Antiinfecciosos",IF(LEFT(Y540,1)="L","Oncológicos",IF(LEFT(Y540,1)="M","Musculoesquelético",IF(LEFT(Y540,1)="N","Sistema nervioso",IF(LEFT(Y540,1)="R","Respiratorio",IF(LEFT(Y540,1)="S","Oftálmico",IF(LEFT(Y540,1)="V","Varios","OTRO")))))))))))))</f>
        <v>Sistema digestivo</v>
      </c>
      <c r="AM540" t="str">
        <f>IF(AG540="Vigente","ACTIVO",IF(ISNUMBER(SEARCH("Inactivo",J540)),"INACTIVO","REVISAR"))</f>
        <v>ACTIVO</v>
      </c>
      <c r="AN540" t="str">
        <f ca="1">IF(OR(AF540="",AF540="null"),"",ROUND((AF540-TODAY())/365.25,2))</f>
        <v/>
      </c>
      <c r="AO540" t="str">
        <f ca="1">IF(AND(AG540="Vigente",OR(AF540="",AF540="null",AF540&gt;TODAY())),"SI",IF(AND(NOT(OR(AF540="",AF540="null")),AF540&lt;=TODAY()),"NO",IF(AG540="Vigente","SI","DESCONOCIDO")))</f>
        <v>SI</v>
      </c>
      <c r="AP540" t="str">
        <f>IF(AND(ISNUMBER(SEARCH("IMPORTAR",AA540)),ISNUMBER(SEARCH("FABRICAR",AA540))),"MIXTO",IF(ISNUMBER(SEARCH("IMPORTAR",AA540)),"IMPORTADO",IF(ISNUMBER(SEARCH("FABRICAR",AA540)),"LOCAL","OTRO")))</f>
        <v>LOCAL</v>
      </c>
      <c r="AQ540" t="str">
        <f>IF(AD540="Si","SI",IF(AD540="No","NO",""))</f>
        <v>SI</v>
      </c>
      <c r="AR540" t="str">
        <f>IF(ISNUMBER(SEARCH("®",N540)),"MARCA/INNOVADOR","GENERICO")</f>
        <v>MARCA/INNOVADOR</v>
      </c>
      <c r="AS540">
        <f ca="1">IF(AE540&gt;100,RANDBETWEEN(500,5000),IF(AND(AE540&gt;=10,AE540&lt;=100),RANDBETWEEN(100,1000),RANDBETWEEN(10,200)))</f>
        <v>198</v>
      </c>
      <c r="AT540">
        <f t="shared" ca="1" si="42"/>
        <v>47</v>
      </c>
      <c r="AU540">
        <f ca="1">INT(AS540*RANDBETWEEN(120,200)/100)</f>
        <v>356</v>
      </c>
      <c r="AV540" s="2">
        <f ca="1">IF(LEFT(Y540,1)="L",RANDBETWEEN(500000,5000000),IF(LEFT(Y540,1)="C",RANDBETWEEN(5000,50000),IF(LEFT(Y540,1)="N",RANDBETWEEN(10000,150000),IF(LEFT(Y540,1)="J",RANDBETWEEN(8000,200000),RANDBETWEEN(5000,100000)))))</f>
        <v>57159</v>
      </c>
      <c r="AW540" s="2">
        <f ca="1">INT(AV540*RANDBETWEEN(30,60)/100)</f>
        <v>21720</v>
      </c>
      <c r="AX540">
        <f ca="1">IF(Z540="ORAL",RANDBETWEEN(1000,10000),IF(OR(Z540="INTRAVENOSA",Z540="INTRAMUSCULAR"),RANDBETWEEN(100,2000),IF(OR(Z540="OFTÁLMICA",Z540="TOPICA (EXTERNA)"),RANDBETWEEN(200,3000),RANDBETWEEN(100,1500))))</f>
        <v>2201</v>
      </c>
      <c r="AY540" s="2">
        <f ca="1">INT(AV540*RANDBETWEEN(90,130)/100)</f>
        <v>57730</v>
      </c>
      <c r="AZ540" t="str">
        <f t="shared" ca="1" si="43"/>
        <v>12.3%</v>
      </c>
      <c r="BA540" t="str">
        <f t="shared" ca="1" si="44"/>
        <v>BAJO</v>
      </c>
    </row>
    <row r="541" spans="4:53" x14ac:dyDescent="0.35">
      <c r="D541" t="s">
        <v>3752</v>
      </c>
      <c r="E541" s="1">
        <v>41054</v>
      </c>
      <c r="F541" t="s">
        <v>473</v>
      </c>
      <c r="G541" t="s">
        <v>108</v>
      </c>
      <c r="H541" t="s">
        <v>242</v>
      </c>
      <c r="I541">
        <v>20042480</v>
      </c>
      <c r="J541" t="s">
        <v>28</v>
      </c>
      <c r="K541">
        <v>236</v>
      </c>
      <c r="L541" t="s">
        <v>27</v>
      </c>
      <c r="M541" t="s">
        <v>243</v>
      </c>
      <c r="N541" t="s">
        <v>244</v>
      </c>
      <c r="O541" t="s">
        <v>3753</v>
      </c>
      <c r="P541" t="s">
        <v>246</v>
      </c>
      <c r="Q541" s="1">
        <v>42591</v>
      </c>
      <c r="R541" t="s">
        <v>67</v>
      </c>
      <c r="S541" t="s">
        <v>27</v>
      </c>
      <c r="T541" t="s">
        <v>80</v>
      </c>
      <c r="U541" t="s">
        <v>247</v>
      </c>
      <c r="V541" t="s">
        <v>248</v>
      </c>
      <c r="W541" t="s">
        <v>1912</v>
      </c>
      <c r="X541">
        <v>20042480</v>
      </c>
      <c r="Y541" t="s">
        <v>249</v>
      </c>
      <c r="Z541" t="s">
        <v>119</v>
      </c>
      <c r="AA541" t="s">
        <v>24</v>
      </c>
      <c r="AB541" t="s">
        <v>250</v>
      </c>
      <c r="AC541" t="s">
        <v>25</v>
      </c>
      <c r="AD541" t="s">
        <v>121</v>
      </c>
      <c r="AE541">
        <v>10</v>
      </c>
      <c r="AF541" t="s">
        <v>27</v>
      </c>
      <c r="AG541" t="s">
        <v>26</v>
      </c>
      <c r="AH541" t="s">
        <v>6731</v>
      </c>
      <c r="AI541" t="str">
        <f t="shared" si="40"/>
        <v>NO</v>
      </c>
      <c r="AJ541" t="str">
        <f t="shared" si="41"/>
        <v>TECNOQUIMICAS</v>
      </c>
      <c r="AK541" t="str">
        <f>IF(ISNUMBER(SEARCH("FABRICANTE",AC541)),"FABRICANTE",IF(ISNUMBER(SEARCH("IMPORTADOR",AC541)),"IMPORTADOR","OTRO"))</f>
        <v>FABRICANTE</v>
      </c>
      <c r="AL541" t="str">
        <f>IF(LEFT(Y541,1)="A","Sistema digestivo",IF(LEFT(Y541,1)="B","Sangre",IF(LEFT(Y541,1)="C","Cardiovascular",IF(LEFT(Y541,1)="D","Dermatológico",IF(LEFT(Y541,1)="G","Genitourinario",IF(LEFT(Y541,1)="H","Hormonal",IF(LEFT(Y541,1)="J","Antiinfecciosos",IF(LEFT(Y541,1)="L","Oncológicos",IF(LEFT(Y541,1)="M","Musculoesquelético",IF(LEFT(Y541,1)="N","Sistema nervioso",IF(LEFT(Y541,1)="R","Respiratorio",IF(LEFT(Y541,1)="S","Oftálmico",IF(LEFT(Y541,1)="V","Varios","OTRO")))))))))))))</f>
        <v>Sistema digestivo</v>
      </c>
      <c r="AM541" t="str">
        <f>IF(AG541="Vigente","ACTIVO",IF(ISNUMBER(SEARCH("Inactivo",J541)),"INACTIVO","REVISAR"))</f>
        <v>ACTIVO</v>
      </c>
      <c r="AN541" t="str">
        <f ca="1">IF(OR(AF541="",AF541="null"),"",ROUND((AF541-TODAY())/365.25,2))</f>
        <v/>
      </c>
      <c r="AO541" t="str">
        <f ca="1">IF(AND(AG541="Vigente",OR(AF541="",AF541="null",AF541&gt;TODAY())),"SI",IF(AND(NOT(OR(AF541="",AF541="null")),AF541&lt;=TODAY()),"NO",IF(AG541="Vigente","SI","DESCONOCIDO")))</f>
        <v>SI</v>
      </c>
      <c r="AP541" t="str">
        <f>IF(AND(ISNUMBER(SEARCH("IMPORTAR",AA541)),ISNUMBER(SEARCH("FABRICAR",AA541))),"MIXTO",IF(ISNUMBER(SEARCH("IMPORTAR",AA541)),"IMPORTADO",IF(ISNUMBER(SEARCH("FABRICAR",AA541)),"LOCAL","OTRO")))</f>
        <v>LOCAL</v>
      </c>
      <c r="AQ541" t="str">
        <f>IF(AD541="Si","SI",IF(AD541="No","NO",""))</f>
        <v>NO</v>
      </c>
      <c r="AR541" t="str">
        <f>IF(ISNUMBER(SEARCH("®",N541)),"MARCA/INNOVADOR","GENERICO")</f>
        <v>MARCA/INNOVADOR</v>
      </c>
      <c r="AS541">
        <f ca="1">IF(AE541&gt;100,RANDBETWEEN(500,5000),IF(AND(AE541&gt;=10,AE541&lt;=100),RANDBETWEEN(100,1000),RANDBETWEEN(10,200)))</f>
        <v>101</v>
      </c>
      <c r="AT541">
        <f t="shared" ca="1" si="42"/>
        <v>10</v>
      </c>
      <c r="AU541">
        <f ca="1">INT(AS541*RANDBETWEEN(120,200)/100)</f>
        <v>136</v>
      </c>
      <c r="AV541" s="2">
        <f ca="1">IF(LEFT(Y541,1)="L",RANDBETWEEN(500000,5000000),IF(LEFT(Y541,1)="C",RANDBETWEEN(5000,50000),IF(LEFT(Y541,1)="N",RANDBETWEEN(10000,150000),IF(LEFT(Y541,1)="J",RANDBETWEEN(8000,200000),RANDBETWEEN(5000,100000)))))</f>
        <v>42916</v>
      </c>
      <c r="AW541" s="2">
        <f ca="1">INT(AV541*RANDBETWEEN(30,60)/100)</f>
        <v>19741</v>
      </c>
      <c r="AX541">
        <f ca="1">IF(Z541="ORAL",RANDBETWEEN(1000,10000),IF(OR(Z541="INTRAVENOSA",Z541="INTRAMUSCULAR"),RANDBETWEEN(100,2000),IF(OR(Z541="OFTÁLMICA",Z541="TOPICA (EXTERNA)"),RANDBETWEEN(200,3000),RANDBETWEEN(100,1500))))</f>
        <v>5037</v>
      </c>
      <c r="AY541" s="2">
        <f ca="1">INT(AV541*RANDBETWEEN(90,130)/100)</f>
        <v>48924</v>
      </c>
      <c r="AZ541" t="str">
        <f t="shared" ca="1" si="43"/>
        <v>10.9%</v>
      </c>
      <c r="BA541" t="str">
        <f t="shared" ca="1" si="44"/>
        <v>BAJO</v>
      </c>
    </row>
    <row r="542" spans="4:53" x14ac:dyDescent="0.35">
      <c r="D542" t="s">
        <v>3754</v>
      </c>
      <c r="E542" s="1">
        <v>39764</v>
      </c>
      <c r="F542" t="s">
        <v>3755</v>
      </c>
      <c r="G542" t="s">
        <v>108</v>
      </c>
      <c r="H542" t="s">
        <v>736</v>
      </c>
      <c r="I542">
        <v>19992938</v>
      </c>
      <c r="J542" t="s">
        <v>28</v>
      </c>
      <c r="K542">
        <v>13</v>
      </c>
      <c r="L542" t="s">
        <v>27</v>
      </c>
      <c r="M542" t="s">
        <v>3756</v>
      </c>
      <c r="N542" t="s">
        <v>3757</v>
      </c>
      <c r="O542" t="s">
        <v>3758</v>
      </c>
      <c r="P542" t="s">
        <v>33</v>
      </c>
      <c r="Q542" s="1">
        <v>43734</v>
      </c>
      <c r="R542" t="s">
        <v>33</v>
      </c>
      <c r="S542" t="s">
        <v>27</v>
      </c>
      <c r="T542" t="s">
        <v>836</v>
      </c>
      <c r="U542" t="s">
        <v>115</v>
      </c>
      <c r="V542" t="s">
        <v>846</v>
      </c>
      <c r="W542">
        <v>220</v>
      </c>
      <c r="X542">
        <v>19992938</v>
      </c>
      <c r="Y542" t="s">
        <v>847</v>
      </c>
      <c r="Z542" t="s">
        <v>119</v>
      </c>
      <c r="AA542" t="s">
        <v>165</v>
      </c>
      <c r="AB542" t="s">
        <v>120</v>
      </c>
      <c r="AC542" t="s">
        <v>38</v>
      </c>
      <c r="AD542" t="s">
        <v>121</v>
      </c>
      <c r="AE542">
        <v>60</v>
      </c>
      <c r="AF542" t="s">
        <v>27</v>
      </c>
      <c r="AG542" t="s">
        <v>26</v>
      </c>
      <c r="AH542" t="s">
        <v>1073</v>
      </c>
      <c r="AI542" t="str">
        <f t="shared" si="40"/>
        <v>NO</v>
      </c>
      <c r="AJ542" t="str">
        <f t="shared" si="41"/>
        <v>AMERICAN GENERICS</v>
      </c>
      <c r="AK542" t="str">
        <f>IF(ISNUMBER(SEARCH("FABRICANTE",AC542)),"FABRICANTE",IF(ISNUMBER(SEARCH("IMPORTADOR",AC542)),"IMPORTADOR","OTRO"))</f>
        <v>IMPORTADOR</v>
      </c>
      <c r="AL542" t="str">
        <f>IF(LEFT(Y542,1)="A","Sistema digestivo",IF(LEFT(Y542,1)="B","Sangre",IF(LEFT(Y542,1)="C","Cardiovascular",IF(LEFT(Y542,1)="D","Dermatológico",IF(LEFT(Y542,1)="G","Genitourinario",IF(LEFT(Y542,1)="H","Hormonal",IF(LEFT(Y542,1)="J","Antiinfecciosos",IF(LEFT(Y542,1)="L","Oncológicos",IF(LEFT(Y542,1)="M","Musculoesquelético",IF(LEFT(Y542,1)="N","Sistema nervioso",IF(LEFT(Y542,1)="R","Respiratorio",IF(LEFT(Y542,1)="S","Oftálmico",IF(LEFT(Y542,1)="V","Varios","OTRO")))))))))))))</f>
        <v>Sistema nervioso</v>
      </c>
      <c r="AM542" t="str">
        <f>IF(AG542="Vigente","ACTIVO",IF(ISNUMBER(SEARCH("Inactivo",J542)),"INACTIVO","REVISAR"))</f>
        <v>ACTIVO</v>
      </c>
      <c r="AN542" t="str">
        <f ca="1">IF(OR(AF542="",AF542="null"),"",ROUND((AF542-TODAY())/365.25,2))</f>
        <v/>
      </c>
      <c r="AO542" t="str">
        <f ca="1">IF(AND(AG542="Vigente",OR(AF542="",AF542="null",AF542&gt;TODAY())),"SI",IF(AND(NOT(OR(AF542="",AF542="null")),AF542&lt;=TODAY()),"NO",IF(AG542="Vigente","SI","DESCONOCIDO")))</f>
        <v>SI</v>
      </c>
      <c r="AP542" t="str">
        <f>IF(AND(ISNUMBER(SEARCH("IMPORTAR",AA542)),ISNUMBER(SEARCH("FABRICAR",AA542))),"MIXTO",IF(ISNUMBER(SEARCH("IMPORTAR",AA542)),"IMPORTADO",IF(ISNUMBER(SEARCH("FABRICAR",AA542)),"LOCAL","OTRO")))</f>
        <v>IMPORTADO</v>
      </c>
      <c r="AQ542" t="str">
        <f>IF(AD542="Si","SI",IF(AD542="No","NO",""))</f>
        <v>NO</v>
      </c>
      <c r="AR542" t="str">
        <f>IF(ISNUMBER(SEARCH("®",N542)),"MARCA/INNOVADOR","GENERICO")</f>
        <v>MARCA/INNOVADOR</v>
      </c>
      <c r="AS542">
        <f ca="1">IF(AE542&gt;100,RANDBETWEEN(500,5000),IF(AND(AE542&gt;=10,AE542&lt;=100),RANDBETWEEN(100,1000),RANDBETWEEN(10,200)))</f>
        <v>778</v>
      </c>
      <c r="AT542">
        <f t="shared" ca="1" si="42"/>
        <v>186</v>
      </c>
      <c r="AU542">
        <f ca="1">INT(AS542*RANDBETWEEN(120,200)/100)</f>
        <v>980</v>
      </c>
      <c r="AV542" s="2">
        <f ca="1">IF(LEFT(Y542,1)="L",RANDBETWEEN(500000,5000000),IF(LEFT(Y542,1)="C",RANDBETWEEN(5000,50000),IF(LEFT(Y542,1)="N",RANDBETWEEN(10000,150000),IF(LEFT(Y542,1)="J",RANDBETWEEN(8000,200000),RANDBETWEEN(5000,100000)))))</f>
        <v>47246</v>
      </c>
      <c r="AW542" s="2">
        <f ca="1">INT(AV542*RANDBETWEEN(30,60)/100)</f>
        <v>25040</v>
      </c>
      <c r="AX542">
        <f ca="1">IF(Z542="ORAL",RANDBETWEEN(1000,10000),IF(OR(Z542="INTRAVENOSA",Z542="INTRAMUSCULAR"),RANDBETWEEN(100,2000),IF(OR(Z542="OFTÁLMICA",Z542="TOPICA (EXTERNA)"),RANDBETWEEN(200,3000),RANDBETWEEN(100,1500))))</f>
        <v>7260</v>
      </c>
      <c r="AY542" s="2">
        <f ca="1">INT(AV542*RANDBETWEEN(90,130)/100)</f>
        <v>43938</v>
      </c>
      <c r="AZ542" t="str">
        <f t="shared" ca="1" si="43"/>
        <v>13.1%</v>
      </c>
      <c r="BA542" t="str">
        <f t="shared" ca="1" si="44"/>
        <v>BAJO</v>
      </c>
    </row>
    <row r="543" spans="4:53" x14ac:dyDescent="0.35">
      <c r="D543" t="s">
        <v>3759</v>
      </c>
      <c r="E543" s="1">
        <v>44378</v>
      </c>
      <c r="F543" t="s">
        <v>3760</v>
      </c>
      <c r="G543" t="s">
        <v>108</v>
      </c>
      <c r="H543" t="s">
        <v>114</v>
      </c>
      <c r="I543">
        <v>20127415</v>
      </c>
      <c r="J543" t="s">
        <v>28</v>
      </c>
      <c r="K543">
        <v>4</v>
      </c>
      <c r="L543" t="s">
        <v>3761</v>
      </c>
      <c r="M543" t="s">
        <v>3762</v>
      </c>
      <c r="N543" t="s">
        <v>3763</v>
      </c>
      <c r="O543" t="s">
        <v>3764</v>
      </c>
      <c r="P543" t="s">
        <v>2643</v>
      </c>
      <c r="Q543" s="1">
        <v>44350</v>
      </c>
      <c r="R543" t="s">
        <v>47</v>
      </c>
      <c r="S543" s="1">
        <v>44351</v>
      </c>
      <c r="T543" t="s">
        <v>114</v>
      </c>
      <c r="U543" t="s">
        <v>115</v>
      </c>
      <c r="V543" t="s">
        <v>3765</v>
      </c>
      <c r="W543">
        <v>3</v>
      </c>
      <c r="X543">
        <v>20127415</v>
      </c>
      <c r="Y543" t="s">
        <v>3766</v>
      </c>
      <c r="Z543" t="s">
        <v>119</v>
      </c>
      <c r="AA543" t="s">
        <v>32</v>
      </c>
      <c r="AB543" t="s">
        <v>120</v>
      </c>
      <c r="AC543" t="s">
        <v>38</v>
      </c>
      <c r="AD543" t="s">
        <v>121</v>
      </c>
      <c r="AE543">
        <v>100</v>
      </c>
      <c r="AF543" t="s">
        <v>27</v>
      </c>
      <c r="AG543" t="s">
        <v>26</v>
      </c>
      <c r="AH543" t="s">
        <v>6673</v>
      </c>
      <c r="AI543" t="str">
        <f t="shared" si="40"/>
        <v>NO</v>
      </c>
      <c r="AJ543" t="str">
        <f t="shared" si="41"/>
        <v>LABORATORIOS LEGRAND</v>
      </c>
      <c r="AK543" t="str">
        <f>IF(ISNUMBER(SEARCH("FABRICANTE",AC543)),"FABRICANTE",IF(ISNUMBER(SEARCH("IMPORTADOR",AC543)),"IMPORTADOR","OTRO"))</f>
        <v>IMPORTADOR</v>
      </c>
      <c r="AL543" t="str">
        <f>IF(LEFT(Y543,1)="A","Sistema digestivo",IF(LEFT(Y543,1)="B","Sangre",IF(LEFT(Y543,1)="C","Cardiovascular",IF(LEFT(Y543,1)="D","Dermatológico",IF(LEFT(Y543,1)="G","Genitourinario",IF(LEFT(Y543,1)="H","Hormonal",IF(LEFT(Y543,1)="J","Antiinfecciosos",IF(LEFT(Y543,1)="L","Oncológicos",IF(LEFT(Y543,1)="M","Musculoesquelético",IF(LEFT(Y543,1)="N","Sistema nervioso",IF(LEFT(Y543,1)="R","Respiratorio",IF(LEFT(Y543,1)="S","Oftálmico",IF(LEFT(Y543,1)="V","Varios","OTRO")))))))))))))</f>
        <v>Sistema nervioso</v>
      </c>
      <c r="AM543" t="str">
        <f>IF(AG543="Vigente","ACTIVO",IF(ISNUMBER(SEARCH("Inactivo",J543)),"INACTIVO","REVISAR"))</f>
        <v>ACTIVO</v>
      </c>
      <c r="AN543" t="str">
        <f ca="1">IF(OR(AF543="",AF543="null"),"",ROUND((AF543-TODAY())/365.25,2))</f>
        <v/>
      </c>
      <c r="AO543" t="str">
        <f ca="1">IF(AND(AG543="Vigente",OR(AF543="",AF543="null",AF543&gt;TODAY())),"SI",IF(AND(NOT(OR(AF543="",AF543="null")),AF543&lt;=TODAY()),"NO",IF(AG543="Vigente","SI","DESCONOCIDO")))</f>
        <v>SI</v>
      </c>
      <c r="AP543" t="str">
        <f>IF(AND(ISNUMBER(SEARCH("IMPORTAR",AA543)),ISNUMBER(SEARCH("FABRICAR",AA543))),"MIXTO",IF(ISNUMBER(SEARCH("IMPORTAR",AA543)),"IMPORTADO",IF(ISNUMBER(SEARCH("FABRICAR",AA543)),"LOCAL","OTRO")))</f>
        <v>IMPORTADO</v>
      </c>
      <c r="AQ543" t="str">
        <f>IF(AD543="Si","SI",IF(AD543="No","NO",""))</f>
        <v>NO</v>
      </c>
      <c r="AR543" t="str">
        <f>IF(ISNUMBER(SEARCH("®",N543)),"MARCA/INNOVADOR","GENERICO")</f>
        <v>GENERICO</v>
      </c>
      <c r="AS543">
        <f ca="1">IF(AE543&gt;100,RANDBETWEEN(500,5000),IF(AND(AE543&gt;=10,AE543&lt;=100),RANDBETWEEN(100,1000),RANDBETWEEN(10,200)))</f>
        <v>203</v>
      </c>
      <c r="AT543">
        <f t="shared" ca="1" si="42"/>
        <v>40</v>
      </c>
      <c r="AU543">
        <f ca="1">INT(AS543*RANDBETWEEN(120,200)/100)</f>
        <v>245</v>
      </c>
      <c r="AV543" s="2">
        <f ca="1">IF(LEFT(Y543,1)="L",RANDBETWEEN(500000,5000000),IF(LEFT(Y543,1)="C",RANDBETWEEN(5000,50000),IF(LEFT(Y543,1)="N",RANDBETWEEN(10000,150000),IF(LEFT(Y543,1)="J",RANDBETWEEN(8000,200000),RANDBETWEEN(5000,100000)))))</f>
        <v>27400</v>
      </c>
      <c r="AW543" s="2">
        <f ca="1">INT(AV543*RANDBETWEEN(30,60)/100)</f>
        <v>15070</v>
      </c>
      <c r="AX543">
        <f ca="1">IF(Z543="ORAL",RANDBETWEEN(1000,10000),IF(OR(Z543="INTRAVENOSA",Z543="INTRAMUSCULAR"),RANDBETWEEN(100,2000),IF(OR(Z543="OFTÁLMICA",Z543="TOPICA (EXTERNA)"),RANDBETWEEN(200,3000),RANDBETWEEN(100,1500))))</f>
        <v>6188</v>
      </c>
      <c r="AY543" s="2">
        <f ca="1">INT(AV543*RANDBETWEEN(90,130)/100)</f>
        <v>27126</v>
      </c>
      <c r="AZ543" t="str">
        <f t="shared" ca="1" si="43"/>
        <v>17.9%</v>
      </c>
      <c r="BA543" t="str">
        <f t="shared" ca="1" si="44"/>
        <v>BAJO</v>
      </c>
    </row>
    <row r="544" spans="4:53" x14ac:dyDescent="0.35">
      <c r="D544" t="s">
        <v>3767</v>
      </c>
      <c r="E544" s="1">
        <v>36847</v>
      </c>
      <c r="F544" t="s">
        <v>333</v>
      </c>
      <c r="G544" t="s">
        <v>108</v>
      </c>
      <c r="H544" t="s">
        <v>334</v>
      </c>
      <c r="I544">
        <v>36070</v>
      </c>
      <c r="J544" t="s">
        <v>28</v>
      </c>
      <c r="K544">
        <v>27</v>
      </c>
      <c r="L544" t="s">
        <v>27</v>
      </c>
      <c r="M544" t="s">
        <v>335</v>
      </c>
      <c r="N544" t="s">
        <v>336</v>
      </c>
      <c r="O544" t="s">
        <v>3768</v>
      </c>
      <c r="P544" t="s">
        <v>338</v>
      </c>
      <c r="Q544" s="1">
        <v>41817</v>
      </c>
      <c r="R544" t="s">
        <v>50</v>
      </c>
      <c r="S544" t="s">
        <v>27</v>
      </c>
      <c r="T544" t="s">
        <v>80</v>
      </c>
      <c r="U544" t="s">
        <v>115</v>
      </c>
      <c r="V544" t="s">
        <v>339</v>
      </c>
      <c r="W544">
        <v>8</v>
      </c>
      <c r="X544">
        <v>36070</v>
      </c>
      <c r="Y544" t="s">
        <v>340</v>
      </c>
      <c r="Z544" t="s">
        <v>260</v>
      </c>
      <c r="AA544" t="s">
        <v>24</v>
      </c>
      <c r="AB544" t="s">
        <v>120</v>
      </c>
      <c r="AC544" t="s">
        <v>25</v>
      </c>
      <c r="AD544" t="s">
        <v>121</v>
      </c>
      <c r="AE544">
        <v>6</v>
      </c>
      <c r="AF544" t="s">
        <v>27</v>
      </c>
      <c r="AG544" t="s">
        <v>26</v>
      </c>
      <c r="AH544" t="s">
        <v>6614</v>
      </c>
      <c r="AI544" t="str">
        <f t="shared" si="40"/>
        <v>SI</v>
      </c>
      <c r="AJ544" t="str">
        <f t="shared" si="41"/>
        <v>TECNOQUIMICAS</v>
      </c>
      <c r="AK544" t="str">
        <f>IF(ISNUMBER(SEARCH("FABRICANTE",AC544)),"FABRICANTE",IF(ISNUMBER(SEARCH("IMPORTADOR",AC544)),"IMPORTADOR","OTRO"))</f>
        <v>FABRICANTE</v>
      </c>
      <c r="AL544" t="str">
        <f>IF(LEFT(Y544,1)="A","Sistema digestivo",IF(LEFT(Y544,1)="B","Sangre",IF(LEFT(Y544,1)="C","Cardiovascular",IF(LEFT(Y544,1)="D","Dermatológico",IF(LEFT(Y544,1)="G","Genitourinario",IF(LEFT(Y544,1)="H","Hormonal",IF(LEFT(Y544,1)="J","Antiinfecciosos",IF(LEFT(Y544,1)="L","Oncológicos",IF(LEFT(Y544,1)="M","Musculoesquelético",IF(LEFT(Y544,1)="N","Sistema nervioso",IF(LEFT(Y544,1)="R","Respiratorio",IF(LEFT(Y544,1)="S","Oftálmico",IF(LEFT(Y544,1)="V","Varios","OTRO")))))))))))))</f>
        <v>Hormonal</v>
      </c>
      <c r="AM544" t="str">
        <f>IF(AG544="Vigente","ACTIVO",IF(ISNUMBER(SEARCH("Inactivo",J544)),"INACTIVO","REVISAR"))</f>
        <v>ACTIVO</v>
      </c>
      <c r="AN544" t="str">
        <f ca="1">IF(OR(AF544="",AF544="null"),"",ROUND((AF544-TODAY())/365.25,2))</f>
        <v/>
      </c>
      <c r="AO544" t="str">
        <f ca="1">IF(AND(AG544="Vigente",OR(AF544="",AF544="null",AF544&gt;TODAY())),"SI",IF(AND(NOT(OR(AF544="",AF544="null")),AF544&lt;=TODAY()),"NO",IF(AG544="Vigente","SI","DESCONOCIDO")))</f>
        <v>SI</v>
      </c>
      <c r="AP544" t="str">
        <f>IF(AND(ISNUMBER(SEARCH("IMPORTAR",AA544)),ISNUMBER(SEARCH("FABRICAR",AA544))),"MIXTO",IF(ISNUMBER(SEARCH("IMPORTAR",AA544)),"IMPORTADO",IF(ISNUMBER(SEARCH("FABRICAR",AA544)),"LOCAL","OTRO")))</f>
        <v>LOCAL</v>
      </c>
      <c r="AQ544" t="str">
        <f>IF(AD544="Si","SI",IF(AD544="No","NO",""))</f>
        <v>NO</v>
      </c>
      <c r="AR544" t="str">
        <f>IF(ISNUMBER(SEARCH("®",N544)),"MARCA/INNOVADOR","GENERICO")</f>
        <v>GENERICO</v>
      </c>
      <c r="AS544">
        <f ca="1">IF(AE544&gt;100,RANDBETWEEN(500,5000),IF(AND(AE544&gt;=10,AE544&lt;=100),RANDBETWEEN(100,1000),RANDBETWEEN(10,200)))</f>
        <v>106</v>
      </c>
      <c r="AT544">
        <f t="shared" ca="1" si="42"/>
        <v>30</v>
      </c>
      <c r="AU544">
        <f ca="1">INT(AS544*RANDBETWEEN(120,200)/100)</f>
        <v>142</v>
      </c>
      <c r="AV544" s="2">
        <f ca="1">IF(LEFT(Y544,1)="L",RANDBETWEEN(500000,5000000),IF(LEFT(Y544,1)="C",RANDBETWEEN(5000,50000),IF(LEFT(Y544,1)="N",RANDBETWEEN(10000,150000),IF(LEFT(Y544,1)="J",RANDBETWEEN(8000,200000),RANDBETWEEN(5000,100000)))))</f>
        <v>19375</v>
      </c>
      <c r="AW544" s="2">
        <f ca="1">INT(AV544*RANDBETWEEN(30,60)/100)</f>
        <v>6781</v>
      </c>
      <c r="AX544">
        <f ca="1">IF(Z544="ORAL",RANDBETWEEN(1000,10000),IF(OR(Z544="INTRAVENOSA",Z544="INTRAMUSCULAR"),RANDBETWEEN(100,2000),IF(OR(Z544="OFTÁLMICA",Z544="TOPICA (EXTERNA)"),RANDBETWEEN(200,3000),RANDBETWEEN(100,1500))))</f>
        <v>1528</v>
      </c>
      <c r="AY544" s="2">
        <f ca="1">INT(AV544*RANDBETWEEN(90,130)/100)</f>
        <v>21700</v>
      </c>
      <c r="AZ544" t="str">
        <f t="shared" ca="1" si="43"/>
        <v>3.9%</v>
      </c>
      <c r="BA544" t="str">
        <f t="shared" ca="1" si="44"/>
        <v>BAJO</v>
      </c>
    </row>
    <row r="545" spans="4:53" x14ac:dyDescent="0.35">
      <c r="D545" t="s">
        <v>3769</v>
      </c>
      <c r="E545" s="1">
        <v>39464</v>
      </c>
      <c r="F545" t="s">
        <v>3770</v>
      </c>
      <c r="G545" t="s">
        <v>108</v>
      </c>
      <c r="H545" t="s">
        <v>454</v>
      </c>
      <c r="I545">
        <v>19973358</v>
      </c>
      <c r="J545" t="s">
        <v>28</v>
      </c>
      <c r="K545">
        <v>3</v>
      </c>
      <c r="L545" t="s">
        <v>3771</v>
      </c>
      <c r="M545" t="s">
        <v>3772</v>
      </c>
      <c r="N545" t="s">
        <v>3773</v>
      </c>
      <c r="O545" t="s">
        <v>3774</v>
      </c>
      <c r="P545" t="s">
        <v>29</v>
      </c>
      <c r="Q545" s="1">
        <v>39230</v>
      </c>
      <c r="R545" t="s">
        <v>29</v>
      </c>
      <c r="S545" t="s">
        <v>27</v>
      </c>
      <c r="T545" t="s">
        <v>1784</v>
      </c>
      <c r="U545" t="s">
        <v>115</v>
      </c>
      <c r="V545" t="s">
        <v>3770</v>
      </c>
      <c r="W545">
        <v>250</v>
      </c>
      <c r="X545">
        <v>19973358</v>
      </c>
      <c r="Y545" t="s">
        <v>3775</v>
      </c>
      <c r="Z545" t="s">
        <v>119</v>
      </c>
      <c r="AA545" t="s">
        <v>24</v>
      </c>
      <c r="AB545" t="s">
        <v>120</v>
      </c>
      <c r="AC545" t="s">
        <v>25</v>
      </c>
      <c r="AD545" t="s">
        <v>121</v>
      </c>
      <c r="AE545">
        <v>180</v>
      </c>
      <c r="AF545" t="s">
        <v>27</v>
      </c>
      <c r="AG545" t="s">
        <v>26</v>
      </c>
      <c r="AH545" t="s">
        <v>3770</v>
      </c>
      <c r="AI545" t="str">
        <f t="shared" si="40"/>
        <v>NO</v>
      </c>
      <c r="AJ545" t="str">
        <f t="shared" si="41"/>
        <v>COLMED</v>
      </c>
      <c r="AK545" t="str">
        <f>IF(ISNUMBER(SEARCH("FABRICANTE",AC545)),"FABRICANTE",IF(ISNUMBER(SEARCH("IMPORTADOR",AC545)),"IMPORTADOR","OTRO"))</f>
        <v>FABRICANTE</v>
      </c>
      <c r="AL545" t="str">
        <f>IF(LEFT(Y545,1)="A","Sistema digestivo",IF(LEFT(Y545,1)="B","Sangre",IF(LEFT(Y545,1)="C","Cardiovascular",IF(LEFT(Y545,1)="D","Dermatológico",IF(LEFT(Y545,1)="G","Genitourinario",IF(LEFT(Y545,1)="H","Hormonal",IF(LEFT(Y545,1)="J","Antiinfecciosos",IF(LEFT(Y545,1)="L","Oncológicos",IF(LEFT(Y545,1)="M","Musculoesquelético",IF(LEFT(Y545,1)="N","Sistema nervioso",IF(LEFT(Y545,1)="R","Respiratorio",IF(LEFT(Y545,1)="S","Oftálmico",IF(LEFT(Y545,1)="V","Varios","OTRO")))))))))))))</f>
        <v>Oftálmico</v>
      </c>
      <c r="AM545" t="str">
        <f>IF(AG545="Vigente","ACTIVO",IF(ISNUMBER(SEARCH("Inactivo",J545)),"INACTIVO","REVISAR"))</f>
        <v>ACTIVO</v>
      </c>
      <c r="AN545" t="str">
        <f ca="1">IF(OR(AF545="",AF545="null"),"",ROUND((AF545-TODAY())/365.25,2))</f>
        <v/>
      </c>
      <c r="AO545" t="str">
        <f ca="1">IF(AND(AG545="Vigente",OR(AF545="",AF545="null",AF545&gt;TODAY())),"SI",IF(AND(NOT(OR(AF545="",AF545="null")),AF545&lt;=TODAY()),"NO",IF(AG545="Vigente","SI","DESCONOCIDO")))</f>
        <v>SI</v>
      </c>
      <c r="AP545" t="str">
        <f>IF(AND(ISNUMBER(SEARCH("IMPORTAR",AA545)),ISNUMBER(SEARCH("FABRICAR",AA545))),"MIXTO",IF(ISNUMBER(SEARCH("IMPORTAR",AA545)),"IMPORTADO",IF(ISNUMBER(SEARCH("FABRICAR",AA545)),"LOCAL","OTRO")))</f>
        <v>LOCAL</v>
      </c>
      <c r="AQ545" t="str">
        <f>IF(AD545="Si","SI",IF(AD545="No","NO",""))</f>
        <v>NO</v>
      </c>
      <c r="AR545" t="str">
        <f>IF(ISNUMBER(SEARCH("®",N545)),"MARCA/INNOVADOR","GENERICO")</f>
        <v>MARCA/INNOVADOR</v>
      </c>
      <c r="AS545">
        <f ca="1">IF(AE545&gt;100,RANDBETWEEN(500,5000),IF(AND(AE545&gt;=10,AE545&lt;=100),RANDBETWEEN(100,1000),RANDBETWEEN(10,200)))</f>
        <v>4302</v>
      </c>
      <c r="AT545">
        <f t="shared" ca="1" si="42"/>
        <v>989</v>
      </c>
      <c r="AU545">
        <f ca="1">INT(AS545*RANDBETWEEN(120,200)/100)</f>
        <v>5377</v>
      </c>
      <c r="AV545" s="2">
        <f ca="1">IF(LEFT(Y545,1)="L",RANDBETWEEN(500000,5000000),IF(LEFT(Y545,1)="C",RANDBETWEEN(5000,50000),IF(LEFT(Y545,1)="N",RANDBETWEEN(10000,150000),IF(LEFT(Y545,1)="J",RANDBETWEEN(8000,200000),RANDBETWEEN(5000,100000)))))</f>
        <v>26591</v>
      </c>
      <c r="AW545" s="2">
        <f ca="1">INT(AV545*RANDBETWEEN(30,60)/100)</f>
        <v>14359</v>
      </c>
      <c r="AX545">
        <f ca="1">IF(Z545="ORAL",RANDBETWEEN(1000,10000),IF(OR(Z545="INTRAVENOSA",Z545="INTRAMUSCULAR"),RANDBETWEEN(100,2000),IF(OR(Z545="OFTÁLMICA",Z545="TOPICA (EXTERNA)"),RANDBETWEEN(200,3000),RANDBETWEEN(100,1500))))</f>
        <v>6262</v>
      </c>
      <c r="AY545" s="2">
        <f ca="1">INT(AV545*RANDBETWEEN(90,130)/100)</f>
        <v>28984</v>
      </c>
      <c r="AZ545" t="str">
        <f t="shared" ca="1" si="43"/>
        <v>23.5%</v>
      </c>
      <c r="BA545" t="str">
        <f t="shared" ca="1" si="44"/>
        <v>BAJO</v>
      </c>
    </row>
    <row r="546" spans="4:53" x14ac:dyDescent="0.35">
      <c r="D546" t="s">
        <v>3776</v>
      </c>
      <c r="E546" s="1">
        <v>45435</v>
      </c>
      <c r="F546" t="s">
        <v>3777</v>
      </c>
      <c r="G546" t="s">
        <v>108</v>
      </c>
      <c r="H546" t="s">
        <v>3778</v>
      </c>
      <c r="I546">
        <v>20205350</v>
      </c>
      <c r="J546" t="s">
        <v>28</v>
      </c>
      <c r="K546">
        <v>1</v>
      </c>
      <c r="L546" t="s">
        <v>27</v>
      </c>
      <c r="M546" t="s">
        <v>3779</v>
      </c>
      <c r="N546" t="s">
        <v>3780</v>
      </c>
      <c r="O546" t="s">
        <v>3781</v>
      </c>
      <c r="P546" t="s">
        <v>3782</v>
      </c>
      <c r="Q546" s="1">
        <v>44445</v>
      </c>
      <c r="R546" t="s">
        <v>258</v>
      </c>
      <c r="S546" t="s">
        <v>27</v>
      </c>
      <c r="T546" t="s">
        <v>1329</v>
      </c>
      <c r="U546" t="s">
        <v>1982</v>
      </c>
      <c r="V546" t="s">
        <v>64</v>
      </c>
      <c r="W546">
        <v>20</v>
      </c>
      <c r="X546">
        <v>20205350</v>
      </c>
      <c r="Y546" t="s">
        <v>259</v>
      </c>
      <c r="Z546" t="s">
        <v>260</v>
      </c>
      <c r="AA546" t="s">
        <v>32</v>
      </c>
      <c r="AB546" t="s">
        <v>133</v>
      </c>
      <c r="AC546" t="s">
        <v>38</v>
      </c>
      <c r="AD546" t="s">
        <v>121</v>
      </c>
      <c r="AE546">
        <v>6</v>
      </c>
      <c r="AF546" s="1">
        <v>401769</v>
      </c>
      <c r="AG546" t="s">
        <v>26</v>
      </c>
      <c r="AH546" t="s">
        <v>6815</v>
      </c>
      <c r="AI546" t="str">
        <f t="shared" si="40"/>
        <v>SI</v>
      </c>
      <c r="AJ546" t="str">
        <f t="shared" si="41"/>
        <v>FRESENIUS KABI AB</v>
      </c>
      <c r="AK546" t="str">
        <f>IF(ISNUMBER(SEARCH("FABRICANTE",AC546)),"FABRICANTE",IF(ISNUMBER(SEARCH("IMPORTADOR",AC546)),"IMPORTADOR","OTRO"))</f>
        <v>IMPORTADOR</v>
      </c>
      <c r="AL546" t="str">
        <f>IF(LEFT(Y546,1)="A","Sistema digestivo",IF(LEFT(Y546,1)="B","Sangre",IF(LEFT(Y546,1)="C","Cardiovascular",IF(LEFT(Y546,1)="D","Dermatológico",IF(LEFT(Y546,1)="G","Genitourinario",IF(LEFT(Y546,1)="H","Hormonal",IF(LEFT(Y546,1)="J","Antiinfecciosos",IF(LEFT(Y546,1)="L","Oncológicos",IF(LEFT(Y546,1)="M","Musculoesquelético",IF(LEFT(Y546,1)="N","Sistema nervioso",IF(LEFT(Y546,1)="R","Respiratorio",IF(LEFT(Y546,1)="S","Oftálmico",IF(LEFT(Y546,1)="V","Varios","OTRO")))))))))))))</f>
        <v>Sangre</v>
      </c>
      <c r="AM546" t="str">
        <f>IF(AG546="Vigente","ACTIVO",IF(ISNUMBER(SEARCH("Inactivo",J546)),"INACTIVO","REVISAR"))</f>
        <v>ACTIVO</v>
      </c>
      <c r="AN546">
        <f ca="1">IF(OR(AF546="",AF546="null"),"",ROUND((AF546-TODAY())/365.25,2))</f>
        <v>973.58</v>
      </c>
      <c r="AO546" t="str">
        <f ca="1">IF(AND(AG546="Vigente",OR(AF546="",AF546="null",AF546&gt;TODAY())),"SI",IF(AND(NOT(OR(AF546="",AF546="null")),AF546&lt;=TODAY()),"NO",IF(AG546="Vigente","SI","DESCONOCIDO")))</f>
        <v>SI</v>
      </c>
      <c r="AP546" t="str">
        <f>IF(AND(ISNUMBER(SEARCH("IMPORTAR",AA546)),ISNUMBER(SEARCH("FABRICAR",AA546))),"MIXTO",IF(ISNUMBER(SEARCH("IMPORTAR",AA546)),"IMPORTADO",IF(ISNUMBER(SEARCH("FABRICAR",AA546)),"LOCAL","OTRO")))</f>
        <v>IMPORTADO</v>
      </c>
      <c r="AQ546" t="str">
        <f>IF(AD546="Si","SI",IF(AD546="No","NO",""))</f>
        <v>NO</v>
      </c>
      <c r="AR546" t="str">
        <f>IF(ISNUMBER(SEARCH("®",N546)),"MARCA/INNOVADOR","GENERICO")</f>
        <v>MARCA/INNOVADOR</v>
      </c>
      <c r="AS546">
        <f ca="1">IF(AE546&gt;100,RANDBETWEEN(500,5000),IF(AND(AE546&gt;=10,AE546&lt;=100),RANDBETWEEN(100,1000),RANDBETWEEN(10,200)))</f>
        <v>184</v>
      </c>
      <c r="AT546">
        <f t="shared" ca="1" si="42"/>
        <v>55</v>
      </c>
      <c r="AU546">
        <f ca="1">INT(AS546*RANDBETWEEN(120,200)/100)</f>
        <v>285</v>
      </c>
      <c r="AV546" s="2">
        <f ca="1">IF(LEFT(Y546,1)="L",RANDBETWEEN(500000,5000000),IF(LEFT(Y546,1)="C",RANDBETWEEN(5000,50000),IF(LEFT(Y546,1)="N",RANDBETWEEN(10000,150000),IF(LEFT(Y546,1)="J",RANDBETWEEN(8000,200000),RANDBETWEEN(5000,100000)))))</f>
        <v>67240</v>
      </c>
      <c r="AW546" s="2">
        <f ca="1">INT(AV546*RANDBETWEEN(30,60)/100)</f>
        <v>36982</v>
      </c>
      <c r="AX546">
        <f ca="1">IF(Z546="ORAL",RANDBETWEEN(1000,10000),IF(OR(Z546="INTRAVENOSA",Z546="INTRAMUSCULAR"),RANDBETWEEN(100,2000),IF(OR(Z546="OFTÁLMICA",Z546="TOPICA (EXTERNA)"),RANDBETWEEN(200,3000),RANDBETWEEN(100,1500))))</f>
        <v>1666</v>
      </c>
      <c r="AY546" s="2">
        <f ca="1">INT(AV546*RANDBETWEEN(90,130)/100)</f>
        <v>77326</v>
      </c>
      <c r="AZ546" t="str">
        <f t="shared" ca="1" si="43"/>
        <v>5%</v>
      </c>
      <c r="BA546" t="str">
        <f t="shared" ca="1" si="44"/>
        <v>BAJO</v>
      </c>
    </row>
    <row r="547" spans="4:53" x14ac:dyDescent="0.35">
      <c r="D547" t="s">
        <v>3783</v>
      </c>
      <c r="E547" s="1">
        <v>35085</v>
      </c>
      <c r="F547" t="s">
        <v>558</v>
      </c>
      <c r="G547" t="s">
        <v>108</v>
      </c>
      <c r="H547" t="s">
        <v>3784</v>
      </c>
      <c r="I547">
        <v>53412</v>
      </c>
      <c r="J547" t="s">
        <v>28</v>
      </c>
      <c r="K547">
        <v>3</v>
      </c>
      <c r="L547" t="s">
        <v>27</v>
      </c>
      <c r="M547" t="s">
        <v>3785</v>
      </c>
      <c r="N547" t="s">
        <v>3786</v>
      </c>
      <c r="O547" t="s">
        <v>3787</v>
      </c>
      <c r="P547" t="s">
        <v>3170</v>
      </c>
      <c r="Q547" s="1">
        <v>39031</v>
      </c>
      <c r="R547" t="s">
        <v>3788</v>
      </c>
      <c r="S547" t="s">
        <v>27</v>
      </c>
      <c r="T547" t="s">
        <v>3784</v>
      </c>
      <c r="U547" t="s">
        <v>247</v>
      </c>
      <c r="V547" t="s">
        <v>558</v>
      </c>
      <c r="W547">
        <v>8</v>
      </c>
      <c r="X547">
        <v>53412</v>
      </c>
      <c r="Y547" t="s">
        <v>565</v>
      </c>
      <c r="Z547" t="s">
        <v>566</v>
      </c>
      <c r="AA547" t="s">
        <v>24</v>
      </c>
      <c r="AB547" t="s">
        <v>250</v>
      </c>
      <c r="AC547" t="s">
        <v>25</v>
      </c>
      <c r="AD547" t="s">
        <v>121</v>
      </c>
      <c r="AE547">
        <v>1</v>
      </c>
      <c r="AF547" t="s">
        <v>27</v>
      </c>
      <c r="AG547" t="s">
        <v>26</v>
      </c>
      <c r="AH547" t="s">
        <v>558</v>
      </c>
      <c r="AI547" t="str">
        <f t="shared" si="40"/>
        <v>NO</v>
      </c>
      <c r="AJ547" t="str">
        <f t="shared" si="41"/>
        <v>ASEPSIS PRODUCTS DE COLOMBIA PROASEPSIS</v>
      </c>
      <c r="AK547" t="str">
        <f>IF(ISNUMBER(SEARCH("FABRICANTE",AC547)),"FABRICANTE",IF(ISNUMBER(SEARCH("IMPORTADOR",AC547)),"IMPORTADOR","OTRO"))</f>
        <v>FABRICANTE</v>
      </c>
      <c r="AL547" t="str">
        <f>IF(LEFT(Y547,1)="A","Sistema digestivo",IF(LEFT(Y547,1)="B","Sangre",IF(LEFT(Y547,1)="C","Cardiovascular",IF(LEFT(Y547,1)="D","Dermatológico",IF(LEFT(Y547,1)="G","Genitourinario",IF(LEFT(Y547,1)="H","Hormonal",IF(LEFT(Y547,1)="J","Antiinfecciosos",IF(LEFT(Y547,1)="L","Oncológicos",IF(LEFT(Y547,1)="M","Musculoesquelético",IF(LEFT(Y547,1)="N","Sistema nervioso",IF(LEFT(Y547,1)="R","Respiratorio",IF(LEFT(Y547,1)="S","Oftálmico",IF(LEFT(Y547,1)="V","Varios","OTRO")))))))))))))</f>
        <v>Dermatológico</v>
      </c>
      <c r="AM547" t="str">
        <f>IF(AG547="Vigente","ACTIVO",IF(ISNUMBER(SEARCH("Inactivo",J547)),"INACTIVO","REVISAR"))</f>
        <v>ACTIVO</v>
      </c>
      <c r="AN547" t="str">
        <f ca="1">IF(OR(AF547="",AF547="null"),"",ROUND((AF547-TODAY())/365.25,2))</f>
        <v/>
      </c>
      <c r="AO547" t="str">
        <f ca="1">IF(AND(AG547="Vigente",OR(AF547="",AF547="null",AF547&gt;TODAY())),"SI",IF(AND(NOT(OR(AF547="",AF547="null")),AF547&lt;=TODAY()),"NO",IF(AG547="Vigente","SI","DESCONOCIDO")))</f>
        <v>SI</v>
      </c>
      <c r="AP547" t="str">
        <f>IF(AND(ISNUMBER(SEARCH("IMPORTAR",AA547)),ISNUMBER(SEARCH("FABRICAR",AA547))),"MIXTO",IF(ISNUMBER(SEARCH("IMPORTAR",AA547)),"IMPORTADO",IF(ISNUMBER(SEARCH("FABRICAR",AA547)),"LOCAL","OTRO")))</f>
        <v>LOCAL</v>
      </c>
      <c r="AQ547" t="str">
        <f>IF(AD547="Si","SI",IF(AD547="No","NO",""))</f>
        <v>NO</v>
      </c>
      <c r="AR547" t="str">
        <f>IF(ISNUMBER(SEARCH("®",N547)),"MARCA/INNOVADOR","GENERICO")</f>
        <v>GENERICO</v>
      </c>
      <c r="AS547">
        <f ca="1">IF(AE547&gt;100,RANDBETWEEN(500,5000),IF(AND(AE547&gt;=10,AE547&lt;=100),RANDBETWEEN(100,1000),RANDBETWEEN(10,200)))</f>
        <v>81</v>
      </c>
      <c r="AT547">
        <f t="shared" ca="1" si="42"/>
        <v>14</v>
      </c>
      <c r="AU547">
        <f ca="1">INT(AS547*RANDBETWEEN(120,200)/100)</f>
        <v>115</v>
      </c>
      <c r="AV547" s="2">
        <f ca="1">IF(LEFT(Y547,1)="L",RANDBETWEEN(500000,5000000),IF(LEFT(Y547,1)="C",RANDBETWEEN(5000,50000),IF(LEFT(Y547,1)="N",RANDBETWEEN(10000,150000),IF(LEFT(Y547,1)="J",RANDBETWEEN(8000,200000),RANDBETWEEN(5000,100000)))))</f>
        <v>20739</v>
      </c>
      <c r="AW547" s="2">
        <f ca="1">INT(AV547*RANDBETWEEN(30,60)/100)</f>
        <v>11821</v>
      </c>
      <c r="AX547">
        <f ca="1">IF(Z547="ORAL",RANDBETWEEN(1000,10000),IF(OR(Z547="INTRAVENOSA",Z547="INTRAMUSCULAR"),RANDBETWEEN(100,2000),IF(OR(Z547="OFTÁLMICA",Z547="TOPICA (EXTERNA)"),RANDBETWEEN(200,3000),RANDBETWEEN(100,1500))))</f>
        <v>1058</v>
      </c>
      <c r="AY547" s="2">
        <f ca="1">INT(AV547*RANDBETWEEN(90,130)/100)</f>
        <v>21983</v>
      </c>
      <c r="AZ547" t="str">
        <f t="shared" ca="1" si="43"/>
        <v>11.3%</v>
      </c>
      <c r="BA547" t="str">
        <f t="shared" ca="1" si="44"/>
        <v>BAJO</v>
      </c>
    </row>
    <row r="548" spans="4:53" x14ac:dyDescent="0.35">
      <c r="D548" t="s">
        <v>3789</v>
      </c>
      <c r="E548" s="1">
        <v>41144</v>
      </c>
      <c r="F548" t="s">
        <v>660</v>
      </c>
      <c r="G548" t="s">
        <v>108</v>
      </c>
      <c r="H548" t="s">
        <v>109</v>
      </c>
      <c r="I548">
        <v>20048021</v>
      </c>
      <c r="J548" t="s">
        <v>28</v>
      </c>
      <c r="K548">
        <v>84</v>
      </c>
      <c r="L548" t="s">
        <v>27</v>
      </c>
      <c r="M548" t="s">
        <v>111</v>
      </c>
      <c r="N548" t="s">
        <v>112</v>
      </c>
      <c r="O548" t="s">
        <v>3790</v>
      </c>
      <c r="P548" t="s">
        <v>33</v>
      </c>
      <c r="Q548" s="1">
        <v>44820</v>
      </c>
      <c r="R548" t="s">
        <v>33</v>
      </c>
      <c r="S548" t="s">
        <v>27</v>
      </c>
      <c r="T548" t="s">
        <v>114</v>
      </c>
      <c r="U548" t="s">
        <v>115</v>
      </c>
      <c r="V548" t="s">
        <v>116</v>
      </c>
      <c r="W548">
        <v>160</v>
      </c>
      <c r="X548">
        <v>20048021</v>
      </c>
      <c r="Y548" t="s">
        <v>118</v>
      </c>
      <c r="Z548" t="s">
        <v>119</v>
      </c>
      <c r="AA548" t="s">
        <v>24</v>
      </c>
      <c r="AB548" t="s">
        <v>120</v>
      </c>
      <c r="AC548" t="s">
        <v>25</v>
      </c>
      <c r="AD548" t="s">
        <v>155</v>
      </c>
      <c r="AE548">
        <v>4</v>
      </c>
      <c r="AF548" t="s">
        <v>27</v>
      </c>
      <c r="AG548" t="s">
        <v>26</v>
      </c>
      <c r="AH548" t="s">
        <v>660</v>
      </c>
      <c r="AI548" t="str">
        <f t="shared" si="40"/>
        <v>NO</v>
      </c>
      <c r="AJ548" t="str">
        <f t="shared" si="41"/>
        <v>LABORATORIOS LEGRAND</v>
      </c>
      <c r="AK548" t="str">
        <f>IF(ISNUMBER(SEARCH("FABRICANTE",AC548)),"FABRICANTE",IF(ISNUMBER(SEARCH("IMPORTADOR",AC548)),"IMPORTADOR","OTRO"))</f>
        <v>FABRICANTE</v>
      </c>
      <c r="AL548" t="str">
        <f>IF(LEFT(Y548,1)="A","Sistema digestivo",IF(LEFT(Y548,1)="B","Sangre",IF(LEFT(Y548,1)="C","Cardiovascular",IF(LEFT(Y548,1)="D","Dermatológico",IF(LEFT(Y548,1)="G","Genitourinario",IF(LEFT(Y548,1)="H","Hormonal",IF(LEFT(Y548,1)="J","Antiinfecciosos",IF(LEFT(Y548,1)="L","Oncológicos",IF(LEFT(Y548,1)="M","Musculoesquelético",IF(LEFT(Y548,1)="N","Sistema nervioso",IF(LEFT(Y548,1)="R","Respiratorio",IF(LEFT(Y548,1)="S","Oftálmico",IF(LEFT(Y548,1)="V","Varios","OTRO")))))))))))))</f>
        <v>Cardiovascular</v>
      </c>
      <c r="AM548" t="str">
        <f>IF(AG548="Vigente","ACTIVO",IF(ISNUMBER(SEARCH("Inactivo",J548)),"INACTIVO","REVISAR"))</f>
        <v>ACTIVO</v>
      </c>
      <c r="AN548" t="str">
        <f ca="1">IF(OR(AF548="",AF548="null"),"",ROUND((AF548-TODAY())/365.25,2))</f>
        <v/>
      </c>
      <c r="AO548" t="str">
        <f ca="1">IF(AND(AG548="Vigente",OR(AF548="",AF548="null",AF548&gt;TODAY())),"SI",IF(AND(NOT(OR(AF548="",AF548="null")),AF548&lt;=TODAY()),"NO",IF(AG548="Vigente","SI","DESCONOCIDO")))</f>
        <v>SI</v>
      </c>
      <c r="AP548" t="str">
        <f>IF(AND(ISNUMBER(SEARCH("IMPORTAR",AA548)),ISNUMBER(SEARCH("FABRICAR",AA548))),"MIXTO",IF(ISNUMBER(SEARCH("IMPORTAR",AA548)),"IMPORTADO",IF(ISNUMBER(SEARCH("FABRICAR",AA548)),"LOCAL","OTRO")))</f>
        <v>LOCAL</v>
      </c>
      <c r="AQ548" t="str">
        <f>IF(AD548="Si","SI",IF(AD548="No","NO",""))</f>
        <v>SI</v>
      </c>
      <c r="AR548" t="str">
        <f>IF(ISNUMBER(SEARCH("®",N548)),"MARCA/INNOVADOR","GENERICO")</f>
        <v>MARCA/INNOVADOR</v>
      </c>
      <c r="AS548">
        <f ca="1">IF(AE548&gt;100,RANDBETWEEN(500,5000),IF(AND(AE548&gt;=10,AE548&lt;=100),RANDBETWEEN(100,1000),RANDBETWEEN(10,200)))</f>
        <v>87</v>
      </c>
      <c r="AT548">
        <f t="shared" ca="1" si="42"/>
        <v>14</v>
      </c>
      <c r="AU548">
        <f ca="1">INT(AS548*RANDBETWEEN(120,200)/100)</f>
        <v>140</v>
      </c>
      <c r="AV548" s="2">
        <f ca="1">IF(LEFT(Y548,1)="L",RANDBETWEEN(500000,5000000),IF(LEFT(Y548,1)="C",RANDBETWEEN(5000,50000),IF(LEFT(Y548,1)="N",RANDBETWEEN(10000,150000),IF(LEFT(Y548,1)="J",RANDBETWEEN(8000,200000),RANDBETWEEN(5000,100000)))))</f>
        <v>41546</v>
      </c>
      <c r="AW548" s="2">
        <f ca="1">INT(AV548*RANDBETWEEN(30,60)/100)</f>
        <v>17033</v>
      </c>
      <c r="AX548">
        <f ca="1">IF(Z548="ORAL",RANDBETWEEN(1000,10000),IF(OR(Z548="INTRAVENOSA",Z548="INTRAMUSCULAR"),RANDBETWEEN(100,2000),IF(OR(Z548="OFTÁLMICA",Z548="TOPICA (EXTERNA)"),RANDBETWEEN(200,3000),RANDBETWEEN(100,1500))))</f>
        <v>3531</v>
      </c>
      <c r="AY548" s="2">
        <f ca="1">INT(AV548*RANDBETWEEN(90,130)/100)</f>
        <v>54009</v>
      </c>
      <c r="AZ548" t="str">
        <f t="shared" ca="1" si="43"/>
        <v>15.6%</v>
      </c>
      <c r="BA548" t="str">
        <f t="shared" ca="1" si="44"/>
        <v>BAJO</v>
      </c>
    </row>
    <row r="549" spans="4:53" x14ac:dyDescent="0.35">
      <c r="D549" t="s">
        <v>3791</v>
      </c>
      <c r="E549" s="1">
        <v>38484</v>
      </c>
      <c r="F549" t="s">
        <v>1073</v>
      </c>
      <c r="G549" t="s">
        <v>502</v>
      </c>
      <c r="H549" t="s">
        <v>1591</v>
      </c>
      <c r="I549">
        <v>19948281</v>
      </c>
      <c r="J549" t="s">
        <v>28</v>
      </c>
      <c r="K549">
        <v>14</v>
      </c>
      <c r="L549" t="s">
        <v>27</v>
      </c>
      <c r="M549" t="s">
        <v>3792</v>
      </c>
      <c r="N549" t="s">
        <v>3793</v>
      </c>
      <c r="O549" t="s">
        <v>3794</v>
      </c>
      <c r="P549" t="s">
        <v>553</v>
      </c>
      <c r="Q549" s="1">
        <v>43083</v>
      </c>
      <c r="R549" t="s">
        <v>78</v>
      </c>
      <c r="S549" t="s">
        <v>27</v>
      </c>
      <c r="T549" t="s">
        <v>1591</v>
      </c>
      <c r="U549" t="s">
        <v>115</v>
      </c>
      <c r="V549" t="s">
        <v>1073</v>
      </c>
      <c r="W549">
        <v>2500</v>
      </c>
      <c r="X549">
        <v>19948281</v>
      </c>
      <c r="Y549" t="s">
        <v>1077</v>
      </c>
      <c r="Z549" t="s">
        <v>119</v>
      </c>
      <c r="AA549" t="s">
        <v>24</v>
      </c>
      <c r="AB549" t="s">
        <v>250</v>
      </c>
      <c r="AC549" t="s">
        <v>25</v>
      </c>
      <c r="AD549" t="s">
        <v>121</v>
      </c>
      <c r="AE549">
        <v>120</v>
      </c>
      <c r="AF549" t="s">
        <v>27</v>
      </c>
      <c r="AG549" t="s">
        <v>26</v>
      </c>
      <c r="AH549" t="s">
        <v>1073</v>
      </c>
      <c r="AI549" t="str">
        <f t="shared" si="40"/>
        <v>NO</v>
      </c>
      <c r="AJ549" t="str">
        <f t="shared" si="41"/>
        <v>LABORATORIO INTERNACIONAL DE COLOMBIA - LABINCO</v>
      </c>
      <c r="AK549" t="str">
        <f>IF(ISNUMBER(SEARCH("FABRICANTE",AC549)),"FABRICANTE",IF(ISNUMBER(SEARCH("IMPORTADOR",AC549)),"IMPORTADOR","OTRO"))</f>
        <v>FABRICANTE</v>
      </c>
      <c r="AL549" t="str">
        <f>IF(LEFT(Y549,1)="A","Sistema digestivo",IF(LEFT(Y549,1)="B","Sangre",IF(LEFT(Y549,1)="C","Cardiovascular",IF(LEFT(Y549,1)="D","Dermatológico",IF(LEFT(Y549,1)="G","Genitourinario",IF(LEFT(Y549,1)="H","Hormonal",IF(LEFT(Y549,1)="J","Antiinfecciosos",IF(LEFT(Y549,1)="L","Oncológicos",IF(LEFT(Y549,1)="M","Musculoesquelético",IF(LEFT(Y549,1)="N","Sistema nervioso",IF(LEFT(Y549,1)="R","Respiratorio",IF(LEFT(Y549,1)="S","Oftálmico",IF(LEFT(Y549,1)="V","Varios","OTRO")))))))))))))</f>
        <v>Musculoesquelético</v>
      </c>
      <c r="AM549" t="str">
        <f>IF(AG549="Vigente","ACTIVO",IF(ISNUMBER(SEARCH("Inactivo",J549)),"INACTIVO","REVISAR"))</f>
        <v>ACTIVO</v>
      </c>
      <c r="AN549" t="str">
        <f ca="1">IF(OR(AF549="",AF549="null"),"",ROUND((AF549-TODAY())/365.25,2))</f>
        <v/>
      </c>
      <c r="AO549" t="str">
        <f ca="1">IF(AND(AG549="Vigente",OR(AF549="",AF549="null",AF549&gt;TODAY())),"SI",IF(AND(NOT(OR(AF549="",AF549="null")),AF549&lt;=TODAY()),"NO",IF(AG549="Vigente","SI","DESCONOCIDO")))</f>
        <v>SI</v>
      </c>
      <c r="AP549" t="str">
        <f>IF(AND(ISNUMBER(SEARCH("IMPORTAR",AA549)),ISNUMBER(SEARCH("FABRICAR",AA549))),"MIXTO",IF(ISNUMBER(SEARCH("IMPORTAR",AA549)),"IMPORTADO",IF(ISNUMBER(SEARCH("FABRICAR",AA549)),"LOCAL","OTRO")))</f>
        <v>LOCAL</v>
      </c>
      <c r="AQ549" t="str">
        <f>IF(AD549="Si","SI",IF(AD549="No","NO",""))</f>
        <v>NO</v>
      </c>
      <c r="AR549" t="str">
        <f>IF(ISNUMBER(SEARCH("®",N549)),"MARCA/INNOVADOR","GENERICO")</f>
        <v>MARCA/INNOVADOR</v>
      </c>
      <c r="AS549">
        <f ca="1">IF(AE549&gt;100,RANDBETWEEN(500,5000),IF(AND(AE549&gt;=10,AE549&lt;=100),RANDBETWEEN(100,1000),RANDBETWEEN(10,200)))</f>
        <v>3300</v>
      </c>
      <c r="AT549">
        <f t="shared" ca="1" si="42"/>
        <v>693</v>
      </c>
      <c r="AU549">
        <f ca="1">INT(AS549*RANDBETWEEN(120,200)/100)</f>
        <v>5214</v>
      </c>
      <c r="AV549" s="2">
        <f ca="1">IF(LEFT(Y549,1)="L",RANDBETWEEN(500000,5000000),IF(LEFT(Y549,1)="C",RANDBETWEEN(5000,50000),IF(LEFT(Y549,1)="N",RANDBETWEEN(10000,150000),IF(LEFT(Y549,1)="J",RANDBETWEEN(8000,200000),RANDBETWEEN(5000,100000)))))</f>
        <v>24994</v>
      </c>
      <c r="AW549" s="2">
        <f ca="1">INT(AV549*RANDBETWEEN(30,60)/100)</f>
        <v>8747</v>
      </c>
      <c r="AX549">
        <f ca="1">IF(Z549="ORAL",RANDBETWEEN(1000,10000),IF(OR(Z549="INTRAVENOSA",Z549="INTRAMUSCULAR"),RANDBETWEEN(100,2000),IF(OR(Z549="OFTÁLMICA",Z549="TOPICA (EXTERNA)"),RANDBETWEEN(200,3000),RANDBETWEEN(100,1500))))</f>
        <v>9465</v>
      </c>
      <c r="AY549" s="2">
        <f ca="1">INT(AV549*RANDBETWEEN(90,130)/100)</f>
        <v>31242</v>
      </c>
      <c r="AZ549" t="str">
        <f t="shared" ca="1" si="43"/>
        <v>12%</v>
      </c>
      <c r="BA549" t="str">
        <f t="shared" ca="1" si="44"/>
        <v>BAJO</v>
      </c>
    </row>
    <row r="550" spans="4:53" x14ac:dyDescent="0.35">
      <c r="D550" t="s">
        <v>3795</v>
      </c>
      <c r="E550" s="1">
        <v>42206</v>
      </c>
      <c r="F550" t="s">
        <v>1132</v>
      </c>
      <c r="G550" t="s">
        <v>108</v>
      </c>
      <c r="H550" t="s">
        <v>93</v>
      </c>
      <c r="I550">
        <v>20084685</v>
      </c>
      <c r="J550" t="s">
        <v>28</v>
      </c>
      <c r="K550">
        <v>54</v>
      </c>
      <c r="L550" t="s">
        <v>27</v>
      </c>
      <c r="M550" t="s">
        <v>1133</v>
      </c>
      <c r="N550" t="s">
        <v>1134</v>
      </c>
      <c r="O550" t="s">
        <v>3796</v>
      </c>
      <c r="P550" t="s">
        <v>1136</v>
      </c>
      <c r="Q550" s="1">
        <v>45349</v>
      </c>
      <c r="R550" t="s">
        <v>50</v>
      </c>
      <c r="S550" t="s">
        <v>27</v>
      </c>
      <c r="T550" t="s">
        <v>93</v>
      </c>
      <c r="U550" t="s">
        <v>115</v>
      </c>
      <c r="V550" t="s">
        <v>275</v>
      </c>
      <c r="W550">
        <v>40</v>
      </c>
      <c r="X550">
        <v>20084685</v>
      </c>
      <c r="Y550" t="s">
        <v>276</v>
      </c>
      <c r="Z550" t="s">
        <v>260</v>
      </c>
      <c r="AA550" t="s">
        <v>32</v>
      </c>
      <c r="AB550" t="s">
        <v>239</v>
      </c>
      <c r="AC550" t="s">
        <v>38</v>
      </c>
      <c r="AD550" t="s">
        <v>121</v>
      </c>
      <c r="AE550">
        <v>500</v>
      </c>
      <c r="AF550" t="s">
        <v>27</v>
      </c>
      <c r="AG550" t="s">
        <v>26</v>
      </c>
      <c r="AH550" t="s">
        <v>1822</v>
      </c>
      <c r="AI550" t="str">
        <f t="shared" si="40"/>
        <v>SI</v>
      </c>
      <c r="AJ550" t="str">
        <f t="shared" si="41"/>
        <v>LABORATORIOS DELTA</v>
      </c>
      <c r="AK550" t="str">
        <f>IF(ISNUMBER(SEARCH("FABRICANTE",AC550)),"FABRICANTE",IF(ISNUMBER(SEARCH("IMPORTADOR",AC550)),"IMPORTADOR","OTRO"))</f>
        <v>IMPORTADOR</v>
      </c>
      <c r="AL550" t="str">
        <f>IF(LEFT(Y550,1)="A","Sistema digestivo",IF(LEFT(Y550,1)="B","Sangre",IF(LEFT(Y550,1)="C","Cardiovascular",IF(LEFT(Y550,1)="D","Dermatológico",IF(LEFT(Y550,1)="G","Genitourinario",IF(LEFT(Y550,1)="H","Hormonal",IF(LEFT(Y550,1)="J","Antiinfecciosos",IF(LEFT(Y550,1)="L","Oncológicos",IF(LEFT(Y550,1)="M","Musculoesquelético",IF(LEFT(Y550,1)="N","Sistema nervioso",IF(LEFT(Y550,1)="R","Respiratorio",IF(LEFT(Y550,1)="S","Oftálmico",IF(LEFT(Y550,1)="V","Varios","OTRO")))))))))))))</f>
        <v>Sangre</v>
      </c>
      <c r="AM550" t="str">
        <f>IF(AG550="Vigente","ACTIVO",IF(ISNUMBER(SEARCH("Inactivo",J550)),"INACTIVO","REVISAR"))</f>
        <v>ACTIVO</v>
      </c>
      <c r="AN550" t="str">
        <f ca="1">IF(OR(AF550="",AF550="null"),"",ROUND((AF550-TODAY())/365.25,2))</f>
        <v/>
      </c>
      <c r="AO550" t="str">
        <f ca="1">IF(AND(AG550="Vigente",OR(AF550="",AF550="null",AF550&gt;TODAY())),"SI",IF(AND(NOT(OR(AF550="",AF550="null")),AF550&lt;=TODAY()),"NO",IF(AG550="Vigente","SI","DESCONOCIDO")))</f>
        <v>SI</v>
      </c>
      <c r="AP550" t="str">
        <f>IF(AND(ISNUMBER(SEARCH("IMPORTAR",AA550)),ISNUMBER(SEARCH("FABRICAR",AA550))),"MIXTO",IF(ISNUMBER(SEARCH("IMPORTAR",AA550)),"IMPORTADO",IF(ISNUMBER(SEARCH("FABRICAR",AA550)),"LOCAL","OTRO")))</f>
        <v>IMPORTADO</v>
      </c>
      <c r="AQ550" t="str">
        <f>IF(AD550="Si","SI",IF(AD550="No","NO",""))</f>
        <v>NO</v>
      </c>
      <c r="AR550" t="str">
        <f>IF(ISNUMBER(SEARCH("®",N550)),"MARCA/INNOVADOR","GENERICO")</f>
        <v>GENERICO</v>
      </c>
      <c r="AS550">
        <f ca="1">IF(AE550&gt;100,RANDBETWEEN(500,5000),IF(AND(AE550&gt;=10,AE550&lt;=100),RANDBETWEEN(100,1000),RANDBETWEEN(10,200)))</f>
        <v>3544</v>
      </c>
      <c r="AT550">
        <f t="shared" ca="1" si="42"/>
        <v>886</v>
      </c>
      <c r="AU550">
        <f ca="1">INT(AS550*RANDBETWEEN(120,200)/100)</f>
        <v>5599</v>
      </c>
      <c r="AV550" s="2">
        <f ca="1">IF(LEFT(Y550,1)="L",RANDBETWEEN(500000,5000000),IF(LEFT(Y550,1)="C",RANDBETWEEN(5000,50000),IF(LEFT(Y550,1)="N",RANDBETWEEN(10000,150000),IF(LEFT(Y550,1)="J",RANDBETWEEN(8000,200000),RANDBETWEEN(5000,100000)))))</f>
        <v>14221</v>
      </c>
      <c r="AW550" s="2">
        <f ca="1">INT(AV550*RANDBETWEEN(30,60)/100)</f>
        <v>6826</v>
      </c>
      <c r="AX550">
        <f ca="1">IF(Z550="ORAL",RANDBETWEEN(1000,10000),IF(OR(Z550="INTRAVENOSA",Z550="INTRAMUSCULAR"),RANDBETWEEN(100,2000),IF(OR(Z550="OFTÁLMICA",Z550="TOPICA (EXTERNA)"),RANDBETWEEN(200,3000),RANDBETWEEN(100,1500))))</f>
        <v>1010</v>
      </c>
      <c r="AY550" s="2">
        <f ca="1">INT(AV550*RANDBETWEEN(90,130)/100)</f>
        <v>17776</v>
      </c>
      <c r="AZ550" t="str">
        <f t="shared" ca="1" si="43"/>
        <v>1.9%</v>
      </c>
      <c r="BA550" t="str">
        <f t="shared" ca="1" si="44"/>
        <v>BAJO</v>
      </c>
    </row>
    <row r="551" spans="4:53" x14ac:dyDescent="0.35">
      <c r="D551" t="s">
        <v>3797</v>
      </c>
      <c r="E551" s="1">
        <v>36161</v>
      </c>
      <c r="F551" t="s">
        <v>856</v>
      </c>
      <c r="G551" t="s">
        <v>108</v>
      </c>
      <c r="H551" t="s">
        <v>520</v>
      </c>
      <c r="I551">
        <v>19906457</v>
      </c>
      <c r="J551" t="s">
        <v>110</v>
      </c>
      <c r="K551">
        <v>5</v>
      </c>
      <c r="L551" t="s">
        <v>27</v>
      </c>
      <c r="M551" t="s">
        <v>3308</v>
      </c>
      <c r="N551" t="s">
        <v>3309</v>
      </c>
      <c r="O551" t="s">
        <v>3798</v>
      </c>
      <c r="P551" t="s">
        <v>29</v>
      </c>
      <c r="Q551" s="1">
        <v>39031</v>
      </c>
      <c r="R551" t="s">
        <v>29</v>
      </c>
      <c r="S551" s="1">
        <v>43880</v>
      </c>
      <c r="T551" t="s">
        <v>520</v>
      </c>
      <c r="U551" t="s">
        <v>115</v>
      </c>
      <c r="V551" t="s">
        <v>321</v>
      </c>
      <c r="W551">
        <v>5</v>
      </c>
      <c r="X551">
        <v>19906457</v>
      </c>
      <c r="Y551" t="s">
        <v>322</v>
      </c>
      <c r="Z551" t="s">
        <v>119</v>
      </c>
      <c r="AA551" t="s">
        <v>32</v>
      </c>
      <c r="AB551" t="s">
        <v>120</v>
      </c>
      <c r="AC551" t="s">
        <v>38</v>
      </c>
      <c r="AD551" t="s">
        <v>121</v>
      </c>
      <c r="AE551">
        <v>24</v>
      </c>
      <c r="AF551" t="s">
        <v>27</v>
      </c>
      <c r="AG551" t="s">
        <v>26</v>
      </c>
      <c r="AH551" t="s">
        <v>6739</v>
      </c>
      <c r="AI551" t="str">
        <f t="shared" si="40"/>
        <v>NO</v>
      </c>
      <c r="AJ551" t="str">
        <f t="shared" si="41"/>
        <v>HALEON COLOMBIA</v>
      </c>
      <c r="AK551" t="str">
        <f>IF(ISNUMBER(SEARCH("FABRICANTE",AC551)),"FABRICANTE",IF(ISNUMBER(SEARCH("IMPORTADOR",AC551)),"IMPORTADOR","OTRO"))</f>
        <v>IMPORTADOR</v>
      </c>
      <c r="AL551" t="str">
        <f>IF(LEFT(Y551,1)="A","Sistema digestivo",IF(LEFT(Y551,1)="B","Sangre",IF(LEFT(Y551,1)="C","Cardiovascular",IF(LEFT(Y551,1)="D","Dermatológico",IF(LEFT(Y551,1)="G","Genitourinario",IF(LEFT(Y551,1)="H","Hormonal",IF(LEFT(Y551,1)="J","Antiinfecciosos",IF(LEFT(Y551,1)="L","Oncológicos",IF(LEFT(Y551,1)="M","Musculoesquelético",IF(LEFT(Y551,1)="N","Sistema nervioso",IF(LEFT(Y551,1)="R","Respiratorio",IF(LEFT(Y551,1)="S","Oftálmico",IF(LEFT(Y551,1)="V","Varios","OTRO")))))))))))))</f>
        <v>Sistema nervioso</v>
      </c>
      <c r="AM551" t="str">
        <f>IF(AG551="Vigente","ACTIVO",IF(ISNUMBER(SEARCH("Inactivo",J551)),"INACTIVO","REVISAR"))</f>
        <v>ACTIVO</v>
      </c>
      <c r="AN551" t="str">
        <f ca="1">IF(OR(AF551="",AF551="null"),"",ROUND((AF551-TODAY())/365.25,2))</f>
        <v/>
      </c>
      <c r="AO551" t="str">
        <f ca="1">IF(AND(AG551="Vigente",OR(AF551="",AF551="null",AF551&gt;TODAY())),"SI",IF(AND(NOT(OR(AF551="",AF551="null")),AF551&lt;=TODAY()),"NO",IF(AG551="Vigente","SI","DESCONOCIDO")))</f>
        <v>SI</v>
      </c>
      <c r="AP551" t="str">
        <f>IF(AND(ISNUMBER(SEARCH("IMPORTAR",AA551)),ISNUMBER(SEARCH("FABRICAR",AA551))),"MIXTO",IF(ISNUMBER(SEARCH("IMPORTAR",AA551)),"IMPORTADO",IF(ISNUMBER(SEARCH("FABRICAR",AA551)),"LOCAL","OTRO")))</f>
        <v>IMPORTADO</v>
      </c>
      <c r="AQ551" t="str">
        <f>IF(AD551="Si","SI",IF(AD551="No","NO",""))</f>
        <v>NO</v>
      </c>
      <c r="AR551" t="str">
        <f>IF(ISNUMBER(SEARCH("®",N551)),"MARCA/INNOVADOR","GENERICO")</f>
        <v>MARCA/INNOVADOR</v>
      </c>
      <c r="AS551">
        <f ca="1">IF(AE551&gt;100,RANDBETWEEN(500,5000),IF(AND(AE551&gt;=10,AE551&lt;=100),RANDBETWEEN(100,1000),RANDBETWEEN(10,200)))</f>
        <v>883</v>
      </c>
      <c r="AT551">
        <f t="shared" ca="1" si="42"/>
        <v>203</v>
      </c>
      <c r="AU551">
        <f ca="1">INT(AS551*RANDBETWEEN(120,200)/100)</f>
        <v>1112</v>
      </c>
      <c r="AV551" s="2">
        <f ca="1">IF(LEFT(Y551,1)="L",RANDBETWEEN(500000,5000000),IF(LEFT(Y551,1)="C",RANDBETWEEN(5000,50000),IF(LEFT(Y551,1)="N",RANDBETWEEN(10000,150000),IF(LEFT(Y551,1)="J",RANDBETWEEN(8000,200000),RANDBETWEEN(5000,100000)))))</f>
        <v>102407</v>
      </c>
      <c r="AW551" s="2">
        <f ca="1">INT(AV551*RANDBETWEEN(30,60)/100)</f>
        <v>47107</v>
      </c>
      <c r="AX551">
        <f ca="1">IF(Z551="ORAL",RANDBETWEEN(1000,10000),IF(OR(Z551="INTRAVENOSA",Z551="INTRAMUSCULAR"),RANDBETWEEN(100,2000),IF(OR(Z551="OFTÁLMICA",Z551="TOPICA (EXTERNA)"),RANDBETWEEN(200,3000),RANDBETWEEN(100,1500))))</f>
        <v>7281</v>
      </c>
      <c r="AY551" s="2">
        <f ca="1">INT(AV551*RANDBETWEEN(90,130)/100)</f>
        <v>114695</v>
      </c>
      <c r="AZ551" t="str">
        <f t="shared" ca="1" si="43"/>
        <v>24.4%</v>
      </c>
      <c r="BA551" t="str">
        <f t="shared" ca="1" si="44"/>
        <v>ALTO</v>
      </c>
    </row>
    <row r="552" spans="4:53" x14ac:dyDescent="0.35">
      <c r="D552" t="s">
        <v>3799</v>
      </c>
      <c r="E552" s="1">
        <v>44859</v>
      </c>
      <c r="F552" t="s">
        <v>3800</v>
      </c>
      <c r="G552" t="s">
        <v>108</v>
      </c>
      <c r="H552" t="s">
        <v>3801</v>
      </c>
      <c r="I552">
        <v>20218880</v>
      </c>
      <c r="J552" t="s">
        <v>28</v>
      </c>
      <c r="K552">
        <v>5</v>
      </c>
      <c r="L552" t="s">
        <v>3802</v>
      </c>
      <c r="M552" t="s">
        <v>3803</v>
      </c>
      <c r="N552" t="s">
        <v>3804</v>
      </c>
      <c r="O552" t="s">
        <v>3805</v>
      </c>
      <c r="P552" t="s">
        <v>358</v>
      </c>
      <c r="Q552" s="1">
        <v>45322</v>
      </c>
      <c r="R552" t="s">
        <v>37</v>
      </c>
      <c r="S552" t="s">
        <v>27</v>
      </c>
      <c r="T552" t="s">
        <v>114</v>
      </c>
      <c r="U552" t="s">
        <v>115</v>
      </c>
      <c r="V552" t="s">
        <v>3331</v>
      </c>
      <c r="W552">
        <v>10</v>
      </c>
      <c r="X552">
        <v>20218880</v>
      </c>
      <c r="Y552" t="s">
        <v>3806</v>
      </c>
      <c r="Z552" t="s">
        <v>119</v>
      </c>
      <c r="AA552" t="s">
        <v>165</v>
      </c>
      <c r="AB552" t="s">
        <v>120</v>
      </c>
      <c r="AC552" t="s">
        <v>25</v>
      </c>
      <c r="AD552" t="s">
        <v>155</v>
      </c>
      <c r="AE552">
        <v>2</v>
      </c>
      <c r="AF552" t="s">
        <v>27</v>
      </c>
      <c r="AG552" t="s">
        <v>26</v>
      </c>
      <c r="AH552" t="s">
        <v>667</v>
      </c>
      <c r="AI552" t="str">
        <f t="shared" si="40"/>
        <v>SI</v>
      </c>
      <c r="AJ552" t="str">
        <f t="shared" si="41"/>
        <v>LABORATORIOS LEGRAND</v>
      </c>
      <c r="AK552" t="str">
        <f>IF(ISNUMBER(SEARCH("FABRICANTE",AC552)),"FABRICANTE",IF(ISNUMBER(SEARCH("IMPORTADOR",AC552)),"IMPORTADOR","OTRO"))</f>
        <v>FABRICANTE</v>
      </c>
      <c r="AL552" t="str">
        <f>IF(LEFT(Y552,1)="A","Sistema digestivo",IF(LEFT(Y552,1)="B","Sangre",IF(LEFT(Y552,1)="C","Cardiovascular",IF(LEFT(Y552,1)="D","Dermatológico",IF(LEFT(Y552,1)="G","Genitourinario",IF(LEFT(Y552,1)="H","Hormonal",IF(LEFT(Y552,1)="J","Antiinfecciosos",IF(LEFT(Y552,1)="L","Oncológicos",IF(LEFT(Y552,1)="M","Musculoesquelético",IF(LEFT(Y552,1)="N","Sistema nervioso",IF(LEFT(Y552,1)="R","Respiratorio",IF(LEFT(Y552,1)="S","Oftálmico",IF(LEFT(Y552,1)="V","Varios","OTRO")))))))))))))</f>
        <v>Cardiovascular</v>
      </c>
      <c r="AM552" t="str">
        <f>IF(AG552="Vigente","ACTIVO",IF(ISNUMBER(SEARCH("Inactivo",J552)),"INACTIVO","REVISAR"))</f>
        <v>ACTIVO</v>
      </c>
      <c r="AN552" t="str">
        <f ca="1">IF(OR(AF552="",AF552="null"),"",ROUND((AF552-TODAY())/365.25,2))</f>
        <v/>
      </c>
      <c r="AO552" t="str">
        <f ca="1">IF(AND(AG552="Vigente",OR(AF552="",AF552="null",AF552&gt;TODAY())),"SI",IF(AND(NOT(OR(AF552="",AF552="null")),AF552&lt;=TODAY()),"NO",IF(AG552="Vigente","SI","DESCONOCIDO")))</f>
        <v>SI</v>
      </c>
      <c r="AP552" t="str">
        <f>IF(AND(ISNUMBER(SEARCH("IMPORTAR",AA552)),ISNUMBER(SEARCH("FABRICAR",AA552))),"MIXTO",IF(ISNUMBER(SEARCH("IMPORTAR",AA552)),"IMPORTADO",IF(ISNUMBER(SEARCH("FABRICAR",AA552)),"LOCAL","OTRO")))</f>
        <v>IMPORTADO</v>
      </c>
      <c r="AQ552" t="str">
        <f>IF(AD552="Si","SI",IF(AD552="No","NO",""))</f>
        <v>SI</v>
      </c>
      <c r="AR552" t="str">
        <f>IF(ISNUMBER(SEARCH("®",N552)),"MARCA/INNOVADOR","GENERICO")</f>
        <v>GENERICO</v>
      </c>
      <c r="AS552">
        <f ca="1">IF(AE552&gt;100,RANDBETWEEN(500,5000),IF(AND(AE552&gt;=10,AE552&lt;=100),RANDBETWEEN(100,1000),RANDBETWEEN(10,200)))</f>
        <v>105</v>
      </c>
      <c r="AT552">
        <f t="shared" ca="1" si="42"/>
        <v>13</v>
      </c>
      <c r="AU552">
        <f ca="1">INT(AS552*RANDBETWEEN(120,200)/100)</f>
        <v>144</v>
      </c>
      <c r="AV552" s="2">
        <f ca="1">IF(LEFT(Y552,1)="L",RANDBETWEEN(500000,5000000),IF(LEFT(Y552,1)="C",RANDBETWEEN(5000,50000),IF(LEFT(Y552,1)="N",RANDBETWEEN(10000,150000),IF(LEFT(Y552,1)="J",RANDBETWEEN(8000,200000),RANDBETWEEN(5000,100000)))))</f>
        <v>23336</v>
      </c>
      <c r="AW552" s="2">
        <f ca="1">INT(AV552*RANDBETWEEN(30,60)/100)</f>
        <v>10734</v>
      </c>
      <c r="AX552">
        <f ca="1">IF(Z552="ORAL",RANDBETWEEN(1000,10000),IF(OR(Z552="INTRAVENOSA",Z552="INTRAMUSCULAR"),RANDBETWEEN(100,2000),IF(OR(Z552="OFTÁLMICA",Z552="TOPICA (EXTERNA)"),RANDBETWEEN(200,3000),RANDBETWEEN(100,1500))))</f>
        <v>3130</v>
      </c>
      <c r="AY552" s="2">
        <f ca="1">INT(AV552*RANDBETWEEN(90,130)/100)</f>
        <v>24036</v>
      </c>
      <c r="AZ552" t="str">
        <f t="shared" ca="1" si="43"/>
        <v>15.6%</v>
      </c>
      <c r="BA552" t="str">
        <f t="shared" ca="1" si="44"/>
        <v>BAJO</v>
      </c>
    </row>
    <row r="553" spans="4:53" x14ac:dyDescent="0.35">
      <c r="D553" t="s">
        <v>3807</v>
      </c>
      <c r="E553" s="1">
        <v>42307</v>
      </c>
      <c r="F553" t="s">
        <v>3808</v>
      </c>
      <c r="G553" t="s">
        <v>108</v>
      </c>
      <c r="H553" t="s">
        <v>2205</v>
      </c>
      <c r="I553">
        <v>20056337</v>
      </c>
      <c r="J553" t="s">
        <v>28</v>
      </c>
      <c r="K553">
        <v>8</v>
      </c>
      <c r="L553" t="s">
        <v>27</v>
      </c>
      <c r="M553" t="s">
        <v>3809</v>
      </c>
      <c r="N553" t="s">
        <v>3810</v>
      </c>
      <c r="O553" t="s">
        <v>3811</v>
      </c>
      <c r="P553" t="s">
        <v>3812</v>
      </c>
      <c r="Q553" s="1">
        <v>42243</v>
      </c>
      <c r="R553" t="s">
        <v>3813</v>
      </c>
      <c r="S553" t="s">
        <v>27</v>
      </c>
      <c r="T553" t="s">
        <v>3118</v>
      </c>
      <c r="U553" t="s">
        <v>115</v>
      </c>
      <c r="V553" t="s">
        <v>3808</v>
      </c>
      <c r="W553" t="s">
        <v>3136</v>
      </c>
      <c r="X553">
        <v>20056337</v>
      </c>
      <c r="Y553" t="s">
        <v>3814</v>
      </c>
      <c r="Z553" t="s">
        <v>119</v>
      </c>
      <c r="AA553" t="s">
        <v>32</v>
      </c>
      <c r="AB553" t="s">
        <v>120</v>
      </c>
      <c r="AC553" t="s">
        <v>38</v>
      </c>
      <c r="AD553" t="s">
        <v>155</v>
      </c>
      <c r="AE553">
        <v>10</v>
      </c>
      <c r="AF553" t="s">
        <v>27</v>
      </c>
      <c r="AG553" t="s">
        <v>26</v>
      </c>
      <c r="AH553" t="s">
        <v>3808</v>
      </c>
      <c r="AI553" t="str">
        <f t="shared" si="40"/>
        <v>NO</v>
      </c>
      <c r="AJ553" t="str">
        <f t="shared" si="41"/>
        <v>LES LABORATOIRES SERVIER</v>
      </c>
      <c r="AK553" t="str">
        <f>IF(ISNUMBER(SEARCH("FABRICANTE",AC553)),"FABRICANTE",IF(ISNUMBER(SEARCH("IMPORTADOR",AC553)),"IMPORTADOR","OTRO"))</f>
        <v>IMPORTADOR</v>
      </c>
      <c r="AL553" t="str">
        <f>IF(LEFT(Y553,1)="A","Sistema digestivo",IF(LEFT(Y553,1)="B","Sangre",IF(LEFT(Y553,1)="C","Cardiovascular",IF(LEFT(Y553,1)="D","Dermatológico",IF(LEFT(Y553,1)="G","Genitourinario",IF(LEFT(Y553,1)="H","Hormonal",IF(LEFT(Y553,1)="J","Antiinfecciosos",IF(LEFT(Y553,1)="L","Oncológicos",IF(LEFT(Y553,1)="M","Musculoesquelético",IF(LEFT(Y553,1)="N","Sistema nervioso",IF(LEFT(Y553,1)="R","Respiratorio",IF(LEFT(Y553,1)="S","Oftálmico",IF(LEFT(Y553,1)="V","Varios","OTRO")))))))))))))</f>
        <v>Cardiovascular</v>
      </c>
      <c r="AM553" t="str">
        <f>IF(AG553="Vigente","ACTIVO",IF(ISNUMBER(SEARCH("Inactivo",J553)),"INACTIVO","REVISAR"))</f>
        <v>ACTIVO</v>
      </c>
      <c r="AN553" t="str">
        <f ca="1">IF(OR(AF553="",AF553="null"),"",ROUND((AF553-TODAY())/365.25,2))</f>
        <v/>
      </c>
      <c r="AO553" t="str">
        <f ca="1">IF(AND(AG553="Vigente",OR(AF553="",AF553="null",AF553&gt;TODAY())),"SI",IF(AND(NOT(OR(AF553="",AF553="null")),AF553&lt;=TODAY()),"NO",IF(AG553="Vigente","SI","DESCONOCIDO")))</f>
        <v>SI</v>
      </c>
      <c r="AP553" t="str">
        <f>IF(AND(ISNUMBER(SEARCH("IMPORTAR",AA553)),ISNUMBER(SEARCH("FABRICAR",AA553))),"MIXTO",IF(ISNUMBER(SEARCH("IMPORTAR",AA553)),"IMPORTADO",IF(ISNUMBER(SEARCH("FABRICAR",AA553)),"LOCAL","OTRO")))</f>
        <v>IMPORTADO</v>
      </c>
      <c r="AQ553" t="str">
        <f>IF(AD553="Si","SI",IF(AD553="No","NO",""))</f>
        <v>SI</v>
      </c>
      <c r="AR553" t="str">
        <f>IF(ISNUMBER(SEARCH("®",N553)),"MARCA/INNOVADOR","GENERICO")</f>
        <v>MARCA/INNOVADOR</v>
      </c>
      <c r="AS553">
        <f ca="1">IF(AE553&gt;100,RANDBETWEEN(500,5000),IF(AND(AE553&gt;=10,AE553&lt;=100),RANDBETWEEN(100,1000),RANDBETWEEN(10,200)))</f>
        <v>648</v>
      </c>
      <c r="AT553">
        <f t="shared" ca="1" si="42"/>
        <v>136</v>
      </c>
      <c r="AU553">
        <f ca="1">INT(AS553*RANDBETWEEN(120,200)/100)</f>
        <v>1250</v>
      </c>
      <c r="AV553" s="2">
        <f ca="1">IF(LEFT(Y553,1)="L",RANDBETWEEN(500000,5000000),IF(LEFT(Y553,1)="C",RANDBETWEEN(5000,50000),IF(LEFT(Y553,1)="N",RANDBETWEEN(10000,150000),IF(LEFT(Y553,1)="J",RANDBETWEEN(8000,200000),RANDBETWEEN(5000,100000)))))</f>
        <v>26138</v>
      </c>
      <c r="AW553" s="2">
        <f ca="1">INT(AV553*RANDBETWEEN(30,60)/100)</f>
        <v>11762</v>
      </c>
      <c r="AX553">
        <f ca="1">IF(Z553="ORAL",RANDBETWEEN(1000,10000),IF(OR(Z553="INTRAVENOSA",Z553="INTRAMUSCULAR"),RANDBETWEEN(100,2000),IF(OR(Z553="OFTÁLMICA",Z553="TOPICA (EXTERNA)"),RANDBETWEEN(200,3000),RANDBETWEEN(100,1500))))</f>
        <v>9948</v>
      </c>
      <c r="AY553" s="2">
        <f ca="1">INT(AV553*RANDBETWEEN(90,130)/100)</f>
        <v>24831</v>
      </c>
      <c r="AZ553" t="str">
        <f t="shared" ca="1" si="43"/>
        <v>10.2%</v>
      </c>
      <c r="BA553" t="str">
        <f t="shared" ca="1" si="44"/>
        <v>BAJO</v>
      </c>
    </row>
    <row r="554" spans="4:53" x14ac:dyDescent="0.35">
      <c r="D554" t="s">
        <v>3815</v>
      </c>
      <c r="E554" s="1">
        <v>38174</v>
      </c>
      <c r="F554" t="s">
        <v>3816</v>
      </c>
      <c r="G554" t="s">
        <v>502</v>
      </c>
      <c r="H554" t="s">
        <v>146</v>
      </c>
      <c r="I554">
        <v>19942584</v>
      </c>
      <c r="J554" t="s">
        <v>28</v>
      </c>
      <c r="K554">
        <v>6</v>
      </c>
      <c r="L554" t="s">
        <v>27</v>
      </c>
      <c r="M554" t="s">
        <v>3817</v>
      </c>
      <c r="N554" t="s">
        <v>3818</v>
      </c>
      <c r="O554" t="s">
        <v>3819</v>
      </c>
      <c r="P554" t="s">
        <v>3820</v>
      </c>
      <c r="Q554" s="1">
        <v>39031</v>
      </c>
      <c r="R554" t="s">
        <v>3821</v>
      </c>
      <c r="S554" t="s">
        <v>27</v>
      </c>
      <c r="T554" t="s">
        <v>146</v>
      </c>
      <c r="U554" t="s">
        <v>247</v>
      </c>
      <c r="V554" t="s">
        <v>3822</v>
      </c>
      <c r="W554" t="s">
        <v>3823</v>
      </c>
      <c r="X554">
        <v>19942584</v>
      </c>
      <c r="Y554" t="s">
        <v>3824</v>
      </c>
      <c r="Z554" t="s">
        <v>566</v>
      </c>
      <c r="AA554" t="s">
        <v>24</v>
      </c>
      <c r="AB554" t="s">
        <v>250</v>
      </c>
      <c r="AC554" t="s">
        <v>25</v>
      </c>
      <c r="AD554" t="s">
        <v>121</v>
      </c>
      <c r="AE554">
        <v>400</v>
      </c>
      <c r="AF554" t="s">
        <v>27</v>
      </c>
      <c r="AG554" t="s">
        <v>26</v>
      </c>
      <c r="AH554" t="s">
        <v>6816</v>
      </c>
      <c r="AI554" t="str">
        <f t="shared" si="40"/>
        <v>SI</v>
      </c>
      <c r="AJ554" t="str">
        <f t="shared" si="41"/>
        <v>TECNOFAR TQ</v>
      </c>
      <c r="AK554" t="str">
        <f>IF(ISNUMBER(SEARCH("FABRICANTE",AC554)),"FABRICANTE",IF(ISNUMBER(SEARCH("IMPORTADOR",AC554)),"IMPORTADOR","OTRO"))</f>
        <v>FABRICANTE</v>
      </c>
      <c r="AL554" t="str">
        <f>IF(LEFT(Y554,1)="A","Sistema digestivo",IF(LEFT(Y554,1)="B","Sangre",IF(LEFT(Y554,1)="C","Cardiovascular",IF(LEFT(Y554,1)="D","Dermatológico",IF(LEFT(Y554,1)="G","Genitourinario",IF(LEFT(Y554,1)="H","Hormonal",IF(LEFT(Y554,1)="J","Antiinfecciosos",IF(LEFT(Y554,1)="L","Oncológicos",IF(LEFT(Y554,1)="M","Musculoesquelético",IF(LEFT(Y554,1)="N","Sistema nervioso",IF(LEFT(Y554,1)="R","Respiratorio",IF(LEFT(Y554,1)="S","Oftálmico",IF(LEFT(Y554,1)="V","Varios","OTRO")))))))))))))</f>
        <v>Dermatológico</v>
      </c>
      <c r="AM554" t="str">
        <f>IF(AG554="Vigente","ACTIVO",IF(ISNUMBER(SEARCH("Inactivo",J554)),"INACTIVO","REVISAR"))</f>
        <v>ACTIVO</v>
      </c>
      <c r="AN554" t="str">
        <f ca="1">IF(OR(AF554="",AF554="null"),"",ROUND((AF554-TODAY())/365.25,2))</f>
        <v/>
      </c>
      <c r="AO554" t="str">
        <f ca="1">IF(AND(AG554="Vigente",OR(AF554="",AF554="null",AF554&gt;TODAY())),"SI",IF(AND(NOT(OR(AF554="",AF554="null")),AF554&lt;=TODAY()),"NO",IF(AG554="Vigente","SI","DESCONOCIDO")))</f>
        <v>SI</v>
      </c>
      <c r="AP554" t="str">
        <f>IF(AND(ISNUMBER(SEARCH("IMPORTAR",AA554)),ISNUMBER(SEARCH("FABRICAR",AA554))),"MIXTO",IF(ISNUMBER(SEARCH("IMPORTAR",AA554)),"IMPORTADO",IF(ISNUMBER(SEARCH("FABRICAR",AA554)),"LOCAL","OTRO")))</f>
        <v>LOCAL</v>
      </c>
      <c r="AQ554" t="str">
        <f>IF(AD554="Si","SI",IF(AD554="No","NO",""))</f>
        <v>NO</v>
      </c>
      <c r="AR554" t="str">
        <f>IF(ISNUMBER(SEARCH("®",N554)),"MARCA/INNOVADOR","GENERICO")</f>
        <v>GENERICO</v>
      </c>
      <c r="AS554">
        <f ca="1">IF(AE554&gt;100,RANDBETWEEN(500,5000),IF(AND(AE554&gt;=10,AE554&lt;=100),RANDBETWEEN(100,1000),RANDBETWEEN(10,200)))</f>
        <v>1615</v>
      </c>
      <c r="AT554">
        <f t="shared" ca="1" si="42"/>
        <v>419</v>
      </c>
      <c r="AU554">
        <f ca="1">INT(AS554*RANDBETWEEN(120,200)/100)</f>
        <v>2761</v>
      </c>
      <c r="AV554" s="2">
        <f ca="1">IF(LEFT(Y554,1)="L",RANDBETWEEN(500000,5000000),IF(LEFT(Y554,1)="C",RANDBETWEEN(5000,50000),IF(LEFT(Y554,1)="N",RANDBETWEEN(10000,150000),IF(LEFT(Y554,1)="J",RANDBETWEEN(8000,200000),RANDBETWEEN(5000,100000)))))</f>
        <v>74928</v>
      </c>
      <c r="AW554" s="2">
        <f ca="1">INT(AV554*RANDBETWEEN(30,60)/100)</f>
        <v>26974</v>
      </c>
      <c r="AX554">
        <f ca="1">IF(Z554="ORAL",RANDBETWEEN(1000,10000),IF(OR(Z554="INTRAVENOSA",Z554="INTRAMUSCULAR"),RANDBETWEEN(100,2000),IF(OR(Z554="OFTÁLMICA",Z554="TOPICA (EXTERNA)"),RANDBETWEEN(200,3000),RANDBETWEEN(100,1500))))</f>
        <v>1920</v>
      </c>
      <c r="AY554" s="2">
        <f ca="1">INT(AV554*RANDBETWEEN(90,130)/100)</f>
        <v>96657</v>
      </c>
      <c r="AZ554" t="str">
        <f t="shared" ca="1" si="43"/>
        <v>2.5%</v>
      </c>
      <c r="BA554" t="str">
        <f t="shared" ca="1" si="44"/>
        <v>BAJO</v>
      </c>
    </row>
    <row r="555" spans="4:53" x14ac:dyDescent="0.35">
      <c r="D555" t="s">
        <v>3825</v>
      </c>
      <c r="E555" s="1">
        <v>43091</v>
      </c>
      <c r="F555" t="s">
        <v>2830</v>
      </c>
      <c r="G555" t="s">
        <v>108</v>
      </c>
      <c r="H555" t="s">
        <v>454</v>
      </c>
      <c r="I555">
        <v>20127891</v>
      </c>
      <c r="J555" t="s">
        <v>28</v>
      </c>
      <c r="K555">
        <v>62</v>
      </c>
      <c r="L555" t="s">
        <v>27</v>
      </c>
      <c r="M555" t="s">
        <v>2831</v>
      </c>
      <c r="N555" t="s">
        <v>2832</v>
      </c>
      <c r="O555" t="s">
        <v>3826</v>
      </c>
      <c r="P555" t="s">
        <v>2834</v>
      </c>
      <c r="Q555" s="1">
        <v>44091</v>
      </c>
      <c r="R555" t="s">
        <v>527</v>
      </c>
      <c r="S555" t="s">
        <v>27</v>
      </c>
      <c r="T555" t="s">
        <v>1784</v>
      </c>
      <c r="U555" t="s">
        <v>115</v>
      </c>
      <c r="V555" t="s">
        <v>933</v>
      </c>
      <c r="W555">
        <v>500</v>
      </c>
      <c r="X555">
        <v>20127891</v>
      </c>
      <c r="Y555" t="s">
        <v>934</v>
      </c>
      <c r="Z555" t="s">
        <v>119</v>
      </c>
      <c r="AA555" t="s">
        <v>24</v>
      </c>
      <c r="AB555" t="s">
        <v>120</v>
      </c>
      <c r="AC555" t="s">
        <v>25</v>
      </c>
      <c r="AD555" t="s">
        <v>121</v>
      </c>
      <c r="AE555">
        <v>60</v>
      </c>
      <c r="AF555" t="s">
        <v>27</v>
      </c>
      <c r="AG555" t="s">
        <v>26</v>
      </c>
      <c r="AH555" t="s">
        <v>6741</v>
      </c>
      <c r="AI555" t="str">
        <f t="shared" si="40"/>
        <v>NO</v>
      </c>
      <c r="AJ555" t="str">
        <f t="shared" si="41"/>
        <v>COLMED</v>
      </c>
      <c r="AK555" t="str">
        <f>IF(ISNUMBER(SEARCH("FABRICANTE",AC555)),"FABRICANTE",IF(ISNUMBER(SEARCH("IMPORTADOR",AC555)),"IMPORTADOR","OTRO"))</f>
        <v>FABRICANTE</v>
      </c>
      <c r="AL555" t="str">
        <f>IF(LEFT(Y555,1)="A","Sistema digestivo",IF(LEFT(Y555,1)="B","Sangre",IF(LEFT(Y555,1)="C","Cardiovascular",IF(LEFT(Y555,1)="D","Dermatológico",IF(LEFT(Y555,1)="G","Genitourinario",IF(LEFT(Y555,1)="H","Hormonal",IF(LEFT(Y555,1)="J","Antiinfecciosos",IF(LEFT(Y555,1)="L","Oncológicos",IF(LEFT(Y555,1)="M","Musculoesquelético",IF(LEFT(Y555,1)="N","Sistema nervioso",IF(LEFT(Y555,1)="R","Respiratorio",IF(LEFT(Y555,1)="S","Oftálmico",IF(LEFT(Y555,1)="V","Varios","OTRO")))))))))))))</f>
        <v>Sistema digestivo</v>
      </c>
      <c r="AM555" t="str">
        <f>IF(AG555="Vigente","ACTIVO",IF(ISNUMBER(SEARCH("Inactivo",J555)),"INACTIVO","REVISAR"))</f>
        <v>ACTIVO</v>
      </c>
      <c r="AN555" t="str">
        <f ca="1">IF(OR(AF555="",AF555="null"),"",ROUND((AF555-TODAY())/365.25,2))</f>
        <v/>
      </c>
      <c r="AO555" t="str">
        <f ca="1">IF(AND(AG555="Vigente",OR(AF555="",AF555="null",AF555&gt;TODAY())),"SI",IF(AND(NOT(OR(AF555="",AF555="null")),AF555&lt;=TODAY()),"NO",IF(AG555="Vigente","SI","DESCONOCIDO")))</f>
        <v>SI</v>
      </c>
      <c r="AP555" t="str">
        <f>IF(AND(ISNUMBER(SEARCH("IMPORTAR",AA555)),ISNUMBER(SEARCH("FABRICAR",AA555))),"MIXTO",IF(ISNUMBER(SEARCH("IMPORTAR",AA555)),"IMPORTADO",IF(ISNUMBER(SEARCH("FABRICAR",AA555)),"LOCAL","OTRO")))</f>
        <v>LOCAL</v>
      </c>
      <c r="AQ555" t="str">
        <f>IF(AD555="Si","SI",IF(AD555="No","NO",""))</f>
        <v>NO</v>
      </c>
      <c r="AR555" t="str">
        <f>IF(ISNUMBER(SEARCH("®",N555)),"MARCA/INNOVADOR","GENERICO")</f>
        <v>GENERICO</v>
      </c>
      <c r="AS555">
        <f ca="1">IF(AE555&gt;100,RANDBETWEEN(500,5000),IF(AND(AE555&gt;=10,AE555&lt;=100),RANDBETWEEN(100,1000),RANDBETWEEN(10,200)))</f>
        <v>569</v>
      </c>
      <c r="AT555">
        <f t="shared" ca="1" si="42"/>
        <v>165</v>
      </c>
      <c r="AU555">
        <f ca="1">INT(AS555*RANDBETWEEN(120,200)/100)</f>
        <v>995</v>
      </c>
      <c r="AV555" s="2">
        <f ca="1">IF(LEFT(Y555,1)="L",RANDBETWEEN(500000,5000000),IF(LEFT(Y555,1)="C",RANDBETWEEN(5000,50000),IF(LEFT(Y555,1)="N",RANDBETWEEN(10000,150000),IF(LEFT(Y555,1)="J",RANDBETWEEN(8000,200000),RANDBETWEEN(5000,100000)))))</f>
        <v>8029</v>
      </c>
      <c r="AW555" s="2">
        <f ca="1">INT(AV555*RANDBETWEEN(30,60)/100)</f>
        <v>2569</v>
      </c>
      <c r="AX555">
        <f ca="1">IF(Z555="ORAL",RANDBETWEEN(1000,10000),IF(OR(Z555="INTRAVENOSA",Z555="INTRAMUSCULAR"),RANDBETWEEN(100,2000),IF(OR(Z555="OFTÁLMICA",Z555="TOPICA (EXTERNA)"),RANDBETWEEN(200,3000),RANDBETWEEN(100,1500))))</f>
        <v>5686</v>
      </c>
      <c r="AY555" s="2">
        <f ca="1">INT(AV555*RANDBETWEEN(90,130)/100)</f>
        <v>7226</v>
      </c>
      <c r="AZ555" t="str">
        <f t="shared" ca="1" si="43"/>
        <v>23.5%</v>
      </c>
      <c r="BA555" t="str">
        <f t="shared" ca="1" si="44"/>
        <v>BAJO</v>
      </c>
    </row>
    <row r="556" spans="4:53" x14ac:dyDescent="0.35">
      <c r="D556" t="s">
        <v>3827</v>
      </c>
      <c r="E556" s="1">
        <v>42906</v>
      </c>
      <c r="F556" t="s">
        <v>453</v>
      </c>
      <c r="G556" t="s">
        <v>108</v>
      </c>
      <c r="H556" t="s">
        <v>3828</v>
      </c>
      <c r="I556">
        <v>20110996</v>
      </c>
      <c r="J556" t="s">
        <v>28</v>
      </c>
      <c r="K556">
        <v>1</v>
      </c>
      <c r="L556" t="s">
        <v>27</v>
      </c>
      <c r="M556" t="s">
        <v>3829</v>
      </c>
      <c r="N556" t="s">
        <v>3830</v>
      </c>
      <c r="O556" t="s">
        <v>3831</v>
      </c>
      <c r="P556" t="s">
        <v>659</v>
      </c>
      <c r="Q556" s="1">
        <v>42852</v>
      </c>
      <c r="R556" t="s">
        <v>37</v>
      </c>
      <c r="S556" t="s">
        <v>27</v>
      </c>
      <c r="T556" t="s">
        <v>63</v>
      </c>
      <c r="U556" t="s">
        <v>115</v>
      </c>
      <c r="V556" t="s">
        <v>321</v>
      </c>
      <c r="W556">
        <v>5</v>
      </c>
      <c r="X556">
        <v>20110996</v>
      </c>
      <c r="Y556" t="s">
        <v>322</v>
      </c>
      <c r="Z556" t="s">
        <v>119</v>
      </c>
      <c r="AA556" t="s">
        <v>24</v>
      </c>
      <c r="AB556" t="s">
        <v>120</v>
      </c>
      <c r="AC556" t="s">
        <v>25</v>
      </c>
      <c r="AD556" t="s">
        <v>121</v>
      </c>
      <c r="AE556">
        <v>10</v>
      </c>
      <c r="AF556" t="s">
        <v>27</v>
      </c>
      <c r="AG556" t="s">
        <v>26</v>
      </c>
      <c r="AH556" t="s">
        <v>453</v>
      </c>
      <c r="AI556" t="str">
        <f t="shared" si="40"/>
        <v>NO</v>
      </c>
      <c r="AJ556" t="str">
        <f t="shared" si="41"/>
        <v>TRIDEX FARMACEUTICA</v>
      </c>
      <c r="AK556" t="str">
        <f>IF(ISNUMBER(SEARCH("FABRICANTE",AC556)),"FABRICANTE",IF(ISNUMBER(SEARCH("IMPORTADOR",AC556)),"IMPORTADOR","OTRO"))</f>
        <v>FABRICANTE</v>
      </c>
      <c r="AL556" t="str">
        <f>IF(LEFT(Y556,1)="A","Sistema digestivo",IF(LEFT(Y556,1)="B","Sangre",IF(LEFT(Y556,1)="C","Cardiovascular",IF(LEFT(Y556,1)="D","Dermatológico",IF(LEFT(Y556,1)="G","Genitourinario",IF(LEFT(Y556,1)="H","Hormonal",IF(LEFT(Y556,1)="J","Antiinfecciosos",IF(LEFT(Y556,1)="L","Oncológicos",IF(LEFT(Y556,1)="M","Musculoesquelético",IF(LEFT(Y556,1)="N","Sistema nervioso",IF(LEFT(Y556,1)="R","Respiratorio",IF(LEFT(Y556,1)="S","Oftálmico",IF(LEFT(Y556,1)="V","Varios","OTRO")))))))))))))</f>
        <v>Sistema nervioso</v>
      </c>
      <c r="AM556" t="str">
        <f>IF(AG556="Vigente","ACTIVO",IF(ISNUMBER(SEARCH("Inactivo",J556)),"INACTIVO","REVISAR"))</f>
        <v>ACTIVO</v>
      </c>
      <c r="AN556" t="str">
        <f ca="1">IF(OR(AF556="",AF556="null"),"",ROUND((AF556-TODAY())/365.25,2))</f>
        <v/>
      </c>
      <c r="AO556" t="str">
        <f ca="1">IF(AND(AG556="Vigente",OR(AF556="",AF556="null",AF556&gt;TODAY())),"SI",IF(AND(NOT(OR(AF556="",AF556="null")),AF556&lt;=TODAY()),"NO",IF(AG556="Vigente","SI","DESCONOCIDO")))</f>
        <v>SI</v>
      </c>
      <c r="AP556" t="str">
        <f>IF(AND(ISNUMBER(SEARCH("IMPORTAR",AA556)),ISNUMBER(SEARCH("FABRICAR",AA556))),"MIXTO",IF(ISNUMBER(SEARCH("IMPORTAR",AA556)),"IMPORTADO",IF(ISNUMBER(SEARCH("FABRICAR",AA556)),"LOCAL","OTRO")))</f>
        <v>LOCAL</v>
      </c>
      <c r="AQ556" t="str">
        <f>IF(AD556="Si","SI",IF(AD556="No","NO",""))</f>
        <v>NO</v>
      </c>
      <c r="AR556" t="str">
        <f>IF(ISNUMBER(SEARCH("®",N556)),"MARCA/INNOVADOR","GENERICO")</f>
        <v>MARCA/INNOVADOR</v>
      </c>
      <c r="AS556">
        <f ca="1">IF(AE556&gt;100,RANDBETWEEN(500,5000),IF(AND(AE556&gt;=10,AE556&lt;=100),RANDBETWEEN(100,1000),RANDBETWEEN(10,200)))</f>
        <v>765</v>
      </c>
      <c r="AT556">
        <f t="shared" ca="1" si="42"/>
        <v>221</v>
      </c>
      <c r="AU556">
        <f ca="1">INT(AS556*RANDBETWEEN(120,200)/100)</f>
        <v>1040</v>
      </c>
      <c r="AV556" s="2">
        <f ca="1">IF(LEFT(Y556,1)="L",RANDBETWEEN(500000,5000000),IF(LEFT(Y556,1)="C",RANDBETWEEN(5000,50000),IF(LEFT(Y556,1)="N",RANDBETWEEN(10000,150000),IF(LEFT(Y556,1)="J",RANDBETWEEN(8000,200000),RANDBETWEEN(5000,100000)))))</f>
        <v>66640</v>
      </c>
      <c r="AW556" s="2">
        <f ca="1">INT(AV556*RANDBETWEEN(30,60)/100)</f>
        <v>34652</v>
      </c>
      <c r="AX556">
        <f ca="1">IF(Z556="ORAL",RANDBETWEEN(1000,10000),IF(OR(Z556="INTRAVENOSA",Z556="INTRAMUSCULAR"),RANDBETWEEN(100,2000),IF(OR(Z556="OFTÁLMICA",Z556="TOPICA (EXTERNA)"),RANDBETWEEN(200,3000),RANDBETWEEN(100,1500))))</f>
        <v>2754</v>
      </c>
      <c r="AY556" s="2">
        <f ca="1">INT(AV556*RANDBETWEEN(90,130)/100)</f>
        <v>83300</v>
      </c>
      <c r="AZ556" t="str">
        <f t="shared" ca="1" si="43"/>
        <v>5.9%</v>
      </c>
      <c r="BA556" t="str">
        <f t="shared" ca="1" si="44"/>
        <v>BAJO</v>
      </c>
    </row>
    <row r="557" spans="4:53" x14ac:dyDescent="0.35">
      <c r="D557" t="s">
        <v>3832</v>
      </c>
      <c r="E557" s="1">
        <v>40675</v>
      </c>
      <c r="F557" t="s">
        <v>3833</v>
      </c>
      <c r="G557" t="s">
        <v>108</v>
      </c>
      <c r="H557" t="s">
        <v>610</v>
      </c>
      <c r="I557">
        <v>20022622</v>
      </c>
      <c r="J557" t="s">
        <v>28</v>
      </c>
      <c r="K557">
        <v>5</v>
      </c>
      <c r="L557" t="s">
        <v>27</v>
      </c>
      <c r="M557" t="s">
        <v>606</v>
      </c>
      <c r="N557" t="s">
        <v>607</v>
      </c>
      <c r="O557" t="s">
        <v>3834</v>
      </c>
      <c r="P557" t="s">
        <v>609</v>
      </c>
      <c r="Q557" s="1">
        <v>42782</v>
      </c>
      <c r="R557" t="s">
        <v>258</v>
      </c>
      <c r="S557" t="s">
        <v>27</v>
      </c>
      <c r="T557" t="s">
        <v>610</v>
      </c>
      <c r="U557" t="s">
        <v>115</v>
      </c>
      <c r="V557" t="s">
        <v>64</v>
      </c>
      <c r="W557" s="2">
        <v>4916</v>
      </c>
      <c r="X557">
        <v>20022622</v>
      </c>
      <c r="Y557" t="s">
        <v>259</v>
      </c>
      <c r="Z557" t="s">
        <v>260</v>
      </c>
      <c r="AA557" t="s">
        <v>32</v>
      </c>
      <c r="AB557" t="s">
        <v>133</v>
      </c>
      <c r="AC557" t="s">
        <v>25</v>
      </c>
      <c r="AD557" t="s">
        <v>121</v>
      </c>
      <c r="AE557">
        <v>5</v>
      </c>
      <c r="AF557" s="1">
        <v>401769</v>
      </c>
      <c r="AG557" t="s">
        <v>26</v>
      </c>
      <c r="AH557" t="s">
        <v>3833</v>
      </c>
      <c r="AI557" t="str">
        <f t="shared" si="40"/>
        <v>NO</v>
      </c>
      <c r="AJ557" t="str">
        <f t="shared" si="41"/>
        <v>B. BRAUN MELSUNGEN</v>
      </c>
      <c r="AK557" t="str">
        <f>IF(ISNUMBER(SEARCH("FABRICANTE",AC557)),"FABRICANTE",IF(ISNUMBER(SEARCH("IMPORTADOR",AC557)),"IMPORTADOR","OTRO"))</f>
        <v>FABRICANTE</v>
      </c>
      <c r="AL557" t="str">
        <f>IF(LEFT(Y557,1)="A","Sistema digestivo",IF(LEFT(Y557,1)="B","Sangre",IF(LEFT(Y557,1)="C","Cardiovascular",IF(LEFT(Y557,1)="D","Dermatológico",IF(LEFT(Y557,1)="G","Genitourinario",IF(LEFT(Y557,1)="H","Hormonal",IF(LEFT(Y557,1)="J","Antiinfecciosos",IF(LEFT(Y557,1)="L","Oncológicos",IF(LEFT(Y557,1)="M","Musculoesquelético",IF(LEFT(Y557,1)="N","Sistema nervioso",IF(LEFT(Y557,1)="R","Respiratorio",IF(LEFT(Y557,1)="S","Oftálmico",IF(LEFT(Y557,1)="V","Varios","OTRO")))))))))))))</f>
        <v>Sangre</v>
      </c>
      <c r="AM557" t="str">
        <f>IF(AG557="Vigente","ACTIVO",IF(ISNUMBER(SEARCH("Inactivo",J557)),"INACTIVO","REVISAR"))</f>
        <v>ACTIVO</v>
      </c>
      <c r="AN557">
        <f ca="1">IF(OR(AF557="",AF557="null"),"",ROUND((AF557-TODAY())/365.25,2))</f>
        <v>973.58</v>
      </c>
      <c r="AO557" t="str">
        <f ca="1">IF(AND(AG557="Vigente",OR(AF557="",AF557="null",AF557&gt;TODAY())),"SI",IF(AND(NOT(OR(AF557="",AF557="null")),AF557&lt;=TODAY()),"NO",IF(AG557="Vigente","SI","DESCONOCIDO")))</f>
        <v>SI</v>
      </c>
      <c r="AP557" t="str">
        <f>IF(AND(ISNUMBER(SEARCH("IMPORTAR",AA557)),ISNUMBER(SEARCH("FABRICAR",AA557))),"MIXTO",IF(ISNUMBER(SEARCH("IMPORTAR",AA557)),"IMPORTADO",IF(ISNUMBER(SEARCH("FABRICAR",AA557)),"LOCAL","OTRO")))</f>
        <v>IMPORTADO</v>
      </c>
      <c r="AQ557" t="str">
        <f>IF(AD557="Si","SI",IF(AD557="No","NO",""))</f>
        <v>NO</v>
      </c>
      <c r="AR557" t="str">
        <f>IF(ISNUMBER(SEARCH("®",N557)),"MARCA/INNOVADOR","GENERICO")</f>
        <v>GENERICO</v>
      </c>
      <c r="AS557">
        <f ca="1">IF(AE557&gt;100,RANDBETWEEN(500,5000),IF(AND(AE557&gt;=10,AE557&lt;=100),RANDBETWEEN(100,1000),RANDBETWEEN(10,200)))</f>
        <v>112</v>
      </c>
      <c r="AT557">
        <f t="shared" ca="1" si="42"/>
        <v>31</v>
      </c>
      <c r="AU557">
        <f ca="1">INT(AS557*RANDBETWEEN(120,200)/100)</f>
        <v>194</v>
      </c>
      <c r="AV557" s="2">
        <f ca="1">IF(LEFT(Y557,1)="L",RANDBETWEEN(500000,5000000),IF(LEFT(Y557,1)="C",RANDBETWEEN(5000,50000),IF(LEFT(Y557,1)="N",RANDBETWEEN(10000,150000),IF(LEFT(Y557,1)="J",RANDBETWEEN(8000,200000),RANDBETWEEN(5000,100000)))))</f>
        <v>23298</v>
      </c>
      <c r="AW557" s="2">
        <f ca="1">INT(AV557*RANDBETWEEN(30,60)/100)</f>
        <v>12347</v>
      </c>
      <c r="AX557">
        <f ca="1">IF(Z557="ORAL",RANDBETWEEN(1000,10000),IF(OR(Z557="INTRAVENOSA",Z557="INTRAMUSCULAR"),RANDBETWEEN(100,2000),IF(OR(Z557="OFTÁLMICA",Z557="TOPICA (EXTERNA)"),RANDBETWEEN(200,3000),RANDBETWEEN(100,1500))))</f>
        <v>1310</v>
      </c>
      <c r="AY557" s="2">
        <f ca="1">INT(AV557*RANDBETWEEN(90,130)/100)</f>
        <v>23065</v>
      </c>
      <c r="AZ557" t="str">
        <f t="shared" ca="1" si="43"/>
        <v>1.9%</v>
      </c>
      <c r="BA557" t="str">
        <f t="shared" ca="1" si="44"/>
        <v>BAJO</v>
      </c>
    </row>
    <row r="558" spans="4:53" x14ac:dyDescent="0.35">
      <c r="D558" t="s">
        <v>3835</v>
      </c>
      <c r="E558" s="1">
        <v>41897</v>
      </c>
      <c r="F558" t="s">
        <v>2389</v>
      </c>
      <c r="G558" t="s">
        <v>108</v>
      </c>
      <c r="H558" t="s">
        <v>1279</v>
      </c>
      <c r="I558">
        <v>20060323</v>
      </c>
      <c r="J558" t="s">
        <v>28</v>
      </c>
      <c r="K558">
        <v>14</v>
      </c>
      <c r="L558" t="s">
        <v>27</v>
      </c>
      <c r="M558" t="s">
        <v>3836</v>
      </c>
      <c r="N558" t="s">
        <v>3837</v>
      </c>
      <c r="O558" t="s">
        <v>3838</v>
      </c>
      <c r="P558" t="s">
        <v>29</v>
      </c>
      <c r="Q558" s="1">
        <v>41865</v>
      </c>
      <c r="R558" t="s">
        <v>33</v>
      </c>
      <c r="S558" t="s">
        <v>27</v>
      </c>
      <c r="T558" t="s">
        <v>3839</v>
      </c>
      <c r="U558" t="s">
        <v>115</v>
      </c>
      <c r="V558" t="s">
        <v>2389</v>
      </c>
      <c r="W558">
        <v>150</v>
      </c>
      <c r="X558">
        <v>20060323</v>
      </c>
      <c r="Y558" t="s">
        <v>2394</v>
      </c>
      <c r="Z558" t="s">
        <v>119</v>
      </c>
      <c r="AA558" t="s">
        <v>32</v>
      </c>
      <c r="AB558" t="s">
        <v>120</v>
      </c>
      <c r="AC558" t="s">
        <v>38</v>
      </c>
      <c r="AD558" t="s">
        <v>155</v>
      </c>
      <c r="AE558">
        <v>4</v>
      </c>
      <c r="AF558" t="s">
        <v>27</v>
      </c>
      <c r="AG558" t="s">
        <v>26</v>
      </c>
      <c r="AH558" t="s">
        <v>2389</v>
      </c>
      <c r="AI558" t="str">
        <f t="shared" si="40"/>
        <v>NO</v>
      </c>
      <c r="AJ558" t="str">
        <f t="shared" si="41"/>
        <v>SUN PHARMACEUTICAL INDUSTRIES</v>
      </c>
      <c r="AK558" t="str">
        <f>IF(ISNUMBER(SEARCH("FABRICANTE",AC558)),"FABRICANTE",IF(ISNUMBER(SEARCH("IMPORTADOR",AC558)),"IMPORTADOR","OTRO"))</f>
        <v>IMPORTADOR</v>
      </c>
      <c r="AL558" t="str">
        <f>IF(LEFT(Y558,1)="A","Sistema digestivo",IF(LEFT(Y558,1)="B","Sangre",IF(LEFT(Y558,1)="C","Cardiovascular",IF(LEFT(Y558,1)="D","Dermatológico",IF(LEFT(Y558,1)="G","Genitourinario",IF(LEFT(Y558,1)="H","Hormonal",IF(LEFT(Y558,1)="J","Antiinfecciosos",IF(LEFT(Y558,1)="L","Oncológicos",IF(LEFT(Y558,1)="M","Musculoesquelético",IF(LEFT(Y558,1)="N","Sistema nervioso",IF(LEFT(Y558,1)="R","Respiratorio",IF(LEFT(Y558,1)="S","Oftálmico",IF(LEFT(Y558,1)="V","Varios","OTRO")))))))))))))</f>
        <v>Oncológicos</v>
      </c>
      <c r="AM558" t="str">
        <f>IF(AG558="Vigente","ACTIVO",IF(ISNUMBER(SEARCH("Inactivo",J558)),"INACTIVO","REVISAR"))</f>
        <v>ACTIVO</v>
      </c>
      <c r="AN558" t="str">
        <f ca="1">IF(OR(AF558="",AF558="null"),"",ROUND((AF558-TODAY())/365.25,2))</f>
        <v/>
      </c>
      <c r="AO558" t="str">
        <f ca="1">IF(AND(AG558="Vigente",OR(AF558="",AF558="null",AF558&gt;TODAY())),"SI",IF(AND(NOT(OR(AF558="",AF558="null")),AF558&lt;=TODAY()),"NO",IF(AG558="Vigente","SI","DESCONOCIDO")))</f>
        <v>SI</v>
      </c>
      <c r="AP558" t="str">
        <f>IF(AND(ISNUMBER(SEARCH("IMPORTAR",AA558)),ISNUMBER(SEARCH("FABRICAR",AA558))),"MIXTO",IF(ISNUMBER(SEARCH("IMPORTAR",AA558)),"IMPORTADO",IF(ISNUMBER(SEARCH("FABRICAR",AA558)),"LOCAL","OTRO")))</f>
        <v>IMPORTADO</v>
      </c>
      <c r="AQ558" t="str">
        <f>IF(AD558="Si","SI",IF(AD558="No","NO",""))</f>
        <v>SI</v>
      </c>
      <c r="AR558" t="str">
        <f>IF(ISNUMBER(SEARCH("®",N558)),"MARCA/INNOVADOR","GENERICO")</f>
        <v>GENERICO</v>
      </c>
      <c r="AS558">
        <f ca="1">IF(AE558&gt;100,RANDBETWEEN(500,5000),IF(AND(AE558&gt;=10,AE558&lt;=100),RANDBETWEEN(100,1000),RANDBETWEEN(10,200)))</f>
        <v>20</v>
      </c>
      <c r="AT558">
        <f t="shared" ca="1" si="42"/>
        <v>6</v>
      </c>
      <c r="AU558">
        <f ca="1">INT(AS558*RANDBETWEEN(120,200)/100)</f>
        <v>37</v>
      </c>
      <c r="AV558" s="2">
        <f ca="1">IF(LEFT(Y558,1)="L",RANDBETWEEN(500000,5000000),IF(LEFT(Y558,1)="C",RANDBETWEEN(5000,50000),IF(LEFT(Y558,1)="N",RANDBETWEEN(10000,150000),IF(LEFT(Y558,1)="J",RANDBETWEEN(8000,200000),RANDBETWEEN(5000,100000)))))</f>
        <v>4257463</v>
      </c>
      <c r="AW558" s="2">
        <f ca="1">INT(AV558*RANDBETWEEN(30,60)/100)</f>
        <v>2001007</v>
      </c>
      <c r="AX558">
        <f ca="1">IF(Z558="ORAL",RANDBETWEEN(1000,10000),IF(OR(Z558="INTRAVENOSA",Z558="INTRAMUSCULAR"),RANDBETWEEN(100,2000),IF(OR(Z558="OFTÁLMICA",Z558="TOPICA (EXTERNA)"),RANDBETWEEN(200,3000),RANDBETWEEN(100,1500))))</f>
        <v>5630</v>
      </c>
      <c r="AY558" s="2">
        <f ca="1">INT(AV558*RANDBETWEEN(90,130)/100)</f>
        <v>4044589</v>
      </c>
      <c r="AZ558" t="str">
        <f t="shared" ca="1" si="43"/>
        <v>23.5%</v>
      </c>
      <c r="BA558" t="str">
        <f t="shared" ca="1" si="44"/>
        <v>BAJO</v>
      </c>
    </row>
    <row r="559" spans="4:53" x14ac:dyDescent="0.35">
      <c r="D559" t="s">
        <v>3840</v>
      </c>
      <c r="E559" s="1">
        <v>36161</v>
      </c>
      <c r="F559" t="s">
        <v>3841</v>
      </c>
      <c r="G559" t="s">
        <v>108</v>
      </c>
      <c r="H559" t="s">
        <v>2846</v>
      </c>
      <c r="I559">
        <v>1980545</v>
      </c>
      <c r="J559" t="s">
        <v>28</v>
      </c>
      <c r="K559">
        <v>14</v>
      </c>
      <c r="L559" t="s">
        <v>3842</v>
      </c>
      <c r="M559" t="s">
        <v>3843</v>
      </c>
      <c r="N559" t="s">
        <v>3844</v>
      </c>
      <c r="O559" t="s">
        <v>3845</v>
      </c>
      <c r="P559" t="s">
        <v>29</v>
      </c>
      <c r="Q559" s="1">
        <v>41170</v>
      </c>
      <c r="R559" t="s">
        <v>29</v>
      </c>
      <c r="S559" s="1">
        <v>44470</v>
      </c>
      <c r="T559" t="s">
        <v>2414</v>
      </c>
      <c r="U559" t="s">
        <v>115</v>
      </c>
      <c r="V559" t="s">
        <v>3846</v>
      </c>
      <c r="W559">
        <v>10</v>
      </c>
      <c r="X559">
        <v>1980545</v>
      </c>
      <c r="Y559" t="s">
        <v>3847</v>
      </c>
      <c r="Z559" t="s">
        <v>119</v>
      </c>
      <c r="AA559" t="s">
        <v>32</v>
      </c>
      <c r="AB559" t="s">
        <v>120</v>
      </c>
      <c r="AC559" t="s">
        <v>25</v>
      </c>
      <c r="AD559" t="s">
        <v>155</v>
      </c>
      <c r="AE559">
        <v>5</v>
      </c>
      <c r="AF559" t="s">
        <v>27</v>
      </c>
      <c r="AG559" t="s">
        <v>26</v>
      </c>
      <c r="AH559" t="s">
        <v>3846</v>
      </c>
      <c r="AI559" t="str">
        <f t="shared" si="40"/>
        <v>SI</v>
      </c>
      <c r="AJ559" t="str">
        <f t="shared" si="41"/>
        <v>ASPEN COLOMBIANA</v>
      </c>
      <c r="AK559" t="str">
        <f>IF(ISNUMBER(SEARCH("FABRICANTE",AC559)),"FABRICANTE",IF(ISNUMBER(SEARCH("IMPORTADOR",AC559)),"IMPORTADOR","OTRO"))</f>
        <v>FABRICANTE</v>
      </c>
      <c r="AL559" t="str">
        <f>IF(LEFT(Y559,1)="A","Sistema digestivo",IF(LEFT(Y559,1)="B","Sangre",IF(LEFT(Y559,1)="C","Cardiovascular",IF(LEFT(Y559,1)="D","Dermatológico",IF(LEFT(Y559,1)="G","Genitourinario",IF(LEFT(Y559,1)="H","Hormonal",IF(LEFT(Y559,1)="J","Antiinfecciosos",IF(LEFT(Y559,1)="L","Oncológicos",IF(LEFT(Y559,1)="M","Musculoesquelético",IF(LEFT(Y559,1)="N","Sistema nervioso",IF(LEFT(Y559,1)="R","Respiratorio",IF(LEFT(Y559,1)="S","Oftálmico",IF(LEFT(Y559,1)="V","Varios","OTRO")))))))))))))</f>
        <v>Cardiovascular</v>
      </c>
      <c r="AM559" t="str">
        <f>IF(AG559="Vigente","ACTIVO",IF(ISNUMBER(SEARCH("Inactivo",J559)),"INACTIVO","REVISAR"))</f>
        <v>ACTIVO</v>
      </c>
      <c r="AN559" t="str">
        <f ca="1">IF(OR(AF559="",AF559="null"),"",ROUND((AF559-TODAY())/365.25,2))</f>
        <v/>
      </c>
      <c r="AO559" t="str">
        <f ca="1">IF(AND(AG559="Vigente",OR(AF559="",AF559="null",AF559&gt;TODAY())),"SI",IF(AND(NOT(OR(AF559="",AF559="null")),AF559&lt;=TODAY()),"NO",IF(AG559="Vigente","SI","DESCONOCIDO")))</f>
        <v>SI</v>
      </c>
      <c r="AP559" t="str">
        <f>IF(AND(ISNUMBER(SEARCH("IMPORTAR",AA559)),ISNUMBER(SEARCH("FABRICAR",AA559))),"MIXTO",IF(ISNUMBER(SEARCH("IMPORTAR",AA559)),"IMPORTADO",IF(ISNUMBER(SEARCH("FABRICAR",AA559)),"LOCAL","OTRO")))</f>
        <v>IMPORTADO</v>
      </c>
      <c r="AQ559" t="str">
        <f>IF(AD559="Si","SI",IF(AD559="No","NO",""))</f>
        <v>SI</v>
      </c>
      <c r="AR559" t="str">
        <f>IF(ISNUMBER(SEARCH("®",N559)),"MARCA/INNOVADOR","GENERICO")</f>
        <v>MARCA/INNOVADOR</v>
      </c>
      <c r="AS559">
        <f ca="1">IF(AE559&gt;100,RANDBETWEEN(500,5000),IF(AND(AE559&gt;=10,AE559&lt;=100),RANDBETWEEN(100,1000),RANDBETWEEN(10,200)))</f>
        <v>42</v>
      </c>
      <c r="AT559">
        <f t="shared" ca="1" si="42"/>
        <v>12</v>
      </c>
      <c r="AU559">
        <f ca="1">INT(AS559*RANDBETWEEN(120,200)/100)</f>
        <v>75</v>
      </c>
      <c r="AV559" s="2">
        <f ca="1">IF(LEFT(Y559,1)="L",RANDBETWEEN(500000,5000000),IF(LEFT(Y559,1)="C",RANDBETWEEN(5000,50000),IF(LEFT(Y559,1)="N",RANDBETWEEN(10000,150000),IF(LEFT(Y559,1)="J",RANDBETWEEN(8000,200000),RANDBETWEEN(5000,100000)))))</f>
        <v>18428</v>
      </c>
      <c r="AW559" s="2">
        <f ca="1">INT(AV559*RANDBETWEEN(30,60)/100)</f>
        <v>5896</v>
      </c>
      <c r="AX559">
        <f ca="1">IF(Z559="ORAL",RANDBETWEEN(1000,10000),IF(OR(Z559="INTRAVENOSA",Z559="INTRAMUSCULAR"),RANDBETWEEN(100,2000),IF(OR(Z559="OFTÁLMICA",Z559="TOPICA (EXTERNA)"),RANDBETWEEN(200,3000),RANDBETWEEN(100,1500))))</f>
        <v>9109</v>
      </c>
      <c r="AY559" s="2">
        <f ca="1">INT(AV559*RANDBETWEEN(90,130)/100)</f>
        <v>20455</v>
      </c>
      <c r="AZ559" t="str">
        <f t="shared" ca="1" si="43"/>
        <v>10.5%</v>
      </c>
      <c r="BA559" t="str">
        <f t="shared" ca="1" si="44"/>
        <v>BAJO</v>
      </c>
    </row>
    <row r="560" spans="4:53" x14ac:dyDescent="0.35">
      <c r="D560" t="s">
        <v>3848</v>
      </c>
      <c r="E560" s="1">
        <v>42121</v>
      </c>
      <c r="F560" t="s">
        <v>1609</v>
      </c>
      <c r="G560" t="s">
        <v>108</v>
      </c>
      <c r="H560" t="s">
        <v>80</v>
      </c>
      <c r="I560">
        <v>20080581</v>
      </c>
      <c r="J560" t="s">
        <v>28</v>
      </c>
      <c r="K560">
        <v>47</v>
      </c>
      <c r="L560" t="s">
        <v>27</v>
      </c>
      <c r="M560" t="s">
        <v>3849</v>
      </c>
      <c r="N560" t="s">
        <v>3850</v>
      </c>
      <c r="O560" t="s">
        <v>3851</v>
      </c>
      <c r="P560" t="s">
        <v>29</v>
      </c>
      <c r="Q560" s="1">
        <v>42081</v>
      </c>
      <c r="R560" t="s">
        <v>29</v>
      </c>
      <c r="S560" t="s">
        <v>27</v>
      </c>
      <c r="T560" t="s">
        <v>80</v>
      </c>
      <c r="U560" t="s">
        <v>115</v>
      </c>
      <c r="V560" t="s">
        <v>1609</v>
      </c>
      <c r="W560">
        <v>80</v>
      </c>
      <c r="X560">
        <v>20080581</v>
      </c>
      <c r="Y560" t="s">
        <v>1614</v>
      </c>
      <c r="Z560" t="s">
        <v>119</v>
      </c>
      <c r="AA560" t="s">
        <v>24</v>
      </c>
      <c r="AB560" t="s">
        <v>120</v>
      </c>
      <c r="AC560" t="s">
        <v>25</v>
      </c>
      <c r="AD560" t="s">
        <v>121</v>
      </c>
      <c r="AE560">
        <v>10</v>
      </c>
      <c r="AF560" t="s">
        <v>27</v>
      </c>
      <c r="AG560" t="s">
        <v>26</v>
      </c>
      <c r="AH560" t="s">
        <v>1609</v>
      </c>
      <c r="AI560" t="str">
        <f t="shared" si="40"/>
        <v>NO</v>
      </c>
      <c r="AJ560" t="str">
        <f t="shared" si="41"/>
        <v>TECNOQUIMICAS</v>
      </c>
      <c r="AK560" t="str">
        <f>IF(ISNUMBER(SEARCH("FABRICANTE",AC560)),"FABRICANTE",IF(ISNUMBER(SEARCH("IMPORTADOR",AC560)),"IMPORTADOR","OTRO"))</f>
        <v>FABRICANTE</v>
      </c>
      <c r="AL560" t="str">
        <f>IF(LEFT(Y560,1)="A","Sistema digestivo",IF(LEFT(Y560,1)="B","Sangre",IF(LEFT(Y560,1)="C","Cardiovascular",IF(LEFT(Y560,1)="D","Dermatológico",IF(LEFT(Y560,1)="G","Genitourinario",IF(LEFT(Y560,1)="H","Hormonal",IF(LEFT(Y560,1)="J","Antiinfecciosos",IF(LEFT(Y560,1)="L","Oncológicos",IF(LEFT(Y560,1)="M","Musculoesquelético",IF(LEFT(Y560,1)="N","Sistema nervioso",IF(LEFT(Y560,1)="R","Respiratorio",IF(LEFT(Y560,1)="S","Oftálmico",IF(LEFT(Y560,1)="V","Varios","OTRO")))))))))))))</f>
        <v>Cardiovascular</v>
      </c>
      <c r="AM560" t="str">
        <f>IF(AG560="Vigente","ACTIVO",IF(ISNUMBER(SEARCH("Inactivo",J560)),"INACTIVO","REVISAR"))</f>
        <v>ACTIVO</v>
      </c>
      <c r="AN560" t="str">
        <f ca="1">IF(OR(AF560="",AF560="null"),"",ROUND((AF560-TODAY())/365.25,2))</f>
        <v/>
      </c>
      <c r="AO560" t="str">
        <f ca="1">IF(AND(AG560="Vigente",OR(AF560="",AF560="null",AF560&gt;TODAY())),"SI",IF(AND(NOT(OR(AF560="",AF560="null")),AF560&lt;=TODAY()),"NO",IF(AG560="Vigente","SI","DESCONOCIDO")))</f>
        <v>SI</v>
      </c>
      <c r="AP560" t="str">
        <f>IF(AND(ISNUMBER(SEARCH("IMPORTAR",AA560)),ISNUMBER(SEARCH("FABRICAR",AA560))),"MIXTO",IF(ISNUMBER(SEARCH("IMPORTAR",AA560)),"IMPORTADO",IF(ISNUMBER(SEARCH("FABRICAR",AA560)),"LOCAL","OTRO")))</f>
        <v>LOCAL</v>
      </c>
      <c r="AQ560" t="str">
        <f>IF(AD560="Si","SI",IF(AD560="No","NO",""))</f>
        <v>NO</v>
      </c>
      <c r="AR560" t="str">
        <f>IF(ISNUMBER(SEARCH("®",N560)),"MARCA/INNOVADOR","GENERICO")</f>
        <v>GENERICO</v>
      </c>
      <c r="AS560">
        <f ca="1">IF(AE560&gt;100,RANDBETWEEN(500,5000),IF(AND(AE560&gt;=10,AE560&lt;=100),RANDBETWEEN(100,1000),RANDBETWEEN(10,200)))</f>
        <v>427</v>
      </c>
      <c r="AT560">
        <f t="shared" ca="1" si="42"/>
        <v>51</v>
      </c>
      <c r="AU560">
        <f ca="1">INT(AS560*RANDBETWEEN(120,200)/100)</f>
        <v>849</v>
      </c>
      <c r="AV560" s="2">
        <f ca="1">IF(LEFT(Y560,1)="L",RANDBETWEEN(500000,5000000),IF(LEFT(Y560,1)="C",RANDBETWEEN(5000,50000),IF(LEFT(Y560,1)="N",RANDBETWEEN(10000,150000),IF(LEFT(Y560,1)="J",RANDBETWEEN(8000,200000),RANDBETWEEN(5000,100000)))))</f>
        <v>7236</v>
      </c>
      <c r="AW560" s="2">
        <f ca="1">INT(AV560*RANDBETWEEN(30,60)/100)</f>
        <v>4341</v>
      </c>
      <c r="AX560">
        <f ca="1">IF(Z560="ORAL",RANDBETWEEN(1000,10000),IF(OR(Z560="INTRAVENOSA",Z560="INTRAMUSCULAR"),RANDBETWEEN(100,2000),IF(OR(Z560="OFTÁLMICA",Z560="TOPICA (EXTERNA)"),RANDBETWEEN(200,3000),RANDBETWEEN(100,1500))))</f>
        <v>2728</v>
      </c>
      <c r="AY560" s="2">
        <f ca="1">INT(AV560*RANDBETWEEN(90,130)/100)</f>
        <v>8104</v>
      </c>
      <c r="AZ560" t="str">
        <f t="shared" ca="1" si="43"/>
        <v>14.8%</v>
      </c>
      <c r="BA560" t="str">
        <f t="shared" ca="1" si="44"/>
        <v>BAJO</v>
      </c>
    </row>
    <row r="561" spans="4:53" x14ac:dyDescent="0.35">
      <c r="D561" t="s">
        <v>3852</v>
      </c>
      <c r="E561" s="1">
        <v>38447</v>
      </c>
      <c r="F561" t="s">
        <v>70</v>
      </c>
      <c r="G561" t="s">
        <v>108</v>
      </c>
      <c r="H561" t="s">
        <v>68</v>
      </c>
      <c r="I561">
        <v>19950176</v>
      </c>
      <c r="J561" t="s">
        <v>28</v>
      </c>
      <c r="K561">
        <v>17</v>
      </c>
      <c r="L561" t="s">
        <v>27</v>
      </c>
      <c r="M561" t="s">
        <v>3702</v>
      </c>
      <c r="N561" t="s">
        <v>3703</v>
      </c>
      <c r="O561" t="s">
        <v>3853</v>
      </c>
      <c r="P561" t="s">
        <v>27</v>
      </c>
      <c r="Q561" s="1">
        <v>41488</v>
      </c>
      <c r="R561" t="s">
        <v>67</v>
      </c>
      <c r="S561" s="1">
        <v>44088</v>
      </c>
      <c r="T561" t="s">
        <v>68</v>
      </c>
      <c r="U561" t="s">
        <v>115</v>
      </c>
      <c r="V561" t="s">
        <v>248</v>
      </c>
      <c r="W561" t="s">
        <v>3854</v>
      </c>
      <c r="X561">
        <v>19950176</v>
      </c>
      <c r="Y561" t="s">
        <v>249</v>
      </c>
      <c r="Z561" t="s">
        <v>119</v>
      </c>
      <c r="AA561" t="s">
        <v>24</v>
      </c>
      <c r="AB561" t="s">
        <v>250</v>
      </c>
      <c r="AC561" t="s">
        <v>25</v>
      </c>
      <c r="AD561" t="s">
        <v>121</v>
      </c>
      <c r="AE561">
        <v>1</v>
      </c>
      <c r="AF561" t="s">
        <v>27</v>
      </c>
      <c r="AG561" t="s">
        <v>26</v>
      </c>
      <c r="AH561" t="s">
        <v>6735</v>
      </c>
      <c r="AI561" t="str">
        <f t="shared" si="40"/>
        <v>NO</v>
      </c>
      <c r="AJ561" t="str">
        <f t="shared" si="41"/>
        <v>QUIBI EN REESTRUCTURACION</v>
      </c>
      <c r="AK561" t="str">
        <f>IF(ISNUMBER(SEARCH("FABRICANTE",AC561)),"FABRICANTE",IF(ISNUMBER(SEARCH("IMPORTADOR",AC561)),"IMPORTADOR","OTRO"))</f>
        <v>FABRICANTE</v>
      </c>
      <c r="AL561" t="str">
        <f>IF(LEFT(Y561,1)="A","Sistema digestivo",IF(LEFT(Y561,1)="B","Sangre",IF(LEFT(Y561,1)="C","Cardiovascular",IF(LEFT(Y561,1)="D","Dermatológico",IF(LEFT(Y561,1)="G","Genitourinario",IF(LEFT(Y561,1)="H","Hormonal",IF(LEFT(Y561,1)="J","Antiinfecciosos",IF(LEFT(Y561,1)="L","Oncológicos",IF(LEFT(Y561,1)="M","Musculoesquelético",IF(LEFT(Y561,1)="N","Sistema nervioso",IF(LEFT(Y561,1)="R","Respiratorio",IF(LEFT(Y561,1)="S","Oftálmico",IF(LEFT(Y561,1)="V","Varios","OTRO")))))))))))))</f>
        <v>Sistema digestivo</v>
      </c>
      <c r="AM561" t="str">
        <f>IF(AG561="Vigente","ACTIVO",IF(ISNUMBER(SEARCH("Inactivo",J561)),"INACTIVO","REVISAR"))</f>
        <v>ACTIVO</v>
      </c>
      <c r="AN561" t="str">
        <f ca="1">IF(OR(AF561="",AF561="null"),"",ROUND((AF561-TODAY())/365.25,2))</f>
        <v/>
      </c>
      <c r="AO561" t="str">
        <f ca="1">IF(AND(AG561="Vigente",OR(AF561="",AF561="null",AF561&gt;TODAY())),"SI",IF(AND(NOT(OR(AF561="",AF561="null")),AF561&lt;=TODAY()),"NO",IF(AG561="Vigente","SI","DESCONOCIDO")))</f>
        <v>SI</v>
      </c>
      <c r="AP561" t="str">
        <f>IF(AND(ISNUMBER(SEARCH("IMPORTAR",AA561)),ISNUMBER(SEARCH("FABRICAR",AA561))),"MIXTO",IF(ISNUMBER(SEARCH("IMPORTAR",AA561)),"IMPORTADO",IF(ISNUMBER(SEARCH("FABRICAR",AA561)),"LOCAL","OTRO")))</f>
        <v>LOCAL</v>
      </c>
      <c r="AQ561" t="str">
        <f>IF(AD561="Si","SI",IF(AD561="No","NO",""))</f>
        <v>NO</v>
      </c>
      <c r="AR561" t="str">
        <f>IF(ISNUMBER(SEARCH("®",N561)),"MARCA/INNOVADOR","GENERICO")</f>
        <v>GENERICO</v>
      </c>
      <c r="AS561">
        <f ca="1">IF(AE561&gt;100,RANDBETWEEN(500,5000),IF(AND(AE561&gt;=10,AE561&lt;=100),RANDBETWEEN(100,1000),RANDBETWEEN(10,200)))</f>
        <v>138</v>
      </c>
      <c r="AT561">
        <f t="shared" ca="1" si="42"/>
        <v>17</v>
      </c>
      <c r="AU561">
        <f ca="1">INT(AS561*RANDBETWEEN(120,200)/100)</f>
        <v>205</v>
      </c>
      <c r="AV561" s="2">
        <f ca="1">IF(LEFT(Y561,1)="L",RANDBETWEEN(500000,5000000),IF(LEFT(Y561,1)="C",RANDBETWEEN(5000,50000),IF(LEFT(Y561,1)="N",RANDBETWEEN(10000,150000),IF(LEFT(Y561,1)="J",RANDBETWEEN(8000,200000),RANDBETWEEN(5000,100000)))))</f>
        <v>61857</v>
      </c>
      <c r="AW561" s="2">
        <f ca="1">INT(AV561*RANDBETWEEN(30,60)/100)</f>
        <v>23505</v>
      </c>
      <c r="AX561">
        <f ca="1">IF(Z561="ORAL",RANDBETWEEN(1000,10000),IF(OR(Z561="INTRAVENOSA",Z561="INTRAMUSCULAR"),RANDBETWEEN(100,2000),IF(OR(Z561="OFTÁLMICA",Z561="TOPICA (EXTERNA)"),RANDBETWEEN(200,3000),RANDBETWEEN(100,1500))))</f>
        <v>1439</v>
      </c>
      <c r="AY561" s="2">
        <f ca="1">INT(AV561*RANDBETWEEN(90,130)/100)</f>
        <v>60619</v>
      </c>
      <c r="AZ561" t="str">
        <f t="shared" ca="1" si="43"/>
        <v>15.1%</v>
      </c>
      <c r="BA561" t="str">
        <f t="shared" ca="1" si="44"/>
        <v>BAJO</v>
      </c>
    </row>
    <row r="562" spans="4:53" x14ac:dyDescent="0.35">
      <c r="D562" t="s">
        <v>3855</v>
      </c>
      <c r="E562" s="1">
        <v>37433</v>
      </c>
      <c r="F562" t="s">
        <v>3856</v>
      </c>
      <c r="G562" t="s">
        <v>108</v>
      </c>
      <c r="H562" t="s">
        <v>3857</v>
      </c>
      <c r="I562">
        <v>19929758</v>
      </c>
      <c r="J562" t="s">
        <v>28</v>
      </c>
      <c r="K562">
        <v>6</v>
      </c>
      <c r="L562" t="s">
        <v>3858</v>
      </c>
      <c r="M562" t="s">
        <v>3859</v>
      </c>
      <c r="N562" t="s">
        <v>3860</v>
      </c>
      <c r="O562" t="s">
        <v>3861</v>
      </c>
      <c r="P562" t="s">
        <v>33</v>
      </c>
      <c r="Q562" s="1">
        <v>39031</v>
      </c>
      <c r="R562" t="s">
        <v>33</v>
      </c>
      <c r="S562" t="s">
        <v>27</v>
      </c>
      <c r="T562" t="s">
        <v>1001</v>
      </c>
      <c r="U562" t="s">
        <v>115</v>
      </c>
      <c r="V562" t="s">
        <v>1410</v>
      </c>
      <c r="W562">
        <v>100</v>
      </c>
      <c r="X562">
        <v>19929758</v>
      </c>
      <c r="Y562" t="s">
        <v>1411</v>
      </c>
      <c r="Z562" t="s">
        <v>119</v>
      </c>
      <c r="AA562" t="s">
        <v>32</v>
      </c>
      <c r="AB562" t="s">
        <v>120</v>
      </c>
      <c r="AC562" t="s">
        <v>25</v>
      </c>
      <c r="AD562" t="s">
        <v>121</v>
      </c>
      <c r="AE562">
        <v>30</v>
      </c>
      <c r="AF562" t="s">
        <v>27</v>
      </c>
      <c r="AG562" t="s">
        <v>26</v>
      </c>
      <c r="AH562" t="s">
        <v>1410</v>
      </c>
      <c r="AI562" t="str">
        <f t="shared" si="40"/>
        <v>NO</v>
      </c>
      <c r="AJ562" t="str">
        <f t="shared" si="41"/>
        <v>ASPEN COLOMBIANA</v>
      </c>
      <c r="AK562" t="str">
        <f>IF(ISNUMBER(SEARCH("FABRICANTE",AC562)),"FABRICANTE",IF(ISNUMBER(SEARCH("IMPORTADOR",AC562)),"IMPORTADOR","OTRO"))</f>
        <v>FABRICANTE</v>
      </c>
      <c r="AL562" t="str">
        <f>IF(LEFT(Y562,1)="A","Sistema digestivo",IF(LEFT(Y562,1)="B","Sangre",IF(LEFT(Y562,1)="C","Cardiovascular",IF(LEFT(Y562,1)="D","Dermatológico",IF(LEFT(Y562,1)="G","Genitourinario",IF(LEFT(Y562,1)="H","Hormonal",IF(LEFT(Y562,1)="J","Antiinfecciosos",IF(LEFT(Y562,1)="L","Oncológicos",IF(LEFT(Y562,1)="M","Musculoesquelético",IF(LEFT(Y562,1)="N","Sistema nervioso",IF(LEFT(Y562,1)="R","Respiratorio",IF(LEFT(Y562,1)="S","Oftálmico",IF(LEFT(Y562,1)="V","Varios","OTRO")))))))))))))</f>
        <v>Sistema nervioso</v>
      </c>
      <c r="AM562" t="str">
        <f>IF(AG562="Vigente","ACTIVO",IF(ISNUMBER(SEARCH("Inactivo",J562)),"INACTIVO","REVISAR"))</f>
        <v>ACTIVO</v>
      </c>
      <c r="AN562" t="str">
        <f ca="1">IF(OR(AF562="",AF562="null"),"",ROUND((AF562-TODAY())/365.25,2))</f>
        <v/>
      </c>
      <c r="AO562" t="str">
        <f ca="1">IF(AND(AG562="Vigente",OR(AF562="",AF562="null",AF562&gt;TODAY())),"SI",IF(AND(NOT(OR(AF562="",AF562="null")),AF562&lt;=TODAY()),"NO",IF(AG562="Vigente","SI","DESCONOCIDO")))</f>
        <v>SI</v>
      </c>
      <c r="AP562" t="str">
        <f>IF(AND(ISNUMBER(SEARCH("IMPORTAR",AA562)),ISNUMBER(SEARCH("FABRICAR",AA562))),"MIXTO",IF(ISNUMBER(SEARCH("IMPORTAR",AA562)),"IMPORTADO",IF(ISNUMBER(SEARCH("FABRICAR",AA562)),"LOCAL","OTRO")))</f>
        <v>IMPORTADO</v>
      </c>
      <c r="AQ562" t="str">
        <f>IF(AD562="Si","SI",IF(AD562="No","NO",""))</f>
        <v>NO</v>
      </c>
      <c r="AR562" t="str">
        <f>IF(ISNUMBER(SEARCH("®",N562)),"MARCA/INNOVADOR","GENERICO")</f>
        <v>MARCA/INNOVADOR</v>
      </c>
      <c r="AS562">
        <f ca="1">IF(AE562&gt;100,RANDBETWEEN(500,5000),IF(AND(AE562&gt;=10,AE562&lt;=100),RANDBETWEEN(100,1000),RANDBETWEEN(10,200)))</f>
        <v>201</v>
      </c>
      <c r="AT562">
        <f t="shared" ca="1" si="42"/>
        <v>54</v>
      </c>
      <c r="AU562">
        <f ca="1">INT(AS562*RANDBETWEEN(120,200)/100)</f>
        <v>349</v>
      </c>
      <c r="AV562" s="2">
        <f ca="1">IF(LEFT(Y562,1)="L",RANDBETWEEN(500000,5000000),IF(LEFT(Y562,1)="C",RANDBETWEEN(5000,50000),IF(LEFT(Y562,1)="N",RANDBETWEEN(10000,150000),IF(LEFT(Y562,1)="J",RANDBETWEEN(8000,200000),RANDBETWEEN(5000,100000)))))</f>
        <v>84803</v>
      </c>
      <c r="AW562" s="2">
        <f ca="1">INT(AV562*RANDBETWEEN(30,60)/100)</f>
        <v>27136</v>
      </c>
      <c r="AX562">
        <f ca="1">IF(Z562="ORAL",RANDBETWEEN(1000,10000),IF(OR(Z562="INTRAVENOSA",Z562="INTRAMUSCULAR"),RANDBETWEEN(100,2000),IF(OR(Z562="OFTÁLMICA",Z562="TOPICA (EXTERNA)"),RANDBETWEEN(200,3000),RANDBETWEEN(100,1500))))</f>
        <v>6222</v>
      </c>
      <c r="AY562" s="2">
        <f ca="1">INT(AV562*RANDBETWEEN(90,130)/100)</f>
        <v>91587</v>
      </c>
      <c r="AZ562" t="str">
        <f t="shared" ca="1" si="43"/>
        <v>8.8%</v>
      </c>
      <c r="BA562" t="str">
        <f t="shared" ca="1" si="44"/>
        <v>BAJO</v>
      </c>
    </row>
    <row r="563" spans="4:53" x14ac:dyDescent="0.35">
      <c r="D563" t="s">
        <v>3862</v>
      </c>
      <c r="E563" s="1">
        <v>37299</v>
      </c>
      <c r="F563" t="s">
        <v>3863</v>
      </c>
      <c r="G563" t="s">
        <v>108</v>
      </c>
      <c r="H563" t="s">
        <v>3864</v>
      </c>
      <c r="I563">
        <v>19925381</v>
      </c>
      <c r="J563" t="s">
        <v>28</v>
      </c>
      <c r="K563">
        <v>1</v>
      </c>
      <c r="L563" t="s">
        <v>27</v>
      </c>
      <c r="M563" t="s">
        <v>3865</v>
      </c>
      <c r="N563" t="s">
        <v>3866</v>
      </c>
      <c r="O563" t="s">
        <v>3867</v>
      </c>
      <c r="P563" t="s">
        <v>33</v>
      </c>
      <c r="Q563" s="1">
        <v>39031</v>
      </c>
      <c r="R563" t="s">
        <v>574</v>
      </c>
      <c r="S563" s="1">
        <v>43467</v>
      </c>
      <c r="T563" t="s">
        <v>464</v>
      </c>
      <c r="U563" t="s">
        <v>115</v>
      </c>
      <c r="V563" t="s">
        <v>3868</v>
      </c>
      <c r="W563">
        <v>10</v>
      </c>
      <c r="X563">
        <v>19925381</v>
      </c>
      <c r="Y563" t="s">
        <v>3869</v>
      </c>
      <c r="Z563" t="s">
        <v>119</v>
      </c>
      <c r="AA563" t="s">
        <v>32</v>
      </c>
      <c r="AB563" t="s">
        <v>120</v>
      </c>
      <c r="AC563" t="s">
        <v>25</v>
      </c>
      <c r="AD563" t="s">
        <v>155</v>
      </c>
      <c r="AE563">
        <v>2</v>
      </c>
      <c r="AF563" t="s">
        <v>27</v>
      </c>
      <c r="AG563" t="s">
        <v>26</v>
      </c>
      <c r="AH563" t="s">
        <v>3868</v>
      </c>
      <c r="AI563" t="str">
        <f t="shared" si="40"/>
        <v>NO</v>
      </c>
      <c r="AJ563" t="str">
        <f t="shared" si="41"/>
        <v>MEGALABS COLOMBIA</v>
      </c>
      <c r="AK563" t="str">
        <f>IF(ISNUMBER(SEARCH("FABRICANTE",AC563)),"FABRICANTE",IF(ISNUMBER(SEARCH("IMPORTADOR",AC563)),"IMPORTADOR","OTRO"))</f>
        <v>FABRICANTE</v>
      </c>
      <c r="AL563" t="str">
        <f>IF(LEFT(Y563,1)="A","Sistema digestivo",IF(LEFT(Y563,1)="B","Sangre",IF(LEFT(Y563,1)="C","Cardiovascular",IF(LEFT(Y563,1)="D","Dermatológico",IF(LEFT(Y563,1)="G","Genitourinario",IF(LEFT(Y563,1)="H","Hormonal",IF(LEFT(Y563,1)="J","Antiinfecciosos",IF(LEFT(Y563,1)="L","Oncológicos",IF(LEFT(Y563,1)="M","Musculoesquelético",IF(LEFT(Y563,1)="N","Sistema nervioso",IF(LEFT(Y563,1)="R","Respiratorio",IF(LEFT(Y563,1)="S","Oftálmico",IF(LEFT(Y563,1)="V","Varios","OTRO")))))))))))))</f>
        <v>Sistema digestivo</v>
      </c>
      <c r="AM563" t="str">
        <f>IF(AG563="Vigente","ACTIVO",IF(ISNUMBER(SEARCH("Inactivo",J563)),"INACTIVO","REVISAR"))</f>
        <v>ACTIVO</v>
      </c>
      <c r="AN563" t="str">
        <f ca="1">IF(OR(AF563="",AF563="null"),"",ROUND((AF563-TODAY())/365.25,2))</f>
        <v/>
      </c>
      <c r="AO563" t="str">
        <f ca="1">IF(AND(AG563="Vigente",OR(AF563="",AF563="null",AF563&gt;TODAY())),"SI",IF(AND(NOT(OR(AF563="",AF563="null")),AF563&lt;=TODAY()),"NO",IF(AG563="Vigente","SI","DESCONOCIDO")))</f>
        <v>SI</v>
      </c>
      <c r="AP563" t="str">
        <f>IF(AND(ISNUMBER(SEARCH("IMPORTAR",AA563)),ISNUMBER(SEARCH("FABRICAR",AA563))),"MIXTO",IF(ISNUMBER(SEARCH("IMPORTAR",AA563)),"IMPORTADO",IF(ISNUMBER(SEARCH("FABRICAR",AA563)),"LOCAL","OTRO")))</f>
        <v>IMPORTADO</v>
      </c>
      <c r="AQ563" t="str">
        <f>IF(AD563="Si","SI",IF(AD563="No","NO",""))</f>
        <v>SI</v>
      </c>
      <c r="AR563" t="str">
        <f>IF(ISNUMBER(SEARCH("®",N563)),"MARCA/INNOVADOR","GENERICO")</f>
        <v>MARCA/INNOVADOR</v>
      </c>
      <c r="AS563">
        <f ca="1">IF(AE563&gt;100,RANDBETWEEN(500,5000),IF(AND(AE563&gt;=10,AE563&lt;=100),RANDBETWEEN(100,1000),RANDBETWEEN(10,200)))</f>
        <v>156</v>
      </c>
      <c r="AT563">
        <f t="shared" ca="1" si="42"/>
        <v>35</v>
      </c>
      <c r="AU563">
        <f ca="1">INT(AS563*RANDBETWEEN(120,200)/100)</f>
        <v>229</v>
      </c>
      <c r="AV563" s="2">
        <f ca="1">IF(LEFT(Y563,1)="L",RANDBETWEEN(500000,5000000),IF(LEFT(Y563,1)="C",RANDBETWEEN(5000,50000),IF(LEFT(Y563,1)="N",RANDBETWEEN(10000,150000),IF(LEFT(Y563,1)="J",RANDBETWEEN(8000,200000),RANDBETWEEN(5000,100000)))))</f>
        <v>41907</v>
      </c>
      <c r="AW563" s="2">
        <f ca="1">INT(AV563*RANDBETWEEN(30,60)/100)</f>
        <v>21372</v>
      </c>
      <c r="AX563">
        <f ca="1">IF(Z563="ORAL",RANDBETWEEN(1000,10000),IF(OR(Z563="INTRAVENOSA",Z563="INTRAMUSCULAR"),RANDBETWEEN(100,2000),IF(OR(Z563="OFTÁLMICA",Z563="TOPICA (EXTERNA)"),RANDBETWEEN(200,3000),RANDBETWEEN(100,1500))))</f>
        <v>5059</v>
      </c>
      <c r="AY563" s="2">
        <f ca="1">INT(AV563*RANDBETWEEN(90,130)/100)</f>
        <v>37716</v>
      </c>
      <c r="AZ563" t="str">
        <f t="shared" ca="1" si="43"/>
        <v>14.3%</v>
      </c>
      <c r="BA563" t="str">
        <f t="shared" ca="1" si="44"/>
        <v>BAJO</v>
      </c>
    </row>
    <row r="564" spans="4:53" x14ac:dyDescent="0.35">
      <c r="D564" t="s">
        <v>3870</v>
      </c>
      <c r="E564" s="1">
        <v>40465</v>
      </c>
      <c r="F564" t="s">
        <v>3871</v>
      </c>
      <c r="G564" t="s">
        <v>108</v>
      </c>
      <c r="H564" t="s">
        <v>3872</v>
      </c>
      <c r="I564">
        <v>20015777</v>
      </c>
      <c r="J564" t="s">
        <v>110</v>
      </c>
      <c r="K564">
        <v>1</v>
      </c>
      <c r="L564" t="s">
        <v>27</v>
      </c>
      <c r="M564" t="s">
        <v>3873</v>
      </c>
      <c r="N564" t="s">
        <v>3874</v>
      </c>
      <c r="O564" t="s">
        <v>3875</v>
      </c>
      <c r="P564" t="s">
        <v>29</v>
      </c>
      <c r="Q564" s="1">
        <v>40295</v>
      </c>
      <c r="R564" t="s">
        <v>200</v>
      </c>
      <c r="S564" s="1">
        <v>42940</v>
      </c>
      <c r="T564" t="s">
        <v>182</v>
      </c>
      <c r="U564" t="s">
        <v>115</v>
      </c>
      <c r="V564" t="s">
        <v>116</v>
      </c>
      <c r="W564">
        <v>10</v>
      </c>
      <c r="X564">
        <v>20015777</v>
      </c>
      <c r="Y564" t="s">
        <v>118</v>
      </c>
      <c r="Z564" t="s">
        <v>119</v>
      </c>
      <c r="AA564" t="s">
        <v>32</v>
      </c>
      <c r="AB564" t="s">
        <v>120</v>
      </c>
      <c r="AC564" t="s">
        <v>25</v>
      </c>
      <c r="AD564" t="s">
        <v>121</v>
      </c>
      <c r="AE564">
        <v>7</v>
      </c>
      <c r="AF564" t="s">
        <v>27</v>
      </c>
      <c r="AG564" t="s">
        <v>26</v>
      </c>
      <c r="AH564" t="s">
        <v>3846</v>
      </c>
      <c r="AI564" t="str">
        <f t="shared" si="40"/>
        <v>SI</v>
      </c>
      <c r="AJ564" t="str">
        <f t="shared" si="41"/>
        <v>NOVARTIS PHARMA</v>
      </c>
      <c r="AK564" t="str">
        <f>IF(ISNUMBER(SEARCH("FABRICANTE",AC564)),"FABRICANTE",IF(ISNUMBER(SEARCH("IMPORTADOR",AC564)),"IMPORTADOR","OTRO"))</f>
        <v>FABRICANTE</v>
      </c>
      <c r="AL564" t="str">
        <f>IF(LEFT(Y564,1)="A","Sistema digestivo",IF(LEFT(Y564,1)="B","Sangre",IF(LEFT(Y564,1)="C","Cardiovascular",IF(LEFT(Y564,1)="D","Dermatológico",IF(LEFT(Y564,1)="G","Genitourinario",IF(LEFT(Y564,1)="H","Hormonal",IF(LEFT(Y564,1)="J","Antiinfecciosos",IF(LEFT(Y564,1)="L","Oncológicos",IF(LEFT(Y564,1)="M","Musculoesquelético",IF(LEFT(Y564,1)="N","Sistema nervioso",IF(LEFT(Y564,1)="R","Respiratorio",IF(LEFT(Y564,1)="S","Oftálmico",IF(LEFT(Y564,1)="V","Varios","OTRO")))))))))))))</f>
        <v>Cardiovascular</v>
      </c>
      <c r="AM564" t="str">
        <f>IF(AG564="Vigente","ACTIVO",IF(ISNUMBER(SEARCH("Inactivo",J564)),"INACTIVO","REVISAR"))</f>
        <v>ACTIVO</v>
      </c>
      <c r="AN564" t="str">
        <f ca="1">IF(OR(AF564="",AF564="null"),"",ROUND((AF564-TODAY())/365.25,2))</f>
        <v/>
      </c>
      <c r="AO564" t="str">
        <f ca="1">IF(AND(AG564="Vigente",OR(AF564="",AF564="null",AF564&gt;TODAY())),"SI",IF(AND(NOT(OR(AF564="",AF564="null")),AF564&lt;=TODAY()),"NO",IF(AG564="Vigente","SI","DESCONOCIDO")))</f>
        <v>SI</v>
      </c>
      <c r="AP564" t="str">
        <f>IF(AND(ISNUMBER(SEARCH("IMPORTAR",AA564)),ISNUMBER(SEARCH("FABRICAR",AA564))),"MIXTO",IF(ISNUMBER(SEARCH("IMPORTAR",AA564)),"IMPORTADO",IF(ISNUMBER(SEARCH("FABRICAR",AA564)),"LOCAL","OTRO")))</f>
        <v>IMPORTADO</v>
      </c>
      <c r="AQ564" t="str">
        <f>IF(AD564="Si","SI",IF(AD564="No","NO",""))</f>
        <v>NO</v>
      </c>
      <c r="AR564" t="str">
        <f>IF(ISNUMBER(SEARCH("®",N564)),"MARCA/INNOVADOR","GENERICO")</f>
        <v>MARCA/INNOVADOR</v>
      </c>
      <c r="AS564">
        <f ca="1">IF(AE564&gt;100,RANDBETWEEN(500,5000),IF(AND(AE564&gt;=10,AE564&lt;=100),RANDBETWEEN(100,1000),RANDBETWEEN(10,200)))</f>
        <v>162</v>
      </c>
      <c r="AT564">
        <f t="shared" ca="1" si="42"/>
        <v>45</v>
      </c>
      <c r="AU564">
        <f ca="1">INT(AS564*RANDBETWEEN(120,200)/100)</f>
        <v>218</v>
      </c>
      <c r="AV564" s="2">
        <f ca="1">IF(LEFT(Y564,1)="L",RANDBETWEEN(500000,5000000),IF(LEFT(Y564,1)="C",RANDBETWEEN(5000,50000),IF(LEFT(Y564,1)="N",RANDBETWEEN(10000,150000),IF(LEFT(Y564,1)="J",RANDBETWEEN(8000,200000),RANDBETWEEN(5000,100000)))))</f>
        <v>44046</v>
      </c>
      <c r="AW564" s="2">
        <f ca="1">INT(AV564*RANDBETWEEN(30,60)/100)</f>
        <v>25987</v>
      </c>
      <c r="AX564">
        <f ca="1">IF(Z564="ORAL",RANDBETWEEN(1000,10000),IF(OR(Z564="INTRAVENOSA",Z564="INTRAMUSCULAR"),RANDBETWEEN(100,2000),IF(OR(Z564="OFTÁLMICA",Z564="TOPICA (EXTERNA)"),RANDBETWEEN(200,3000),RANDBETWEEN(100,1500))))</f>
        <v>7662</v>
      </c>
      <c r="AY564" s="2">
        <f ca="1">INT(AV564*RANDBETWEEN(90,130)/100)</f>
        <v>48010</v>
      </c>
      <c r="AZ564" t="str">
        <f t="shared" ca="1" si="43"/>
        <v>11.8%</v>
      </c>
      <c r="BA564" t="str">
        <f t="shared" ca="1" si="44"/>
        <v>ALTO</v>
      </c>
    </row>
    <row r="565" spans="4:53" x14ac:dyDescent="0.35">
      <c r="D565" t="s">
        <v>3876</v>
      </c>
      <c r="E565" s="1">
        <v>42823</v>
      </c>
      <c r="F565" t="s">
        <v>3877</v>
      </c>
      <c r="G565" t="s">
        <v>108</v>
      </c>
      <c r="H565" t="s">
        <v>3878</v>
      </c>
      <c r="I565">
        <v>20104270</v>
      </c>
      <c r="J565" t="s">
        <v>28</v>
      </c>
      <c r="K565">
        <v>4</v>
      </c>
      <c r="L565" t="s">
        <v>27</v>
      </c>
      <c r="M565" t="s">
        <v>3879</v>
      </c>
      <c r="N565" t="s">
        <v>3880</v>
      </c>
      <c r="O565" t="s">
        <v>3881</v>
      </c>
      <c r="P565" t="s">
        <v>181</v>
      </c>
      <c r="Q565" s="1">
        <v>42710</v>
      </c>
      <c r="R565" t="s">
        <v>37</v>
      </c>
      <c r="S565" t="s">
        <v>27</v>
      </c>
      <c r="T565" t="s">
        <v>3878</v>
      </c>
      <c r="U565" t="s">
        <v>115</v>
      </c>
      <c r="V565" t="s">
        <v>3882</v>
      </c>
      <c r="W565">
        <v>120</v>
      </c>
      <c r="X565">
        <v>20104270</v>
      </c>
      <c r="Y565" t="s">
        <v>3883</v>
      </c>
      <c r="Z565" t="s">
        <v>119</v>
      </c>
      <c r="AA565" t="s">
        <v>165</v>
      </c>
      <c r="AB565" t="s">
        <v>120</v>
      </c>
      <c r="AC565" t="s">
        <v>25</v>
      </c>
      <c r="AD565" t="s">
        <v>155</v>
      </c>
      <c r="AE565">
        <v>3</v>
      </c>
      <c r="AF565" t="s">
        <v>27</v>
      </c>
      <c r="AG565" t="s">
        <v>26</v>
      </c>
      <c r="AH565" t="s">
        <v>3882</v>
      </c>
      <c r="AI565" t="str">
        <f t="shared" si="40"/>
        <v>NO</v>
      </c>
      <c r="AJ565" t="str">
        <f t="shared" si="41"/>
        <v>BIOCHEM FARMACEUTICA DE COLOMBIAS.A.</v>
      </c>
      <c r="AK565" t="str">
        <f>IF(ISNUMBER(SEARCH("FABRICANTE",AC565)),"FABRICANTE",IF(ISNUMBER(SEARCH("IMPORTADOR",AC565)),"IMPORTADOR","OTRO"))</f>
        <v>FABRICANTE</v>
      </c>
      <c r="AL565" t="str">
        <f>IF(LEFT(Y565,1)="A","Sistema digestivo",IF(LEFT(Y565,1)="B","Sangre",IF(LEFT(Y565,1)="C","Cardiovascular",IF(LEFT(Y565,1)="D","Dermatológico",IF(LEFT(Y565,1)="G","Genitourinario",IF(LEFT(Y565,1)="H","Hormonal",IF(LEFT(Y565,1)="J","Antiinfecciosos",IF(LEFT(Y565,1)="L","Oncológicos",IF(LEFT(Y565,1)="M","Musculoesquelético",IF(LEFT(Y565,1)="N","Sistema nervioso",IF(LEFT(Y565,1)="R","Respiratorio",IF(LEFT(Y565,1)="S","Oftálmico",IF(LEFT(Y565,1)="V","Varios","OTRO")))))))))))))</f>
        <v>Sistema digestivo</v>
      </c>
      <c r="AM565" t="str">
        <f>IF(AG565="Vigente","ACTIVO",IF(ISNUMBER(SEARCH("Inactivo",J565)),"INACTIVO","REVISAR"))</f>
        <v>ACTIVO</v>
      </c>
      <c r="AN565" t="str">
        <f ca="1">IF(OR(AF565="",AF565="null"),"",ROUND((AF565-TODAY())/365.25,2))</f>
        <v/>
      </c>
      <c r="AO565" t="str">
        <f ca="1">IF(AND(AG565="Vigente",OR(AF565="",AF565="null",AF565&gt;TODAY())),"SI",IF(AND(NOT(OR(AF565="",AF565="null")),AF565&lt;=TODAY()),"NO",IF(AG565="Vigente","SI","DESCONOCIDO")))</f>
        <v>SI</v>
      </c>
      <c r="AP565" t="str">
        <f>IF(AND(ISNUMBER(SEARCH("IMPORTAR",AA565)),ISNUMBER(SEARCH("FABRICAR",AA565))),"MIXTO",IF(ISNUMBER(SEARCH("IMPORTAR",AA565)),"IMPORTADO",IF(ISNUMBER(SEARCH("FABRICAR",AA565)),"LOCAL","OTRO")))</f>
        <v>IMPORTADO</v>
      </c>
      <c r="AQ565" t="str">
        <f>IF(AD565="Si","SI",IF(AD565="No","NO",""))</f>
        <v>SI</v>
      </c>
      <c r="AR565" t="str">
        <f>IF(ISNUMBER(SEARCH("®",N565)),"MARCA/INNOVADOR","GENERICO")</f>
        <v>MARCA/INNOVADOR</v>
      </c>
      <c r="AS565">
        <f ca="1">IF(AE565&gt;100,RANDBETWEEN(500,5000),IF(AND(AE565&gt;=10,AE565&lt;=100),RANDBETWEEN(100,1000),RANDBETWEEN(10,200)))</f>
        <v>37</v>
      </c>
      <c r="AT565">
        <f t="shared" ca="1" si="42"/>
        <v>7</v>
      </c>
      <c r="AU565">
        <f ca="1">INT(AS565*RANDBETWEEN(120,200)/100)</f>
        <v>54</v>
      </c>
      <c r="AV565" s="2">
        <f ca="1">IF(LEFT(Y565,1)="L",RANDBETWEEN(500000,5000000),IF(LEFT(Y565,1)="C",RANDBETWEEN(5000,50000),IF(LEFT(Y565,1)="N",RANDBETWEEN(10000,150000),IF(LEFT(Y565,1)="J",RANDBETWEEN(8000,200000),RANDBETWEEN(5000,100000)))))</f>
        <v>20421</v>
      </c>
      <c r="AW565" s="2">
        <f ca="1">INT(AV565*RANDBETWEEN(30,60)/100)</f>
        <v>11027</v>
      </c>
      <c r="AX565">
        <f ca="1">IF(Z565="ORAL",RANDBETWEEN(1000,10000),IF(OR(Z565="INTRAVENOSA",Z565="INTRAMUSCULAR"),RANDBETWEEN(100,2000),IF(OR(Z565="OFTÁLMICA",Z565="TOPICA (EXTERNA)"),RANDBETWEEN(200,3000),RANDBETWEEN(100,1500))))</f>
        <v>1459</v>
      </c>
      <c r="AY565" s="2">
        <f ca="1">INT(AV565*RANDBETWEEN(90,130)/100)</f>
        <v>23484</v>
      </c>
      <c r="AZ565" t="str">
        <f t="shared" ca="1" si="43"/>
        <v>15.7%</v>
      </c>
      <c r="BA565" t="str">
        <f t="shared" ca="1" si="44"/>
        <v>BAJO</v>
      </c>
    </row>
    <row r="566" spans="4:53" x14ac:dyDescent="0.35">
      <c r="D566" t="s">
        <v>3884</v>
      </c>
      <c r="E566" s="1">
        <v>42293</v>
      </c>
      <c r="F566" t="s">
        <v>3885</v>
      </c>
      <c r="G566" t="s">
        <v>108</v>
      </c>
      <c r="H566" t="s">
        <v>639</v>
      </c>
      <c r="I566">
        <v>20077138</v>
      </c>
      <c r="J566" t="s">
        <v>28</v>
      </c>
      <c r="K566">
        <v>34</v>
      </c>
      <c r="L566" t="s">
        <v>3886</v>
      </c>
      <c r="M566" t="s">
        <v>1098</v>
      </c>
      <c r="N566" t="s">
        <v>1099</v>
      </c>
      <c r="O566" t="s">
        <v>3887</v>
      </c>
      <c r="P566" t="s">
        <v>3888</v>
      </c>
      <c r="Q566" s="1">
        <v>43542</v>
      </c>
      <c r="R566" t="s">
        <v>33</v>
      </c>
      <c r="S566" t="s">
        <v>27</v>
      </c>
      <c r="T566" t="s">
        <v>639</v>
      </c>
      <c r="U566" t="s">
        <v>115</v>
      </c>
      <c r="V566" t="s">
        <v>640</v>
      </c>
      <c r="W566">
        <v>3</v>
      </c>
      <c r="X566">
        <v>20077138</v>
      </c>
      <c r="Y566" t="s">
        <v>642</v>
      </c>
      <c r="Z566" t="s">
        <v>119</v>
      </c>
      <c r="AA566" t="s">
        <v>32</v>
      </c>
      <c r="AB566" t="s">
        <v>120</v>
      </c>
      <c r="AC566" t="s">
        <v>38</v>
      </c>
      <c r="AD566" t="s">
        <v>155</v>
      </c>
      <c r="AE566">
        <v>24</v>
      </c>
      <c r="AF566" s="1">
        <v>401769</v>
      </c>
      <c r="AG566" t="s">
        <v>26</v>
      </c>
      <c r="AH566" t="s">
        <v>3885</v>
      </c>
      <c r="AI566" t="str">
        <f t="shared" si="40"/>
        <v>NO</v>
      </c>
      <c r="AJ566" t="str">
        <f t="shared" si="41"/>
        <v>EXELTIS</v>
      </c>
      <c r="AK566" t="str">
        <f>IF(ISNUMBER(SEARCH("FABRICANTE",AC566)),"FABRICANTE",IF(ISNUMBER(SEARCH("IMPORTADOR",AC566)),"IMPORTADOR","OTRO"))</f>
        <v>IMPORTADOR</v>
      </c>
      <c r="AL566" t="str">
        <f>IF(LEFT(Y566,1)="A","Sistema digestivo",IF(LEFT(Y566,1)="B","Sangre",IF(LEFT(Y566,1)="C","Cardiovascular",IF(LEFT(Y566,1)="D","Dermatológico",IF(LEFT(Y566,1)="G","Genitourinario",IF(LEFT(Y566,1)="H","Hormonal",IF(LEFT(Y566,1)="J","Antiinfecciosos",IF(LEFT(Y566,1)="L","Oncológicos",IF(LEFT(Y566,1)="M","Musculoesquelético",IF(LEFT(Y566,1)="N","Sistema nervioso",IF(LEFT(Y566,1)="R","Respiratorio",IF(LEFT(Y566,1)="S","Oftálmico",IF(LEFT(Y566,1)="V","Varios","OTRO")))))))))))))</f>
        <v>Genitourinario</v>
      </c>
      <c r="AM566" t="str">
        <f>IF(AG566="Vigente","ACTIVO",IF(ISNUMBER(SEARCH("Inactivo",J566)),"INACTIVO","REVISAR"))</f>
        <v>ACTIVO</v>
      </c>
      <c r="AN566">
        <f ca="1">IF(OR(AF566="",AF566="null"),"",ROUND((AF566-TODAY())/365.25,2))</f>
        <v>973.58</v>
      </c>
      <c r="AO566" t="str">
        <f ca="1">IF(AND(AG566="Vigente",OR(AF566="",AF566="null",AF566&gt;TODAY())),"SI",IF(AND(NOT(OR(AF566="",AF566="null")),AF566&lt;=TODAY()),"NO",IF(AG566="Vigente","SI","DESCONOCIDO")))</f>
        <v>SI</v>
      </c>
      <c r="AP566" t="str">
        <f>IF(AND(ISNUMBER(SEARCH("IMPORTAR",AA566)),ISNUMBER(SEARCH("FABRICAR",AA566))),"MIXTO",IF(ISNUMBER(SEARCH("IMPORTAR",AA566)),"IMPORTADO",IF(ISNUMBER(SEARCH("FABRICAR",AA566)),"LOCAL","OTRO")))</f>
        <v>IMPORTADO</v>
      </c>
      <c r="AQ566" t="str">
        <f>IF(AD566="Si","SI",IF(AD566="No","NO",""))</f>
        <v>SI</v>
      </c>
      <c r="AR566" t="str">
        <f>IF(ISNUMBER(SEARCH("®",N566)),"MARCA/INNOVADOR","GENERICO")</f>
        <v>GENERICO</v>
      </c>
      <c r="AS566">
        <f ca="1">IF(AE566&gt;100,RANDBETWEEN(500,5000),IF(AND(AE566&gt;=10,AE566&lt;=100),RANDBETWEEN(100,1000),RANDBETWEEN(10,200)))</f>
        <v>336</v>
      </c>
      <c r="AT566">
        <f t="shared" ca="1" si="42"/>
        <v>70</v>
      </c>
      <c r="AU566">
        <f ca="1">INT(AS566*RANDBETWEEN(120,200)/100)</f>
        <v>604</v>
      </c>
      <c r="AV566" s="2">
        <f ca="1">IF(LEFT(Y566,1)="L",RANDBETWEEN(500000,5000000),IF(LEFT(Y566,1)="C",RANDBETWEEN(5000,50000),IF(LEFT(Y566,1)="N",RANDBETWEEN(10000,150000),IF(LEFT(Y566,1)="J",RANDBETWEEN(8000,200000),RANDBETWEEN(5000,100000)))))</f>
        <v>41481</v>
      </c>
      <c r="AW566" s="2">
        <f ca="1">INT(AV566*RANDBETWEEN(30,60)/100)</f>
        <v>13273</v>
      </c>
      <c r="AX566">
        <f ca="1">IF(Z566="ORAL",RANDBETWEEN(1000,10000),IF(OR(Z566="INTRAVENOSA",Z566="INTRAMUSCULAR"),RANDBETWEEN(100,2000),IF(OR(Z566="OFTÁLMICA",Z566="TOPICA (EXTERNA)"),RANDBETWEEN(200,3000),RANDBETWEEN(100,1500))))</f>
        <v>5350</v>
      </c>
      <c r="AY566" s="2">
        <f ca="1">INT(AV566*RANDBETWEEN(90,130)/100)</f>
        <v>38162</v>
      </c>
      <c r="AZ566" t="str">
        <f t="shared" ca="1" si="43"/>
        <v>23.9%</v>
      </c>
      <c r="BA566" t="str">
        <f t="shared" ca="1" si="44"/>
        <v>BAJO</v>
      </c>
    </row>
    <row r="567" spans="4:53" x14ac:dyDescent="0.35">
      <c r="D567" t="s">
        <v>3889</v>
      </c>
      <c r="E567" s="1">
        <v>40422</v>
      </c>
      <c r="F567" t="s">
        <v>3890</v>
      </c>
      <c r="G567" t="s">
        <v>108</v>
      </c>
      <c r="H567" t="s">
        <v>158</v>
      </c>
      <c r="I567">
        <v>20012577</v>
      </c>
      <c r="J567" t="s">
        <v>28</v>
      </c>
      <c r="K567">
        <v>28</v>
      </c>
      <c r="L567" t="s">
        <v>27</v>
      </c>
      <c r="M567" t="s">
        <v>3891</v>
      </c>
      <c r="N567" t="s">
        <v>3892</v>
      </c>
      <c r="O567" t="s">
        <v>3893</v>
      </c>
      <c r="P567" t="s">
        <v>3894</v>
      </c>
      <c r="Q567" s="1">
        <v>43630</v>
      </c>
      <c r="R567" t="s">
        <v>3894</v>
      </c>
      <c r="S567" t="s">
        <v>27</v>
      </c>
      <c r="T567" t="s">
        <v>80</v>
      </c>
      <c r="U567" t="s">
        <v>807</v>
      </c>
      <c r="V567" t="s">
        <v>3895</v>
      </c>
      <c r="W567">
        <v>50</v>
      </c>
      <c r="X567">
        <v>20012577</v>
      </c>
      <c r="Y567" t="s">
        <v>3896</v>
      </c>
      <c r="Z567" t="s">
        <v>1305</v>
      </c>
      <c r="AA567" t="s">
        <v>24</v>
      </c>
      <c r="AB567" t="s">
        <v>120</v>
      </c>
      <c r="AC567" t="s">
        <v>25</v>
      </c>
      <c r="AD567" t="s">
        <v>121</v>
      </c>
      <c r="AE567">
        <v>200</v>
      </c>
      <c r="AF567" t="s">
        <v>27</v>
      </c>
      <c r="AG567" t="s">
        <v>26</v>
      </c>
      <c r="AH567" t="s">
        <v>6674</v>
      </c>
      <c r="AI567" t="str">
        <f t="shared" si="40"/>
        <v>NO</v>
      </c>
      <c r="AJ567" t="str">
        <f t="shared" si="41"/>
        <v>TECNOQUIMICAS</v>
      </c>
      <c r="AK567" t="str">
        <f>IF(ISNUMBER(SEARCH("FABRICANTE",AC567)),"FABRICANTE",IF(ISNUMBER(SEARCH("IMPORTADOR",AC567)),"IMPORTADOR","OTRO"))</f>
        <v>FABRICANTE</v>
      </c>
      <c r="AL567" t="str">
        <f>IF(LEFT(Y567,1)="A","Sistema digestivo",IF(LEFT(Y567,1)="B","Sangre",IF(LEFT(Y567,1)="C","Cardiovascular",IF(LEFT(Y567,1)="D","Dermatológico",IF(LEFT(Y567,1)="G","Genitourinario",IF(LEFT(Y567,1)="H","Hormonal",IF(LEFT(Y567,1)="J","Antiinfecciosos",IF(LEFT(Y567,1)="L","Oncológicos",IF(LEFT(Y567,1)="M","Musculoesquelético",IF(LEFT(Y567,1)="N","Sistema nervioso",IF(LEFT(Y567,1)="R","Respiratorio",IF(LEFT(Y567,1)="S","Oftálmico",IF(LEFT(Y567,1)="V","Varios","OTRO")))))))))))))</f>
        <v>Genitourinario</v>
      </c>
      <c r="AM567" t="str">
        <f>IF(AG567="Vigente","ACTIVO",IF(ISNUMBER(SEARCH("Inactivo",J567)),"INACTIVO","REVISAR"))</f>
        <v>ACTIVO</v>
      </c>
      <c r="AN567" t="str">
        <f ca="1">IF(OR(AF567="",AF567="null"),"",ROUND((AF567-TODAY())/365.25,2))</f>
        <v/>
      </c>
      <c r="AO567" t="str">
        <f ca="1">IF(AND(AG567="Vigente",OR(AF567="",AF567="null",AF567&gt;TODAY())),"SI",IF(AND(NOT(OR(AF567="",AF567="null")),AF567&lt;=TODAY()),"NO",IF(AG567="Vigente","SI","DESCONOCIDO")))</f>
        <v>SI</v>
      </c>
      <c r="AP567" t="str">
        <f>IF(AND(ISNUMBER(SEARCH("IMPORTAR",AA567)),ISNUMBER(SEARCH("FABRICAR",AA567))),"MIXTO",IF(ISNUMBER(SEARCH("IMPORTAR",AA567)),"IMPORTADO",IF(ISNUMBER(SEARCH("FABRICAR",AA567)),"LOCAL","OTRO")))</f>
        <v>LOCAL</v>
      </c>
      <c r="AQ567" t="str">
        <f>IF(AD567="Si","SI",IF(AD567="No","NO",""))</f>
        <v>NO</v>
      </c>
      <c r="AR567" t="str">
        <f>IF(ISNUMBER(SEARCH("®",N567)),"MARCA/INNOVADOR","GENERICO")</f>
        <v>GENERICO</v>
      </c>
      <c r="AS567">
        <f ca="1">IF(AE567&gt;100,RANDBETWEEN(500,5000),IF(AND(AE567&gt;=10,AE567&lt;=100),RANDBETWEEN(100,1000),RANDBETWEEN(10,200)))</f>
        <v>3865</v>
      </c>
      <c r="AT567">
        <f t="shared" ca="1" si="42"/>
        <v>425</v>
      </c>
      <c r="AU567">
        <f ca="1">INT(AS567*RANDBETWEEN(120,200)/100)</f>
        <v>4676</v>
      </c>
      <c r="AV567" s="2">
        <f ca="1">IF(LEFT(Y567,1)="L",RANDBETWEEN(500000,5000000),IF(LEFT(Y567,1)="C",RANDBETWEEN(5000,50000),IF(LEFT(Y567,1)="N",RANDBETWEEN(10000,150000),IF(LEFT(Y567,1)="J",RANDBETWEEN(8000,200000),RANDBETWEEN(5000,100000)))))</f>
        <v>17602</v>
      </c>
      <c r="AW567" s="2">
        <f ca="1">INT(AV567*RANDBETWEEN(30,60)/100)</f>
        <v>9153</v>
      </c>
      <c r="AX567">
        <f ca="1">IF(Z567="ORAL",RANDBETWEEN(1000,10000),IF(OR(Z567="INTRAVENOSA",Z567="INTRAMUSCULAR"),RANDBETWEEN(100,2000),IF(OR(Z567="OFTÁLMICA",Z567="TOPICA (EXTERNA)"),RANDBETWEEN(200,3000),RANDBETWEEN(100,1500))))</f>
        <v>943</v>
      </c>
      <c r="AY567" s="2">
        <f ca="1">INT(AV567*RANDBETWEEN(90,130)/100)</f>
        <v>19362</v>
      </c>
      <c r="AZ567" t="str">
        <f t="shared" ca="1" si="43"/>
        <v>4.3%</v>
      </c>
      <c r="BA567" t="str">
        <f t="shared" ca="1" si="44"/>
        <v>BAJO</v>
      </c>
    </row>
    <row r="568" spans="4:53" x14ac:dyDescent="0.35">
      <c r="D568" t="s">
        <v>3897</v>
      </c>
      <c r="E568" s="1">
        <v>41432</v>
      </c>
      <c r="F568" t="s">
        <v>2091</v>
      </c>
      <c r="G568" t="s">
        <v>108</v>
      </c>
      <c r="H568" t="s">
        <v>3898</v>
      </c>
      <c r="I568">
        <v>19997350</v>
      </c>
      <c r="J568" t="s">
        <v>28</v>
      </c>
      <c r="K568">
        <v>1</v>
      </c>
      <c r="L568" t="s">
        <v>27</v>
      </c>
      <c r="M568" t="s">
        <v>3899</v>
      </c>
      <c r="N568" t="s">
        <v>3900</v>
      </c>
      <c r="O568" t="s">
        <v>3901</v>
      </c>
      <c r="P568" t="s">
        <v>2097</v>
      </c>
      <c r="Q568" s="1">
        <v>39756</v>
      </c>
      <c r="R568" t="s">
        <v>459</v>
      </c>
      <c r="S568" t="s">
        <v>27</v>
      </c>
      <c r="T568" t="s">
        <v>1477</v>
      </c>
      <c r="U568" t="s">
        <v>247</v>
      </c>
      <c r="V568" t="s">
        <v>3902</v>
      </c>
      <c r="W568">
        <v>2</v>
      </c>
      <c r="X568">
        <v>19997350</v>
      </c>
      <c r="Y568" t="s">
        <v>3903</v>
      </c>
      <c r="Z568" t="s">
        <v>119</v>
      </c>
      <c r="AA568" t="s">
        <v>24</v>
      </c>
      <c r="AB568" t="s">
        <v>250</v>
      </c>
      <c r="AC568" t="s">
        <v>25</v>
      </c>
      <c r="AD568" t="s">
        <v>121</v>
      </c>
      <c r="AE568">
        <v>1</v>
      </c>
      <c r="AF568" t="s">
        <v>27</v>
      </c>
      <c r="AG568" t="s">
        <v>26</v>
      </c>
      <c r="AH568" t="s">
        <v>6768</v>
      </c>
      <c r="AI568" t="str">
        <f t="shared" si="40"/>
        <v>NO</v>
      </c>
      <c r="AJ568" t="str">
        <f t="shared" si="41"/>
        <v>MEMPHIS PRODUCTS</v>
      </c>
      <c r="AK568" t="str">
        <f>IF(ISNUMBER(SEARCH("FABRICANTE",AC568)),"FABRICANTE",IF(ISNUMBER(SEARCH("IMPORTADOR",AC568)),"IMPORTADOR","OTRO"))</f>
        <v>FABRICANTE</v>
      </c>
      <c r="AL568" t="str">
        <f>IF(LEFT(Y568,1)="A","Sistema digestivo",IF(LEFT(Y568,1)="B","Sangre",IF(LEFT(Y568,1)="C","Cardiovascular",IF(LEFT(Y568,1)="D","Dermatológico",IF(LEFT(Y568,1)="G","Genitourinario",IF(LEFT(Y568,1)="H","Hormonal",IF(LEFT(Y568,1)="J","Antiinfecciosos",IF(LEFT(Y568,1)="L","Oncológicos",IF(LEFT(Y568,1)="M","Musculoesquelético",IF(LEFT(Y568,1)="N","Sistema nervioso",IF(LEFT(Y568,1)="R","Respiratorio",IF(LEFT(Y568,1)="S","Oftálmico",IF(LEFT(Y568,1)="V","Varios","OTRO")))))))))))))</f>
        <v>Respiratorio</v>
      </c>
      <c r="AM568" t="str">
        <f>IF(AG568="Vigente","ACTIVO",IF(ISNUMBER(SEARCH("Inactivo",J568)),"INACTIVO","REVISAR"))</f>
        <v>ACTIVO</v>
      </c>
      <c r="AN568" t="str">
        <f ca="1">IF(OR(AF568="",AF568="null"),"",ROUND((AF568-TODAY())/365.25,2))</f>
        <v/>
      </c>
      <c r="AO568" t="str">
        <f ca="1">IF(AND(AG568="Vigente",OR(AF568="",AF568="null",AF568&gt;TODAY())),"SI",IF(AND(NOT(OR(AF568="",AF568="null")),AF568&lt;=TODAY()),"NO",IF(AG568="Vigente","SI","DESCONOCIDO")))</f>
        <v>SI</v>
      </c>
      <c r="AP568" t="str">
        <f>IF(AND(ISNUMBER(SEARCH("IMPORTAR",AA568)),ISNUMBER(SEARCH("FABRICAR",AA568))),"MIXTO",IF(ISNUMBER(SEARCH("IMPORTAR",AA568)),"IMPORTADO",IF(ISNUMBER(SEARCH("FABRICAR",AA568)),"LOCAL","OTRO")))</f>
        <v>LOCAL</v>
      </c>
      <c r="AQ568" t="str">
        <f>IF(AD568="Si","SI",IF(AD568="No","NO",""))</f>
        <v>NO</v>
      </c>
      <c r="AR568" t="str">
        <f>IF(ISNUMBER(SEARCH("®",N568)),"MARCA/INNOVADOR","GENERICO")</f>
        <v>GENERICO</v>
      </c>
      <c r="AS568">
        <f ca="1">IF(AE568&gt;100,RANDBETWEEN(500,5000),IF(AND(AE568&gt;=10,AE568&lt;=100),RANDBETWEEN(100,1000),RANDBETWEEN(10,200)))</f>
        <v>199</v>
      </c>
      <c r="AT568">
        <f t="shared" ca="1" si="42"/>
        <v>41</v>
      </c>
      <c r="AU568">
        <f ca="1">INT(AS568*RANDBETWEEN(120,200)/100)</f>
        <v>398</v>
      </c>
      <c r="AV568" s="2">
        <f ca="1">IF(LEFT(Y568,1)="L",RANDBETWEEN(500000,5000000),IF(LEFT(Y568,1)="C",RANDBETWEEN(5000,50000),IF(LEFT(Y568,1)="N",RANDBETWEEN(10000,150000),IF(LEFT(Y568,1)="J",RANDBETWEEN(8000,200000),RANDBETWEEN(5000,100000)))))</f>
        <v>36465</v>
      </c>
      <c r="AW568" s="2">
        <f ca="1">INT(AV568*RANDBETWEEN(30,60)/100)</f>
        <v>14221</v>
      </c>
      <c r="AX568">
        <f ca="1">IF(Z568="ORAL",RANDBETWEEN(1000,10000),IF(OR(Z568="INTRAVENOSA",Z568="INTRAMUSCULAR"),RANDBETWEEN(100,2000),IF(OR(Z568="OFTÁLMICA",Z568="TOPICA (EXTERNA)"),RANDBETWEEN(200,3000),RANDBETWEEN(100,1500))))</f>
        <v>4326</v>
      </c>
      <c r="AY568" s="2">
        <f ca="1">INT(AV568*RANDBETWEEN(90,130)/100)</f>
        <v>40840</v>
      </c>
      <c r="AZ568" t="str">
        <f t="shared" ca="1" si="43"/>
        <v>21.2%</v>
      </c>
      <c r="BA568" t="str">
        <f t="shared" ca="1" si="44"/>
        <v>BAJO</v>
      </c>
    </row>
    <row r="569" spans="4:53" x14ac:dyDescent="0.35">
      <c r="D569" t="s">
        <v>3904</v>
      </c>
      <c r="E569" s="1">
        <v>43091</v>
      </c>
      <c r="F569" t="s">
        <v>2830</v>
      </c>
      <c r="G569" t="s">
        <v>108</v>
      </c>
      <c r="H569" t="s">
        <v>454</v>
      </c>
      <c r="I569">
        <v>20127891</v>
      </c>
      <c r="J569" t="s">
        <v>28</v>
      </c>
      <c r="K569">
        <v>22</v>
      </c>
      <c r="L569" t="s">
        <v>27</v>
      </c>
      <c r="M569" t="s">
        <v>2831</v>
      </c>
      <c r="N569" t="s">
        <v>2832</v>
      </c>
      <c r="O569" t="s">
        <v>3905</v>
      </c>
      <c r="P569" t="s">
        <v>2834</v>
      </c>
      <c r="Q569" s="1">
        <v>43249</v>
      </c>
      <c r="R569" t="s">
        <v>527</v>
      </c>
      <c r="S569" t="s">
        <v>27</v>
      </c>
      <c r="T569" t="s">
        <v>1784</v>
      </c>
      <c r="U569" t="s">
        <v>115</v>
      </c>
      <c r="V569" t="s">
        <v>933</v>
      </c>
      <c r="W569">
        <v>500</v>
      </c>
      <c r="X569">
        <v>20127891</v>
      </c>
      <c r="Y569" t="s">
        <v>934</v>
      </c>
      <c r="Z569" t="s">
        <v>119</v>
      </c>
      <c r="AA569" t="s">
        <v>24</v>
      </c>
      <c r="AB569" t="s">
        <v>120</v>
      </c>
      <c r="AC569" t="s">
        <v>25</v>
      </c>
      <c r="AD569" t="s">
        <v>121</v>
      </c>
      <c r="AE569">
        <v>100</v>
      </c>
      <c r="AF569" t="s">
        <v>27</v>
      </c>
      <c r="AG569" t="s">
        <v>26</v>
      </c>
      <c r="AH569" t="s">
        <v>6741</v>
      </c>
      <c r="AI569" t="str">
        <f t="shared" si="40"/>
        <v>NO</v>
      </c>
      <c r="AJ569" t="str">
        <f t="shared" si="41"/>
        <v>COLMED</v>
      </c>
      <c r="AK569" t="str">
        <f>IF(ISNUMBER(SEARCH("FABRICANTE",AC569)),"FABRICANTE",IF(ISNUMBER(SEARCH("IMPORTADOR",AC569)),"IMPORTADOR","OTRO"))</f>
        <v>FABRICANTE</v>
      </c>
      <c r="AL569" t="str">
        <f>IF(LEFT(Y569,1)="A","Sistema digestivo",IF(LEFT(Y569,1)="B","Sangre",IF(LEFT(Y569,1)="C","Cardiovascular",IF(LEFT(Y569,1)="D","Dermatológico",IF(LEFT(Y569,1)="G","Genitourinario",IF(LEFT(Y569,1)="H","Hormonal",IF(LEFT(Y569,1)="J","Antiinfecciosos",IF(LEFT(Y569,1)="L","Oncológicos",IF(LEFT(Y569,1)="M","Musculoesquelético",IF(LEFT(Y569,1)="N","Sistema nervioso",IF(LEFT(Y569,1)="R","Respiratorio",IF(LEFT(Y569,1)="S","Oftálmico",IF(LEFT(Y569,1)="V","Varios","OTRO")))))))))))))</f>
        <v>Sistema digestivo</v>
      </c>
      <c r="AM569" t="str">
        <f>IF(AG569="Vigente","ACTIVO",IF(ISNUMBER(SEARCH("Inactivo",J569)),"INACTIVO","REVISAR"))</f>
        <v>ACTIVO</v>
      </c>
      <c r="AN569" t="str">
        <f ca="1">IF(OR(AF569="",AF569="null"),"",ROUND((AF569-TODAY())/365.25,2))</f>
        <v/>
      </c>
      <c r="AO569" t="str">
        <f ca="1">IF(AND(AG569="Vigente",OR(AF569="",AF569="null",AF569&gt;TODAY())),"SI",IF(AND(NOT(OR(AF569="",AF569="null")),AF569&lt;=TODAY()),"NO",IF(AG569="Vigente","SI","DESCONOCIDO")))</f>
        <v>SI</v>
      </c>
      <c r="AP569" t="str">
        <f>IF(AND(ISNUMBER(SEARCH("IMPORTAR",AA569)),ISNUMBER(SEARCH("FABRICAR",AA569))),"MIXTO",IF(ISNUMBER(SEARCH("IMPORTAR",AA569)),"IMPORTADO",IF(ISNUMBER(SEARCH("FABRICAR",AA569)),"LOCAL","OTRO")))</f>
        <v>LOCAL</v>
      </c>
      <c r="AQ569" t="str">
        <f>IF(AD569="Si","SI",IF(AD569="No","NO",""))</f>
        <v>NO</v>
      </c>
      <c r="AR569" t="str">
        <f>IF(ISNUMBER(SEARCH("®",N569)),"MARCA/INNOVADOR","GENERICO")</f>
        <v>GENERICO</v>
      </c>
      <c r="AS569">
        <f ca="1">IF(AE569&gt;100,RANDBETWEEN(500,5000),IF(AND(AE569&gt;=10,AE569&lt;=100),RANDBETWEEN(100,1000),RANDBETWEEN(10,200)))</f>
        <v>570</v>
      </c>
      <c r="AT569">
        <f t="shared" ca="1" si="42"/>
        <v>136</v>
      </c>
      <c r="AU569">
        <f ca="1">INT(AS569*RANDBETWEEN(120,200)/100)</f>
        <v>1008</v>
      </c>
      <c r="AV569" s="2">
        <f ca="1">IF(LEFT(Y569,1)="L",RANDBETWEEN(500000,5000000),IF(LEFT(Y569,1)="C",RANDBETWEEN(5000,50000),IF(LEFT(Y569,1)="N",RANDBETWEEN(10000,150000),IF(LEFT(Y569,1)="J",RANDBETWEEN(8000,200000),RANDBETWEEN(5000,100000)))))</f>
        <v>80482</v>
      </c>
      <c r="AW569" s="2">
        <f ca="1">INT(AV569*RANDBETWEEN(30,60)/100)</f>
        <v>39436</v>
      </c>
      <c r="AX569">
        <f ca="1">IF(Z569="ORAL",RANDBETWEEN(1000,10000),IF(OR(Z569="INTRAVENOSA",Z569="INTRAMUSCULAR"),RANDBETWEEN(100,2000),IF(OR(Z569="OFTÁLMICA",Z569="TOPICA (EXTERNA)"),RANDBETWEEN(200,3000),RANDBETWEEN(100,1500))))</f>
        <v>7750</v>
      </c>
      <c r="AY569" s="2">
        <f ca="1">INT(AV569*RANDBETWEEN(90,130)/100)</f>
        <v>86920</v>
      </c>
      <c r="AZ569" t="str">
        <f t="shared" ca="1" si="43"/>
        <v>7.7%</v>
      </c>
      <c r="BA569" t="str">
        <f t="shared" ca="1" si="44"/>
        <v>BAJO</v>
      </c>
    </row>
    <row r="570" spans="4:53" x14ac:dyDescent="0.35">
      <c r="D570" t="s">
        <v>3906</v>
      </c>
      <c r="E570" s="1">
        <v>39966</v>
      </c>
      <c r="F570" t="s">
        <v>324</v>
      </c>
      <c r="G570" t="s">
        <v>108</v>
      </c>
      <c r="H570" t="s">
        <v>710</v>
      </c>
      <c r="I570">
        <v>19999985</v>
      </c>
      <c r="J570" t="s">
        <v>28</v>
      </c>
      <c r="K570">
        <v>5</v>
      </c>
      <c r="L570" t="s">
        <v>27</v>
      </c>
      <c r="M570" t="s">
        <v>3907</v>
      </c>
      <c r="N570" t="s">
        <v>3908</v>
      </c>
      <c r="O570" t="s">
        <v>3909</v>
      </c>
      <c r="P570" t="s">
        <v>659</v>
      </c>
      <c r="Q570" s="1">
        <v>42818</v>
      </c>
      <c r="R570" t="s">
        <v>37</v>
      </c>
      <c r="S570" t="s">
        <v>27</v>
      </c>
      <c r="T570" t="s">
        <v>464</v>
      </c>
      <c r="U570" t="s">
        <v>115</v>
      </c>
      <c r="V570" t="s">
        <v>995</v>
      </c>
      <c r="W570">
        <v>50</v>
      </c>
      <c r="X570">
        <v>19999985</v>
      </c>
      <c r="Y570" t="s">
        <v>996</v>
      </c>
      <c r="Z570" t="s">
        <v>119</v>
      </c>
      <c r="AA570" t="s">
        <v>24</v>
      </c>
      <c r="AB570" t="s">
        <v>120</v>
      </c>
      <c r="AC570" t="s">
        <v>25</v>
      </c>
      <c r="AD570" t="s">
        <v>155</v>
      </c>
      <c r="AE570">
        <v>30</v>
      </c>
      <c r="AF570" t="s">
        <v>27</v>
      </c>
      <c r="AG570" t="s">
        <v>26</v>
      </c>
      <c r="AH570" t="s">
        <v>324</v>
      </c>
      <c r="AI570" t="str">
        <f t="shared" si="40"/>
        <v>NO</v>
      </c>
      <c r="AJ570" t="str">
        <f t="shared" si="41"/>
        <v>MEGALABS COLOMBIA</v>
      </c>
      <c r="AK570" t="str">
        <f>IF(ISNUMBER(SEARCH("FABRICANTE",AC570)),"FABRICANTE",IF(ISNUMBER(SEARCH("IMPORTADOR",AC570)),"IMPORTADOR","OTRO"))</f>
        <v>FABRICANTE</v>
      </c>
      <c r="AL570" t="str">
        <f>IF(LEFT(Y570,1)="A","Sistema digestivo",IF(LEFT(Y570,1)="B","Sangre",IF(LEFT(Y570,1)="C","Cardiovascular",IF(LEFT(Y570,1)="D","Dermatológico",IF(LEFT(Y570,1)="G","Genitourinario",IF(LEFT(Y570,1)="H","Hormonal",IF(LEFT(Y570,1)="J","Antiinfecciosos",IF(LEFT(Y570,1)="L","Oncológicos",IF(LEFT(Y570,1)="M","Musculoesquelético",IF(LEFT(Y570,1)="N","Sistema nervioso",IF(LEFT(Y570,1)="R","Respiratorio",IF(LEFT(Y570,1)="S","Oftálmico",IF(LEFT(Y570,1)="V","Varios","OTRO")))))))))))))</f>
        <v>Cardiovascular</v>
      </c>
      <c r="AM570" t="str">
        <f>IF(AG570="Vigente","ACTIVO",IF(ISNUMBER(SEARCH("Inactivo",J570)),"INACTIVO","REVISAR"))</f>
        <v>ACTIVO</v>
      </c>
      <c r="AN570" t="str">
        <f ca="1">IF(OR(AF570="",AF570="null"),"",ROUND((AF570-TODAY())/365.25,2))</f>
        <v/>
      </c>
      <c r="AO570" t="str">
        <f ca="1">IF(AND(AG570="Vigente",OR(AF570="",AF570="null",AF570&gt;TODAY())),"SI",IF(AND(NOT(OR(AF570="",AF570="null")),AF570&lt;=TODAY()),"NO",IF(AG570="Vigente","SI","DESCONOCIDO")))</f>
        <v>SI</v>
      </c>
      <c r="AP570" t="str">
        <f>IF(AND(ISNUMBER(SEARCH("IMPORTAR",AA570)),ISNUMBER(SEARCH("FABRICAR",AA570))),"MIXTO",IF(ISNUMBER(SEARCH("IMPORTAR",AA570)),"IMPORTADO",IF(ISNUMBER(SEARCH("FABRICAR",AA570)),"LOCAL","OTRO")))</f>
        <v>LOCAL</v>
      </c>
      <c r="AQ570" t="str">
        <f>IF(AD570="Si","SI",IF(AD570="No","NO",""))</f>
        <v>SI</v>
      </c>
      <c r="AR570" t="str">
        <f>IF(ISNUMBER(SEARCH("®",N570)),"MARCA/INNOVADOR","GENERICO")</f>
        <v>MARCA/INNOVADOR</v>
      </c>
      <c r="AS570">
        <f ca="1">IF(AE570&gt;100,RANDBETWEEN(500,5000),IF(AND(AE570&gt;=10,AE570&lt;=100),RANDBETWEEN(100,1000),RANDBETWEEN(10,200)))</f>
        <v>778</v>
      </c>
      <c r="AT570">
        <f t="shared" ca="1" si="42"/>
        <v>171</v>
      </c>
      <c r="AU570">
        <f ca="1">INT(AS570*RANDBETWEEN(120,200)/100)</f>
        <v>1524</v>
      </c>
      <c r="AV570" s="2">
        <f ca="1">IF(LEFT(Y570,1)="L",RANDBETWEEN(500000,5000000),IF(LEFT(Y570,1)="C",RANDBETWEEN(5000,50000),IF(LEFT(Y570,1)="N",RANDBETWEEN(10000,150000),IF(LEFT(Y570,1)="J",RANDBETWEEN(8000,200000),RANDBETWEEN(5000,100000)))))</f>
        <v>7527</v>
      </c>
      <c r="AW570" s="2">
        <f ca="1">INT(AV570*RANDBETWEEN(30,60)/100)</f>
        <v>3010</v>
      </c>
      <c r="AX570">
        <f ca="1">IF(Z570="ORAL",RANDBETWEEN(1000,10000),IF(OR(Z570="INTRAVENOSA",Z570="INTRAMUSCULAR"),RANDBETWEEN(100,2000),IF(OR(Z570="OFTÁLMICA",Z570="TOPICA (EXTERNA)"),RANDBETWEEN(200,3000),RANDBETWEEN(100,1500))))</f>
        <v>3032</v>
      </c>
      <c r="AY570" s="2">
        <f ca="1">INT(AV570*RANDBETWEEN(90,130)/100)</f>
        <v>9709</v>
      </c>
      <c r="AZ570" t="str">
        <f t="shared" ca="1" si="43"/>
        <v>12.8%</v>
      </c>
      <c r="BA570" t="str">
        <f t="shared" ca="1" si="44"/>
        <v>BAJO</v>
      </c>
    </row>
    <row r="571" spans="4:53" x14ac:dyDescent="0.35">
      <c r="D571" t="s">
        <v>3910</v>
      </c>
      <c r="E571" s="1">
        <v>44438</v>
      </c>
      <c r="F571" t="s">
        <v>3911</v>
      </c>
      <c r="G571" t="s">
        <v>108</v>
      </c>
      <c r="H571" t="s">
        <v>481</v>
      </c>
      <c r="I571">
        <v>20166381</v>
      </c>
      <c r="J571" t="s">
        <v>28</v>
      </c>
      <c r="K571">
        <v>2</v>
      </c>
      <c r="L571" t="s">
        <v>3912</v>
      </c>
      <c r="M571" t="s">
        <v>3913</v>
      </c>
      <c r="N571" t="s">
        <v>3914</v>
      </c>
      <c r="O571" t="s">
        <v>3915</v>
      </c>
      <c r="P571" t="s">
        <v>234</v>
      </c>
      <c r="Q571" s="1">
        <v>44407</v>
      </c>
      <c r="R571" t="s">
        <v>50</v>
      </c>
      <c r="S571" t="s">
        <v>27</v>
      </c>
      <c r="T571" t="s">
        <v>487</v>
      </c>
      <c r="U571" t="s">
        <v>115</v>
      </c>
      <c r="V571" t="s">
        <v>3911</v>
      </c>
      <c r="W571">
        <v>90</v>
      </c>
      <c r="X571">
        <v>20166381</v>
      </c>
      <c r="Y571" t="s">
        <v>3916</v>
      </c>
      <c r="Z571" t="s">
        <v>132</v>
      </c>
      <c r="AA571" t="s">
        <v>32</v>
      </c>
      <c r="AB571" t="s">
        <v>239</v>
      </c>
      <c r="AC571" t="s">
        <v>38</v>
      </c>
      <c r="AD571" t="s">
        <v>155</v>
      </c>
      <c r="AE571">
        <v>2</v>
      </c>
      <c r="AF571" t="s">
        <v>27</v>
      </c>
      <c r="AG571" t="s">
        <v>26</v>
      </c>
      <c r="AH571" t="s">
        <v>3911</v>
      </c>
      <c r="AI571" t="str">
        <f t="shared" si="40"/>
        <v>NO</v>
      </c>
      <c r="AJ571" t="str">
        <f t="shared" si="41"/>
        <v>AMGEN MANUFACTURING</v>
      </c>
      <c r="AK571" t="str">
        <f>IF(ISNUMBER(SEARCH("FABRICANTE",AC571)),"FABRICANTE",IF(ISNUMBER(SEARCH("IMPORTADOR",AC571)),"IMPORTADOR","OTRO"))</f>
        <v>IMPORTADOR</v>
      </c>
      <c r="AL571" t="str">
        <f>IF(LEFT(Y571,1)="A","Sistema digestivo",IF(LEFT(Y571,1)="B","Sangre",IF(LEFT(Y571,1)="C","Cardiovascular",IF(LEFT(Y571,1)="D","Dermatológico",IF(LEFT(Y571,1)="G","Genitourinario",IF(LEFT(Y571,1)="H","Hormonal",IF(LEFT(Y571,1)="J","Antiinfecciosos",IF(LEFT(Y571,1)="L","Oncológicos",IF(LEFT(Y571,1)="M","Musculoesquelético",IF(LEFT(Y571,1)="N","Sistema nervioso",IF(LEFT(Y571,1)="R","Respiratorio",IF(LEFT(Y571,1)="S","Oftálmico",IF(LEFT(Y571,1)="V","Varios","OTRO")))))))))))))</f>
        <v>Musculoesquelético</v>
      </c>
      <c r="AM571" t="str">
        <f>IF(AG571="Vigente","ACTIVO",IF(ISNUMBER(SEARCH("Inactivo",J571)),"INACTIVO","REVISAR"))</f>
        <v>ACTIVO</v>
      </c>
      <c r="AN571" t="str">
        <f ca="1">IF(OR(AF571="",AF571="null"),"",ROUND((AF571-TODAY())/365.25,2))</f>
        <v/>
      </c>
      <c r="AO571" t="str">
        <f ca="1">IF(AND(AG571="Vigente",OR(AF571="",AF571="null",AF571&gt;TODAY())),"SI",IF(AND(NOT(OR(AF571="",AF571="null")),AF571&lt;=TODAY()),"NO",IF(AG571="Vigente","SI","DESCONOCIDO")))</f>
        <v>SI</v>
      </c>
      <c r="AP571" t="str">
        <f>IF(AND(ISNUMBER(SEARCH("IMPORTAR",AA571)),ISNUMBER(SEARCH("FABRICAR",AA571))),"MIXTO",IF(ISNUMBER(SEARCH("IMPORTAR",AA571)),"IMPORTADO",IF(ISNUMBER(SEARCH("FABRICAR",AA571)),"LOCAL","OTRO")))</f>
        <v>IMPORTADO</v>
      </c>
      <c r="AQ571" t="str">
        <f>IF(AD571="Si","SI",IF(AD571="No","NO",""))</f>
        <v>SI</v>
      </c>
      <c r="AR571" t="str">
        <f>IF(ISNUMBER(SEARCH("®",N571)),"MARCA/INNOVADOR","GENERICO")</f>
        <v>MARCA/INNOVADOR</v>
      </c>
      <c r="AS571">
        <f ca="1">IF(AE571&gt;100,RANDBETWEEN(500,5000),IF(AND(AE571&gt;=10,AE571&lt;=100),RANDBETWEEN(100,1000),RANDBETWEEN(10,200)))</f>
        <v>190</v>
      </c>
      <c r="AT571">
        <f t="shared" ca="1" si="42"/>
        <v>36</v>
      </c>
      <c r="AU571">
        <f ca="1">INT(AS571*RANDBETWEEN(120,200)/100)</f>
        <v>332</v>
      </c>
      <c r="AV571" s="2">
        <f ca="1">IF(LEFT(Y571,1)="L",RANDBETWEEN(500000,5000000),IF(LEFT(Y571,1)="C",RANDBETWEEN(5000,50000),IF(LEFT(Y571,1)="N",RANDBETWEEN(10000,150000),IF(LEFT(Y571,1)="J",RANDBETWEEN(8000,200000),RANDBETWEEN(5000,100000)))))</f>
        <v>78867</v>
      </c>
      <c r="AW571" s="2">
        <f ca="1">INT(AV571*RANDBETWEEN(30,60)/100)</f>
        <v>42588</v>
      </c>
      <c r="AX571">
        <f ca="1">IF(Z571="ORAL",RANDBETWEEN(1000,10000),IF(OR(Z571="INTRAVENOSA",Z571="INTRAMUSCULAR"),RANDBETWEEN(100,2000),IF(OR(Z571="OFTÁLMICA",Z571="TOPICA (EXTERNA)"),RANDBETWEEN(200,3000),RANDBETWEEN(100,1500))))</f>
        <v>861</v>
      </c>
      <c r="AY571" s="2">
        <f ca="1">INT(AV571*RANDBETWEEN(90,130)/100)</f>
        <v>91485</v>
      </c>
      <c r="AZ571" t="str">
        <f t="shared" ca="1" si="43"/>
        <v>7.9%</v>
      </c>
      <c r="BA571" t="str">
        <f t="shared" ca="1" si="44"/>
        <v>BAJO</v>
      </c>
    </row>
    <row r="572" spans="4:53" x14ac:dyDescent="0.35">
      <c r="D572" t="s">
        <v>3917</v>
      </c>
      <c r="E572" s="1">
        <v>40353</v>
      </c>
      <c r="F572" t="s">
        <v>515</v>
      </c>
      <c r="G572" t="s">
        <v>108</v>
      </c>
      <c r="H572" t="s">
        <v>454</v>
      </c>
      <c r="I572">
        <v>20012181</v>
      </c>
      <c r="J572" t="s">
        <v>28</v>
      </c>
      <c r="K572">
        <v>5</v>
      </c>
      <c r="L572" t="s">
        <v>27</v>
      </c>
      <c r="M572" t="s">
        <v>3918</v>
      </c>
      <c r="N572" t="s">
        <v>3919</v>
      </c>
      <c r="O572" t="s">
        <v>3920</v>
      </c>
      <c r="P572" t="s">
        <v>527</v>
      </c>
      <c r="Q572" s="1">
        <v>40283</v>
      </c>
      <c r="R572" t="s">
        <v>527</v>
      </c>
      <c r="S572" s="1">
        <v>44057</v>
      </c>
      <c r="T572" t="s">
        <v>454</v>
      </c>
      <c r="U572" t="s">
        <v>115</v>
      </c>
      <c r="V572" t="s">
        <v>515</v>
      </c>
      <c r="W572">
        <v>200</v>
      </c>
      <c r="X572">
        <v>20012181</v>
      </c>
      <c r="Y572" t="s">
        <v>1567</v>
      </c>
      <c r="Z572" t="s">
        <v>119</v>
      </c>
      <c r="AA572" t="s">
        <v>24</v>
      </c>
      <c r="AB572" t="s">
        <v>120</v>
      </c>
      <c r="AC572" t="s">
        <v>25</v>
      </c>
      <c r="AD572" t="s">
        <v>121</v>
      </c>
      <c r="AE572">
        <v>100</v>
      </c>
      <c r="AF572" t="s">
        <v>27</v>
      </c>
      <c r="AG572" t="s">
        <v>26</v>
      </c>
      <c r="AH572" t="s">
        <v>515</v>
      </c>
      <c r="AI572" t="str">
        <f t="shared" si="40"/>
        <v>NO</v>
      </c>
      <c r="AJ572" t="str">
        <f t="shared" si="41"/>
        <v>PROCAPS</v>
      </c>
      <c r="AK572" t="str">
        <f>IF(ISNUMBER(SEARCH("FABRICANTE",AC572)),"FABRICANTE",IF(ISNUMBER(SEARCH("IMPORTADOR",AC572)),"IMPORTADOR","OTRO"))</f>
        <v>FABRICANTE</v>
      </c>
      <c r="AL572" t="str">
        <f>IF(LEFT(Y572,1)="A","Sistema digestivo",IF(LEFT(Y572,1)="B","Sangre",IF(LEFT(Y572,1)="C","Cardiovascular",IF(LEFT(Y572,1)="D","Dermatológico",IF(LEFT(Y572,1)="G","Genitourinario",IF(LEFT(Y572,1)="H","Hormonal",IF(LEFT(Y572,1)="J","Antiinfecciosos",IF(LEFT(Y572,1)="L","Oncológicos",IF(LEFT(Y572,1)="M","Musculoesquelético",IF(LEFT(Y572,1)="N","Sistema nervioso",IF(LEFT(Y572,1)="R","Respiratorio",IF(LEFT(Y572,1)="S","Oftálmico",IF(LEFT(Y572,1)="V","Varios","OTRO")))))))))))))</f>
        <v>Musculoesquelético</v>
      </c>
      <c r="AM572" t="str">
        <f>IF(AG572="Vigente","ACTIVO",IF(ISNUMBER(SEARCH("Inactivo",J572)),"INACTIVO","REVISAR"))</f>
        <v>ACTIVO</v>
      </c>
      <c r="AN572" t="str">
        <f ca="1">IF(OR(AF572="",AF572="null"),"",ROUND((AF572-TODAY())/365.25,2))</f>
        <v/>
      </c>
      <c r="AO572" t="str">
        <f ca="1">IF(AND(AG572="Vigente",OR(AF572="",AF572="null",AF572&gt;TODAY())),"SI",IF(AND(NOT(OR(AF572="",AF572="null")),AF572&lt;=TODAY()),"NO",IF(AG572="Vigente","SI","DESCONOCIDO")))</f>
        <v>SI</v>
      </c>
      <c r="AP572" t="str">
        <f>IF(AND(ISNUMBER(SEARCH("IMPORTAR",AA572)),ISNUMBER(SEARCH("FABRICAR",AA572))),"MIXTO",IF(ISNUMBER(SEARCH("IMPORTAR",AA572)),"IMPORTADO",IF(ISNUMBER(SEARCH("FABRICAR",AA572)),"LOCAL","OTRO")))</f>
        <v>LOCAL</v>
      </c>
      <c r="AQ572" t="str">
        <f>IF(AD572="Si","SI",IF(AD572="No","NO",""))</f>
        <v>NO</v>
      </c>
      <c r="AR572" t="str">
        <f>IF(ISNUMBER(SEARCH("®",N572)),"MARCA/INNOVADOR","GENERICO")</f>
        <v>MARCA/INNOVADOR</v>
      </c>
      <c r="AS572">
        <f ca="1">IF(AE572&gt;100,RANDBETWEEN(500,5000),IF(AND(AE572&gt;=10,AE572&lt;=100),RANDBETWEEN(100,1000),RANDBETWEEN(10,200)))</f>
        <v>955</v>
      </c>
      <c r="AT572">
        <f t="shared" ca="1" si="42"/>
        <v>238</v>
      </c>
      <c r="AU572">
        <f ca="1">INT(AS572*RANDBETWEEN(120,200)/100)</f>
        <v>1795</v>
      </c>
      <c r="AV572" s="2">
        <f ca="1">IF(LEFT(Y572,1)="L",RANDBETWEEN(500000,5000000),IF(LEFT(Y572,1)="C",RANDBETWEEN(5000,50000),IF(LEFT(Y572,1)="N",RANDBETWEEN(10000,150000),IF(LEFT(Y572,1)="J",RANDBETWEEN(8000,200000),RANDBETWEEN(5000,100000)))))</f>
        <v>80895</v>
      </c>
      <c r="AW572" s="2">
        <f ca="1">INT(AV572*RANDBETWEEN(30,60)/100)</f>
        <v>33975</v>
      </c>
      <c r="AX572">
        <f ca="1">IF(Z572="ORAL",RANDBETWEEN(1000,10000),IF(OR(Z572="INTRAVENOSA",Z572="INTRAMUSCULAR"),RANDBETWEEN(100,2000),IF(OR(Z572="OFTÁLMICA",Z572="TOPICA (EXTERNA)"),RANDBETWEEN(200,3000),RANDBETWEEN(100,1500))))</f>
        <v>8817</v>
      </c>
      <c r="AY572" s="2">
        <f ca="1">INT(AV572*RANDBETWEEN(90,130)/100)</f>
        <v>89793</v>
      </c>
      <c r="AZ572" t="str">
        <f t="shared" ca="1" si="43"/>
        <v>5.8%</v>
      </c>
      <c r="BA572" t="str">
        <f t="shared" ca="1" si="44"/>
        <v>BAJO</v>
      </c>
    </row>
    <row r="573" spans="4:53" x14ac:dyDescent="0.35">
      <c r="D573" t="s">
        <v>3921</v>
      </c>
      <c r="E573" s="1">
        <v>39741</v>
      </c>
      <c r="F573" t="s">
        <v>3922</v>
      </c>
      <c r="G573" t="s">
        <v>108</v>
      </c>
      <c r="H573" t="s">
        <v>114</v>
      </c>
      <c r="I573">
        <v>19996040</v>
      </c>
      <c r="J573" t="s">
        <v>28</v>
      </c>
      <c r="K573">
        <v>2</v>
      </c>
      <c r="L573" t="s">
        <v>27</v>
      </c>
      <c r="M573" t="s">
        <v>3923</v>
      </c>
      <c r="N573" t="s">
        <v>3924</v>
      </c>
      <c r="O573" t="s">
        <v>3925</v>
      </c>
      <c r="P573" t="s">
        <v>3926</v>
      </c>
      <c r="Q573" s="1">
        <v>39738</v>
      </c>
      <c r="R573" t="s">
        <v>780</v>
      </c>
      <c r="S573" t="s">
        <v>27</v>
      </c>
      <c r="T573" t="s">
        <v>3927</v>
      </c>
      <c r="U573" t="s">
        <v>115</v>
      </c>
      <c r="V573" t="s">
        <v>3928</v>
      </c>
      <c r="W573">
        <v>6</v>
      </c>
      <c r="X573">
        <v>19996040</v>
      </c>
      <c r="Y573" t="s">
        <v>3929</v>
      </c>
      <c r="Z573" t="s">
        <v>119</v>
      </c>
      <c r="AA573" t="s">
        <v>165</v>
      </c>
      <c r="AB573" t="s">
        <v>120</v>
      </c>
      <c r="AC573" t="s">
        <v>25</v>
      </c>
      <c r="AD573" t="s">
        <v>121</v>
      </c>
      <c r="AE573">
        <v>20</v>
      </c>
      <c r="AF573" s="1">
        <v>402133</v>
      </c>
      <c r="AG573" t="s">
        <v>26</v>
      </c>
      <c r="AH573" t="s">
        <v>3928</v>
      </c>
      <c r="AI573" t="str">
        <f t="shared" si="40"/>
        <v>NO</v>
      </c>
      <c r="AJ573" t="str">
        <f t="shared" si="41"/>
        <v>EUROETIKA</v>
      </c>
      <c r="AK573" t="str">
        <f>IF(ISNUMBER(SEARCH("FABRICANTE",AC573)),"FABRICANTE",IF(ISNUMBER(SEARCH("IMPORTADOR",AC573)),"IMPORTADOR","OTRO"))</f>
        <v>FABRICANTE</v>
      </c>
      <c r="AL573" t="str">
        <f>IF(LEFT(Y573,1)="A","Sistema digestivo",IF(LEFT(Y573,1)="B","Sangre",IF(LEFT(Y573,1)="C","Cardiovascular",IF(LEFT(Y573,1)="D","Dermatológico",IF(LEFT(Y573,1)="G","Genitourinario",IF(LEFT(Y573,1)="H","Hormonal",IF(LEFT(Y573,1)="J","Antiinfecciosos",IF(LEFT(Y573,1)="L","Oncológicos",IF(LEFT(Y573,1)="M","Musculoesquelético",IF(LEFT(Y573,1)="N","Sistema nervioso",IF(LEFT(Y573,1)="R","Respiratorio",IF(LEFT(Y573,1)="S","Oftálmico",IF(LEFT(Y573,1)="V","Varios","OTRO")))))))))))))</f>
        <v>Musculoesquelético</v>
      </c>
      <c r="AM573" t="str">
        <f>IF(AG573="Vigente","ACTIVO",IF(ISNUMBER(SEARCH("Inactivo",J573)),"INACTIVO","REVISAR"))</f>
        <v>ACTIVO</v>
      </c>
      <c r="AN573">
        <f ca="1">IF(OR(AF573="",AF573="null"),"",ROUND((AF573-TODAY())/365.25,2))</f>
        <v>974.58</v>
      </c>
      <c r="AO573" t="str">
        <f ca="1">IF(AND(AG573="Vigente",OR(AF573="",AF573="null",AF573&gt;TODAY())),"SI",IF(AND(NOT(OR(AF573="",AF573="null")),AF573&lt;=TODAY()),"NO",IF(AG573="Vigente","SI","DESCONOCIDO")))</f>
        <v>SI</v>
      </c>
      <c r="AP573" t="str">
        <f>IF(AND(ISNUMBER(SEARCH("IMPORTAR",AA573)),ISNUMBER(SEARCH("FABRICAR",AA573))),"MIXTO",IF(ISNUMBER(SEARCH("IMPORTAR",AA573)),"IMPORTADO",IF(ISNUMBER(SEARCH("FABRICAR",AA573)),"LOCAL","OTRO")))</f>
        <v>IMPORTADO</v>
      </c>
      <c r="AQ573" t="str">
        <f>IF(AD573="Si","SI",IF(AD573="No","NO",""))</f>
        <v>NO</v>
      </c>
      <c r="AR573" t="str">
        <f>IF(ISNUMBER(SEARCH("®",N573)),"MARCA/INNOVADOR","GENERICO")</f>
        <v>GENERICO</v>
      </c>
      <c r="AS573">
        <f ca="1">IF(AE573&gt;100,RANDBETWEEN(500,5000),IF(AND(AE573&gt;=10,AE573&lt;=100),RANDBETWEEN(100,1000),RANDBETWEEN(10,200)))</f>
        <v>224</v>
      </c>
      <c r="AT573">
        <f t="shared" ca="1" si="42"/>
        <v>35</v>
      </c>
      <c r="AU573">
        <f ca="1">INT(AS573*RANDBETWEEN(120,200)/100)</f>
        <v>398</v>
      </c>
      <c r="AV573" s="2">
        <f ca="1">IF(LEFT(Y573,1)="L",RANDBETWEEN(500000,5000000),IF(LEFT(Y573,1)="C",RANDBETWEEN(5000,50000),IF(LEFT(Y573,1)="N",RANDBETWEEN(10000,150000),IF(LEFT(Y573,1)="J",RANDBETWEEN(8000,200000),RANDBETWEEN(5000,100000)))))</f>
        <v>90722</v>
      </c>
      <c r="AW573" s="2">
        <f ca="1">INT(AV573*RANDBETWEEN(30,60)/100)</f>
        <v>37196</v>
      </c>
      <c r="AX573">
        <f ca="1">IF(Z573="ORAL",RANDBETWEEN(1000,10000),IF(OR(Z573="INTRAVENOSA",Z573="INTRAMUSCULAR"),RANDBETWEEN(100,2000),IF(OR(Z573="OFTÁLMICA",Z573="TOPICA (EXTERNA)"),RANDBETWEEN(200,3000),RANDBETWEEN(100,1500))))</f>
        <v>6890</v>
      </c>
      <c r="AY573" s="2">
        <f ca="1">INT(AV573*RANDBETWEEN(90,130)/100)</f>
        <v>94350</v>
      </c>
      <c r="AZ573" t="str">
        <f t="shared" ca="1" si="43"/>
        <v>15.9%</v>
      </c>
      <c r="BA573" t="str">
        <f t="shared" ca="1" si="44"/>
        <v>BAJO</v>
      </c>
    </row>
    <row r="574" spans="4:53" x14ac:dyDescent="0.35">
      <c r="D574" t="s">
        <v>3930</v>
      </c>
      <c r="E574" s="1">
        <v>42794</v>
      </c>
      <c r="F574" t="s">
        <v>107</v>
      </c>
      <c r="G574" t="s">
        <v>108</v>
      </c>
      <c r="H574" t="s">
        <v>624</v>
      </c>
      <c r="I574">
        <v>20097771</v>
      </c>
      <c r="J574" t="s">
        <v>110</v>
      </c>
      <c r="K574">
        <v>7</v>
      </c>
      <c r="L574" t="s">
        <v>27</v>
      </c>
      <c r="M574" t="s">
        <v>1712</v>
      </c>
      <c r="N574" t="s">
        <v>1713</v>
      </c>
      <c r="O574" t="s">
        <v>3931</v>
      </c>
      <c r="P574" t="s">
        <v>33</v>
      </c>
      <c r="Q574" s="1">
        <v>42409</v>
      </c>
      <c r="R574" t="s">
        <v>33</v>
      </c>
      <c r="S574" s="1">
        <v>43158</v>
      </c>
      <c r="T574" t="s">
        <v>624</v>
      </c>
      <c r="U574" t="s">
        <v>115</v>
      </c>
      <c r="V574" t="s">
        <v>1715</v>
      </c>
      <c r="W574" t="s">
        <v>117</v>
      </c>
      <c r="X574">
        <v>20097771</v>
      </c>
      <c r="Y574" t="s">
        <v>1716</v>
      </c>
      <c r="Z574" t="s">
        <v>119</v>
      </c>
      <c r="AA574" t="s">
        <v>32</v>
      </c>
      <c r="AB574" t="s">
        <v>120</v>
      </c>
      <c r="AC574" t="s">
        <v>38</v>
      </c>
      <c r="AD574" t="s">
        <v>155</v>
      </c>
      <c r="AE574">
        <v>30</v>
      </c>
      <c r="AF574" t="s">
        <v>27</v>
      </c>
      <c r="AG574" t="s">
        <v>26</v>
      </c>
      <c r="AH574" t="s">
        <v>107</v>
      </c>
      <c r="AI574" t="str">
        <f t="shared" si="40"/>
        <v>NO</v>
      </c>
      <c r="AJ574" t="str">
        <f t="shared" si="41"/>
        <v>GALENICUM HEALTH COLOMBIA</v>
      </c>
      <c r="AK574" t="str">
        <f>IF(ISNUMBER(SEARCH("FABRICANTE",AC574)),"FABRICANTE",IF(ISNUMBER(SEARCH("IMPORTADOR",AC574)),"IMPORTADOR","OTRO"))</f>
        <v>IMPORTADOR</v>
      </c>
      <c r="AL574" t="str">
        <f>IF(LEFT(Y574,1)="A","Sistema digestivo",IF(LEFT(Y574,1)="B","Sangre",IF(LEFT(Y574,1)="C","Cardiovascular",IF(LEFT(Y574,1)="D","Dermatológico",IF(LEFT(Y574,1)="G","Genitourinario",IF(LEFT(Y574,1)="H","Hormonal",IF(LEFT(Y574,1)="J","Antiinfecciosos",IF(LEFT(Y574,1)="L","Oncológicos",IF(LEFT(Y574,1)="M","Musculoesquelético",IF(LEFT(Y574,1)="N","Sistema nervioso",IF(LEFT(Y574,1)="R","Respiratorio",IF(LEFT(Y574,1)="S","Oftálmico",IF(LEFT(Y574,1)="V","Varios","OTRO")))))))))))))</f>
        <v>Cardiovascular</v>
      </c>
      <c r="AM574" t="str">
        <f>IF(AG574="Vigente","ACTIVO",IF(ISNUMBER(SEARCH("Inactivo",J574)),"INACTIVO","REVISAR"))</f>
        <v>ACTIVO</v>
      </c>
      <c r="AN574" t="str">
        <f ca="1">IF(OR(AF574="",AF574="null"),"",ROUND((AF574-TODAY())/365.25,2))</f>
        <v/>
      </c>
      <c r="AO574" t="str">
        <f ca="1">IF(AND(AG574="Vigente",OR(AF574="",AF574="null",AF574&gt;TODAY())),"SI",IF(AND(NOT(OR(AF574="",AF574="null")),AF574&lt;=TODAY()),"NO",IF(AG574="Vigente","SI","DESCONOCIDO")))</f>
        <v>SI</v>
      </c>
      <c r="AP574" t="str">
        <f>IF(AND(ISNUMBER(SEARCH("IMPORTAR",AA574)),ISNUMBER(SEARCH("FABRICAR",AA574))),"MIXTO",IF(ISNUMBER(SEARCH("IMPORTAR",AA574)),"IMPORTADO",IF(ISNUMBER(SEARCH("FABRICAR",AA574)),"LOCAL","OTRO")))</f>
        <v>IMPORTADO</v>
      </c>
      <c r="AQ574" t="str">
        <f>IF(AD574="Si","SI",IF(AD574="No","NO",""))</f>
        <v>SI</v>
      </c>
      <c r="AR574" t="str">
        <f>IF(ISNUMBER(SEARCH("®",N574)),"MARCA/INNOVADOR","GENERICO")</f>
        <v>MARCA/INNOVADOR</v>
      </c>
      <c r="AS574">
        <f ca="1">IF(AE574&gt;100,RANDBETWEEN(500,5000),IF(AND(AE574&gt;=10,AE574&lt;=100),RANDBETWEEN(100,1000),RANDBETWEEN(10,200)))</f>
        <v>638</v>
      </c>
      <c r="AT574">
        <f t="shared" ca="1" si="42"/>
        <v>121</v>
      </c>
      <c r="AU574">
        <f ca="1">INT(AS574*RANDBETWEEN(120,200)/100)</f>
        <v>1135</v>
      </c>
      <c r="AV574" s="2">
        <f ca="1">IF(LEFT(Y574,1)="L",RANDBETWEEN(500000,5000000),IF(LEFT(Y574,1)="C",RANDBETWEEN(5000,50000),IF(LEFT(Y574,1)="N",RANDBETWEEN(10000,150000),IF(LEFT(Y574,1)="J",RANDBETWEEN(8000,200000),RANDBETWEEN(5000,100000)))))</f>
        <v>33027</v>
      </c>
      <c r="AW574" s="2">
        <f ca="1">INT(AV574*RANDBETWEEN(30,60)/100)</f>
        <v>19485</v>
      </c>
      <c r="AX574">
        <f ca="1">IF(Z574="ORAL",RANDBETWEEN(1000,10000),IF(OR(Z574="INTRAVENOSA",Z574="INTRAMUSCULAR"),RANDBETWEEN(100,2000),IF(OR(Z574="OFTÁLMICA",Z574="TOPICA (EXTERNA)"),RANDBETWEEN(200,3000),RANDBETWEEN(100,1500))))</f>
        <v>7034</v>
      </c>
      <c r="AY574" s="2">
        <f ca="1">INT(AV574*RANDBETWEEN(90,130)/100)</f>
        <v>29724</v>
      </c>
      <c r="AZ574" t="str">
        <f t="shared" ca="1" si="43"/>
        <v>23.3%</v>
      </c>
      <c r="BA574" t="str">
        <f t="shared" ca="1" si="44"/>
        <v>ALTO</v>
      </c>
    </row>
    <row r="575" spans="4:53" x14ac:dyDescent="0.35">
      <c r="D575" t="s">
        <v>3932</v>
      </c>
      <c r="E575" s="1">
        <v>43523</v>
      </c>
      <c r="F575" t="s">
        <v>3933</v>
      </c>
      <c r="G575" t="s">
        <v>108</v>
      </c>
      <c r="H575" t="s">
        <v>80</v>
      </c>
      <c r="I575">
        <v>20128508</v>
      </c>
      <c r="J575" t="s">
        <v>28</v>
      </c>
      <c r="K575">
        <v>6</v>
      </c>
      <c r="L575" t="s">
        <v>3934</v>
      </c>
      <c r="M575" t="s">
        <v>3935</v>
      </c>
      <c r="N575" t="s">
        <v>3936</v>
      </c>
      <c r="O575" t="s">
        <v>3937</v>
      </c>
      <c r="P575" t="s">
        <v>181</v>
      </c>
      <c r="Q575" s="1">
        <v>43444</v>
      </c>
      <c r="R575" t="s">
        <v>37</v>
      </c>
      <c r="S575" t="s">
        <v>27</v>
      </c>
      <c r="T575" t="s">
        <v>81</v>
      </c>
      <c r="U575" t="s">
        <v>115</v>
      </c>
      <c r="V575" t="s">
        <v>3938</v>
      </c>
      <c r="W575">
        <v>5</v>
      </c>
      <c r="X575">
        <v>20128508</v>
      </c>
      <c r="Y575" t="s">
        <v>3939</v>
      </c>
      <c r="Z575" t="s">
        <v>119</v>
      </c>
      <c r="AA575" t="s">
        <v>24</v>
      </c>
      <c r="AB575" t="s">
        <v>120</v>
      </c>
      <c r="AC575" t="s">
        <v>25</v>
      </c>
      <c r="AD575" t="s">
        <v>155</v>
      </c>
      <c r="AE575">
        <v>30</v>
      </c>
      <c r="AF575" t="s">
        <v>27</v>
      </c>
      <c r="AG575" t="s">
        <v>26</v>
      </c>
      <c r="AH575" t="s">
        <v>6675</v>
      </c>
      <c r="AI575" t="str">
        <f t="shared" si="40"/>
        <v>SI</v>
      </c>
      <c r="AJ575" t="str">
        <f t="shared" si="41"/>
        <v>LABORATORIOS MK</v>
      </c>
      <c r="AK575" t="str">
        <f>IF(ISNUMBER(SEARCH("FABRICANTE",AC575)),"FABRICANTE",IF(ISNUMBER(SEARCH("IMPORTADOR",AC575)),"IMPORTADOR","OTRO"))</f>
        <v>FABRICANTE</v>
      </c>
      <c r="AL575" t="str">
        <f>IF(LEFT(Y575,1)="A","Sistema digestivo",IF(LEFT(Y575,1)="B","Sangre",IF(LEFT(Y575,1)="C","Cardiovascular",IF(LEFT(Y575,1)="D","Dermatológico",IF(LEFT(Y575,1)="G","Genitourinario",IF(LEFT(Y575,1)="H","Hormonal",IF(LEFT(Y575,1)="J","Antiinfecciosos",IF(LEFT(Y575,1)="L","Oncológicos",IF(LEFT(Y575,1)="M","Musculoesquelético",IF(LEFT(Y575,1)="N","Sistema nervioso",IF(LEFT(Y575,1)="R","Respiratorio",IF(LEFT(Y575,1)="S","Oftálmico",IF(LEFT(Y575,1)="V","Varios","OTRO")))))))))))))</f>
        <v>Cardiovascular</v>
      </c>
      <c r="AM575" t="str">
        <f>IF(AG575="Vigente","ACTIVO",IF(ISNUMBER(SEARCH("Inactivo",J575)),"INACTIVO","REVISAR"))</f>
        <v>ACTIVO</v>
      </c>
      <c r="AN575" t="str">
        <f ca="1">IF(OR(AF575="",AF575="null"),"",ROUND((AF575-TODAY())/365.25,2))</f>
        <v/>
      </c>
      <c r="AO575" t="str">
        <f ca="1">IF(AND(AG575="Vigente",OR(AF575="",AF575="null",AF575&gt;TODAY())),"SI",IF(AND(NOT(OR(AF575="",AF575="null")),AF575&lt;=TODAY()),"NO",IF(AG575="Vigente","SI","DESCONOCIDO")))</f>
        <v>SI</v>
      </c>
      <c r="AP575" t="str">
        <f>IF(AND(ISNUMBER(SEARCH("IMPORTAR",AA575)),ISNUMBER(SEARCH("FABRICAR",AA575))),"MIXTO",IF(ISNUMBER(SEARCH("IMPORTAR",AA575)),"IMPORTADO",IF(ISNUMBER(SEARCH("FABRICAR",AA575)),"LOCAL","OTRO")))</f>
        <v>LOCAL</v>
      </c>
      <c r="AQ575" t="str">
        <f>IF(AD575="Si","SI",IF(AD575="No","NO",""))</f>
        <v>SI</v>
      </c>
      <c r="AR575" t="str">
        <f>IF(ISNUMBER(SEARCH("®",N575)),"MARCA/INNOVADOR","GENERICO")</f>
        <v>GENERICO</v>
      </c>
      <c r="AS575">
        <f ca="1">IF(AE575&gt;100,RANDBETWEEN(500,5000),IF(AND(AE575&gt;=10,AE575&lt;=100),RANDBETWEEN(100,1000),RANDBETWEEN(10,200)))</f>
        <v>371</v>
      </c>
      <c r="AT575">
        <f t="shared" ca="1" si="42"/>
        <v>85</v>
      </c>
      <c r="AU575">
        <f ca="1">INT(AS575*RANDBETWEEN(120,200)/100)</f>
        <v>445</v>
      </c>
      <c r="AV575" s="2">
        <f ca="1">IF(LEFT(Y575,1)="L",RANDBETWEEN(500000,5000000),IF(LEFT(Y575,1)="C",RANDBETWEEN(5000,50000),IF(LEFT(Y575,1)="N",RANDBETWEEN(10000,150000),IF(LEFT(Y575,1)="J",RANDBETWEEN(8000,200000),RANDBETWEEN(5000,100000)))))</f>
        <v>33054</v>
      </c>
      <c r="AW575" s="2">
        <f ca="1">INT(AV575*RANDBETWEEN(30,60)/100)</f>
        <v>17518</v>
      </c>
      <c r="AX575">
        <f ca="1">IF(Z575="ORAL",RANDBETWEEN(1000,10000),IF(OR(Z575="INTRAVENOSA",Z575="INTRAMUSCULAR"),RANDBETWEEN(100,2000),IF(OR(Z575="OFTÁLMICA",Z575="TOPICA (EXTERNA)"),RANDBETWEEN(200,3000),RANDBETWEEN(100,1500))))</f>
        <v>1271</v>
      </c>
      <c r="AY575" s="2">
        <f ca="1">INT(AV575*RANDBETWEEN(90,130)/100)</f>
        <v>40986</v>
      </c>
      <c r="AZ575" t="str">
        <f t="shared" ca="1" si="43"/>
        <v>24.7%</v>
      </c>
      <c r="BA575" t="str">
        <f t="shared" ca="1" si="44"/>
        <v>BAJO</v>
      </c>
    </row>
    <row r="576" spans="4:53" x14ac:dyDescent="0.35">
      <c r="D576" t="s">
        <v>3940</v>
      </c>
      <c r="E576" s="1">
        <v>38468</v>
      </c>
      <c r="F576" t="s">
        <v>107</v>
      </c>
      <c r="G576" t="s">
        <v>108</v>
      </c>
      <c r="H576" t="s">
        <v>428</v>
      </c>
      <c r="I576">
        <v>19949126</v>
      </c>
      <c r="J576" t="s">
        <v>110</v>
      </c>
      <c r="K576">
        <v>3</v>
      </c>
      <c r="L576" t="s">
        <v>27</v>
      </c>
      <c r="M576" t="s">
        <v>3941</v>
      </c>
      <c r="N576" t="s">
        <v>3942</v>
      </c>
      <c r="O576" t="s">
        <v>3943</v>
      </c>
      <c r="P576" t="s">
        <v>29</v>
      </c>
      <c r="Q576" s="1">
        <v>39031</v>
      </c>
      <c r="R576" t="s">
        <v>29</v>
      </c>
      <c r="S576" s="1">
        <v>42297</v>
      </c>
      <c r="T576" t="s">
        <v>428</v>
      </c>
      <c r="U576" t="s">
        <v>115</v>
      </c>
      <c r="V576" t="s">
        <v>3181</v>
      </c>
      <c r="W576" t="s">
        <v>117</v>
      </c>
      <c r="X576">
        <v>19949126</v>
      </c>
      <c r="Y576" t="s">
        <v>3182</v>
      </c>
      <c r="Z576" t="s">
        <v>119</v>
      </c>
      <c r="AA576" t="s">
        <v>24</v>
      </c>
      <c r="AB576" t="s">
        <v>120</v>
      </c>
      <c r="AC576" t="s">
        <v>25</v>
      </c>
      <c r="AD576" t="s">
        <v>121</v>
      </c>
      <c r="AE576">
        <v>28</v>
      </c>
      <c r="AF576" t="s">
        <v>27</v>
      </c>
      <c r="AG576" t="s">
        <v>26</v>
      </c>
      <c r="AH576" t="s">
        <v>107</v>
      </c>
      <c r="AI576" t="str">
        <f t="shared" si="40"/>
        <v>NO</v>
      </c>
      <c r="AJ576" t="str">
        <f t="shared" si="41"/>
        <v>LABORATORIOS SIEGFRIED</v>
      </c>
      <c r="AK576" t="str">
        <f>IF(ISNUMBER(SEARCH("FABRICANTE",AC576)),"FABRICANTE",IF(ISNUMBER(SEARCH("IMPORTADOR",AC576)),"IMPORTADOR","OTRO"))</f>
        <v>FABRICANTE</v>
      </c>
      <c r="AL576" t="str">
        <f>IF(LEFT(Y576,1)="A","Sistema digestivo",IF(LEFT(Y576,1)="B","Sangre",IF(LEFT(Y576,1)="C","Cardiovascular",IF(LEFT(Y576,1)="D","Dermatológico",IF(LEFT(Y576,1)="G","Genitourinario",IF(LEFT(Y576,1)="H","Hormonal",IF(LEFT(Y576,1)="J","Antiinfecciosos",IF(LEFT(Y576,1)="L","Oncológicos",IF(LEFT(Y576,1)="M","Musculoesquelético",IF(LEFT(Y576,1)="N","Sistema nervioso",IF(LEFT(Y576,1)="R","Respiratorio",IF(LEFT(Y576,1)="S","Oftálmico",IF(LEFT(Y576,1)="V","Varios","OTRO")))))))))))))</f>
        <v>Cardiovascular</v>
      </c>
      <c r="AM576" t="str">
        <f>IF(AG576="Vigente","ACTIVO",IF(ISNUMBER(SEARCH("Inactivo",J576)),"INACTIVO","REVISAR"))</f>
        <v>ACTIVO</v>
      </c>
      <c r="AN576" t="str">
        <f ca="1">IF(OR(AF576="",AF576="null"),"",ROUND((AF576-TODAY())/365.25,2))</f>
        <v/>
      </c>
      <c r="AO576" t="str">
        <f ca="1">IF(AND(AG576="Vigente",OR(AF576="",AF576="null",AF576&gt;TODAY())),"SI",IF(AND(NOT(OR(AF576="",AF576="null")),AF576&lt;=TODAY()),"NO",IF(AG576="Vigente","SI","DESCONOCIDO")))</f>
        <v>SI</v>
      </c>
      <c r="AP576" t="str">
        <f>IF(AND(ISNUMBER(SEARCH("IMPORTAR",AA576)),ISNUMBER(SEARCH("FABRICAR",AA576))),"MIXTO",IF(ISNUMBER(SEARCH("IMPORTAR",AA576)),"IMPORTADO",IF(ISNUMBER(SEARCH("FABRICAR",AA576)),"LOCAL","OTRO")))</f>
        <v>LOCAL</v>
      </c>
      <c r="AQ576" t="str">
        <f>IF(AD576="Si","SI",IF(AD576="No","NO",""))</f>
        <v>NO</v>
      </c>
      <c r="AR576" t="str">
        <f>IF(ISNUMBER(SEARCH("®",N576)),"MARCA/INNOVADOR","GENERICO")</f>
        <v>MARCA/INNOVADOR</v>
      </c>
      <c r="AS576">
        <f ca="1">IF(AE576&gt;100,RANDBETWEEN(500,5000),IF(AND(AE576&gt;=10,AE576&lt;=100),RANDBETWEEN(100,1000),RANDBETWEEN(10,200)))</f>
        <v>910</v>
      </c>
      <c r="AT576">
        <f t="shared" ca="1" si="42"/>
        <v>254</v>
      </c>
      <c r="AU576">
        <f ca="1">INT(AS576*RANDBETWEEN(120,200)/100)</f>
        <v>1492</v>
      </c>
      <c r="AV576" s="2">
        <f ca="1">IF(LEFT(Y576,1)="L",RANDBETWEEN(500000,5000000),IF(LEFT(Y576,1)="C",RANDBETWEEN(5000,50000),IF(LEFT(Y576,1)="N",RANDBETWEEN(10000,150000),IF(LEFT(Y576,1)="J",RANDBETWEEN(8000,200000),RANDBETWEEN(5000,100000)))))</f>
        <v>15086</v>
      </c>
      <c r="AW576" s="2">
        <f ca="1">INT(AV576*RANDBETWEEN(30,60)/100)</f>
        <v>7241</v>
      </c>
      <c r="AX576">
        <f ca="1">IF(Z576="ORAL",RANDBETWEEN(1000,10000),IF(OR(Z576="INTRAVENOSA",Z576="INTRAMUSCULAR"),RANDBETWEEN(100,2000),IF(OR(Z576="OFTÁLMICA",Z576="TOPICA (EXTERNA)"),RANDBETWEEN(200,3000),RANDBETWEEN(100,1500))))</f>
        <v>9314</v>
      </c>
      <c r="AY576" s="2">
        <f ca="1">INT(AV576*RANDBETWEEN(90,130)/100)</f>
        <v>15086</v>
      </c>
      <c r="AZ576" t="str">
        <f t="shared" ca="1" si="43"/>
        <v>8.6%</v>
      </c>
      <c r="BA576" t="str">
        <f t="shared" ca="1" si="44"/>
        <v>ALTO</v>
      </c>
    </row>
    <row r="577" spans="4:53" x14ac:dyDescent="0.35">
      <c r="D577" t="s">
        <v>3944</v>
      </c>
      <c r="E577" s="1">
        <v>42451</v>
      </c>
      <c r="F577" t="s">
        <v>453</v>
      </c>
      <c r="G577" t="s">
        <v>108</v>
      </c>
      <c r="H577" t="s">
        <v>1252</v>
      </c>
      <c r="I577">
        <v>20097708</v>
      </c>
      <c r="J577" t="s">
        <v>28</v>
      </c>
      <c r="K577">
        <v>30</v>
      </c>
      <c r="L577" t="s">
        <v>3945</v>
      </c>
      <c r="M577" t="s">
        <v>1253</v>
      </c>
      <c r="N577" t="s">
        <v>1254</v>
      </c>
      <c r="O577" t="s">
        <v>3946</v>
      </c>
      <c r="P577" t="s">
        <v>527</v>
      </c>
      <c r="Q577" s="1">
        <v>44828</v>
      </c>
      <c r="R577" t="s">
        <v>527</v>
      </c>
      <c r="S577" t="s">
        <v>27</v>
      </c>
      <c r="T577" t="s">
        <v>1256</v>
      </c>
      <c r="U577" t="s">
        <v>115</v>
      </c>
      <c r="V577" t="s">
        <v>162</v>
      </c>
      <c r="W577">
        <v>5</v>
      </c>
      <c r="X577">
        <v>20097708</v>
      </c>
      <c r="Y577" t="s">
        <v>164</v>
      </c>
      <c r="Z577" t="s">
        <v>119</v>
      </c>
      <c r="AA577" t="s">
        <v>848</v>
      </c>
      <c r="AB577" t="s">
        <v>120</v>
      </c>
      <c r="AC577" t="s">
        <v>25</v>
      </c>
      <c r="AD577" t="s">
        <v>121</v>
      </c>
      <c r="AE577">
        <v>6</v>
      </c>
      <c r="AF577" t="s">
        <v>27</v>
      </c>
      <c r="AG577" t="s">
        <v>26</v>
      </c>
      <c r="AH577" t="s">
        <v>453</v>
      </c>
      <c r="AI577" t="str">
        <f t="shared" si="40"/>
        <v>NO</v>
      </c>
      <c r="AJ577" t="str">
        <f t="shared" si="41"/>
        <v>GENOMMA LAB COLOMBIA</v>
      </c>
      <c r="AK577" t="str">
        <f>IF(ISNUMBER(SEARCH("FABRICANTE",AC577)),"FABRICANTE",IF(ISNUMBER(SEARCH("IMPORTADOR",AC577)),"IMPORTADOR","OTRO"))</f>
        <v>FABRICANTE</v>
      </c>
      <c r="AL577" t="str">
        <f>IF(LEFT(Y577,1)="A","Sistema digestivo",IF(LEFT(Y577,1)="B","Sangre",IF(LEFT(Y577,1)="C","Cardiovascular",IF(LEFT(Y577,1)="D","Dermatológico",IF(LEFT(Y577,1)="G","Genitourinario",IF(LEFT(Y577,1)="H","Hormonal",IF(LEFT(Y577,1)="J","Antiinfecciosos",IF(LEFT(Y577,1)="L","Oncológicos",IF(LEFT(Y577,1)="M","Musculoesquelético",IF(LEFT(Y577,1)="N","Sistema nervioso",IF(LEFT(Y577,1)="R","Respiratorio",IF(LEFT(Y577,1)="S","Oftálmico",IF(LEFT(Y577,1)="V","Varios","OTRO")))))))))))))</f>
        <v>Musculoesquelético</v>
      </c>
      <c r="AM577" t="str">
        <f>IF(AG577="Vigente","ACTIVO",IF(ISNUMBER(SEARCH("Inactivo",J577)),"INACTIVO","REVISAR"))</f>
        <v>ACTIVO</v>
      </c>
      <c r="AN577" t="str">
        <f ca="1">IF(OR(AF577="",AF577="null"),"",ROUND((AF577-TODAY())/365.25,2))</f>
        <v/>
      </c>
      <c r="AO577" t="str">
        <f ca="1">IF(AND(AG577="Vigente",OR(AF577="",AF577="null",AF577&gt;TODAY())),"SI",IF(AND(NOT(OR(AF577="",AF577="null")),AF577&lt;=TODAY()),"NO",IF(AG577="Vigente","SI","DESCONOCIDO")))</f>
        <v>SI</v>
      </c>
      <c r="AP577" t="str">
        <f>IF(AND(ISNUMBER(SEARCH("IMPORTAR",AA577)),ISNUMBER(SEARCH("FABRICAR",AA577))),"MIXTO",IF(ISNUMBER(SEARCH("IMPORTAR",AA577)),"IMPORTADO",IF(ISNUMBER(SEARCH("FABRICAR",AA577)),"LOCAL","OTRO")))</f>
        <v>IMPORTADO</v>
      </c>
      <c r="AQ577" t="str">
        <f>IF(AD577="Si","SI",IF(AD577="No","NO",""))</f>
        <v>NO</v>
      </c>
      <c r="AR577" t="str">
        <f>IF(ISNUMBER(SEARCH("®",N577)),"MARCA/INNOVADOR","GENERICO")</f>
        <v>MARCA/INNOVADOR</v>
      </c>
      <c r="AS577">
        <f ca="1">IF(AE577&gt;100,RANDBETWEEN(500,5000),IF(AND(AE577&gt;=10,AE577&lt;=100),RANDBETWEEN(100,1000),RANDBETWEEN(10,200)))</f>
        <v>93</v>
      </c>
      <c r="AT577">
        <f t="shared" ca="1" si="42"/>
        <v>17</v>
      </c>
      <c r="AU577">
        <f ca="1">INT(AS577*RANDBETWEEN(120,200)/100)</f>
        <v>183</v>
      </c>
      <c r="AV577" s="2">
        <f ca="1">IF(LEFT(Y577,1)="L",RANDBETWEEN(500000,5000000),IF(LEFT(Y577,1)="C",RANDBETWEEN(5000,50000),IF(LEFT(Y577,1)="N",RANDBETWEEN(10000,150000),IF(LEFT(Y577,1)="J",RANDBETWEEN(8000,200000),RANDBETWEEN(5000,100000)))))</f>
        <v>44247</v>
      </c>
      <c r="AW577" s="2">
        <f ca="1">INT(AV577*RANDBETWEEN(30,60)/100)</f>
        <v>13716</v>
      </c>
      <c r="AX577">
        <f ca="1">IF(Z577="ORAL",RANDBETWEEN(1000,10000),IF(OR(Z577="INTRAVENOSA",Z577="INTRAMUSCULAR"),RANDBETWEEN(100,2000),IF(OR(Z577="OFTÁLMICA",Z577="TOPICA (EXTERNA)"),RANDBETWEEN(200,3000),RANDBETWEEN(100,1500))))</f>
        <v>6002</v>
      </c>
      <c r="AY577" s="2">
        <f ca="1">INT(AV577*RANDBETWEEN(90,130)/100)</f>
        <v>50441</v>
      </c>
      <c r="AZ577" t="str">
        <f t="shared" ca="1" si="43"/>
        <v>14.1%</v>
      </c>
      <c r="BA577" t="str">
        <f t="shared" ca="1" si="44"/>
        <v>BAJO</v>
      </c>
    </row>
    <row r="578" spans="4:53" x14ac:dyDescent="0.35">
      <c r="D578" t="s">
        <v>3947</v>
      </c>
      <c r="E578" s="1">
        <v>44474</v>
      </c>
      <c r="F578" t="s">
        <v>3948</v>
      </c>
      <c r="G578" t="s">
        <v>108</v>
      </c>
      <c r="H578" t="s">
        <v>3206</v>
      </c>
      <c r="I578">
        <v>20169666</v>
      </c>
      <c r="J578" t="s">
        <v>28</v>
      </c>
      <c r="K578">
        <v>21</v>
      </c>
      <c r="L578" t="s">
        <v>3949</v>
      </c>
      <c r="M578" t="s">
        <v>3208</v>
      </c>
      <c r="N578" t="s">
        <v>3209</v>
      </c>
      <c r="O578" t="s">
        <v>3950</v>
      </c>
      <c r="P578" t="s">
        <v>2905</v>
      </c>
      <c r="Q578" s="1">
        <v>44453</v>
      </c>
      <c r="R578" t="s">
        <v>33</v>
      </c>
      <c r="S578" s="1">
        <v>44453</v>
      </c>
      <c r="T578" t="s">
        <v>575</v>
      </c>
      <c r="U578" t="s">
        <v>115</v>
      </c>
      <c r="V578" t="s">
        <v>3211</v>
      </c>
      <c r="W578">
        <v>25</v>
      </c>
      <c r="X578">
        <v>20169666</v>
      </c>
      <c r="Y578" t="s">
        <v>3212</v>
      </c>
      <c r="Z578" t="s">
        <v>119</v>
      </c>
      <c r="AA578" t="s">
        <v>32</v>
      </c>
      <c r="AB578" t="s">
        <v>120</v>
      </c>
      <c r="AC578" t="s">
        <v>38</v>
      </c>
      <c r="AD578" t="s">
        <v>121</v>
      </c>
      <c r="AE578">
        <v>50</v>
      </c>
      <c r="AF578" t="s">
        <v>27</v>
      </c>
      <c r="AG578" t="s">
        <v>26</v>
      </c>
      <c r="AH578" t="s">
        <v>6676</v>
      </c>
      <c r="AI578" t="str">
        <f t="shared" si="40"/>
        <v>SI</v>
      </c>
      <c r="AJ578" t="str">
        <f t="shared" si="41"/>
        <v>MENARINI INTERNATIONAL OPERATIONS LUXEMBOURG</v>
      </c>
      <c r="AK578" t="str">
        <f>IF(ISNUMBER(SEARCH("FABRICANTE",AC578)),"FABRICANTE",IF(ISNUMBER(SEARCH("IMPORTADOR",AC578)),"IMPORTADOR","OTRO"))</f>
        <v>IMPORTADOR</v>
      </c>
      <c r="AL578" t="str">
        <f>IF(LEFT(Y578,1)="A","Sistema digestivo",IF(LEFT(Y578,1)="B","Sangre",IF(LEFT(Y578,1)="C","Cardiovascular",IF(LEFT(Y578,1)="D","Dermatológico",IF(LEFT(Y578,1)="G","Genitourinario",IF(LEFT(Y578,1)="H","Hormonal",IF(LEFT(Y578,1)="J","Antiinfecciosos",IF(LEFT(Y578,1)="L","Oncológicos",IF(LEFT(Y578,1)="M","Musculoesquelético",IF(LEFT(Y578,1)="N","Sistema nervioso",IF(LEFT(Y578,1)="R","Respiratorio",IF(LEFT(Y578,1)="S","Oftálmico",IF(LEFT(Y578,1)="V","Varios","OTRO")))))))))))))</f>
        <v>Sistema nervioso</v>
      </c>
      <c r="AM578" t="str">
        <f>IF(AG578="Vigente","ACTIVO",IF(ISNUMBER(SEARCH("Inactivo",J578)),"INACTIVO","REVISAR"))</f>
        <v>ACTIVO</v>
      </c>
      <c r="AN578" t="str">
        <f ca="1">IF(OR(AF578="",AF578="null"),"",ROUND((AF578-TODAY())/365.25,2))</f>
        <v/>
      </c>
      <c r="AO578" t="str">
        <f ca="1">IF(AND(AG578="Vigente",OR(AF578="",AF578="null",AF578&gt;TODAY())),"SI",IF(AND(NOT(OR(AF578="",AF578="null")),AF578&lt;=TODAY()),"NO",IF(AG578="Vigente","SI","DESCONOCIDO")))</f>
        <v>SI</v>
      </c>
      <c r="AP578" t="str">
        <f>IF(AND(ISNUMBER(SEARCH("IMPORTAR",AA578)),ISNUMBER(SEARCH("FABRICAR",AA578))),"MIXTO",IF(ISNUMBER(SEARCH("IMPORTAR",AA578)),"IMPORTADO",IF(ISNUMBER(SEARCH("FABRICAR",AA578)),"LOCAL","OTRO")))</f>
        <v>IMPORTADO</v>
      </c>
      <c r="AQ578" t="str">
        <f>IF(AD578="Si","SI",IF(AD578="No","NO",""))</f>
        <v>NO</v>
      </c>
      <c r="AR578" t="str">
        <f>IF(ISNUMBER(SEARCH("®",N578)),"MARCA/INNOVADOR","GENERICO")</f>
        <v>MARCA/INNOVADOR</v>
      </c>
      <c r="AS578">
        <f ca="1">IF(AE578&gt;100,RANDBETWEEN(500,5000),IF(AND(AE578&gt;=10,AE578&lt;=100),RANDBETWEEN(100,1000),RANDBETWEEN(10,200)))</f>
        <v>803</v>
      </c>
      <c r="AT578">
        <f t="shared" ca="1" si="42"/>
        <v>176</v>
      </c>
      <c r="AU578">
        <f ca="1">INT(AS578*RANDBETWEEN(120,200)/100)</f>
        <v>1316</v>
      </c>
      <c r="AV578" s="2">
        <f ca="1">IF(LEFT(Y578,1)="L",RANDBETWEEN(500000,5000000),IF(LEFT(Y578,1)="C",RANDBETWEEN(5000,50000),IF(LEFT(Y578,1)="N",RANDBETWEEN(10000,150000),IF(LEFT(Y578,1)="J",RANDBETWEEN(8000,200000),RANDBETWEEN(5000,100000)))))</f>
        <v>11466</v>
      </c>
      <c r="AW578" s="2">
        <f ca="1">INT(AV578*RANDBETWEEN(30,60)/100)</f>
        <v>5274</v>
      </c>
      <c r="AX578">
        <f ca="1">IF(Z578="ORAL",RANDBETWEEN(1000,10000),IF(OR(Z578="INTRAVENOSA",Z578="INTRAMUSCULAR"),RANDBETWEEN(100,2000),IF(OR(Z578="OFTÁLMICA",Z578="TOPICA (EXTERNA)"),RANDBETWEEN(200,3000),RANDBETWEEN(100,1500))))</f>
        <v>4325</v>
      </c>
      <c r="AY578" s="2">
        <f ca="1">INT(AV578*RANDBETWEEN(90,130)/100)</f>
        <v>10548</v>
      </c>
      <c r="AZ578" t="str">
        <f t="shared" ca="1" si="43"/>
        <v>17.2%</v>
      </c>
      <c r="BA578" t="str">
        <f t="shared" ca="1" si="44"/>
        <v>BAJO</v>
      </c>
    </row>
    <row r="579" spans="4:53" x14ac:dyDescent="0.35">
      <c r="D579" t="s">
        <v>3951</v>
      </c>
      <c r="E579" s="1">
        <v>42622</v>
      </c>
      <c r="F579" t="s">
        <v>3952</v>
      </c>
      <c r="G579" t="s">
        <v>108</v>
      </c>
      <c r="H579" t="s">
        <v>177</v>
      </c>
      <c r="I579">
        <v>20097086</v>
      </c>
      <c r="J579" t="s">
        <v>28</v>
      </c>
      <c r="K579">
        <v>4</v>
      </c>
      <c r="L579" t="s">
        <v>27</v>
      </c>
      <c r="M579" t="s">
        <v>3953</v>
      </c>
      <c r="N579" t="s">
        <v>3954</v>
      </c>
      <c r="O579" t="s">
        <v>3955</v>
      </c>
      <c r="P579" t="s">
        <v>33</v>
      </c>
      <c r="Q579" s="1">
        <v>42900</v>
      </c>
      <c r="R579" t="s">
        <v>33</v>
      </c>
      <c r="S579" t="s">
        <v>27</v>
      </c>
      <c r="T579" t="s">
        <v>182</v>
      </c>
      <c r="U579" t="s">
        <v>115</v>
      </c>
      <c r="V579" t="s">
        <v>3956</v>
      </c>
      <c r="W579">
        <v>2</v>
      </c>
      <c r="X579">
        <v>20097086</v>
      </c>
      <c r="Y579" t="s">
        <v>3957</v>
      </c>
      <c r="Z579" t="s">
        <v>119</v>
      </c>
      <c r="AA579" t="s">
        <v>32</v>
      </c>
      <c r="AB579" t="s">
        <v>120</v>
      </c>
      <c r="AC579" t="s">
        <v>38</v>
      </c>
      <c r="AD579" t="s">
        <v>155</v>
      </c>
      <c r="AE579">
        <v>30</v>
      </c>
      <c r="AF579" t="s">
        <v>27</v>
      </c>
      <c r="AG579" t="s">
        <v>26</v>
      </c>
      <c r="AH579" t="s">
        <v>6677</v>
      </c>
      <c r="AI579" t="str">
        <f t="shared" ref="AI579:AI642" si="45">IF(OR(ISNUMBER(SEARCH("+",F579)),ISNUMBER(SEARCH(".",F579))),"SI","NO")</f>
        <v>NO</v>
      </c>
      <c r="AJ579" t="str">
        <f t="shared" ref="AJ579:AJ642" si="4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579)," S.A.S.",""),"S.A.S.","")," S.A.S",""),"S.A.S","")," S.A.C.I.","")," S.A.C.I","")," SAS","")," S.A.","")," S.A","")," LTDA.","")," LTDA","")," LIMITED","")," LTD.","")," LTD","")," INC.","")," INC","")," GMBH &amp; CO. KG.","")," GMBH","")," LLC","")," A.G.","")," A.G","")," A/S","")," S.R.L.","")," S.R.L","")," S.P.A.","")," DE C.V.","")," AG",""),"  "," "))</f>
        <v>NOVARTIS PHARMA</v>
      </c>
      <c r="AK579" t="str">
        <f>IF(ISNUMBER(SEARCH("FABRICANTE",AC579)),"FABRICANTE",IF(ISNUMBER(SEARCH("IMPORTADOR",AC579)),"IMPORTADOR","OTRO"))</f>
        <v>IMPORTADOR</v>
      </c>
      <c r="AL579" t="str">
        <f>IF(LEFT(Y579,1)="A","Sistema digestivo",IF(LEFT(Y579,1)="B","Sangre",IF(LEFT(Y579,1)="C","Cardiovascular",IF(LEFT(Y579,1)="D","Dermatológico",IF(LEFT(Y579,1)="G","Genitourinario",IF(LEFT(Y579,1)="H","Hormonal",IF(LEFT(Y579,1)="J","Antiinfecciosos",IF(LEFT(Y579,1)="L","Oncológicos",IF(LEFT(Y579,1)="M","Musculoesquelético",IF(LEFT(Y579,1)="N","Sistema nervioso",IF(LEFT(Y579,1)="R","Respiratorio",IF(LEFT(Y579,1)="S","Oftálmico",IF(LEFT(Y579,1)="V","Varios","OTRO")))))))))))))</f>
        <v>Oncológicos</v>
      </c>
      <c r="AM579" t="str">
        <f>IF(AG579="Vigente","ACTIVO",IF(ISNUMBER(SEARCH("Inactivo",J579)),"INACTIVO","REVISAR"))</f>
        <v>ACTIVO</v>
      </c>
      <c r="AN579" t="str">
        <f ca="1">IF(OR(AF579="",AF579="null"),"",ROUND((AF579-TODAY())/365.25,2))</f>
        <v/>
      </c>
      <c r="AO579" t="str">
        <f ca="1">IF(AND(AG579="Vigente",OR(AF579="",AF579="null",AF579&gt;TODAY())),"SI",IF(AND(NOT(OR(AF579="",AF579="null")),AF579&lt;=TODAY()),"NO",IF(AG579="Vigente","SI","DESCONOCIDO")))</f>
        <v>SI</v>
      </c>
      <c r="AP579" t="str">
        <f>IF(AND(ISNUMBER(SEARCH("IMPORTAR",AA579)),ISNUMBER(SEARCH("FABRICAR",AA579))),"MIXTO",IF(ISNUMBER(SEARCH("IMPORTAR",AA579)),"IMPORTADO",IF(ISNUMBER(SEARCH("FABRICAR",AA579)),"LOCAL","OTRO")))</f>
        <v>IMPORTADO</v>
      </c>
      <c r="AQ579" t="str">
        <f>IF(AD579="Si","SI",IF(AD579="No","NO",""))</f>
        <v>SI</v>
      </c>
      <c r="AR579" t="str">
        <f>IF(ISNUMBER(SEARCH("®",N579)),"MARCA/INNOVADOR","GENERICO")</f>
        <v>MARCA/INNOVADOR</v>
      </c>
      <c r="AS579">
        <f ca="1">IF(AE579&gt;100,RANDBETWEEN(500,5000),IF(AND(AE579&gt;=10,AE579&lt;=100),RANDBETWEEN(100,1000),RANDBETWEEN(10,200)))</f>
        <v>610</v>
      </c>
      <c r="AT579">
        <f t="shared" ref="AT579:AT642" ca="1" si="47">INT(AS579*RANDBETWEEN(10,30)/100)</f>
        <v>164</v>
      </c>
      <c r="AU579">
        <f ca="1">INT(AS579*RANDBETWEEN(120,200)/100)</f>
        <v>854</v>
      </c>
      <c r="AV579" s="2">
        <f ca="1">IF(LEFT(Y579,1)="L",RANDBETWEEN(500000,5000000),IF(LEFT(Y579,1)="C",RANDBETWEEN(5000,50000),IF(LEFT(Y579,1)="N",RANDBETWEEN(10000,150000),IF(LEFT(Y579,1)="J",RANDBETWEEN(8000,200000),RANDBETWEEN(5000,100000)))))</f>
        <v>2583743</v>
      </c>
      <c r="AW579" s="2">
        <f ca="1">INT(AV579*RANDBETWEEN(30,60)/100)</f>
        <v>1498570</v>
      </c>
      <c r="AX579">
        <f ca="1">IF(Z579="ORAL",RANDBETWEEN(1000,10000),IF(OR(Z579="INTRAVENOSA",Z579="INTRAMUSCULAR"),RANDBETWEEN(100,2000),IF(OR(Z579="OFTÁLMICA",Z579="TOPICA (EXTERNA)"),RANDBETWEEN(200,3000),RANDBETWEEN(100,1500))))</f>
        <v>5464</v>
      </c>
      <c r="AY579" s="2">
        <f ca="1">INT(AV579*RANDBETWEEN(90,130)/100)</f>
        <v>2532068</v>
      </c>
      <c r="AZ579" t="str">
        <f t="shared" ref="AZ579:AZ642" ca="1" si="48">IF(Z579="ORAL",RANDBETWEEN(50,250)/10,IF(OR(Z579="TOPICA (EXTERNA)",Z579="OFTÁLMICA"),RANDBETWEEN(20,150)/10,IF(OR(Z579="SUBCUTANEA",Z579="INTRAMUSCULAR"),RANDBETWEEN(10,100)/10,IF(Z579="INTRAVENOSA",RANDBETWEEN(1,50)/10,RANDBETWEEN(5,80)/10))))&amp;"%"</f>
        <v>12.6%</v>
      </c>
      <c r="BA579" t="str">
        <f t="shared" ref="BA579:BA642" ca="1" si="49">IF(OR(AG579&lt;&gt;"Vigente",AND(ISNUMBER(AF579),AF579&lt;TODAY()),AND(J579="Inactivo",NOT(ISNUMBER(AF579)))),"ALTO",IF(OR(AND(J579="Inactivo",ISNUMBER(AF579)),AND(ISNUMBER(AF579),AF579&gt;TODAY(),AF579&lt;=TODAY()+1825)),"MEDIO","BAJO"))</f>
        <v>BAJO</v>
      </c>
    </row>
    <row r="580" spans="4:53" x14ac:dyDescent="0.35">
      <c r="D580" t="s">
        <v>3958</v>
      </c>
      <c r="E580" s="1">
        <v>40947</v>
      </c>
      <c r="F580" t="s">
        <v>3959</v>
      </c>
      <c r="G580" t="s">
        <v>108</v>
      </c>
      <c r="H580" t="s">
        <v>168</v>
      </c>
      <c r="I580">
        <v>20031913</v>
      </c>
      <c r="J580" t="s">
        <v>28</v>
      </c>
      <c r="K580">
        <v>9</v>
      </c>
      <c r="L580" t="s">
        <v>27</v>
      </c>
      <c r="M580" t="s">
        <v>3960</v>
      </c>
      <c r="N580" t="s">
        <v>3961</v>
      </c>
      <c r="O580" t="s">
        <v>3962</v>
      </c>
      <c r="P580" t="s">
        <v>37</v>
      </c>
      <c r="Q580" s="1">
        <v>40785</v>
      </c>
      <c r="R580" t="s">
        <v>37</v>
      </c>
      <c r="S580" t="s">
        <v>27</v>
      </c>
      <c r="T580" t="s">
        <v>172</v>
      </c>
      <c r="U580" t="s">
        <v>115</v>
      </c>
      <c r="V580" t="s">
        <v>460</v>
      </c>
      <c r="W580">
        <v>5</v>
      </c>
      <c r="X580">
        <v>20031913</v>
      </c>
      <c r="Y580" t="s">
        <v>461</v>
      </c>
      <c r="Z580" t="s">
        <v>119</v>
      </c>
      <c r="AA580" t="s">
        <v>24</v>
      </c>
      <c r="AB580" t="s">
        <v>120</v>
      </c>
      <c r="AC580" t="s">
        <v>25</v>
      </c>
      <c r="AD580" t="s">
        <v>155</v>
      </c>
      <c r="AE580">
        <v>3</v>
      </c>
      <c r="AF580" t="s">
        <v>27</v>
      </c>
      <c r="AG580" t="s">
        <v>26</v>
      </c>
      <c r="AH580" t="s">
        <v>1379</v>
      </c>
      <c r="AI580" t="str">
        <f t="shared" si="45"/>
        <v>SI</v>
      </c>
      <c r="AJ580" t="str">
        <f t="shared" si="46"/>
        <v>NOVAMED</v>
      </c>
      <c r="AK580" t="str">
        <f>IF(ISNUMBER(SEARCH("FABRICANTE",AC580)),"FABRICANTE",IF(ISNUMBER(SEARCH("IMPORTADOR",AC580)),"IMPORTADOR","OTRO"))</f>
        <v>FABRICANTE</v>
      </c>
      <c r="AL580" t="str">
        <f>IF(LEFT(Y580,1)="A","Sistema digestivo",IF(LEFT(Y580,1)="B","Sangre",IF(LEFT(Y580,1)="C","Cardiovascular",IF(LEFT(Y580,1)="D","Dermatológico",IF(LEFT(Y580,1)="G","Genitourinario",IF(LEFT(Y580,1)="H","Hormonal",IF(LEFT(Y580,1)="J","Antiinfecciosos",IF(LEFT(Y580,1)="L","Oncológicos",IF(LEFT(Y580,1)="M","Musculoesquelético",IF(LEFT(Y580,1)="N","Sistema nervioso",IF(LEFT(Y580,1)="R","Respiratorio",IF(LEFT(Y580,1)="S","Oftálmico",IF(LEFT(Y580,1)="V","Varios","OTRO")))))))))))))</f>
        <v>Respiratorio</v>
      </c>
      <c r="AM580" t="str">
        <f>IF(AG580="Vigente","ACTIVO",IF(ISNUMBER(SEARCH("Inactivo",J580)),"INACTIVO","REVISAR"))</f>
        <v>ACTIVO</v>
      </c>
      <c r="AN580" t="str">
        <f ca="1">IF(OR(AF580="",AF580="null"),"",ROUND((AF580-TODAY())/365.25,2))</f>
        <v/>
      </c>
      <c r="AO580" t="str">
        <f ca="1">IF(AND(AG580="Vigente",OR(AF580="",AF580="null",AF580&gt;TODAY())),"SI",IF(AND(NOT(OR(AF580="",AF580="null")),AF580&lt;=TODAY()),"NO",IF(AG580="Vigente","SI","DESCONOCIDO")))</f>
        <v>SI</v>
      </c>
      <c r="AP580" t="str">
        <f>IF(AND(ISNUMBER(SEARCH("IMPORTAR",AA580)),ISNUMBER(SEARCH("FABRICAR",AA580))),"MIXTO",IF(ISNUMBER(SEARCH("IMPORTAR",AA580)),"IMPORTADO",IF(ISNUMBER(SEARCH("FABRICAR",AA580)),"LOCAL","OTRO")))</f>
        <v>LOCAL</v>
      </c>
      <c r="AQ580" t="str">
        <f>IF(AD580="Si","SI",IF(AD580="No","NO",""))</f>
        <v>SI</v>
      </c>
      <c r="AR580" t="str">
        <f>IF(ISNUMBER(SEARCH("®",N580)),"MARCA/INNOVADOR","GENERICO")</f>
        <v>MARCA/INNOVADOR</v>
      </c>
      <c r="AS580">
        <f ca="1">IF(AE580&gt;100,RANDBETWEEN(500,5000),IF(AND(AE580&gt;=10,AE580&lt;=100),RANDBETWEEN(100,1000),RANDBETWEEN(10,200)))</f>
        <v>150</v>
      </c>
      <c r="AT580">
        <f t="shared" ca="1" si="47"/>
        <v>25</v>
      </c>
      <c r="AU580">
        <f ca="1">INT(AS580*RANDBETWEEN(120,200)/100)</f>
        <v>280</v>
      </c>
      <c r="AV580" s="2">
        <f ca="1">IF(LEFT(Y580,1)="L",RANDBETWEEN(500000,5000000),IF(LEFT(Y580,1)="C",RANDBETWEEN(5000,50000),IF(LEFT(Y580,1)="N",RANDBETWEEN(10000,150000),IF(LEFT(Y580,1)="J",RANDBETWEEN(8000,200000),RANDBETWEEN(5000,100000)))))</f>
        <v>92960</v>
      </c>
      <c r="AW580" s="2">
        <f ca="1">INT(AV580*RANDBETWEEN(30,60)/100)</f>
        <v>55776</v>
      </c>
      <c r="AX580">
        <f ca="1">IF(Z580="ORAL",RANDBETWEEN(1000,10000),IF(OR(Z580="INTRAVENOSA",Z580="INTRAMUSCULAR"),RANDBETWEEN(100,2000),IF(OR(Z580="OFTÁLMICA",Z580="TOPICA (EXTERNA)"),RANDBETWEEN(200,3000),RANDBETWEEN(100,1500))))</f>
        <v>1039</v>
      </c>
      <c r="AY580" s="2">
        <f ca="1">INT(AV580*RANDBETWEEN(90,130)/100)</f>
        <v>114340</v>
      </c>
      <c r="AZ580" t="str">
        <f t="shared" ca="1" si="48"/>
        <v>6.1%</v>
      </c>
      <c r="BA580" t="str">
        <f t="shared" ca="1" si="49"/>
        <v>BAJO</v>
      </c>
    </row>
    <row r="581" spans="4:53" x14ac:dyDescent="0.35">
      <c r="D581" t="s">
        <v>3963</v>
      </c>
      <c r="E581" s="1">
        <v>34847</v>
      </c>
      <c r="F581" t="s">
        <v>1379</v>
      </c>
      <c r="G581" t="s">
        <v>108</v>
      </c>
      <c r="H581" t="s">
        <v>2342</v>
      </c>
      <c r="I581">
        <v>53073</v>
      </c>
      <c r="J581" t="s">
        <v>28</v>
      </c>
      <c r="K581">
        <v>4</v>
      </c>
      <c r="L581" t="s">
        <v>27</v>
      </c>
      <c r="M581" t="s">
        <v>3964</v>
      </c>
      <c r="N581" t="s">
        <v>3965</v>
      </c>
      <c r="O581" t="s">
        <v>3966</v>
      </c>
      <c r="P581" t="s">
        <v>29</v>
      </c>
      <c r="Q581" s="1">
        <v>39031</v>
      </c>
      <c r="R581" t="s">
        <v>29</v>
      </c>
      <c r="S581" t="s">
        <v>27</v>
      </c>
      <c r="T581" t="s">
        <v>1477</v>
      </c>
      <c r="U581" t="s">
        <v>115</v>
      </c>
      <c r="V581" t="s">
        <v>1379</v>
      </c>
      <c r="W581">
        <v>10</v>
      </c>
      <c r="X581">
        <v>53073</v>
      </c>
      <c r="Y581" t="s">
        <v>1385</v>
      </c>
      <c r="Z581" t="s">
        <v>119</v>
      </c>
      <c r="AA581" t="s">
        <v>24</v>
      </c>
      <c r="AB581" t="s">
        <v>120</v>
      </c>
      <c r="AC581" t="s">
        <v>25</v>
      </c>
      <c r="AD581" t="s">
        <v>121</v>
      </c>
      <c r="AE581">
        <v>10</v>
      </c>
      <c r="AF581" t="s">
        <v>27</v>
      </c>
      <c r="AG581" t="s">
        <v>26</v>
      </c>
      <c r="AH581" t="s">
        <v>1379</v>
      </c>
      <c r="AI581" t="str">
        <f t="shared" si="45"/>
        <v>NO</v>
      </c>
      <c r="AJ581" t="str">
        <f t="shared" si="46"/>
        <v>MEMPHIS PRODUCTS</v>
      </c>
      <c r="AK581" t="str">
        <f>IF(ISNUMBER(SEARCH("FABRICANTE",AC581)),"FABRICANTE",IF(ISNUMBER(SEARCH("IMPORTADOR",AC581)),"IMPORTADOR","OTRO"))</f>
        <v>FABRICANTE</v>
      </c>
      <c r="AL581" t="str">
        <f>IF(LEFT(Y581,1)="A","Sistema digestivo",IF(LEFT(Y581,1)="B","Sangre",IF(LEFT(Y581,1)="C","Cardiovascular",IF(LEFT(Y581,1)="D","Dermatológico",IF(LEFT(Y581,1)="G","Genitourinario",IF(LEFT(Y581,1)="H","Hormonal",IF(LEFT(Y581,1)="J","Antiinfecciosos",IF(LEFT(Y581,1)="L","Oncológicos",IF(LEFT(Y581,1)="M","Musculoesquelético",IF(LEFT(Y581,1)="N","Sistema nervioso",IF(LEFT(Y581,1)="R","Respiratorio",IF(LEFT(Y581,1)="S","Oftálmico",IF(LEFT(Y581,1)="V","Varios","OTRO")))))))))))))</f>
        <v>Respiratorio</v>
      </c>
      <c r="AM581" t="str">
        <f>IF(AG581="Vigente","ACTIVO",IF(ISNUMBER(SEARCH("Inactivo",J581)),"INACTIVO","REVISAR"))</f>
        <v>ACTIVO</v>
      </c>
      <c r="AN581" t="str">
        <f ca="1">IF(OR(AF581="",AF581="null"),"",ROUND((AF581-TODAY())/365.25,2))</f>
        <v/>
      </c>
      <c r="AO581" t="str">
        <f ca="1">IF(AND(AG581="Vigente",OR(AF581="",AF581="null",AF581&gt;TODAY())),"SI",IF(AND(NOT(OR(AF581="",AF581="null")),AF581&lt;=TODAY()),"NO",IF(AG581="Vigente","SI","DESCONOCIDO")))</f>
        <v>SI</v>
      </c>
      <c r="AP581" t="str">
        <f>IF(AND(ISNUMBER(SEARCH("IMPORTAR",AA581)),ISNUMBER(SEARCH("FABRICAR",AA581))),"MIXTO",IF(ISNUMBER(SEARCH("IMPORTAR",AA581)),"IMPORTADO",IF(ISNUMBER(SEARCH("FABRICAR",AA581)),"LOCAL","OTRO")))</f>
        <v>LOCAL</v>
      </c>
      <c r="AQ581" t="str">
        <f>IF(AD581="Si","SI",IF(AD581="No","NO",""))</f>
        <v>NO</v>
      </c>
      <c r="AR581" t="str">
        <f>IF(ISNUMBER(SEARCH("®",N581)),"MARCA/INNOVADOR","GENERICO")</f>
        <v>GENERICO</v>
      </c>
      <c r="AS581">
        <f ca="1">IF(AE581&gt;100,RANDBETWEEN(500,5000),IF(AND(AE581&gt;=10,AE581&lt;=100),RANDBETWEEN(100,1000),RANDBETWEEN(10,200)))</f>
        <v>983</v>
      </c>
      <c r="AT581">
        <f t="shared" ca="1" si="47"/>
        <v>157</v>
      </c>
      <c r="AU581">
        <f ca="1">INT(AS581*RANDBETWEEN(120,200)/100)</f>
        <v>1946</v>
      </c>
      <c r="AV581" s="2">
        <f ca="1">IF(LEFT(Y581,1)="L",RANDBETWEEN(500000,5000000),IF(LEFT(Y581,1)="C",RANDBETWEEN(5000,50000),IF(LEFT(Y581,1)="N",RANDBETWEEN(10000,150000),IF(LEFT(Y581,1)="J",RANDBETWEEN(8000,200000),RANDBETWEEN(5000,100000)))))</f>
        <v>9557</v>
      </c>
      <c r="AW581" s="2">
        <f ca="1">INT(AV581*RANDBETWEEN(30,60)/100)</f>
        <v>5543</v>
      </c>
      <c r="AX581">
        <f ca="1">IF(Z581="ORAL",RANDBETWEEN(1000,10000),IF(OR(Z581="INTRAVENOSA",Z581="INTRAMUSCULAR"),RANDBETWEEN(100,2000),IF(OR(Z581="OFTÁLMICA",Z581="TOPICA (EXTERNA)"),RANDBETWEEN(200,3000),RANDBETWEEN(100,1500))))</f>
        <v>6368</v>
      </c>
      <c r="AY581" s="2">
        <f ca="1">INT(AV581*RANDBETWEEN(90,130)/100)</f>
        <v>11277</v>
      </c>
      <c r="AZ581" t="str">
        <f t="shared" ca="1" si="48"/>
        <v>20.7%</v>
      </c>
      <c r="BA581" t="str">
        <f t="shared" ca="1" si="49"/>
        <v>BAJO</v>
      </c>
    </row>
    <row r="582" spans="4:53" x14ac:dyDescent="0.35">
      <c r="D582" t="s">
        <v>3967</v>
      </c>
      <c r="E582" s="1">
        <v>41134</v>
      </c>
      <c r="F582" t="s">
        <v>3968</v>
      </c>
      <c r="G582" t="s">
        <v>108</v>
      </c>
      <c r="H582" t="s">
        <v>1380</v>
      </c>
      <c r="I582">
        <v>20033641</v>
      </c>
      <c r="J582" t="s">
        <v>110</v>
      </c>
      <c r="K582">
        <v>10</v>
      </c>
      <c r="L582" t="s">
        <v>27</v>
      </c>
      <c r="M582" t="s">
        <v>3969</v>
      </c>
      <c r="N582" t="s">
        <v>3970</v>
      </c>
      <c r="O582" t="s">
        <v>3971</v>
      </c>
      <c r="P582" t="s">
        <v>37</v>
      </c>
      <c r="Q582" s="1">
        <v>40812</v>
      </c>
      <c r="R582" t="s">
        <v>37</v>
      </c>
      <c r="S582" s="1">
        <v>44243</v>
      </c>
      <c r="T582" t="s">
        <v>3972</v>
      </c>
      <c r="U582" t="s">
        <v>115</v>
      </c>
      <c r="V582" t="s">
        <v>3968</v>
      </c>
      <c r="W582">
        <v>50</v>
      </c>
      <c r="X582">
        <v>20033641</v>
      </c>
      <c r="Y582" t="s">
        <v>3973</v>
      </c>
      <c r="Z582" t="s">
        <v>119</v>
      </c>
      <c r="AA582" t="s">
        <v>24</v>
      </c>
      <c r="AB582" t="s">
        <v>120</v>
      </c>
      <c r="AC582" t="s">
        <v>25</v>
      </c>
      <c r="AD582" t="s">
        <v>121</v>
      </c>
      <c r="AE582">
        <v>30</v>
      </c>
      <c r="AF582" t="s">
        <v>27</v>
      </c>
      <c r="AG582" t="s">
        <v>26</v>
      </c>
      <c r="AH582" t="s">
        <v>3968</v>
      </c>
      <c r="AI582" t="str">
        <f t="shared" si="45"/>
        <v>NO</v>
      </c>
      <c r="AJ582" t="str">
        <f t="shared" si="46"/>
        <v>C.I FARMACAPSULAS</v>
      </c>
      <c r="AK582" t="str">
        <f>IF(ISNUMBER(SEARCH("FABRICANTE",AC582)),"FABRICANTE",IF(ISNUMBER(SEARCH("IMPORTADOR",AC582)),"IMPORTADOR","OTRO"))</f>
        <v>FABRICANTE</v>
      </c>
      <c r="AL582" t="str">
        <f>IF(LEFT(Y582,1)="A","Sistema digestivo",IF(LEFT(Y582,1)="B","Sangre",IF(LEFT(Y582,1)="C","Cardiovascular",IF(LEFT(Y582,1)="D","Dermatológico",IF(LEFT(Y582,1)="G","Genitourinario",IF(LEFT(Y582,1)="H","Hormonal",IF(LEFT(Y582,1)="J","Antiinfecciosos",IF(LEFT(Y582,1)="L","Oncológicos",IF(LEFT(Y582,1)="M","Musculoesquelético",IF(LEFT(Y582,1)="N","Sistema nervioso",IF(LEFT(Y582,1)="R","Respiratorio",IF(LEFT(Y582,1)="S","Oftálmico",IF(LEFT(Y582,1)="V","Varios","OTRO")))))))))))))</f>
        <v>Musculoesquelético</v>
      </c>
      <c r="AM582" t="str">
        <f>IF(AG582="Vigente","ACTIVO",IF(ISNUMBER(SEARCH("Inactivo",J582)),"INACTIVO","REVISAR"))</f>
        <v>ACTIVO</v>
      </c>
      <c r="AN582" t="str">
        <f ca="1">IF(OR(AF582="",AF582="null"),"",ROUND((AF582-TODAY())/365.25,2))</f>
        <v/>
      </c>
      <c r="AO582" t="str">
        <f ca="1">IF(AND(AG582="Vigente",OR(AF582="",AF582="null",AF582&gt;TODAY())),"SI",IF(AND(NOT(OR(AF582="",AF582="null")),AF582&lt;=TODAY()),"NO",IF(AG582="Vigente","SI","DESCONOCIDO")))</f>
        <v>SI</v>
      </c>
      <c r="AP582" t="str">
        <f>IF(AND(ISNUMBER(SEARCH("IMPORTAR",AA582)),ISNUMBER(SEARCH("FABRICAR",AA582))),"MIXTO",IF(ISNUMBER(SEARCH("IMPORTAR",AA582)),"IMPORTADO",IF(ISNUMBER(SEARCH("FABRICAR",AA582)),"LOCAL","OTRO")))</f>
        <v>LOCAL</v>
      </c>
      <c r="AQ582" t="str">
        <f>IF(AD582="Si","SI",IF(AD582="No","NO",""))</f>
        <v>NO</v>
      </c>
      <c r="AR582" t="str">
        <f>IF(ISNUMBER(SEARCH("®",N582)),"MARCA/INNOVADOR","GENERICO")</f>
        <v>MARCA/INNOVADOR</v>
      </c>
      <c r="AS582">
        <f ca="1">IF(AE582&gt;100,RANDBETWEEN(500,5000),IF(AND(AE582&gt;=10,AE582&lt;=100),RANDBETWEEN(100,1000),RANDBETWEEN(10,200)))</f>
        <v>857</v>
      </c>
      <c r="AT582">
        <f t="shared" ca="1" si="47"/>
        <v>137</v>
      </c>
      <c r="AU582">
        <f ca="1">INT(AS582*RANDBETWEEN(120,200)/100)</f>
        <v>1576</v>
      </c>
      <c r="AV582" s="2">
        <f ca="1">IF(LEFT(Y582,1)="L",RANDBETWEEN(500000,5000000),IF(LEFT(Y582,1)="C",RANDBETWEEN(5000,50000),IF(LEFT(Y582,1)="N",RANDBETWEEN(10000,150000),IF(LEFT(Y582,1)="J",RANDBETWEEN(8000,200000),RANDBETWEEN(5000,100000)))))</f>
        <v>80125</v>
      </c>
      <c r="AW582" s="2">
        <f ca="1">INT(AV582*RANDBETWEEN(30,60)/100)</f>
        <v>27242</v>
      </c>
      <c r="AX582">
        <f ca="1">IF(Z582="ORAL",RANDBETWEEN(1000,10000),IF(OR(Z582="INTRAVENOSA",Z582="INTRAMUSCULAR"),RANDBETWEEN(100,2000),IF(OR(Z582="OFTÁLMICA",Z582="TOPICA (EXTERNA)"),RANDBETWEEN(200,3000),RANDBETWEEN(100,1500))))</f>
        <v>6794</v>
      </c>
      <c r="AY582" s="2">
        <f ca="1">INT(AV582*RANDBETWEEN(90,130)/100)</f>
        <v>80125</v>
      </c>
      <c r="AZ582" t="str">
        <f t="shared" ca="1" si="48"/>
        <v>11.2%</v>
      </c>
      <c r="BA582" t="str">
        <f t="shared" ca="1" si="49"/>
        <v>ALTO</v>
      </c>
    </row>
    <row r="583" spans="4:53" x14ac:dyDescent="0.35">
      <c r="D583" t="s">
        <v>3974</v>
      </c>
      <c r="E583" s="1">
        <v>38071</v>
      </c>
      <c r="F583" t="s">
        <v>3975</v>
      </c>
      <c r="G583" t="s">
        <v>108</v>
      </c>
      <c r="H583" t="s">
        <v>454</v>
      </c>
      <c r="I583">
        <v>19942548</v>
      </c>
      <c r="J583" t="s">
        <v>110</v>
      </c>
      <c r="K583">
        <v>7</v>
      </c>
      <c r="L583" t="s">
        <v>27</v>
      </c>
      <c r="M583" t="s">
        <v>3976</v>
      </c>
      <c r="N583" t="s">
        <v>3977</v>
      </c>
      <c r="O583" t="s">
        <v>3978</v>
      </c>
      <c r="P583" t="s">
        <v>1061</v>
      </c>
      <c r="Q583" s="1">
        <v>39031</v>
      </c>
      <c r="R583" t="s">
        <v>527</v>
      </c>
      <c r="S583" s="1">
        <v>42011</v>
      </c>
      <c r="T583" t="s">
        <v>454</v>
      </c>
      <c r="U583" t="s">
        <v>115</v>
      </c>
      <c r="V583" t="s">
        <v>3979</v>
      </c>
      <c r="W583" t="s">
        <v>3980</v>
      </c>
      <c r="X583">
        <v>19942548</v>
      </c>
      <c r="Y583" t="s">
        <v>3981</v>
      </c>
      <c r="Z583" t="s">
        <v>119</v>
      </c>
      <c r="AA583" t="s">
        <v>2200</v>
      </c>
      <c r="AB583" t="s">
        <v>120</v>
      </c>
      <c r="AC583" t="s">
        <v>25</v>
      </c>
      <c r="AD583" t="s">
        <v>121</v>
      </c>
      <c r="AE583">
        <v>60</v>
      </c>
      <c r="AF583" t="s">
        <v>27</v>
      </c>
      <c r="AG583" t="s">
        <v>26</v>
      </c>
      <c r="AH583" t="s">
        <v>6817</v>
      </c>
      <c r="AI583" t="str">
        <f t="shared" si="45"/>
        <v>NO</v>
      </c>
      <c r="AJ583" t="str">
        <f t="shared" si="46"/>
        <v>PROCAPS</v>
      </c>
      <c r="AK583" t="str">
        <f>IF(ISNUMBER(SEARCH("FABRICANTE",AC583)),"FABRICANTE",IF(ISNUMBER(SEARCH("IMPORTADOR",AC583)),"IMPORTADOR","OTRO"))</f>
        <v>FABRICANTE</v>
      </c>
      <c r="AL583" t="str">
        <f>IF(LEFT(Y583,1)="A","Sistema digestivo",IF(LEFT(Y583,1)="B","Sangre",IF(LEFT(Y583,1)="C","Cardiovascular",IF(LEFT(Y583,1)="D","Dermatológico",IF(LEFT(Y583,1)="G","Genitourinario",IF(LEFT(Y583,1)="H","Hormonal",IF(LEFT(Y583,1)="J","Antiinfecciosos",IF(LEFT(Y583,1)="L","Oncológicos",IF(LEFT(Y583,1)="M","Musculoesquelético",IF(LEFT(Y583,1)="N","Sistema nervioso",IF(LEFT(Y583,1)="R","Respiratorio",IF(LEFT(Y583,1)="S","Oftálmico",IF(LEFT(Y583,1)="V","Varios","OTRO")))))))))))))</f>
        <v>Sistema digestivo</v>
      </c>
      <c r="AM583" t="str">
        <f>IF(AG583="Vigente","ACTIVO",IF(ISNUMBER(SEARCH("Inactivo",J583)),"INACTIVO","REVISAR"))</f>
        <v>ACTIVO</v>
      </c>
      <c r="AN583" t="str">
        <f ca="1">IF(OR(AF583="",AF583="null"),"",ROUND((AF583-TODAY())/365.25,2))</f>
        <v/>
      </c>
      <c r="AO583" t="str">
        <f ca="1">IF(AND(AG583="Vigente",OR(AF583="",AF583="null",AF583&gt;TODAY())),"SI",IF(AND(NOT(OR(AF583="",AF583="null")),AF583&lt;=TODAY()),"NO",IF(AG583="Vigente","SI","DESCONOCIDO")))</f>
        <v>SI</v>
      </c>
      <c r="AP583" t="str">
        <f>IF(AND(ISNUMBER(SEARCH("IMPORTAR",AA583)),ISNUMBER(SEARCH("FABRICAR",AA583))),"MIXTO",IF(ISNUMBER(SEARCH("IMPORTAR",AA583)),"IMPORTADO",IF(ISNUMBER(SEARCH("FABRICAR",AA583)),"LOCAL","OTRO")))</f>
        <v>LOCAL</v>
      </c>
      <c r="AQ583" t="str">
        <f>IF(AD583="Si","SI",IF(AD583="No","NO",""))</f>
        <v>NO</v>
      </c>
      <c r="AR583" t="str">
        <f>IF(ISNUMBER(SEARCH("®",N583)),"MARCA/INNOVADOR","GENERICO")</f>
        <v>GENERICO</v>
      </c>
      <c r="AS583">
        <f ca="1">IF(AE583&gt;100,RANDBETWEEN(500,5000),IF(AND(AE583&gt;=10,AE583&lt;=100),RANDBETWEEN(100,1000),RANDBETWEEN(10,200)))</f>
        <v>617</v>
      </c>
      <c r="AT583">
        <f t="shared" ca="1" si="47"/>
        <v>185</v>
      </c>
      <c r="AU583">
        <f ca="1">INT(AS583*RANDBETWEEN(120,200)/100)</f>
        <v>1048</v>
      </c>
      <c r="AV583" s="2">
        <f ca="1">IF(LEFT(Y583,1)="L",RANDBETWEEN(500000,5000000),IF(LEFT(Y583,1)="C",RANDBETWEEN(5000,50000),IF(LEFT(Y583,1)="N",RANDBETWEEN(10000,150000),IF(LEFT(Y583,1)="J",RANDBETWEEN(8000,200000),RANDBETWEEN(5000,100000)))))</f>
        <v>52801</v>
      </c>
      <c r="AW583" s="2">
        <f ca="1">INT(AV583*RANDBETWEEN(30,60)/100)</f>
        <v>25872</v>
      </c>
      <c r="AX583">
        <f ca="1">IF(Z583="ORAL",RANDBETWEEN(1000,10000),IF(OR(Z583="INTRAVENOSA",Z583="INTRAMUSCULAR"),RANDBETWEEN(100,2000),IF(OR(Z583="OFTÁLMICA",Z583="TOPICA (EXTERNA)"),RANDBETWEEN(200,3000),RANDBETWEEN(100,1500))))</f>
        <v>2355</v>
      </c>
      <c r="AY583" s="2">
        <f ca="1">INT(AV583*RANDBETWEEN(90,130)/100)</f>
        <v>66529</v>
      </c>
      <c r="AZ583" t="str">
        <f t="shared" ca="1" si="48"/>
        <v>22.9%</v>
      </c>
      <c r="BA583" t="str">
        <f t="shared" ca="1" si="49"/>
        <v>ALTO</v>
      </c>
    </row>
    <row r="584" spans="4:53" x14ac:dyDescent="0.35">
      <c r="D584" t="s">
        <v>3982</v>
      </c>
      <c r="E584" s="1">
        <v>38139</v>
      </c>
      <c r="F584" t="s">
        <v>194</v>
      </c>
      <c r="G584" t="s">
        <v>108</v>
      </c>
      <c r="H584" t="s">
        <v>195</v>
      </c>
      <c r="I584">
        <v>19942618</v>
      </c>
      <c r="J584" t="s">
        <v>110</v>
      </c>
      <c r="K584">
        <v>44</v>
      </c>
      <c r="L584" t="s">
        <v>27</v>
      </c>
      <c r="M584" t="s">
        <v>196</v>
      </c>
      <c r="N584" t="s">
        <v>197</v>
      </c>
      <c r="O584" t="s">
        <v>3983</v>
      </c>
      <c r="P584" t="s">
        <v>199</v>
      </c>
      <c r="Q584" s="1">
        <v>39031</v>
      </c>
      <c r="R584" t="s">
        <v>200</v>
      </c>
      <c r="S584" s="1">
        <v>42061</v>
      </c>
      <c r="T584" t="s">
        <v>201</v>
      </c>
      <c r="U584" t="s">
        <v>115</v>
      </c>
      <c r="V584" t="s">
        <v>202</v>
      </c>
      <c r="W584">
        <v>100</v>
      </c>
      <c r="X584">
        <v>19942618</v>
      </c>
      <c r="Y584" t="s">
        <v>203</v>
      </c>
      <c r="Z584" t="s">
        <v>119</v>
      </c>
      <c r="AA584" t="s">
        <v>32</v>
      </c>
      <c r="AB584" t="s">
        <v>120</v>
      </c>
      <c r="AC584" t="s">
        <v>38</v>
      </c>
      <c r="AD584" t="s">
        <v>121</v>
      </c>
      <c r="AE584">
        <v>500</v>
      </c>
      <c r="AF584" s="1">
        <v>401769</v>
      </c>
      <c r="AG584" t="s">
        <v>26</v>
      </c>
      <c r="AH584" t="s">
        <v>194</v>
      </c>
      <c r="AI584" t="str">
        <f t="shared" si="45"/>
        <v>NO</v>
      </c>
      <c r="AJ584" t="str">
        <f t="shared" si="46"/>
        <v>MONTE VERDE</v>
      </c>
      <c r="AK584" t="str">
        <f>IF(ISNUMBER(SEARCH("FABRICANTE",AC584)),"FABRICANTE",IF(ISNUMBER(SEARCH("IMPORTADOR",AC584)),"IMPORTADOR","OTRO"))</f>
        <v>IMPORTADOR</v>
      </c>
      <c r="AL584" t="str">
        <f>IF(LEFT(Y584,1)="A","Sistema digestivo",IF(LEFT(Y584,1)="B","Sangre",IF(LEFT(Y584,1)="C","Cardiovascular",IF(LEFT(Y584,1)="D","Dermatológico",IF(LEFT(Y584,1)="G","Genitourinario",IF(LEFT(Y584,1)="H","Hormonal",IF(LEFT(Y584,1)="J","Antiinfecciosos",IF(LEFT(Y584,1)="L","Oncológicos",IF(LEFT(Y584,1)="M","Musculoesquelético",IF(LEFT(Y584,1)="N","Sistema nervioso",IF(LEFT(Y584,1)="R","Respiratorio",IF(LEFT(Y584,1)="S","Oftálmico",IF(LEFT(Y584,1)="V","Varios","OTRO")))))))))))))</f>
        <v>Oncológicos</v>
      </c>
      <c r="AM584" t="str">
        <f>IF(AG584="Vigente","ACTIVO",IF(ISNUMBER(SEARCH("Inactivo",J584)),"INACTIVO","REVISAR"))</f>
        <v>ACTIVO</v>
      </c>
      <c r="AN584">
        <f ca="1">IF(OR(AF584="",AF584="null"),"",ROUND((AF584-TODAY())/365.25,2))</f>
        <v>973.58</v>
      </c>
      <c r="AO584" t="str">
        <f ca="1">IF(AND(AG584="Vigente",OR(AF584="",AF584="null",AF584&gt;TODAY())),"SI",IF(AND(NOT(OR(AF584="",AF584="null")),AF584&lt;=TODAY()),"NO",IF(AG584="Vigente","SI","DESCONOCIDO")))</f>
        <v>SI</v>
      </c>
      <c r="AP584" t="str">
        <f>IF(AND(ISNUMBER(SEARCH("IMPORTAR",AA584)),ISNUMBER(SEARCH("FABRICAR",AA584))),"MIXTO",IF(ISNUMBER(SEARCH("IMPORTAR",AA584)),"IMPORTADO",IF(ISNUMBER(SEARCH("FABRICAR",AA584)),"LOCAL","OTRO")))</f>
        <v>IMPORTADO</v>
      </c>
      <c r="AQ584" t="str">
        <f>IF(AD584="Si","SI",IF(AD584="No","NO",""))</f>
        <v>NO</v>
      </c>
      <c r="AR584" t="str">
        <f>IF(ISNUMBER(SEARCH("®",N584)),"MARCA/INNOVADOR","GENERICO")</f>
        <v>MARCA/INNOVADOR</v>
      </c>
      <c r="AS584">
        <f ca="1">IF(AE584&gt;100,RANDBETWEEN(500,5000),IF(AND(AE584&gt;=10,AE584&lt;=100),RANDBETWEEN(100,1000),RANDBETWEEN(10,200)))</f>
        <v>2757</v>
      </c>
      <c r="AT584">
        <f t="shared" ca="1" si="47"/>
        <v>413</v>
      </c>
      <c r="AU584">
        <f ca="1">INT(AS584*RANDBETWEEN(120,200)/100)</f>
        <v>3391</v>
      </c>
      <c r="AV584" s="2">
        <f ca="1">IF(LEFT(Y584,1)="L",RANDBETWEEN(500000,5000000),IF(LEFT(Y584,1)="C",RANDBETWEEN(5000,50000),IF(LEFT(Y584,1)="N",RANDBETWEEN(10000,150000),IF(LEFT(Y584,1)="J",RANDBETWEEN(8000,200000),RANDBETWEEN(5000,100000)))))</f>
        <v>4571361</v>
      </c>
      <c r="AW584" s="2">
        <f ca="1">INT(AV584*RANDBETWEEN(30,60)/100)</f>
        <v>2331394</v>
      </c>
      <c r="AX584">
        <f ca="1">IF(Z584="ORAL",RANDBETWEEN(1000,10000),IF(OR(Z584="INTRAVENOSA",Z584="INTRAMUSCULAR"),RANDBETWEEN(100,2000),IF(OR(Z584="OFTÁLMICA",Z584="TOPICA (EXTERNA)"),RANDBETWEEN(200,3000),RANDBETWEEN(100,1500))))</f>
        <v>2469</v>
      </c>
      <c r="AY584" s="2">
        <f ca="1">INT(AV584*RANDBETWEEN(90,130)/100)</f>
        <v>4479933</v>
      </c>
      <c r="AZ584" t="str">
        <f t="shared" ca="1" si="48"/>
        <v>20.9%</v>
      </c>
      <c r="BA584" t="str">
        <f t="shared" ca="1" si="49"/>
        <v>MEDIO</v>
      </c>
    </row>
    <row r="585" spans="4:53" x14ac:dyDescent="0.35">
      <c r="D585" t="s">
        <v>3984</v>
      </c>
      <c r="E585" s="1">
        <v>41432</v>
      </c>
      <c r="F585" t="s">
        <v>2985</v>
      </c>
      <c r="G585" t="s">
        <v>108</v>
      </c>
      <c r="H585" t="s">
        <v>168</v>
      </c>
      <c r="I585">
        <v>20049618</v>
      </c>
      <c r="J585" t="s">
        <v>28</v>
      </c>
      <c r="K585">
        <v>3</v>
      </c>
      <c r="L585" t="s">
        <v>27</v>
      </c>
      <c r="M585" t="s">
        <v>3985</v>
      </c>
      <c r="N585" t="s">
        <v>3986</v>
      </c>
      <c r="O585" t="s">
        <v>3987</v>
      </c>
      <c r="P585" t="s">
        <v>659</v>
      </c>
      <c r="Q585" s="1">
        <v>41299</v>
      </c>
      <c r="R585" t="s">
        <v>37</v>
      </c>
      <c r="S585" t="s">
        <v>27</v>
      </c>
      <c r="T585" t="s">
        <v>172</v>
      </c>
      <c r="U585" t="s">
        <v>115</v>
      </c>
      <c r="V585" t="s">
        <v>3637</v>
      </c>
      <c r="W585">
        <v>20</v>
      </c>
      <c r="X585">
        <v>20049618</v>
      </c>
      <c r="Y585" t="s">
        <v>3638</v>
      </c>
      <c r="Z585" t="s">
        <v>119</v>
      </c>
      <c r="AA585" t="s">
        <v>24</v>
      </c>
      <c r="AB585" t="s">
        <v>120</v>
      </c>
      <c r="AC585" t="s">
        <v>25</v>
      </c>
      <c r="AD585" t="s">
        <v>121</v>
      </c>
      <c r="AE585">
        <v>8</v>
      </c>
      <c r="AF585" t="s">
        <v>27</v>
      </c>
      <c r="AG585" t="s">
        <v>26</v>
      </c>
      <c r="AH585" t="s">
        <v>6796</v>
      </c>
      <c r="AI585" t="str">
        <f t="shared" si="45"/>
        <v>NO</v>
      </c>
      <c r="AJ585" t="str">
        <f t="shared" si="46"/>
        <v>NOVAMED</v>
      </c>
      <c r="AK585" t="str">
        <f>IF(ISNUMBER(SEARCH("FABRICANTE",AC585)),"FABRICANTE",IF(ISNUMBER(SEARCH("IMPORTADOR",AC585)),"IMPORTADOR","OTRO"))</f>
        <v>FABRICANTE</v>
      </c>
      <c r="AL585" t="str">
        <f>IF(LEFT(Y585,1)="A","Sistema digestivo",IF(LEFT(Y585,1)="B","Sangre",IF(LEFT(Y585,1)="C","Cardiovascular",IF(LEFT(Y585,1)="D","Dermatológico",IF(LEFT(Y585,1)="G","Genitourinario",IF(LEFT(Y585,1)="H","Hormonal",IF(LEFT(Y585,1)="J","Antiinfecciosos",IF(LEFT(Y585,1)="L","Oncológicos",IF(LEFT(Y585,1)="M","Musculoesquelético",IF(LEFT(Y585,1)="N","Sistema nervioso",IF(LEFT(Y585,1)="R","Respiratorio",IF(LEFT(Y585,1)="S","Oftálmico",IF(LEFT(Y585,1)="V","Varios","OTRO")))))))))))))</f>
        <v>Sistema digestivo</v>
      </c>
      <c r="AM585" t="str">
        <f>IF(AG585="Vigente","ACTIVO",IF(ISNUMBER(SEARCH("Inactivo",J585)),"INACTIVO","REVISAR"))</f>
        <v>ACTIVO</v>
      </c>
      <c r="AN585" t="str">
        <f ca="1">IF(OR(AF585="",AF585="null"),"",ROUND((AF585-TODAY())/365.25,2))</f>
        <v/>
      </c>
      <c r="AO585" t="str">
        <f ca="1">IF(AND(AG585="Vigente",OR(AF585="",AF585="null",AF585&gt;TODAY())),"SI",IF(AND(NOT(OR(AF585="",AF585="null")),AF585&lt;=TODAY()),"NO",IF(AG585="Vigente","SI","DESCONOCIDO")))</f>
        <v>SI</v>
      </c>
      <c r="AP585" t="str">
        <f>IF(AND(ISNUMBER(SEARCH("IMPORTAR",AA585)),ISNUMBER(SEARCH("FABRICAR",AA585))),"MIXTO",IF(ISNUMBER(SEARCH("IMPORTAR",AA585)),"IMPORTADO",IF(ISNUMBER(SEARCH("FABRICAR",AA585)),"LOCAL","OTRO")))</f>
        <v>LOCAL</v>
      </c>
      <c r="AQ585" t="str">
        <f>IF(AD585="Si","SI",IF(AD585="No","NO",""))</f>
        <v>NO</v>
      </c>
      <c r="AR585" t="str">
        <f>IF(ISNUMBER(SEARCH("®",N585)),"MARCA/INNOVADOR","GENERICO")</f>
        <v>MARCA/INNOVADOR</v>
      </c>
      <c r="AS585">
        <f ca="1">IF(AE585&gt;100,RANDBETWEEN(500,5000),IF(AND(AE585&gt;=10,AE585&lt;=100),RANDBETWEEN(100,1000),RANDBETWEEN(10,200)))</f>
        <v>20</v>
      </c>
      <c r="AT585">
        <f t="shared" ca="1" si="47"/>
        <v>2</v>
      </c>
      <c r="AU585">
        <f ca="1">INT(AS585*RANDBETWEEN(120,200)/100)</f>
        <v>25</v>
      </c>
      <c r="AV585" s="2">
        <f ca="1">IF(LEFT(Y585,1)="L",RANDBETWEEN(500000,5000000),IF(LEFT(Y585,1)="C",RANDBETWEEN(5000,50000),IF(LEFT(Y585,1)="N",RANDBETWEEN(10000,150000),IF(LEFT(Y585,1)="J",RANDBETWEEN(8000,200000),RANDBETWEEN(5000,100000)))))</f>
        <v>56220</v>
      </c>
      <c r="AW585" s="2">
        <f ca="1">INT(AV585*RANDBETWEEN(30,60)/100)</f>
        <v>29234</v>
      </c>
      <c r="AX585">
        <f ca="1">IF(Z585="ORAL",RANDBETWEEN(1000,10000),IF(OR(Z585="INTRAVENOSA",Z585="INTRAMUSCULAR"),RANDBETWEEN(100,2000),IF(OR(Z585="OFTÁLMICA",Z585="TOPICA (EXTERNA)"),RANDBETWEEN(200,3000),RANDBETWEEN(100,1500))))</f>
        <v>3843</v>
      </c>
      <c r="AY585" s="2">
        <f ca="1">INT(AV585*RANDBETWEEN(90,130)/100)</f>
        <v>68588</v>
      </c>
      <c r="AZ585" t="str">
        <f t="shared" ca="1" si="48"/>
        <v>22.6%</v>
      </c>
      <c r="BA585" t="str">
        <f t="shared" ca="1" si="49"/>
        <v>BAJO</v>
      </c>
    </row>
    <row r="586" spans="4:53" x14ac:dyDescent="0.35">
      <c r="D586" t="s">
        <v>3988</v>
      </c>
      <c r="E586" s="1">
        <v>38065</v>
      </c>
      <c r="F586" t="s">
        <v>3989</v>
      </c>
      <c r="G586" t="s">
        <v>502</v>
      </c>
      <c r="H586" t="s">
        <v>124</v>
      </c>
      <c r="I586">
        <v>19943350</v>
      </c>
      <c r="J586" t="s">
        <v>110</v>
      </c>
      <c r="K586">
        <v>10</v>
      </c>
      <c r="L586" t="s">
        <v>27</v>
      </c>
      <c r="M586" t="s">
        <v>3990</v>
      </c>
      <c r="N586" t="s">
        <v>3991</v>
      </c>
      <c r="O586" t="s">
        <v>3992</v>
      </c>
      <c r="P586" t="s">
        <v>3993</v>
      </c>
      <c r="Q586" s="1">
        <v>39031</v>
      </c>
      <c r="R586" t="s">
        <v>50</v>
      </c>
      <c r="S586" s="1">
        <v>42160</v>
      </c>
      <c r="T586" t="s">
        <v>129</v>
      </c>
      <c r="U586" t="s">
        <v>115</v>
      </c>
      <c r="V586" t="s">
        <v>2143</v>
      </c>
      <c r="W586">
        <v>600</v>
      </c>
      <c r="X586">
        <v>19943350</v>
      </c>
      <c r="Y586" t="s">
        <v>3994</v>
      </c>
      <c r="Z586" t="s">
        <v>213</v>
      </c>
      <c r="AA586" t="s">
        <v>24</v>
      </c>
      <c r="AB586" t="s">
        <v>120</v>
      </c>
      <c r="AC586" t="s">
        <v>25</v>
      </c>
      <c r="AD586" t="s">
        <v>121</v>
      </c>
      <c r="AE586">
        <v>2000</v>
      </c>
      <c r="AF586" s="1">
        <v>401769</v>
      </c>
      <c r="AG586" t="s">
        <v>26</v>
      </c>
      <c r="AH586" t="s">
        <v>6678</v>
      </c>
      <c r="AI586" t="str">
        <f t="shared" si="45"/>
        <v>SI</v>
      </c>
      <c r="AJ586" t="str">
        <f t="shared" si="46"/>
        <v>VITALIS</v>
      </c>
      <c r="AK586" t="str">
        <f>IF(ISNUMBER(SEARCH("FABRICANTE",AC586)),"FABRICANTE",IF(ISNUMBER(SEARCH("IMPORTADOR",AC586)),"IMPORTADOR","OTRO"))</f>
        <v>FABRICANTE</v>
      </c>
      <c r="AL586" t="str">
        <f>IF(LEFT(Y586,1)="A","Sistema digestivo",IF(LEFT(Y586,1)="B","Sangre",IF(LEFT(Y586,1)="C","Cardiovascular",IF(LEFT(Y586,1)="D","Dermatológico",IF(LEFT(Y586,1)="G","Genitourinario",IF(LEFT(Y586,1)="H","Hormonal",IF(LEFT(Y586,1)="J","Antiinfecciosos",IF(LEFT(Y586,1)="L","Oncológicos",IF(LEFT(Y586,1)="M","Musculoesquelético",IF(LEFT(Y586,1)="N","Sistema nervioso",IF(LEFT(Y586,1)="R","Respiratorio",IF(LEFT(Y586,1)="S","Oftálmico",IF(LEFT(Y586,1)="V","Varios","OTRO")))))))))))))</f>
        <v>Antiinfecciosos</v>
      </c>
      <c r="AM586" t="str">
        <f>IF(AG586="Vigente","ACTIVO",IF(ISNUMBER(SEARCH("Inactivo",J586)),"INACTIVO","REVISAR"))</f>
        <v>ACTIVO</v>
      </c>
      <c r="AN586">
        <f ca="1">IF(OR(AF586="",AF586="null"),"",ROUND((AF586-TODAY())/365.25,2))</f>
        <v>973.58</v>
      </c>
      <c r="AO586" t="str">
        <f ca="1">IF(AND(AG586="Vigente",OR(AF586="",AF586="null",AF586&gt;TODAY())),"SI",IF(AND(NOT(OR(AF586="",AF586="null")),AF586&lt;=TODAY()),"NO",IF(AG586="Vigente","SI","DESCONOCIDO")))</f>
        <v>SI</v>
      </c>
      <c r="AP586" t="str">
        <f>IF(AND(ISNUMBER(SEARCH("IMPORTAR",AA586)),ISNUMBER(SEARCH("FABRICAR",AA586))),"MIXTO",IF(ISNUMBER(SEARCH("IMPORTAR",AA586)),"IMPORTADO",IF(ISNUMBER(SEARCH("FABRICAR",AA586)),"LOCAL","OTRO")))</f>
        <v>LOCAL</v>
      </c>
      <c r="AQ586" t="str">
        <f>IF(AD586="Si","SI",IF(AD586="No","NO",""))</f>
        <v>NO</v>
      </c>
      <c r="AR586" t="str">
        <f>IF(ISNUMBER(SEARCH("®",N586)),"MARCA/INNOVADOR","GENERICO")</f>
        <v>GENERICO</v>
      </c>
      <c r="AS586">
        <f ca="1">IF(AE586&gt;100,RANDBETWEEN(500,5000),IF(AND(AE586&gt;=10,AE586&lt;=100),RANDBETWEEN(100,1000),RANDBETWEEN(10,200)))</f>
        <v>2570</v>
      </c>
      <c r="AT586">
        <f t="shared" ca="1" si="47"/>
        <v>462</v>
      </c>
      <c r="AU586">
        <f ca="1">INT(AS586*RANDBETWEEN(120,200)/100)</f>
        <v>4831</v>
      </c>
      <c r="AV586" s="2">
        <f ca="1">IF(LEFT(Y586,1)="L",RANDBETWEEN(500000,5000000),IF(LEFT(Y586,1)="C",RANDBETWEEN(5000,50000),IF(LEFT(Y586,1)="N",RANDBETWEEN(10000,150000),IF(LEFT(Y586,1)="J",RANDBETWEEN(8000,200000),RANDBETWEEN(5000,100000)))))</f>
        <v>29489</v>
      </c>
      <c r="AW586" s="2">
        <f ca="1">INT(AV586*RANDBETWEEN(30,60)/100)</f>
        <v>13564</v>
      </c>
      <c r="AX586">
        <f ca="1">IF(Z586="ORAL",RANDBETWEEN(1000,10000),IF(OR(Z586="INTRAVENOSA",Z586="INTRAMUSCULAR"),RANDBETWEEN(100,2000),IF(OR(Z586="OFTÁLMICA",Z586="TOPICA (EXTERNA)"),RANDBETWEEN(200,3000),RANDBETWEEN(100,1500))))</f>
        <v>264</v>
      </c>
      <c r="AY586" s="2">
        <f ca="1">INT(AV586*RANDBETWEEN(90,130)/100)</f>
        <v>31848</v>
      </c>
      <c r="AZ586" t="str">
        <f t="shared" ca="1" si="48"/>
        <v>6.9%</v>
      </c>
      <c r="BA586" t="str">
        <f t="shared" ca="1" si="49"/>
        <v>MEDIO</v>
      </c>
    </row>
    <row r="587" spans="4:53" x14ac:dyDescent="0.35">
      <c r="D587" t="s">
        <v>3995</v>
      </c>
      <c r="E587" s="1">
        <v>37827</v>
      </c>
      <c r="F587" t="s">
        <v>157</v>
      </c>
      <c r="G587" t="s">
        <v>108</v>
      </c>
      <c r="H587" t="s">
        <v>316</v>
      </c>
      <c r="I587">
        <v>19937061</v>
      </c>
      <c r="J587" t="s">
        <v>110</v>
      </c>
      <c r="K587">
        <v>30</v>
      </c>
      <c r="L587" t="s">
        <v>27</v>
      </c>
      <c r="M587" t="s">
        <v>159</v>
      </c>
      <c r="N587" t="s">
        <v>160</v>
      </c>
      <c r="O587" t="s">
        <v>3674</v>
      </c>
      <c r="P587" t="s">
        <v>37</v>
      </c>
      <c r="Q587" s="1">
        <v>39602</v>
      </c>
      <c r="R587" t="s">
        <v>37</v>
      </c>
      <c r="S587" s="1">
        <v>41614</v>
      </c>
      <c r="T587" t="s">
        <v>80</v>
      </c>
      <c r="U587" t="s">
        <v>115</v>
      </c>
      <c r="V587" t="s">
        <v>162</v>
      </c>
      <c r="W587" t="s">
        <v>163</v>
      </c>
      <c r="X587">
        <v>19937061</v>
      </c>
      <c r="Y587" t="s">
        <v>164</v>
      </c>
      <c r="Z587" t="s">
        <v>119</v>
      </c>
      <c r="AA587" t="s">
        <v>165</v>
      </c>
      <c r="AB587" t="s">
        <v>120</v>
      </c>
      <c r="AC587" t="s">
        <v>25</v>
      </c>
      <c r="AD587" t="s">
        <v>121</v>
      </c>
      <c r="AE587">
        <v>54</v>
      </c>
      <c r="AF587" t="s">
        <v>27</v>
      </c>
      <c r="AG587" t="s">
        <v>26</v>
      </c>
      <c r="AH587" t="s">
        <v>6611</v>
      </c>
      <c r="AI587" t="str">
        <f t="shared" si="45"/>
        <v>SI</v>
      </c>
      <c r="AJ587" t="str">
        <f t="shared" si="46"/>
        <v>TECNOQUIMICAS</v>
      </c>
      <c r="AK587" t="str">
        <f>IF(ISNUMBER(SEARCH("FABRICANTE",AC587)),"FABRICANTE",IF(ISNUMBER(SEARCH("IMPORTADOR",AC587)),"IMPORTADOR","OTRO"))</f>
        <v>FABRICANTE</v>
      </c>
      <c r="AL587" t="str">
        <f>IF(LEFT(Y587,1)="A","Sistema digestivo",IF(LEFT(Y587,1)="B","Sangre",IF(LEFT(Y587,1)="C","Cardiovascular",IF(LEFT(Y587,1)="D","Dermatológico",IF(LEFT(Y587,1)="G","Genitourinario",IF(LEFT(Y587,1)="H","Hormonal",IF(LEFT(Y587,1)="J","Antiinfecciosos",IF(LEFT(Y587,1)="L","Oncológicos",IF(LEFT(Y587,1)="M","Musculoesquelético",IF(LEFT(Y587,1)="N","Sistema nervioso",IF(LEFT(Y587,1)="R","Respiratorio",IF(LEFT(Y587,1)="S","Oftálmico",IF(LEFT(Y587,1)="V","Varios","OTRO")))))))))))))</f>
        <v>Musculoesquelético</v>
      </c>
      <c r="AM587" t="str">
        <f>IF(AG587="Vigente","ACTIVO",IF(ISNUMBER(SEARCH("Inactivo",J587)),"INACTIVO","REVISAR"))</f>
        <v>ACTIVO</v>
      </c>
      <c r="AN587" t="str">
        <f ca="1">IF(OR(AF587="",AF587="null"),"",ROUND((AF587-TODAY())/365.25,2))</f>
        <v/>
      </c>
      <c r="AO587" t="str">
        <f ca="1">IF(AND(AG587="Vigente",OR(AF587="",AF587="null",AF587&gt;TODAY())),"SI",IF(AND(NOT(OR(AF587="",AF587="null")),AF587&lt;=TODAY()),"NO",IF(AG587="Vigente","SI","DESCONOCIDO")))</f>
        <v>SI</v>
      </c>
      <c r="AP587" t="str">
        <f>IF(AND(ISNUMBER(SEARCH("IMPORTAR",AA587)),ISNUMBER(SEARCH("FABRICAR",AA587))),"MIXTO",IF(ISNUMBER(SEARCH("IMPORTAR",AA587)),"IMPORTADO",IF(ISNUMBER(SEARCH("FABRICAR",AA587)),"LOCAL","OTRO")))</f>
        <v>IMPORTADO</v>
      </c>
      <c r="AQ587" t="str">
        <f>IF(AD587="Si","SI",IF(AD587="No","NO",""))</f>
        <v>NO</v>
      </c>
      <c r="AR587" t="str">
        <f>IF(ISNUMBER(SEARCH("®",N587)),"MARCA/INNOVADOR","GENERICO")</f>
        <v>GENERICO</v>
      </c>
      <c r="AS587">
        <f ca="1">IF(AE587&gt;100,RANDBETWEEN(500,5000),IF(AND(AE587&gt;=10,AE587&lt;=100),RANDBETWEEN(100,1000),RANDBETWEEN(10,200)))</f>
        <v>230</v>
      </c>
      <c r="AT587">
        <f t="shared" ca="1" si="47"/>
        <v>46</v>
      </c>
      <c r="AU587">
        <f ca="1">INT(AS587*RANDBETWEEN(120,200)/100)</f>
        <v>351</v>
      </c>
      <c r="AV587" s="2">
        <f ca="1">IF(LEFT(Y587,1)="L",RANDBETWEEN(500000,5000000),IF(LEFT(Y587,1)="C",RANDBETWEEN(5000,50000),IF(LEFT(Y587,1)="N",RANDBETWEEN(10000,150000),IF(LEFT(Y587,1)="J",RANDBETWEEN(8000,200000),RANDBETWEEN(5000,100000)))))</f>
        <v>19618</v>
      </c>
      <c r="AW587" s="2">
        <f ca="1">INT(AV587*RANDBETWEEN(30,60)/100)</f>
        <v>9024</v>
      </c>
      <c r="AX587">
        <f ca="1">IF(Z587="ORAL",RANDBETWEEN(1000,10000),IF(OR(Z587="INTRAVENOSA",Z587="INTRAMUSCULAR"),RANDBETWEEN(100,2000),IF(OR(Z587="OFTÁLMICA",Z587="TOPICA (EXTERNA)"),RANDBETWEEN(200,3000),RANDBETWEEN(100,1500))))</f>
        <v>6224</v>
      </c>
      <c r="AY587" s="2">
        <f ca="1">INT(AV587*RANDBETWEEN(90,130)/100)</f>
        <v>24914</v>
      </c>
      <c r="AZ587" t="str">
        <f t="shared" ca="1" si="48"/>
        <v>5.2%</v>
      </c>
      <c r="BA587" t="str">
        <f t="shared" ca="1" si="49"/>
        <v>ALTO</v>
      </c>
    </row>
    <row r="588" spans="4:53" x14ac:dyDescent="0.35">
      <c r="D588" t="s">
        <v>3996</v>
      </c>
      <c r="E588" s="1">
        <v>41971</v>
      </c>
      <c r="F588" t="s">
        <v>3997</v>
      </c>
      <c r="G588" t="s">
        <v>108</v>
      </c>
      <c r="H588" t="s">
        <v>3998</v>
      </c>
      <c r="I588">
        <v>20068049</v>
      </c>
      <c r="J588" t="s">
        <v>110</v>
      </c>
      <c r="K588">
        <v>18</v>
      </c>
      <c r="L588" t="s">
        <v>27</v>
      </c>
      <c r="M588" t="s">
        <v>3999</v>
      </c>
      <c r="N588" t="s">
        <v>4000</v>
      </c>
      <c r="O588" t="s">
        <v>4001</v>
      </c>
      <c r="P588" t="s">
        <v>4002</v>
      </c>
      <c r="Q588" s="1">
        <v>42460</v>
      </c>
      <c r="R588" t="s">
        <v>47</v>
      </c>
      <c r="S588" t="s">
        <v>27</v>
      </c>
      <c r="T588" t="s">
        <v>806</v>
      </c>
      <c r="U588" t="s">
        <v>115</v>
      </c>
      <c r="V588" t="s">
        <v>84</v>
      </c>
      <c r="W588">
        <v>1000</v>
      </c>
      <c r="X588">
        <v>20068049</v>
      </c>
      <c r="Y588" t="s">
        <v>82</v>
      </c>
      <c r="Z588" t="s">
        <v>119</v>
      </c>
      <c r="AA588" t="s">
        <v>32</v>
      </c>
      <c r="AB588" t="s">
        <v>120</v>
      </c>
      <c r="AC588" t="s">
        <v>25</v>
      </c>
      <c r="AD588" t="s">
        <v>121</v>
      </c>
      <c r="AE588">
        <v>184</v>
      </c>
      <c r="AF588" t="s">
        <v>27</v>
      </c>
      <c r="AG588" t="s">
        <v>26</v>
      </c>
      <c r="AH588" t="s">
        <v>6818</v>
      </c>
      <c r="AI588" t="str">
        <f t="shared" si="45"/>
        <v>NO</v>
      </c>
      <c r="AJ588" t="str">
        <f t="shared" si="46"/>
        <v>MERCK SHARP &amp; DOHME</v>
      </c>
      <c r="AK588" t="str">
        <f>IF(ISNUMBER(SEARCH("FABRICANTE",AC588)),"FABRICANTE",IF(ISNUMBER(SEARCH("IMPORTADOR",AC588)),"IMPORTADOR","OTRO"))</f>
        <v>FABRICANTE</v>
      </c>
      <c r="AL588" t="str">
        <f>IF(LEFT(Y588,1)="A","Sistema digestivo",IF(LEFT(Y588,1)="B","Sangre",IF(LEFT(Y588,1)="C","Cardiovascular",IF(LEFT(Y588,1)="D","Dermatológico",IF(LEFT(Y588,1)="G","Genitourinario",IF(LEFT(Y588,1)="H","Hormonal",IF(LEFT(Y588,1)="J","Antiinfecciosos",IF(LEFT(Y588,1)="L","Oncológicos",IF(LEFT(Y588,1)="M","Musculoesquelético",IF(LEFT(Y588,1)="N","Sistema nervioso",IF(LEFT(Y588,1)="R","Respiratorio",IF(LEFT(Y588,1)="S","Oftálmico",IF(LEFT(Y588,1)="V","Varios","OTRO")))))))))))))</f>
        <v>Sistema digestivo</v>
      </c>
      <c r="AM588" t="str">
        <f>IF(AG588="Vigente","ACTIVO",IF(ISNUMBER(SEARCH("Inactivo",J588)),"INACTIVO","REVISAR"))</f>
        <v>ACTIVO</v>
      </c>
      <c r="AN588" t="str">
        <f ca="1">IF(OR(AF588="",AF588="null"),"",ROUND((AF588-TODAY())/365.25,2))</f>
        <v/>
      </c>
      <c r="AO588" t="str">
        <f ca="1">IF(AND(AG588="Vigente",OR(AF588="",AF588="null",AF588&gt;TODAY())),"SI",IF(AND(NOT(OR(AF588="",AF588="null")),AF588&lt;=TODAY()),"NO",IF(AG588="Vigente","SI","DESCONOCIDO")))</f>
        <v>SI</v>
      </c>
      <c r="AP588" t="str">
        <f>IF(AND(ISNUMBER(SEARCH("IMPORTAR",AA588)),ISNUMBER(SEARCH("FABRICAR",AA588))),"MIXTO",IF(ISNUMBER(SEARCH("IMPORTAR",AA588)),"IMPORTADO",IF(ISNUMBER(SEARCH("FABRICAR",AA588)),"LOCAL","OTRO")))</f>
        <v>IMPORTADO</v>
      </c>
      <c r="AQ588" t="str">
        <f>IF(AD588="Si","SI",IF(AD588="No","NO",""))</f>
        <v>NO</v>
      </c>
      <c r="AR588" t="str">
        <f>IF(ISNUMBER(SEARCH("®",N588)),"MARCA/INNOVADOR","GENERICO")</f>
        <v>GENERICO</v>
      </c>
      <c r="AS588">
        <f ca="1">IF(AE588&gt;100,RANDBETWEEN(500,5000),IF(AND(AE588&gt;=10,AE588&lt;=100),RANDBETWEEN(100,1000),RANDBETWEEN(10,200)))</f>
        <v>1997</v>
      </c>
      <c r="AT588">
        <f t="shared" ca="1" si="47"/>
        <v>559</v>
      </c>
      <c r="AU588">
        <f ca="1">INT(AS588*RANDBETWEEN(120,200)/100)</f>
        <v>3374</v>
      </c>
      <c r="AV588" s="2">
        <f ca="1">IF(LEFT(Y588,1)="L",RANDBETWEEN(500000,5000000),IF(LEFT(Y588,1)="C",RANDBETWEEN(5000,50000),IF(LEFT(Y588,1)="N",RANDBETWEEN(10000,150000),IF(LEFT(Y588,1)="J",RANDBETWEEN(8000,200000),RANDBETWEEN(5000,100000)))))</f>
        <v>98448</v>
      </c>
      <c r="AW588" s="2">
        <f ca="1">INT(AV588*RANDBETWEEN(30,60)/100)</f>
        <v>30518</v>
      </c>
      <c r="AX588">
        <f ca="1">IF(Z588="ORAL",RANDBETWEEN(1000,10000),IF(OR(Z588="INTRAVENOSA",Z588="INTRAMUSCULAR"),RANDBETWEEN(100,2000),IF(OR(Z588="OFTÁLMICA",Z588="TOPICA (EXTERNA)"),RANDBETWEEN(200,3000),RANDBETWEEN(100,1500))))</f>
        <v>7292</v>
      </c>
      <c r="AY588" s="2">
        <f ca="1">INT(AV588*RANDBETWEEN(90,130)/100)</f>
        <v>126997</v>
      </c>
      <c r="AZ588" t="str">
        <f t="shared" ca="1" si="48"/>
        <v>17.7%</v>
      </c>
      <c r="BA588" t="str">
        <f t="shared" ca="1" si="49"/>
        <v>ALTO</v>
      </c>
    </row>
    <row r="589" spans="4:53" x14ac:dyDescent="0.35">
      <c r="D589" t="s">
        <v>4003</v>
      </c>
      <c r="E589" s="1">
        <v>42325</v>
      </c>
      <c r="F589" t="s">
        <v>4004</v>
      </c>
      <c r="G589" t="s">
        <v>108</v>
      </c>
      <c r="H589" t="s">
        <v>136</v>
      </c>
      <c r="I589">
        <v>20090751</v>
      </c>
      <c r="J589" t="s">
        <v>28</v>
      </c>
      <c r="K589">
        <v>9</v>
      </c>
      <c r="L589" t="s">
        <v>27</v>
      </c>
      <c r="M589" t="s">
        <v>4005</v>
      </c>
      <c r="N589" t="s">
        <v>4006</v>
      </c>
      <c r="O589" t="s">
        <v>4007</v>
      </c>
      <c r="P589" t="s">
        <v>29</v>
      </c>
      <c r="Q589" s="1">
        <v>42174</v>
      </c>
      <c r="R589" t="s">
        <v>33</v>
      </c>
      <c r="S589" t="s">
        <v>27</v>
      </c>
      <c r="T589" t="s">
        <v>736</v>
      </c>
      <c r="U589" t="s">
        <v>115</v>
      </c>
      <c r="V589" t="s">
        <v>4008</v>
      </c>
      <c r="W589">
        <v>135</v>
      </c>
      <c r="X589">
        <v>20090751</v>
      </c>
      <c r="Y589" t="s">
        <v>4009</v>
      </c>
      <c r="Z589" t="s">
        <v>119</v>
      </c>
      <c r="AA589" t="s">
        <v>32</v>
      </c>
      <c r="AB589" t="s">
        <v>120</v>
      </c>
      <c r="AC589" t="s">
        <v>38</v>
      </c>
      <c r="AD589" t="s">
        <v>155</v>
      </c>
      <c r="AE589">
        <v>5</v>
      </c>
      <c r="AF589" t="s">
        <v>27</v>
      </c>
      <c r="AG589" t="s">
        <v>26</v>
      </c>
      <c r="AH589" t="s">
        <v>6819</v>
      </c>
      <c r="AI589" t="str">
        <f t="shared" si="45"/>
        <v>NO</v>
      </c>
      <c r="AJ589" t="str">
        <f t="shared" si="46"/>
        <v>LABORATORIO FRANCO COLOMBIANO LAFRANCOL</v>
      </c>
      <c r="AK589" t="str">
        <f>IF(ISNUMBER(SEARCH("FABRICANTE",AC589)),"FABRICANTE",IF(ISNUMBER(SEARCH("IMPORTADOR",AC589)),"IMPORTADOR","OTRO"))</f>
        <v>IMPORTADOR</v>
      </c>
      <c r="AL589" t="str">
        <f>IF(LEFT(Y589,1)="A","Sistema digestivo",IF(LEFT(Y589,1)="B","Sangre",IF(LEFT(Y589,1)="C","Cardiovascular",IF(LEFT(Y589,1)="D","Dermatológico",IF(LEFT(Y589,1)="G","Genitourinario",IF(LEFT(Y589,1)="H","Hormonal",IF(LEFT(Y589,1)="J","Antiinfecciosos",IF(LEFT(Y589,1)="L","Oncológicos",IF(LEFT(Y589,1)="M","Musculoesquelético",IF(LEFT(Y589,1)="N","Sistema nervioso",IF(LEFT(Y589,1)="R","Respiratorio",IF(LEFT(Y589,1)="S","Oftálmico",IF(LEFT(Y589,1)="V","Varios","OTRO")))))))))))))</f>
        <v>Sistema digestivo</v>
      </c>
      <c r="AM589" t="str">
        <f>IF(AG589="Vigente","ACTIVO",IF(ISNUMBER(SEARCH("Inactivo",J589)),"INACTIVO","REVISAR"))</f>
        <v>ACTIVO</v>
      </c>
      <c r="AN589" t="str">
        <f ca="1">IF(OR(AF589="",AF589="null"),"",ROUND((AF589-TODAY())/365.25,2))</f>
        <v/>
      </c>
      <c r="AO589" t="str">
        <f ca="1">IF(AND(AG589="Vigente",OR(AF589="",AF589="null",AF589&gt;TODAY())),"SI",IF(AND(NOT(OR(AF589="",AF589="null")),AF589&lt;=TODAY()),"NO",IF(AG589="Vigente","SI","DESCONOCIDO")))</f>
        <v>SI</v>
      </c>
      <c r="AP589" t="str">
        <f>IF(AND(ISNUMBER(SEARCH("IMPORTAR",AA589)),ISNUMBER(SEARCH("FABRICAR",AA589))),"MIXTO",IF(ISNUMBER(SEARCH("IMPORTAR",AA589)),"IMPORTADO",IF(ISNUMBER(SEARCH("FABRICAR",AA589)),"LOCAL","OTRO")))</f>
        <v>IMPORTADO</v>
      </c>
      <c r="AQ589" t="str">
        <f>IF(AD589="Si","SI",IF(AD589="No","NO",""))</f>
        <v>SI</v>
      </c>
      <c r="AR589" t="str">
        <f>IF(ISNUMBER(SEARCH("®",N589)),"MARCA/INNOVADOR","GENERICO")</f>
        <v>MARCA/INNOVADOR</v>
      </c>
      <c r="AS589">
        <f ca="1">IF(AE589&gt;100,RANDBETWEEN(500,5000),IF(AND(AE589&gt;=10,AE589&lt;=100),RANDBETWEEN(100,1000),RANDBETWEEN(10,200)))</f>
        <v>99</v>
      </c>
      <c r="AT589">
        <f t="shared" ca="1" si="47"/>
        <v>14</v>
      </c>
      <c r="AU589">
        <f ca="1">INT(AS589*RANDBETWEEN(120,200)/100)</f>
        <v>120</v>
      </c>
      <c r="AV589" s="2">
        <f ca="1">IF(LEFT(Y589,1)="L",RANDBETWEEN(500000,5000000),IF(LEFT(Y589,1)="C",RANDBETWEEN(5000,50000),IF(LEFT(Y589,1)="N",RANDBETWEEN(10000,150000),IF(LEFT(Y589,1)="J",RANDBETWEEN(8000,200000),RANDBETWEEN(5000,100000)))))</f>
        <v>8933</v>
      </c>
      <c r="AW589" s="2">
        <f ca="1">INT(AV589*RANDBETWEEN(30,60)/100)</f>
        <v>4019</v>
      </c>
      <c r="AX589">
        <f ca="1">IF(Z589="ORAL",RANDBETWEEN(1000,10000),IF(OR(Z589="INTRAVENOSA",Z589="INTRAMUSCULAR"),RANDBETWEEN(100,2000),IF(OR(Z589="OFTÁLMICA",Z589="TOPICA (EXTERNA)"),RANDBETWEEN(200,3000),RANDBETWEEN(100,1500))))</f>
        <v>6156</v>
      </c>
      <c r="AY589" s="2">
        <f ca="1">INT(AV589*RANDBETWEEN(90,130)/100)</f>
        <v>8575</v>
      </c>
      <c r="AZ589" t="str">
        <f t="shared" ca="1" si="48"/>
        <v>12.1%</v>
      </c>
      <c r="BA589" t="str">
        <f t="shared" ca="1" si="49"/>
        <v>BAJO</v>
      </c>
    </row>
    <row r="590" spans="4:53" x14ac:dyDescent="0.35">
      <c r="D590" t="s">
        <v>4010</v>
      </c>
      <c r="E590" s="1">
        <v>38104</v>
      </c>
      <c r="F590" t="s">
        <v>4011</v>
      </c>
      <c r="G590" t="s">
        <v>108</v>
      </c>
      <c r="H590" t="s">
        <v>4012</v>
      </c>
      <c r="I590">
        <v>19944041</v>
      </c>
      <c r="J590" t="s">
        <v>28</v>
      </c>
      <c r="K590">
        <v>6</v>
      </c>
      <c r="L590" t="s">
        <v>27</v>
      </c>
      <c r="M590" t="s">
        <v>4013</v>
      </c>
      <c r="N590" t="s">
        <v>4014</v>
      </c>
      <c r="O590" t="s">
        <v>4015</v>
      </c>
      <c r="P590" t="s">
        <v>2643</v>
      </c>
      <c r="Q590" s="1">
        <v>42249</v>
      </c>
      <c r="R590" t="s">
        <v>47</v>
      </c>
      <c r="S590" t="s">
        <v>27</v>
      </c>
      <c r="T590" t="s">
        <v>736</v>
      </c>
      <c r="U590" t="s">
        <v>115</v>
      </c>
      <c r="V590" t="s">
        <v>299</v>
      </c>
      <c r="W590">
        <v>250</v>
      </c>
      <c r="X590">
        <v>19944041</v>
      </c>
      <c r="Y590" t="s">
        <v>300</v>
      </c>
      <c r="Z590" t="s">
        <v>119</v>
      </c>
      <c r="AA590" t="s">
        <v>32</v>
      </c>
      <c r="AB590" t="s">
        <v>120</v>
      </c>
      <c r="AC590" t="s">
        <v>25</v>
      </c>
      <c r="AD590" t="s">
        <v>121</v>
      </c>
      <c r="AE590">
        <v>6</v>
      </c>
      <c r="AF590" t="s">
        <v>27</v>
      </c>
      <c r="AG590" t="s">
        <v>26</v>
      </c>
      <c r="AH590" t="s">
        <v>6679</v>
      </c>
      <c r="AI590" t="str">
        <f t="shared" si="45"/>
        <v>SI</v>
      </c>
      <c r="AJ590" t="str">
        <f t="shared" si="46"/>
        <v>LABORATORIO FRANCO COLOMBIANO LAFRANCOL</v>
      </c>
      <c r="AK590" t="str">
        <f>IF(ISNUMBER(SEARCH("FABRICANTE",AC590)),"FABRICANTE",IF(ISNUMBER(SEARCH("IMPORTADOR",AC590)),"IMPORTADOR","OTRO"))</f>
        <v>FABRICANTE</v>
      </c>
      <c r="AL590" t="str">
        <f>IF(LEFT(Y590,1)="A","Sistema digestivo",IF(LEFT(Y590,1)="B","Sangre",IF(LEFT(Y590,1)="C","Cardiovascular",IF(LEFT(Y590,1)="D","Dermatológico",IF(LEFT(Y590,1)="G","Genitourinario",IF(LEFT(Y590,1)="H","Hormonal",IF(LEFT(Y590,1)="J","Antiinfecciosos",IF(LEFT(Y590,1)="L","Oncológicos",IF(LEFT(Y590,1)="M","Musculoesquelético",IF(LEFT(Y590,1)="N","Sistema nervioso",IF(LEFT(Y590,1)="R","Respiratorio",IF(LEFT(Y590,1)="S","Oftálmico",IF(LEFT(Y590,1)="V","Varios","OTRO")))))))))))))</f>
        <v>Sistema nervioso</v>
      </c>
      <c r="AM590" t="str">
        <f>IF(AG590="Vigente","ACTIVO",IF(ISNUMBER(SEARCH("Inactivo",J590)),"INACTIVO","REVISAR"))</f>
        <v>ACTIVO</v>
      </c>
      <c r="AN590" t="str">
        <f ca="1">IF(OR(AF590="",AF590="null"),"",ROUND((AF590-TODAY())/365.25,2))</f>
        <v/>
      </c>
      <c r="AO590" t="str">
        <f ca="1">IF(AND(AG590="Vigente",OR(AF590="",AF590="null",AF590&gt;TODAY())),"SI",IF(AND(NOT(OR(AF590="",AF590="null")),AF590&lt;=TODAY()),"NO",IF(AG590="Vigente","SI","DESCONOCIDO")))</f>
        <v>SI</v>
      </c>
      <c r="AP590" t="str">
        <f>IF(AND(ISNUMBER(SEARCH("IMPORTAR",AA590)),ISNUMBER(SEARCH("FABRICAR",AA590))),"MIXTO",IF(ISNUMBER(SEARCH("IMPORTAR",AA590)),"IMPORTADO",IF(ISNUMBER(SEARCH("FABRICAR",AA590)),"LOCAL","OTRO")))</f>
        <v>IMPORTADO</v>
      </c>
      <c r="AQ590" t="str">
        <f>IF(AD590="Si","SI",IF(AD590="No","NO",""))</f>
        <v>NO</v>
      </c>
      <c r="AR590" t="str">
        <f>IF(ISNUMBER(SEARCH("®",N590)),"MARCA/INNOVADOR","GENERICO")</f>
        <v>MARCA/INNOVADOR</v>
      </c>
      <c r="AS590">
        <f ca="1">IF(AE590&gt;100,RANDBETWEEN(500,5000),IF(AND(AE590&gt;=10,AE590&lt;=100),RANDBETWEEN(100,1000),RANDBETWEEN(10,200)))</f>
        <v>51</v>
      </c>
      <c r="AT590">
        <f t="shared" ca="1" si="47"/>
        <v>5</v>
      </c>
      <c r="AU590">
        <f ca="1">INT(AS590*RANDBETWEEN(120,200)/100)</f>
        <v>82</v>
      </c>
      <c r="AV590" s="2">
        <f ca="1">IF(LEFT(Y590,1)="L",RANDBETWEEN(500000,5000000),IF(LEFT(Y590,1)="C",RANDBETWEEN(5000,50000),IF(LEFT(Y590,1)="N",RANDBETWEEN(10000,150000),IF(LEFT(Y590,1)="J",RANDBETWEEN(8000,200000),RANDBETWEEN(5000,100000)))))</f>
        <v>51375</v>
      </c>
      <c r="AW590" s="2">
        <f ca="1">INT(AV590*RANDBETWEEN(30,60)/100)</f>
        <v>27228</v>
      </c>
      <c r="AX590">
        <f ca="1">IF(Z590="ORAL",RANDBETWEEN(1000,10000),IF(OR(Z590="INTRAVENOSA",Z590="INTRAMUSCULAR"),RANDBETWEEN(100,2000),IF(OR(Z590="OFTÁLMICA",Z590="TOPICA (EXTERNA)"),RANDBETWEEN(200,3000),RANDBETWEEN(100,1500))))</f>
        <v>8403</v>
      </c>
      <c r="AY590" s="2">
        <f ca="1">INT(AV590*RANDBETWEEN(90,130)/100)</f>
        <v>58053</v>
      </c>
      <c r="AZ590" t="str">
        <f t="shared" ca="1" si="48"/>
        <v>7.1%</v>
      </c>
      <c r="BA590" t="str">
        <f t="shared" ca="1" si="49"/>
        <v>BAJO</v>
      </c>
    </row>
    <row r="591" spans="4:53" x14ac:dyDescent="0.35">
      <c r="D591" t="s">
        <v>4016</v>
      </c>
      <c r="E591" s="1">
        <v>38478</v>
      </c>
      <c r="F591" t="s">
        <v>612</v>
      </c>
      <c r="G591" t="s">
        <v>108</v>
      </c>
      <c r="H591" t="s">
        <v>503</v>
      </c>
      <c r="I591">
        <v>19950452</v>
      </c>
      <c r="J591" t="s">
        <v>28</v>
      </c>
      <c r="K591">
        <v>7</v>
      </c>
      <c r="L591" t="s">
        <v>27</v>
      </c>
      <c r="M591" t="s">
        <v>613</v>
      </c>
      <c r="N591" t="s">
        <v>614</v>
      </c>
      <c r="O591" t="s">
        <v>4017</v>
      </c>
      <c r="P591" t="s">
        <v>616</v>
      </c>
      <c r="Q591" s="1">
        <v>40716</v>
      </c>
      <c r="R591" t="s">
        <v>50</v>
      </c>
      <c r="S591" s="1">
        <v>44287</v>
      </c>
      <c r="T591" t="s">
        <v>454</v>
      </c>
      <c r="U591" t="s">
        <v>115</v>
      </c>
      <c r="V591" t="s">
        <v>275</v>
      </c>
      <c r="W591">
        <v>100</v>
      </c>
      <c r="X591">
        <v>19950452</v>
      </c>
      <c r="Y591" t="s">
        <v>276</v>
      </c>
      <c r="Z591" t="s">
        <v>132</v>
      </c>
      <c r="AA591" t="s">
        <v>24</v>
      </c>
      <c r="AB591" t="s">
        <v>239</v>
      </c>
      <c r="AC591" t="s">
        <v>25</v>
      </c>
      <c r="AD591" t="s">
        <v>121</v>
      </c>
      <c r="AE591">
        <v>1</v>
      </c>
      <c r="AF591" s="1">
        <v>401769</v>
      </c>
      <c r="AG591" t="s">
        <v>26</v>
      </c>
      <c r="AH591" t="s">
        <v>869</v>
      </c>
      <c r="AI591" t="str">
        <f t="shared" si="45"/>
        <v>NO</v>
      </c>
      <c r="AJ591" t="str">
        <f t="shared" si="46"/>
        <v>PROCAPS</v>
      </c>
      <c r="AK591" t="str">
        <f>IF(ISNUMBER(SEARCH("FABRICANTE",AC591)),"FABRICANTE",IF(ISNUMBER(SEARCH("IMPORTADOR",AC591)),"IMPORTADOR","OTRO"))</f>
        <v>FABRICANTE</v>
      </c>
      <c r="AL591" t="str">
        <f>IF(LEFT(Y591,1)="A","Sistema digestivo",IF(LEFT(Y591,1)="B","Sangre",IF(LEFT(Y591,1)="C","Cardiovascular",IF(LEFT(Y591,1)="D","Dermatológico",IF(LEFT(Y591,1)="G","Genitourinario",IF(LEFT(Y591,1)="H","Hormonal",IF(LEFT(Y591,1)="J","Antiinfecciosos",IF(LEFT(Y591,1)="L","Oncológicos",IF(LEFT(Y591,1)="M","Musculoesquelético",IF(LEFT(Y591,1)="N","Sistema nervioso",IF(LEFT(Y591,1)="R","Respiratorio",IF(LEFT(Y591,1)="S","Oftálmico",IF(LEFT(Y591,1)="V","Varios","OTRO")))))))))))))</f>
        <v>Sangre</v>
      </c>
      <c r="AM591" t="str">
        <f>IF(AG591="Vigente","ACTIVO",IF(ISNUMBER(SEARCH("Inactivo",J591)),"INACTIVO","REVISAR"))</f>
        <v>ACTIVO</v>
      </c>
      <c r="AN591">
        <f ca="1">IF(OR(AF591="",AF591="null"),"",ROUND((AF591-TODAY())/365.25,2))</f>
        <v>973.58</v>
      </c>
      <c r="AO591" t="str">
        <f ca="1">IF(AND(AG591="Vigente",OR(AF591="",AF591="null",AF591&gt;TODAY())),"SI",IF(AND(NOT(OR(AF591="",AF591="null")),AF591&lt;=TODAY()),"NO",IF(AG591="Vigente","SI","DESCONOCIDO")))</f>
        <v>SI</v>
      </c>
      <c r="AP591" t="str">
        <f>IF(AND(ISNUMBER(SEARCH("IMPORTAR",AA591)),ISNUMBER(SEARCH("FABRICAR",AA591))),"MIXTO",IF(ISNUMBER(SEARCH("IMPORTAR",AA591)),"IMPORTADO",IF(ISNUMBER(SEARCH("FABRICAR",AA591)),"LOCAL","OTRO")))</f>
        <v>LOCAL</v>
      </c>
      <c r="AQ591" t="str">
        <f>IF(AD591="Si","SI",IF(AD591="No","NO",""))</f>
        <v>NO</v>
      </c>
      <c r="AR591" t="str">
        <f>IF(ISNUMBER(SEARCH("®",N591)),"MARCA/INNOVADOR","GENERICO")</f>
        <v>MARCA/INNOVADOR</v>
      </c>
      <c r="AS591">
        <f ca="1">IF(AE591&gt;100,RANDBETWEEN(500,5000),IF(AND(AE591&gt;=10,AE591&lt;=100),RANDBETWEEN(100,1000),RANDBETWEEN(10,200)))</f>
        <v>33</v>
      </c>
      <c r="AT591">
        <f t="shared" ca="1" si="47"/>
        <v>5</v>
      </c>
      <c r="AU591">
        <f ca="1">INT(AS591*RANDBETWEEN(120,200)/100)</f>
        <v>43</v>
      </c>
      <c r="AV591" s="2">
        <f ca="1">IF(LEFT(Y591,1)="L",RANDBETWEEN(500000,5000000),IF(LEFT(Y591,1)="C",RANDBETWEEN(5000,50000),IF(LEFT(Y591,1)="N",RANDBETWEEN(10000,150000),IF(LEFT(Y591,1)="J",RANDBETWEEN(8000,200000),RANDBETWEEN(5000,100000)))))</f>
        <v>43102</v>
      </c>
      <c r="AW591" s="2">
        <f ca="1">INT(AV591*RANDBETWEEN(30,60)/100)</f>
        <v>14223</v>
      </c>
      <c r="AX591">
        <f ca="1">IF(Z591="ORAL",RANDBETWEEN(1000,10000),IF(OR(Z591="INTRAVENOSA",Z591="INTRAMUSCULAR"),RANDBETWEEN(100,2000),IF(OR(Z591="OFTÁLMICA",Z591="TOPICA (EXTERNA)"),RANDBETWEEN(200,3000),RANDBETWEEN(100,1500))))</f>
        <v>1230</v>
      </c>
      <c r="AY591" s="2">
        <f ca="1">INT(AV591*RANDBETWEEN(90,130)/100)</f>
        <v>49136</v>
      </c>
      <c r="AZ591" t="str">
        <f t="shared" ca="1" si="48"/>
        <v>2.6%</v>
      </c>
      <c r="BA591" t="str">
        <f t="shared" ca="1" si="49"/>
        <v>BAJO</v>
      </c>
    </row>
    <row r="592" spans="4:53" x14ac:dyDescent="0.35">
      <c r="D592" t="s">
        <v>4018</v>
      </c>
      <c r="E592" s="1">
        <v>36342</v>
      </c>
      <c r="F592" t="s">
        <v>4019</v>
      </c>
      <c r="G592" t="s">
        <v>247</v>
      </c>
      <c r="H592" t="s">
        <v>4020</v>
      </c>
      <c r="I592">
        <v>19901934</v>
      </c>
      <c r="J592" t="s">
        <v>28</v>
      </c>
      <c r="K592">
        <v>13</v>
      </c>
      <c r="L592" t="s">
        <v>27</v>
      </c>
      <c r="M592" t="s">
        <v>4021</v>
      </c>
      <c r="N592" t="s">
        <v>4022</v>
      </c>
      <c r="O592" t="s">
        <v>4023</v>
      </c>
      <c r="P592" t="s">
        <v>4024</v>
      </c>
      <c r="Q592" s="1">
        <v>44319</v>
      </c>
      <c r="R592" t="s">
        <v>912</v>
      </c>
      <c r="S592" t="s">
        <v>27</v>
      </c>
      <c r="T592" t="s">
        <v>4020</v>
      </c>
      <c r="U592" t="s">
        <v>247</v>
      </c>
      <c r="V592" t="s">
        <v>4025</v>
      </c>
      <c r="W592" t="s">
        <v>4026</v>
      </c>
      <c r="X592">
        <v>19901934</v>
      </c>
      <c r="Y592" t="s">
        <v>4027</v>
      </c>
      <c r="Z592" t="s">
        <v>566</v>
      </c>
      <c r="AA592" t="s">
        <v>32</v>
      </c>
      <c r="AB592" t="s">
        <v>653</v>
      </c>
      <c r="AC592" t="s">
        <v>38</v>
      </c>
      <c r="AD592" t="s">
        <v>121</v>
      </c>
      <c r="AE592">
        <v>100</v>
      </c>
      <c r="AF592" t="s">
        <v>27</v>
      </c>
      <c r="AG592" t="s">
        <v>26</v>
      </c>
      <c r="AH592" t="s">
        <v>4019</v>
      </c>
      <c r="AI592" t="str">
        <f t="shared" si="45"/>
        <v>NO</v>
      </c>
      <c r="AJ592" t="str">
        <f t="shared" si="46"/>
        <v>PROCTER &amp; GAMBLE COLOMBIA (P &amp; G COLOMBIA)</v>
      </c>
      <c r="AK592" t="str">
        <f>IF(ISNUMBER(SEARCH("FABRICANTE",AC592)),"FABRICANTE",IF(ISNUMBER(SEARCH("IMPORTADOR",AC592)),"IMPORTADOR","OTRO"))</f>
        <v>IMPORTADOR</v>
      </c>
      <c r="AL592" t="str">
        <f>IF(LEFT(Y592,1)="A","Sistema digestivo",IF(LEFT(Y592,1)="B","Sangre",IF(LEFT(Y592,1)="C","Cardiovascular",IF(LEFT(Y592,1)="D","Dermatológico",IF(LEFT(Y592,1)="G","Genitourinario",IF(LEFT(Y592,1)="H","Hormonal",IF(LEFT(Y592,1)="J","Antiinfecciosos",IF(LEFT(Y592,1)="L","Oncológicos",IF(LEFT(Y592,1)="M","Musculoesquelético",IF(LEFT(Y592,1)="N","Sistema nervioso",IF(LEFT(Y592,1)="R","Respiratorio",IF(LEFT(Y592,1)="S","Oftálmico",IF(LEFT(Y592,1)="V","Varios","OTRO")))))))))))))</f>
        <v>Cardiovascular</v>
      </c>
      <c r="AM592" t="str">
        <f>IF(AG592="Vigente","ACTIVO",IF(ISNUMBER(SEARCH("Inactivo",J592)),"INACTIVO","REVISAR"))</f>
        <v>ACTIVO</v>
      </c>
      <c r="AN592" t="str">
        <f ca="1">IF(OR(AF592="",AF592="null"),"",ROUND((AF592-TODAY())/365.25,2))</f>
        <v/>
      </c>
      <c r="AO592" t="str">
        <f ca="1">IF(AND(AG592="Vigente",OR(AF592="",AF592="null",AF592&gt;TODAY())),"SI",IF(AND(NOT(OR(AF592="",AF592="null")),AF592&lt;=TODAY()),"NO",IF(AG592="Vigente","SI","DESCONOCIDO")))</f>
        <v>SI</v>
      </c>
      <c r="AP592" t="str">
        <f>IF(AND(ISNUMBER(SEARCH("IMPORTAR",AA592)),ISNUMBER(SEARCH("FABRICAR",AA592))),"MIXTO",IF(ISNUMBER(SEARCH("IMPORTAR",AA592)),"IMPORTADO",IF(ISNUMBER(SEARCH("FABRICAR",AA592)),"LOCAL","OTRO")))</f>
        <v>IMPORTADO</v>
      </c>
      <c r="AQ592" t="str">
        <f>IF(AD592="Si","SI",IF(AD592="No","NO",""))</f>
        <v>NO</v>
      </c>
      <c r="AR592" t="str">
        <f>IF(ISNUMBER(SEARCH("®",N592)),"MARCA/INNOVADOR","GENERICO")</f>
        <v>GENERICO</v>
      </c>
      <c r="AS592">
        <f ca="1">IF(AE592&gt;100,RANDBETWEEN(500,5000),IF(AND(AE592&gt;=10,AE592&lt;=100),RANDBETWEEN(100,1000),RANDBETWEEN(10,200)))</f>
        <v>686</v>
      </c>
      <c r="AT592">
        <f t="shared" ca="1" si="47"/>
        <v>137</v>
      </c>
      <c r="AU592">
        <f ca="1">INT(AS592*RANDBETWEEN(120,200)/100)</f>
        <v>1042</v>
      </c>
      <c r="AV592" s="2">
        <f ca="1">IF(LEFT(Y592,1)="L",RANDBETWEEN(500000,5000000),IF(LEFT(Y592,1)="C",RANDBETWEEN(5000,50000),IF(LEFT(Y592,1)="N",RANDBETWEEN(10000,150000),IF(LEFT(Y592,1)="J",RANDBETWEEN(8000,200000),RANDBETWEEN(5000,100000)))))</f>
        <v>40951</v>
      </c>
      <c r="AW592" s="2">
        <f ca="1">INT(AV592*RANDBETWEEN(30,60)/100)</f>
        <v>21294</v>
      </c>
      <c r="AX592">
        <f ca="1">IF(Z592="ORAL",RANDBETWEEN(1000,10000),IF(OR(Z592="INTRAVENOSA",Z592="INTRAMUSCULAR"),RANDBETWEEN(100,2000),IF(OR(Z592="OFTÁLMICA",Z592="TOPICA (EXTERNA)"),RANDBETWEEN(200,3000),RANDBETWEEN(100,1500))))</f>
        <v>2634</v>
      </c>
      <c r="AY592" s="2">
        <f ca="1">INT(AV592*RANDBETWEEN(90,130)/100)</f>
        <v>49141</v>
      </c>
      <c r="AZ592" t="str">
        <f t="shared" ca="1" si="48"/>
        <v>14.9%</v>
      </c>
      <c r="BA592" t="str">
        <f t="shared" ca="1" si="49"/>
        <v>BAJO</v>
      </c>
    </row>
    <row r="593" spans="4:53" x14ac:dyDescent="0.35">
      <c r="D593" t="s">
        <v>4028</v>
      </c>
      <c r="E593" s="1">
        <v>39631</v>
      </c>
      <c r="F593" t="s">
        <v>4029</v>
      </c>
      <c r="G593" t="s">
        <v>108</v>
      </c>
      <c r="H593" t="s">
        <v>2205</v>
      </c>
      <c r="I593">
        <v>19983736</v>
      </c>
      <c r="J593" t="s">
        <v>28</v>
      </c>
      <c r="K593">
        <v>1</v>
      </c>
      <c r="L593" t="s">
        <v>27</v>
      </c>
      <c r="M593" t="s">
        <v>4030</v>
      </c>
      <c r="N593" t="s">
        <v>4031</v>
      </c>
      <c r="O593" t="s">
        <v>4032</v>
      </c>
      <c r="P593" t="s">
        <v>29</v>
      </c>
      <c r="Q593" s="1">
        <v>39440</v>
      </c>
      <c r="R593" t="s">
        <v>29</v>
      </c>
      <c r="S593" t="s">
        <v>27</v>
      </c>
      <c r="T593" t="s">
        <v>1932</v>
      </c>
      <c r="U593" t="s">
        <v>115</v>
      </c>
      <c r="V593" t="s">
        <v>4033</v>
      </c>
      <c r="W593">
        <v>5</v>
      </c>
      <c r="X593">
        <v>19983736</v>
      </c>
      <c r="Y593" t="s">
        <v>4034</v>
      </c>
      <c r="Z593" t="s">
        <v>119</v>
      </c>
      <c r="AA593" t="s">
        <v>32</v>
      </c>
      <c r="AB593" t="s">
        <v>120</v>
      </c>
      <c r="AC593" t="s">
        <v>38</v>
      </c>
      <c r="AD593" t="s">
        <v>121</v>
      </c>
      <c r="AE593">
        <v>14</v>
      </c>
      <c r="AF593" t="s">
        <v>27</v>
      </c>
      <c r="AG593" t="s">
        <v>26</v>
      </c>
      <c r="AH593" t="s">
        <v>6820</v>
      </c>
      <c r="AI593" t="str">
        <f t="shared" si="45"/>
        <v>NO</v>
      </c>
      <c r="AJ593" t="str">
        <f t="shared" si="46"/>
        <v>LES LABORATORIES SERVIER</v>
      </c>
      <c r="AK593" t="str">
        <f>IF(ISNUMBER(SEARCH("FABRICANTE",AC593)),"FABRICANTE",IF(ISNUMBER(SEARCH("IMPORTADOR",AC593)),"IMPORTADOR","OTRO"))</f>
        <v>IMPORTADOR</v>
      </c>
      <c r="AL593" t="str">
        <f>IF(LEFT(Y593,1)="A","Sistema digestivo",IF(LEFT(Y593,1)="B","Sangre",IF(LEFT(Y593,1)="C","Cardiovascular",IF(LEFT(Y593,1)="D","Dermatológico",IF(LEFT(Y593,1)="G","Genitourinario",IF(LEFT(Y593,1)="H","Hormonal",IF(LEFT(Y593,1)="J","Antiinfecciosos",IF(LEFT(Y593,1)="L","Oncológicos",IF(LEFT(Y593,1)="M","Musculoesquelético",IF(LEFT(Y593,1)="N","Sistema nervioso",IF(LEFT(Y593,1)="R","Respiratorio",IF(LEFT(Y593,1)="S","Oftálmico",IF(LEFT(Y593,1)="V","Varios","OTRO")))))))))))))</f>
        <v>Cardiovascular</v>
      </c>
      <c r="AM593" t="str">
        <f>IF(AG593="Vigente","ACTIVO",IF(ISNUMBER(SEARCH("Inactivo",J593)),"INACTIVO","REVISAR"))</f>
        <v>ACTIVO</v>
      </c>
      <c r="AN593" t="str">
        <f ca="1">IF(OR(AF593="",AF593="null"),"",ROUND((AF593-TODAY())/365.25,2))</f>
        <v/>
      </c>
      <c r="AO593" t="str">
        <f ca="1">IF(AND(AG593="Vigente",OR(AF593="",AF593="null",AF593&gt;TODAY())),"SI",IF(AND(NOT(OR(AF593="",AF593="null")),AF593&lt;=TODAY()),"NO",IF(AG593="Vigente","SI","DESCONOCIDO")))</f>
        <v>SI</v>
      </c>
      <c r="AP593" t="str">
        <f>IF(AND(ISNUMBER(SEARCH("IMPORTAR",AA593)),ISNUMBER(SEARCH("FABRICAR",AA593))),"MIXTO",IF(ISNUMBER(SEARCH("IMPORTAR",AA593)),"IMPORTADO",IF(ISNUMBER(SEARCH("FABRICAR",AA593)),"LOCAL","OTRO")))</f>
        <v>IMPORTADO</v>
      </c>
      <c r="AQ593" t="str">
        <f>IF(AD593="Si","SI",IF(AD593="No","NO",""))</f>
        <v>NO</v>
      </c>
      <c r="AR593" t="str">
        <f>IF(ISNUMBER(SEARCH("®",N593)),"MARCA/INNOVADOR","GENERICO")</f>
        <v>GENERICO</v>
      </c>
      <c r="AS593">
        <f ca="1">IF(AE593&gt;100,RANDBETWEEN(500,5000),IF(AND(AE593&gt;=10,AE593&lt;=100),RANDBETWEEN(100,1000),RANDBETWEEN(10,200)))</f>
        <v>656</v>
      </c>
      <c r="AT593">
        <f t="shared" ca="1" si="47"/>
        <v>170</v>
      </c>
      <c r="AU593">
        <f ca="1">INT(AS593*RANDBETWEEN(120,200)/100)</f>
        <v>820</v>
      </c>
      <c r="AV593" s="2">
        <f ca="1">IF(LEFT(Y593,1)="L",RANDBETWEEN(500000,5000000),IF(LEFT(Y593,1)="C",RANDBETWEEN(5000,50000),IF(LEFT(Y593,1)="N",RANDBETWEEN(10000,150000),IF(LEFT(Y593,1)="J",RANDBETWEEN(8000,200000),RANDBETWEEN(5000,100000)))))</f>
        <v>47584</v>
      </c>
      <c r="AW593" s="2">
        <f ca="1">INT(AV593*RANDBETWEEN(30,60)/100)</f>
        <v>19033</v>
      </c>
      <c r="AX593">
        <f ca="1">IF(Z593="ORAL",RANDBETWEEN(1000,10000),IF(OR(Z593="INTRAVENOSA",Z593="INTRAMUSCULAR"),RANDBETWEEN(100,2000),IF(OR(Z593="OFTÁLMICA",Z593="TOPICA (EXTERNA)"),RANDBETWEEN(200,3000),RANDBETWEEN(100,1500))))</f>
        <v>7295</v>
      </c>
      <c r="AY593" s="2">
        <f ca="1">INT(AV593*RANDBETWEEN(90,130)/100)</f>
        <v>52818</v>
      </c>
      <c r="AZ593" t="str">
        <f t="shared" ca="1" si="48"/>
        <v>5.3%</v>
      </c>
      <c r="BA593" t="str">
        <f t="shared" ca="1" si="49"/>
        <v>BAJO</v>
      </c>
    </row>
    <row r="594" spans="4:53" x14ac:dyDescent="0.35">
      <c r="D594" t="s">
        <v>4035</v>
      </c>
      <c r="E594" s="1">
        <v>37504</v>
      </c>
      <c r="F594" t="s">
        <v>4036</v>
      </c>
      <c r="G594" t="s">
        <v>108</v>
      </c>
      <c r="H594" t="s">
        <v>1501</v>
      </c>
      <c r="I594">
        <v>19931123</v>
      </c>
      <c r="J594" t="s">
        <v>28</v>
      </c>
      <c r="K594">
        <v>1</v>
      </c>
      <c r="L594" t="s">
        <v>27</v>
      </c>
      <c r="M594" t="s">
        <v>4037</v>
      </c>
      <c r="N594" t="s">
        <v>4038</v>
      </c>
      <c r="O594" t="s">
        <v>4039</v>
      </c>
      <c r="P594" t="s">
        <v>27</v>
      </c>
      <c r="Q594" s="1">
        <v>39031</v>
      </c>
      <c r="R594" t="s">
        <v>50</v>
      </c>
      <c r="S594" t="s">
        <v>27</v>
      </c>
      <c r="T594" t="s">
        <v>4040</v>
      </c>
      <c r="U594" t="s">
        <v>247</v>
      </c>
      <c r="V594" t="s">
        <v>554</v>
      </c>
      <c r="W594" t="s">
        <v>4041</v>
      </c>
      <c r="X594">
        <v>19931123</v>
      </c>
      <c r="Y594" t="s">
        <v>556</v>
      </c>
      <c r="Z594" t="s">
        <v>260</v>
      </c>
      <c r="AA594" t="s">
        <v>32</v>
      </c>
      <c r="AB594" t="s">
        <v>120</v>
      </c>
      <c r="AC594" t="s">
        <v>25</v>
      </c>
      <c r="AD594" t="s">
        <v>121</v>
      </c>
      <c r="AE594">
        <v>1</v>
      </c>
      <c r="AF594" t="s">
        <v>27</v>
      </c>
      <c r="AG594" t="s">
        <v>26</v>
      </c>
      <c r="AH594" t="s">
        <v>6680</v>
      </c>
      <c r="AI594" t="str">
        <f t="shared" si="45"/>
        <v>NO</v>
      </c>
      <c r="AJ594" t="str">
        <f t="shared" si="46"/>
        <v>FRESENIUS KABIDEUTSCHLAND</v>
      </c>
      <c r="AK594" t="str">
        <f>IF(ISNUMBER(SEARCH("FABRICANTE",AC594)),"FABRICANTE",IF(ISNUMBER(SEARCH("IMPORTADOR",AC594)),"IMPORTADOR","OTRO"))</f>
        <v>FABRICANTE</v>
      </c>
      <c r="AL594" t="str">
        <f>IF(LEFT(Y594,1)="A","Sistema digestivo",IF(LEFT(Y594,1)="B","Sangre",IF(LEFT(Y594,1)="C","Cardiovascular",IF(LEFT(Y594,1)="D","Dermatológico",IF(LEFT(Y594,1)="G","Genitourinario",IF(LEFT(Y594,1)="H","Hormonal",IF(LEFT(Y594,1)="J","Antiinfecciosos",IF(LEFT(Y594,1)="L","Oncológicos",IF(LEFT(Y594,1)="M","Musculoesquelético",IF(LEFT(Y594,1)="N","Sistema nervioso",IF(LEFT(Y594,1)="R","Respiratorio",IF(LEFT(Y594,1)="S","Oftálmico",IF(LEFT(Y594,1)="V","Varios","OTRO")))))))))))))</f>
        <v>Sangre</v>
      </c>
      <c r="AM594" t="str">
        <f>IF(AG594="Vigente","ACTIVO",IF(ISNUMBER(SEARCH("Inactivo",J594)),"INACTIVO","REVISAR"))</f>
        <v>ACTIVO</v>
      </c>
      <c r="AN594" t="str">
        <f ca="1">IF(OR(AF594="",AF594="null"),"",ROUND((AF594-TODAY())/365.25,2))</f>
        <v/>
      </c>
      <c r="AO594" t="str">
        <f ca="1">IF(AND(AG594="Vigente",OR(AF594="",AF594="null",AF594&gt;TODAY())),"SI",IF(AND(NOT(OR(AF594="",AF594="null")),AF594&lt;=TODAY()),"NO",IF(AG594="Vigente","SI","DESCONOCIDO")))</f>
        <v>SI</v>
      </c>
      <c r="AP594" t="str">
        <f>IF(AND(ISNUMBER(SEARCH("IMPORTAR",AA594)),ISNUMBER(SEARCH("FABRICAR",AA594))),"MIXTO",IF(ISNUMBER(SEARCH("IMPORTAR",AA594)),"IMPORTADO",IF(ISNUMBER(SEARCH("FABRICAR",AA594)),"LOCAL","OTRO")))</f>
        <v>IMPORTADO</v>
      </c>
      <c r="AQ594" t="str">
        <f>IF(AD594="Si","SI",IF(AD594="No","NO",""))</f>
        <v>NO</v>
      </c>
      <c r="AR594" t="str">
        <f>IF(ISNUMBER(SEARCH("®",N594)),"MARCA/INNOVADOR","GENERICO")</f>
        <v>GENERICO</v>
      </c>
      <c r="AS594">
        <f ca="1">IF(AE594&gt;100,RANDBETWEEN(500,5000),IF(AND(AE594&gt;=10,AE594&lt;=100),RANDBETWEEN(100,1000),RANDBETWEEN(10,200)))</f>
        <v>186</v>
      </c>
      <c r="AT594">
        <f t="shared" ca="1" si="47"/>
        <v>35</v>
      </c>
      <c r="AU594">
        <f ca="1">INT(AS594*RANDBETWEEN(120,200)/100)</f>
        <v>252</v>
      </c>
      <c r="AV594" s="2">
        <f ca="1">IF(LEFT(Y594,1)="L",RANDBETWEEN(500000,5000000),IF(LEFT(Y594,1)="C",RANDBETWEEN(5000,50000),IF(LEFT(Y594,1)="N",RANDBETWEEN(10000,150000),IF(LEFT(Y594,1)="J",RANDBETWEEN(8000,200000),RANDBETWEEN(5000,100000)))))</f>
        <v>55787</v>
      </c>
      <c r="AW594" s="2">
        <f ca="1">INT(AV594*RANDBETWEEN(30,60)/100)</f>
        <v>26777</v>
      </c>
      <c r="AX594">
        <f ca="1">IF(Z594="ORAL",RANDBETWEEN(1000,10000),IF(OR(Z594="INTRAVENOSA",Z594="INTRAMUSCULAR"),RANDBETWEEN(100,2000),IF(OR(Z594="OFTÁLMICA",Z594="TOPICA (EXTERNA)"),RANDBETWEEN(200,3000),RANDBETWEEN(100,1500))))</f>
        <v>113</v>
      </c>
      <c r="AY594" s="2">
        <f ca="1">INT(AV594*RANDBETWEEN(90,130)/100)</f>
        <v>70849</v>
      </c>
      <c r="AZ594" t="str">
        <f t="shared" ca="1" si="48"/>
        <v>3.7%</v>
      </c>
      <c r="BA594" t="str">
        <f t="shared" ca="1" si="49"/>
        <v>BAJO</v>
      </c>
    </row>
    <row r="595" spans="4:53" x14ac:dyDescent="0.35">
      <c r="D595" t="s">
        <v>4042</v>
      </c>
      <c r="E595" s="1">
        <v>42349</v>
      </c>
      <c r="F595" t="s">
        <v>2302</v>
      </c>
      <c r="G595" t="s">
        <v>108</v>
      </c>
      <c r="H595" t="s">
        <v>1252</v>
      </c>
      <c r="I595">
        <v>20098197</v>
      </c>
      <c r="J595" t="s">
        <v>28</v>
      </c>
      <c r="K595">
        <v>7</v>
      </c>
      <c r="L595" t="s">
        <v>27</v>
      </c>
      <c r="M595" t="s">
        <v>4043</v>
      </c>
      <c r="N595" t="s">
        <v>4044</v>
      </c>
      <c r="O595" t="s">
        <v>4045</v>
      </c>
      <c r="P595" t="s">
        <v>3599</v>
      </c>
      <c r="Q595" s="1">
        <v>42340</v>
      </c>
      <c r="R595" t="s">
        <v>1302</v>
      </c>
      <c r="S595" t="s">
        <v>27</v>
      </c>
      <c r="T595" t="s">
        <v>4046</v>
      </c>
      <c r="U595" t="s">
        <v>115</v>
      </c>
      <c r="V595" t="s">
        <v>1522</v>
      </c>
      <c r="W595">
        <v>500</v>
      </c>
      <c r="X595">
        <v>20098197</v>
      </c>
      <c r="Y595" t="s">
        <v>1523</v>
      </c>
      <c r="Z595" t="s">
        <v>1305</v>
      </c>
      <c r="AA595" t="s">
        <v>848</v>
      </c>
      <c r="AB595" t="s">
        <v>120</v>
      </c>
      <c r="AC595" t="s">
        <v>25</v>
      </c>
      <c r="AD595" t="s">
        <v>121</v>
      </c>
      <c r="AE595">
        <v>20</v>
      </c>
      <c r="AF595" t="s">
        <v>27</v>
      </c>
      <c r="AG595" t="s">
        <v>26</v>
      </c>
      <c r="AH595" t="s">
        <v>2302</v>
      </c>
      <c r="AI595" t="str">
        <f t="shared" si="45"/>
        <v>NO</v>
      </c>
      <c r="AJ595" t="str">
        <f t="shared" si="46"/>
        <v>GLOBAL INTERNATIONAL MEDICINE - GIMED</v>
      </c>
      <c r="AK595" t="str">
        <f>IF(ISNUMBER(SEARCH("FABRICANTE",AC595)),"FABRICANTE",IF(ISNUMBER(SEARCH("IMPORTADOR",AC595)),"IMPORTADOR","OTRO"))</f>
        <v>FABRICANTE</v>
      </c>
      <c r="AL595" t="str">
        <f>IF(LEFT(Y595,1)="A","Sistema digestivo",IF(LEFT(Y595,1)="B","Sangre",IF(LEFT(Y595,1)="C","Cardiovascular",IF(LEFT(Y595,1)="D","Dermatológico",IF(LEFT(Y595,1)="G","Genitourinario",IF(LEFT(Y595,1)="H","Hormonal",IF(LEFT(Y595,1)="J","Antiinfecciosos",IF(LEFT(Y595,1)="L","Oncológicos",IF(LEFT(Y595,1)="M","Musculoesquelético",IF(LEFT(Y595,1)="N","Sistema nervioso",IF(LEFT(Y595,1)="R","Respiratorio",IF(LEFT(Y595,1)="S","Oftálmico",IF(LEFT(Y595,1)="V","Varios","OTRO")))))))))))))</f>
        <v>Genitourinario</v>
      </c>
      <c r="AM595" t="str">
        <f>IF(AG595="Vigente","ACTIVO",IF(ISNUMBER(SEARCH("Inactivo",J595)),"INACTIVO","REVISAR"))</f>
        <v>ACTIVO</v>
      </c>
      <c r="AN595" t="str">
        <f ca="1">IF(OR(AF595="",AF595="null"),"",ROUND((AF595-TODAY())/365.25,2))</f>
        <v/>
      </c>
      <c r="AO595" t="str">
        <f ca="1">IF(AND(AG595="Vigente",OR(AF595="",AF595="null",AF595&gt;TODAY())),"SI",IF(AND(NOT(OR(AF595="",AF595="null")),AF595&lt;=TODAY()),"NO",IF(AG595="Vigente","SI","DESCONOCIDO")))</f>
        <v>SI</v>
      </c>
      <c r="AP595" t="str">
        <f>IF(AND(ISNUMBER(SEARCH("IMPORTAR",AA595)),ISNUMBER(SEARCH("FABRICAR",AA595))),"MIXTO",IF(ISNUMBER(SEARCH("IMPORTAR",AA595)),"IMPORTADO",IF(ISNUMBER(SEARCH("FABRICAR",AA595)),"LOCAL","OTRO")))</f>
        <v>IMPORTADO</v>
      </c>
      <c r="AQ595" t="str">
        <f>IF(AD595="Si","SI",IF(AD595="No","NO",""))</f>
        <v>NO</v>
      </c>
      <c r="AR595" t="str">
        <f>IF(ISNUMBER(SEARCH("®",N595)),"MARCA/INNOVADOR","GENERICO")</f>
        <v>MARCA/INNOVADOR</v>
      </c>
      <c r="AS595">
        <f ca="1">IF(AE595&gt;100,RANDBETWEEN(500,5000),IF(AND(AE595&gt;=10,AE595&lt;=100),RANDBETWEEN(100,1000),RANDBETWEEN(10,200)))</f>
        <v>516</v>
      </c>
      <c r="AT595">
        <f t="shared" ca="1" si="47"/>
        <v>139</v>
      </c>
      <c r="AU595">
        <f ca="1">INT(AS595*RANDBETWEEN(120,200)/100)</f>
        <v>923</v>
      </c>
      <c r="AV595" s="2">
        <f ca="1">IF(LEFT(Y595,1)="L",RANDBETWEEN(500000,5000000),IF(LEFT(Y595,1)="C",RANDBETWEEN(5000,50000),IF(LEFT(Y595,1)="N",RANDBETWEEN(10000,150000),IF(LEFT(Y595,1)="J",RANDBETWEEN(8000,200000),RANDBETWEEN(5000,100000)))))</f>
        <v>28198</v>
      </c>
      <c r="AW595" s="2">
        <f ca="1">INT(AV595*RANDBETWEEN(30,60)/100)</f>
        <v>14380</v>
      </c>
      <c r="AX595">
        <f ca="1">IF(Z595="ORAL",RANDBETWEEN(1000,10000),IF(OR(Z595="INTRAVENOSA",Z595="INTRAMUSCULAR"),RANDBETWEEN(100,2000),IF(OR(Z595="OFTÁLMICA",Z595="TOPICA (EXTERNA)"),RANDBETWEEN(200,3000),RANDBETWEEN(100,1500))))</f>
        <v>636</v>
      </c>
      <c r="AY595" s="2">
        <f ca="1">INT(AV595*RANDBETWEEN(90,130)/100)</f>
        <v>26788</v>
      </c>
      <c r="AZ595" t="str">
        <f t="shared" ca="1" si="48"/>
        <v>5.1%</v>
      </c>
      <c r="BA595" t="str">
        <f t="shared" ca="1" si="49"/>
        <v>BAJO</v>
      </c>
    </row>
    <row r="596" spans="4:53" x14ac:dyDescent="0.35">
      <c r="D596" t="s">
        <v>4047</v>
      </c>
      <c r="E596" s="1">
        <v>42328</v>
      </c>
      <c r="F596" t="s">
        <v>4048</v>
      </c>
      <c r="G596" t="s">
        <v>108</v>
      </c>
      <c r="H596" t="s">
        <v>2732</v>
      </c>
      <c r="I596">
        <v>20076357</v>
      </c>
      <c r="J596" t="s">
        <v>110</v>
      </c>
      <c r="K596">
        <v>3</v>
      </c>
      <c r="L596" t="s">
        <v>27</v>
      </c>
      <c r="M596" t="s">
        <v>4049</v>
      </c>
      <c r="N596" t="s">
        <v>4050</v>
      </c>
      <c r="O596" t="s">
        <v>4051</v>
      </c>
      <c r="P596" t="s">
        <v>33</v>
      </c>
      <c r="Q596" s="1">
        <v>42312</v>
      </c>
      <c r="R596" t="s">
        <v>200</v>
      </c>
      <c r="S596" s="1">
        <v>45818</v>
      </c>
      <c r="T596" t="s">
        <v>464</v>
      </c>
      <c r="U596" t="s">
        <v>115</v>
      </c>
      <c r="V596" t="s">
        <v>4052</v>
      </c>
      <c r="W596">
        <v>800</v>
      </c>
      <c r="X596">
        <v>20076357</v>
      </c>
      <c r="Y596" t="s">
        <v>4053</v>
      </c>
      <c r="Z596" t="s">
        <v>119</v>
      </c>
      <c r="AA596" t="s">
        <v>32</v>
      </c>
      <c r="AB596" t="s">
        <v>120</v>
      </c>
      <c r="AC596" t="s">
        <v>25</v>
      </c>
      <c r="AD596" t="s">
        <v>121</v>
      </c>
      <c r="AE596">
        <v>30</v>
      </c>
      <c r="AF596" t="s">
        <v>27</v>
      </c>
      <c r="AG596" t="s">
        <v>26</v>
      </c>
      <c r="AH596" t="s">
        <v>6681</v>
      </c>
      <c r="AI596" t="str">
        <f t="shared" si="45"/>
        <v>NO</v>
      </c>
      <c r="AJ596" t="str">
        <f t="shared" si="46"/>
        <v>MEGALABS COLOMBIA</v>
      </c>
      <c r="AK596" t="str">
        <f>IF(ISNUMBER(SEARCH("FABRICANTE",AC596)),"FABRICANTE",IF(ISNUMBER(SEARCH("IMPORTADOR",AC596)),"IMPORTADOR","OTRO"))</f>
        <v>FABRICANTE</v>
      </c>
      <c r="AL596" t="str">
        <f>IF(LEFT(Y596,1)="A","Sistema digestivo",IF(LEFT(Y596,1)="B","Sangre",IF(LEFT(Y596,1)="C","Cardiovascular",IF(LEFT(Y596,1)="D","Dermatológico",IF(LEFT(Y596,1)="G","Genitourinario",IF(LEFT(Y596,1)="H","Hormonal",IF(LEFT(Y596,1)="J","Antiinfecciosos",IF(LEFT(Y596,1)="L","Oncológicos",IF(LEFT(Y596,1)="M","Musculoesquelético",IF(LEFT(Y596,1)="N","Sistema nervioso",IF(LEFT(Y596,1)="R","Respiratorio",IF(LEFT(Y596,1)="S","Oftálmico",IF(LEFT(Y596,1)="V","Varios","OTRO")))))))))))))</f>
        <v>Varios</v>
      </c>
      <c r="AM596" t="str">
        <f>IF(AG596="Vigente","ACTIVO",IF(ISNUMBER(SEARCH("Inactivo",J596)),"INACTIVO","REVISAR"))</f>
        <v>ACTIVO</v>
      </c>
      <c r="AN596" t="str">
        <f ca="1">IF(OR(AF596="",AF596="null"),"",ROUND((AF596-TODAY())/365.25,2))</f>
        <v/>
      </c>
      <c r="AO596" t="str">
        <f ca="1">IF(AND(AG596="Vigente",OR(AF596="",AF596="null",AF596&gt;TODAY())),"SI",IF(AND(NOT(OR(AF596="",AF596="null")),AF596&lt;=TODAY()),"NO",IF(AG596="Vigente","SI","DESCONOCIDO")))</f>
        <v>SI</v>
      </c>
      <c r="AP596" t="str">
        <f>IF(AND(ISNUMBER(SEARCH("IMPORTAR",AA596)),ISNUMBER(SEARCH("FABRICAR",AA596))),"MIXTO",IF(ISNUMBER(SEARCH("IMPORTAR",AA596)),"IMPORTADO",IF(ISNUMBER(SEARCH("FABRICAR",AA596)),"LOCAL","OTRO")))</f>
        <v>IMPORTADO</v>
      </c>
      <c r="AQ596" t="str">
        <f>IF(AD596="Si","SI",IF(AD596="No","NO",""))</f>
        <v>NO</v>
      </c>
      <c r="AR596" t="str">
        <f>IF(ISNUMBER(SEARCH("®",N596)),"MARCA/INNOVADOR","GENERICO")</f>
        <v>MARCA/INNOVADOR</v>
      </c>
      <c r="AS596">
        <f ca="1">IF(AE596&gt;100,RANDBETWEEN(500,5000),IF(AND(AE596&gt;=10,AE596&lt;=100),RANDBETWEEN(100,1000),RANDBETWEEN(10,200)))</f>
        <v>121</v>
      </c>
      <c r="AT596">
        <f t="shared" ca="1" si="47"/>
        <v>16</v>
      </c>
      <c r="AU596">
        <f ca="1">INT(AS596*RANDBETWEEN(120,200)/100)</f>
        <v>165</v>
      </c>
      <c r="AV596" s="2">
        <f ca="1">IF(LEFT(Y596,1)="L",RANDBETWEEN(500000,5000000),IF(LEFT(Y596,1)="C",RANDBETWEEN(5000,50000),IF(LEFT(Y596,1)="N",RANDBETWEEN(10000,150000),IF(LEFT(Y596,1)="J",RANDBETWEEN(8000,200000),RANDBETWEEN(5000,100000)))))</f>
        <v>90041</v>
      </c>
      <c r="AW596" s="2">
        <f ca="1">INT(AV596*RANDBETWEEN(30,60)/100)</f>
        <v>35115</v>
      </c>
      <c r="AX596">
        <f ca="1">IF(Z596="ORAL",RANDBETWEEN(1000,10000),IF(OR(Z596="INTRAVENOSA",Z596="INTRAMUSCULAR"),RANDBETWEEN(100,2000),IF(OR(Z596="OFTÁLMICA",Z596="TOPICA (EXTERNA)"),RANDBETWEEN(200,3000),RANDBETWEEN(100,1500))))</f>
        <v>1954</v>
      </c>
      <c r="AY596" s="2">
        <f ca="1">INT(AV596*RANDBETWEEN(90,130)/100)</f>
        <v>112551</v>
      </c>
      <c r="AZ596" t="str">
        <f t="shared" ca="1" si="48"/>
        <v>7.1%</v>
      </c>
      <c r="BA596" t="str">
        <f t="shared" ca="1" si="49"/>
        <v>ALTO</v>
      </c>
    </row>
    <row r="597" spans="4:53" x14ac:dyDescent="0.35">
      <c r="D597" t="s">
        <v>4054</v>
      </c>
      <c r="E597" s="1">
        <v>43535</v>
      </c>
      <c r="F597" t="s">
        <v>4055</v>
      </c>
      <c r="G597" t="s">
        <v>108</v>
      </c>
      <c r="H597" t="s">
        <v>4056</v>
      </c>
      <c r="I597">
        <v>20137452</v>
      </c>
      <c r="J597" t="s">
        <v>28</v>
      </c>
      <c r="K597">
        <v>1</v>
      </c>
      <c r="L597" t="s">
        <v>27</v>
      </c>
      <c r="M597" t="s">
        <v>4057</v>
      </c>
      <c r="N597" t="s">
        <v>4058</v>
      </c>
      <c r="O597" t="s">
        <v>4059</v>
      </c>
      <c r="P597" t="s">
        <v>601</v>
      </c>
      <c r="Q597" s="1">
        <v>43292</v>
      </c>
      <c r="R597" t="s">
        <v>1312</v>
      </c>
      <c r="S597" t="s">
        <v>27</v>
      </c>
      <c r="T597" t="s">
        <v>4056</v>
      </c>
      <c r="U597" t="s">
        <v>115</v>
      </c>
      <c r="V597" t="s">
        <v>4060</v>
      </c>
      <c r="W597">
        <v>100</v>
      </c>
      <c r="X597">
        <v>20137452</v>
      </c>
      <c r="Y597" t="s">
        <v>4061</v>
      </c>
      <c r="Z597" t="s">
        <v>260</v>
      </c>
      <c r="AA597" t="s">
        <v>32</v>
      </c>
      <c r="AB597" t="s">
        <v>120</v>
      </c>
      <c r="AC597" t="s">
        <v>38</v>
      </c>
      <c r="AD597" t="s">
        <v>121</v>
      </c>
      <c r="AE597">
        <v>1</v>
      </c>
      <c r="AF597" t="s">
        <v>27</v>
      </c>
      <c r="AG597" t="s">
        <v>26</v>
      </c>
      <c r="AH597" t="s">
        <v>4055</v>
      </c>
      <c r="AI597" t="str">
        <f t="shared" si="45"/>
        <v>NO</v>
      </c>
      <c r="AJ597" t="str">
        <f t="shared" si="46"/>
        <v>XINETIX PHARMA</v>
      </c>
      <c r="AK597" t="str">
        <f>IF(ISNUMBER(SEARCH("FABRICANTE",AC597)),"FABRICANTE",IF(ISNUMBER(SEARCH("IMPORTADOR",AC597)),"IMPORTADOR","OTRO"))</f>
        <v>IMPORTADOR</v>
      </c>
      <c r="AL597" t="str">
        <f>IF(LEFT(Y597,1)="A","Sistema digestivo",IF(LEFT(Y597,1)="B","Sangre",IF(LEFT(Y597,1)="C","Cardiovascular",IF(LEFT(Y597,1)="D","Dermatológico",IF(LEFT(Y597,1)="G","Genitourinario",IF(LEFT(Y597,1)="H","Hormonal",IF(LEFT(Y597,1)="J","Antiinfecciosos",IF(LEFT(Y597,1)="L","Oncológicos",IF(LEFT(Y597,1)="M","Musculoesquelético",IF(LEFT(Y597,1)="N","Sistema nervioso",IF(LEFT(Y597,1)="R","Respiratorio",IF(LEFT(Y597,1)="S","Oftálmico",IF(LEFT(Y597,1)="V","Varios","OTRO")))))))))))))</f>
        <v>Oncológicos</v>
      </c>
      <c r="AM597" t="str">
        <f>IF(AG597="Vigente","ACTIVO",IF(ISNUMBER(SEARCH("Inactivo",J597)),"INACTIVO","REVISAR"))</f>
        <v>ACTIVO</v>
      </c>
      <c r="AN597" t="str">
        <f ca="1">IF(OR(AF597="",AF597="null"),"",ROUND((AF597-TODAY())/365.25,2))</f>
        <v/>
      </c>
      <c r="AO597" t="str">
        <f ca="1">IF(AND(AG597="Vigente",OR(AF597="",AF597="null",AF597&gt;TODAY())),"SI",IF(AND(NOT(OR(AF597="",AF597="null")),AF597&lt;=TODAY()),"NO",IF(AG597="Vigente","SI","DESCONOCIDO")))</f>
        <v>SI</v>
      </c>
      <c r="AP597" t="str">
        <f>IF(AND(ISNUMBER(SEARCH("IMPORTAR",AA597)),ISNUMBER(SEARCH("FABRICAR",AA597))),"MIXTO",IF(ISNUMBER(SEARCH("IMPORTAR",AA597)),"IMPORTADO",IF(ISNUMBER(SEARCH("FABRICAR",AA597)),"LOCAL","OTRO")))</f>
        <v>IMPORTADO</v>
      </c>
      <c r="AQ597" t="str">
        <f>IF(AD597="Si","SI",IF(AD597="No","NO",""))</f>
        <v>NO</v>
      </c>
      <c r="AR597" t="str">
        <f>IF(ISNUMBER(SEARCH("®",N597)),"MARCA/INNOVADOR","GENERICO")</f>
        <v>MARCA/INNOVADOR</v>
      </c>
      <c r="AS597">
        <f ca="1">IF(AE597&gt;100,RANDBETWEEN(500,5000),IF(AND(AE597&gt;=10,AE597&lt;=100),RANDBETWEEN(100,1000),RANDBETWEEN(10,200)))</f>
        <v>28</v>
      </c>
      <c r="AT597">
        <f t="shared" ca="1" si="47"/>
        <v>6</v>
      </c>
      <c r="AU597">
        <f ca="1">INT(AS597*RANDBETWEEN(120,200)/100)</f>
        <v>37</v>
      </c>
      <c r="AV597" s="2">
        <f ca="1">IF(LEFT(Y597,1)="L",RANDBETWEEN(500000,5000000),IF(LEFT(Y597,1)="C",RANDBETWEEN(5000,50000),IF(LEFT(Y597,1)="N",RANDBETWEEN(10000,150000),IF(LEFT(Y597,1)="J",RANDBETWEEN(8000,200000),RANDBETWEEN(5000,100000)))))</f>
        <v>2319459</v>
      </c>
      <c r="AW597" s="2">
        <f ca="1">INT(AV597*RANDBETWEEN(30,60)/100)</f>
        <v>997367</v>
      </c>
      <c r="AX597">
        <f ca="1">IF(Z597="ORAL",RANDBETWEEN(1000,10000),IF(OR(Z597="INTRAVENOSA",Z597="INTRAMUSCULAR"),RANDBETWEEN(100,2000),IF(OR(Z597="OFTÁLMICA",Z597="TOPICA (EXTERNA)"),RANDBETWEEN(200,3000),RANDBETWEEN(100,1500))))</f>
        <v>319</v>
      </c>
      <c r="AY597" s="2">
        <f ca="1">INT(AV597*RANDBETWEEN(90,130)/100)</f>
        <v>2992102</v>
      </c>
      <c r="AZ597" t="str">
        <f t="shared" ca="1" si="48"/>
        <v>1%</v>
      </c>
      <c r="BA597" t="str">
        <f t="shared" ca="1" si="49"/>
        <v>BAJO</v>
      </c>
    </row>
    <row r="598" spans="4:53" x14ac:dyDescent="0.35">
      <c r="D598" t="s">
        <v>4062</v>
      </c>
      <c r="E598" s="1">
        <v>45041</v>
      </c>
      <c r="F598" t="s">
        <v>4063</v>
      </c>
      <c r="G598" t="s">
        <v>108</v>
      </c>
      <c r="H598" t="s">
        <v>1700</v>
      </c>
      <c r="I598">
        <v>20220132</v>
      </c>
      <c r="J598" t="s">
        <v>28</v>
      </c>
      <c r="K598">
        <v>3</v>
      </c>
      <c r="L598" t="s">
        <v>4064</v>
      </c>
      <c r="M598" t="s">
        <v>4065</v>
      </c>
      <c r="N598" t="s">
        <v>4066</v>
      </c>
      <c r="O598" t="s">
        <v>4067</v>
      </c>
      <c r="P598" t="s">
        <v>4068</v>
      </c>
      <c r="Q598" s="1">
        <v>44972</v>
      </c>
      <c r="R598" t="s">
        <v>50</v>
      </c>
      <c r="S598" t="s">
        <v>27</v>
      </c>
      <c r="T598" t="s">
        <v>2182</v>
      </c>
      <c r="U598" t="s">
        <v>115</v>
      </c>
      <c r="V598" t="s">
        <v>4069</v>
      </c>
      <c r="W598">
        <v>150</v>
      </c>
      <c r="X598">
        <v>20220132</v>
      </c>
      <c r="Y598" t="s">
        <v>4070</v>
      </c>
      <c r="Z598" t="s">
        <v>260</v>
      </c>
      <c r="AA598" t="s">
        <v>24</v>
      </c>
      <c r="AB598" t="s">
        <v>120</v>
      </c>
      <c r="AC598" t="s">
        <v>25</v>
      </c>
      <c r="AD598" t="s">
        <v>121</v>
      </c>
      <c r="AE598">
        <v>50</v>
      </c>
      <c r="AF598" t="s">
        <v>27</v>
      </c>
      <c r="AG598" t="s">
        <v>26</v>
      </c>
      <c r="AH598" t="s">
        <v>4063</v>
      </c>
      <c r="AI598" t="str">
        <f t="shared" si="45"/>
        <v>NO</v>
      </c>
      <c r="AJ598" t="str">
        <f t="shared" si="46"/>
        <v>LABORATORIOS RYAN DE COLOMBIA</v>
      </c>
      <c r="AK598" t="str">
        <f>IF(ISNUMBER(SEARCH("FABRICANTE",AC598)),"FABRICANTE",IF(ISNUMBER(SEARCH("IMPORTADOR",AC598)),"IMPORTADOR","OTRO"))</f>
        <v>FABRICANTE</v>
      </c>
      <c r="AL598" t="str">
        <f>IF(LEFT(Y598,1)="A","Sistema digestivo",IF(LEFT(Y598,1)="B","Sangre",IF(LEFT(Y598,1)="C","Cardiovascular",IF(LEFT(Y598,1)="D","Dermatológico",IF(LEFT(Y598,1)="G","Genitourinario",IF(LEFT(Y598,1)="H","Hormonal",IF(LEFT(Y598,1)="J","Antiinfecciosos",IF(LEFT(Y598,1)="L","Oncológicos",IF(LEFT(Y598,1)="M","Musculoesquelético",IF(LEFT(Y598,1)="N","Sistema nervioso",IF(LEFT(Y598,1)="R","Respiratorio",IF(LEFT(Y598,1)="S","Oftálmico",IF(LEFT(Y598,1)="V","Varios","OTRO")))))))))))))</f>
        <v>Cardiovascular</v>
      </c>
      <c r="AM598" t="str">
        <f>IF(AG598="Vigente","ACTIVO",IF(ISNUMBER(SEARCH("Inactivo",J598)),"INACTIVO","REVISAR"))</f>
        <v>ACTIVO</v>
      </c>
      <c r="AN598" t="str">
        <f ca="1">IF(OR(AF598="",AF598="null"),"",ROUND((AF598-TODAY())/365.25,2))</f>
        <v/>
      </c>
      <c r="AO598" t="str">
        <f ca="1">IF(AND(AG598="Vigente",OR(AF598="",AF598="null",AF598&gt;TODAY())),"SI",IF(AND(NOT(OR(AF598="",AF598="null")),AF598&lt;=TODAY()),"NO",IF(AG598="Vigente","SI","DESCONOCIDO")))</f>
        <v>SI</v>
      </c>
      <c r="AP598" t="str">
        <f>IF(AND(ISNUMBER(SEARCH("IMPORTAR",AA598)),ISNUMBER(SEARCH("FABRICAR",AA598))),"MIXTO",IF(ISNUMBER(SEARCH("IMPORTAR",AA598)),"IMPORTADO",IF(ISNUMBER(SEARCH("FABRICAR",AA598)),"LOCAL","OTRO")))</f>
        <v>LOCAL</v>
      </c>
      <c r="AQ598" t="str">
        <f>IF(AD598="Si","SI",IF(AD598="No","NO",""))</f>
        <v>NO</v>
      </c>
      <c r="AR598" t="str">
        <f>IF(ISNUMBER(SEARCH("®",N598)),"MARCA/INNOVADOR","GENERICO")</f>
        <v>GENERICO</v>
      </c>
      <c r="AS598">
        <f ca="1">IF(AE598&gt;100,RANDBETWEEN(500,5000),IF(AND(AE598&gt;=10,AE598&lt;=100),RANDBETWEEN(100,1000),RANDBETWEEN(10,200)))</f>
        <v>700</v>
      </c>
      <c r="AT598">
        <f t="shared" ca="1" si="47"/>
        <v>126</v>
      </c>
      <c r="AU598">
        <f ca="1">INT(AS598*RANDBETWEEN(120,200)/100)</f>
        <v>1134</v>
      </c>
      <c r="AV598" s="2">
        <f ca="1">IF(LEFT(Y598,1)="L",RANDBETWEEN(500000,5000000),IF(LEFT(Y598,1)="C",RANDBETWEEN(5000,50000),IF(LEFT(Y598,1)="N",RANDBETWEEN(10000,150000),IF(LEFT(Y598,1)="J",RANDBETWEEN(8000,200000),RANDBETWEEN(5000,100000)))))</f>
        <v>34072</v>
      </c>
      <c r="AW598" s="2">
        <f ca="1">INT(AV598*RANDBETWEEN(30,60)/100)</f>
        <v>12606</v>
      </c>
      <c r="AX598">
        <f ca="1">IF(Z598="ORAL",RANDBETWEEN(1000,10000),IF(OR(Z598="INTRAVENOSA",Z598="INTRAMUSCULAR"),RANDBETWEEN(100,2000),IF(OR(Z598="OFTÁLMICA",Z598="TOPICA (EXTERNA)"),RANDBETWEEN(200,3000),RANDBETWEEN(100,1500))))</f>
        <v>734</v>
      </c>
      <c r="AY598" s="2">
        <f ca="1">INT(AV598*RANDBETWEEN(90,130)/100)</f>
        <v>41227</v>
      </c>
      <c r="AZ598" t="str">
        <f t="shared" ca="1" si="48"/>
        <v>4.9%</v>
      </c>
      <c r="BA598" t="str">
        <f t="shared" ca="1" si="49"/>
        <v>BAJO</v>
      </c>
    </row>
    <row r="599" spans="4:53" x14ac:dyDescent="0.35">
      <c r="D599" t="s">
        <v>4071</v>
      </c>
      <c r="E599" s="1">
        <v>40675</v>
      </c>
      <c r="F599" t="s">
        <v>2961</v>
      </c>
      <c r="G599" t="s">
        <v>108</v>
      </c>
      <c r="H599" t="s">
        <v>610</v>
      </c>
      <c r="I599">
        <v>20022622</v>
      </c>
      <c r="J599" t="s">
        <v>110</v>
      </c>
      <c r="K599">
        <v>4</v>
      </c>
      <c r="L599" t="s">
        <v>27</v>
      </c>
      <c r="M599" t="s">
        <v>606</v>
      </c>
      <c r="N599" t="s">
        <v>607</v>
      </c>
      <c r="O599" t="s">
        <v>2962</v>
      </c>
      <c r="P599" t="s">
        <v>609</v>
      </c>
      <c r="Q599" s="1">
        <v>40672</v>
      </c>
      <c r="R599" t="s">
        <v>258</v>
      </c>
      <c r="S599" s="1">
        <v>42697</v>
      </c>
      <c r="T599" t="s">
        <v>610</v>
      </c>
      <c r="U599" t="s">
        <v>115</v>
      </c>
      <c r="V599" t="s">
        <v>64</v>
      </c>
      <c r="W599" t="s">
        <v>2963</v>
      </c>
      <c r="X599">
        <v>20022622</v>
      </c>
      <c r="Y599" t="s">
        <v>259</v>
      </c>
      <c r="Z599" t="s">
        <v>260</v>
      </c>
      <c r="AA599" t="s">
        <v>32</v>
      </c>
      <c r="AB599" t="s">
        <v>133</v>
      </c>
      <c r="AC599" t="s">
        <v>25</v>
      </c>
      <c r="AD599" t="s">
        <v>121</v>
      </c>
      <c r="AE599">
        <v>1</v>
      </c>
      <c r="AF599" s="1">
        <v>401769</v>
      </c>
      <c r="AG599" t="s">
        <v>26</v>
      </c>
      <c r="AH599" t="s">
        <v>2961</v>
      </c>
      <c r="AI599" t="str">
        <f t="shared" si="45"/>
        <v>NO</v>
      </c>
      <c r="AJ599" t="str">
        <f t="shared" si="46"/>
        <v>B. BRAUN MELSUNGEN</v>
      </c>
      <c r="AK599" t="str">
        <f>IF(ISNUMBER(SEARCH("FABRICANTE",AC599)),"FABRICANTE",IF(ISNUMBER(SEARCH("IMPORTADOR",AC599)),"IMPORTADOR","OTRO"))</f>
        <v>FABRICANTE</v>
      </c>
      <c r="AL599" t="str">
        <f>IF(LEFT(Y599,1)="A","Sistema digestivo",IF(LEFT(Y599,1)="B","Sangre",IF(LEFT(Y599,1)="C","Cardiovascular",IF(LEFT(Y599,1)="D","Dermatológico",IF(LEFT(Y599,1)="G","Genitourinario",IF(LEFT(Y599,1)="H","Hormonal",IF(LEFT(Y599,1)="J","Antiinfecciosos",IF(LEFT(Y599,1)="L","Oncológicos",IF(LEFT(Y599,1)="M","Musculoesquelético",IF(LEFT(Y599,1)="N","Sistema nervioso",IF(LEFT(Y599,1)="R","Respiratorio",IF(LEFT(Y599,1)="S","Oftálmico",IF(LEFT(Y599,1)="V","Varios","OTRO")))))))))))))</f>
        <v>Sangre</v>
      </c>
      <c r="AM599" t="str">
        <f>IF(AG599="Vigente","ACTIVO",IF(ISNUMBER(SEARCH("Inactivo",J599)),"INACTIVO","REVISAR"))</f>
        <v>ACTIVO</v>
      </c>
      <c r="AN599">
        <f ca="1">IF(OR(AF599="",AF599="null"),"",ROUND((AF599-TODAY())/365.25,2))</f>
        <v>973.58</v>
      </c>
      <c r="AO599" t="str">
        <f ca="1">IF(AND(AG599="Vigente",OR(AF599="",AF599="null",AF599&gt;TODAY())),"SI",IF(AND(NOT(OR(AF599="",AF599="null")),AF599&lt;=TODAY()),"NO",IF(AG599="Vigente","SI","DESCONOCIDO")))</f>
        <v>SI</v>
      </c>
      <c r="AP599" t="str">
        <f>IF(AND(ISNUMBER(SEARCH("IMPORTAR",AA599)),ISNUMBER(SEARCH("FABRICAR",AA599))),"MIXTO",IF(ISNUMBER(SEARCH("IMPORTAR",AA599)),"IMPORTADO",IF(ISNUMBER(SEARCH("FABRICAR",AA599)),"LOCAL","OTRO")))</f>
        <v>IMPORTADO</v>
      </c>
      <c r="AQ599" t="str">
        <f>IF(AD599="Si","SI",IF(AD599="No","NO",""))</f>
        <v>NO</v>
      </c>
      <c r="AR599" t="str">
        <f>IF(ISNUMBER(SEARCH("®",N599)),"MARCA/INNOVADOR","GENERICO")</f>
        <v>GENERICO</v>
      </c>
      <c r="AS599">
        <f ca="1">IF(AE599&gt;100,RANDBETWEEN(500,5000),IF(AND(AE599&gt;=10,AE599&lt;=100),RANDBETWEEN(100,1000),RANDBETWEEN(10,200)))</f>
        <v>98</v>
      </c>
      <c r="AT599">
        <f t="shared" ca="1" si="47"/>
        <v>27</v>
      </c>
      <c r="AU599">
        <f ca="1">INT(AS599*RANDBETWEEN(120,200)/100)</f>
        <v>145</v>
      </c>
      <c r="AV599" s="2">
        <f ca="1">IF(LEFT(Y599,1)="L",RANDBETWEEN(500000,5000000),IF(LEFT(Y599,1)="C",RANDBETWEEN(5000,50000),IF(LEFT(Y599,1)="N",RANDBETWEEN(10000,150000),IF(LEFT(Y599,1)="J",RANDBETWEEN(8000,200000),RANDBETWEEN(5000,100000)))))</f>
        <v>87273</v>
      </c>
      <c r="AW599" s="2">
        <f ca="1">INT(AV599*RANDBETWEEN(30,60)/100)</f>
        <v>35781</v>
      </c>
      <c r="AX599">
        <f ca="1">IF(Z599="ORAL",RANDBETWEEN(1000,10000),IF(OR(Z599="INTRAVENOSA",Z599="INTRAMUSCULAR"),RANDBETWEEN(100,2000),IF(OR(Z599="OFTÁLMICA",Z599="TOPICA (EXTERNA)"),RANDBETWEEN(200,3000),RANDBETWEEN(100,1500))))</f>
        <v>973</v>
      </c>
      <c r="AY599" s="2">
        <f ca="1">INT(AV599*RANDBETWEEN(90,130)/100)</f>
        <v>96000</v>
      </c>
      <c r="AZ599" t="str">
        <f t="shared" ca="1" si="48"/>
        <v>5%</v>
      </c>
      <c r="BA599" t="str">
        <f t="shared" ca="1" si="49"/>
        <v>MEDIO</v>
      </c>
    </row>
    <row r="600" spans="4:53" x14ac:dyDescent="0.35">
      <c r="D600" t="s">
        <v>4072</v>
      </c>
      <c r="E600" s="1">
        <v>44236</v>
      </c>
      <c r="F600" t="s">
        <v>4073</v>
      </c>
      <c r="G600" t="s">
        <v>108</v>
      </c>
      <c r="H600" t="s">
        <v>4074</v>
      </c>
      <c r="I600">
        <v>20180947</v>
      </c>
      <c r="J600" t="s">
        <v>28</v>
      </c>
      <c r="K600">
        <v>2</v>
      </c>
      <c r="L600" t="s">
        <v>4075</v>
      </c>
      <c r="M600" t="s">
        <v>4076</v>
      </c>
      <c r="N600" t="s">
        <v>4077</v>
      </c>
      <c r="O600" t="s">
        <v>4078</v>
      </c>
      <c r="P600" t="s">
        <v>601</v>
      </c>
      <c r="Q600" s="1">
        <v>44279</v>
      </c>
      <c r="R600" t="s">
        <v>211</v>
      </c>
      <c r="S600" t="s">
        <v>27</v>
      </c>
      <c r="T600" t="s">
        <v>464</v>
      </c>
      <c r="U600" t="s">
        <v>115</v>
      </c>
      <c r="V600" t="s">
        <v>2827</v>
      </c>
      <c r="W600">
        <v>500</v>
      </c>
      <c r="X600">
        <v>20180947</v>
      </c>
      <c r="Y600" t="s">
        <v>2828</v>
      </c>
      <c r="Z600" t="s">
        <v>260</v>
      </c>
      <c r="AA600" t="s">
        <v>24</v>
      </c>
      <c r="AB600" t="s">
        <v>120</v>
      </c>
      <c r="AC600" t="s">
        <v>25</v>
      </c>
      <c r="AD600" t="s">
        <v>121</v>
      </c>
      <c r="AE600">
        <v>10</v>
      </c>
      <c r="AF600" t="s">
        <v>27</v>
      </c>
      <c r="AG600" t="s">
        <v>26</v>
      </c>
      <c r="AH600" t="s">
        <v>2827</v>
      </c>
      <c r="AI600" t="str">
        <f t="shared" si="45"/>
        <v>NO</v>
      </c>
      <c r="AJ600" t="str">
        <f t="shared" si="46"/>
        <v>MEGALABS COLOMBIA</v>
      </c>
      <c r="AK600" t="str">
        <f>IF(ISNUMBER(SEARCH("FABRICANTE",AC600)),"FABRICANTE",IF(ISNUMBER(SEARCH("IMPORTADOR",AC600)),"IMPORTADOR","OTRO"))</f>
        <v>FABRICANTE</v>
      </c>
      <c r="AL600" t="str">
        <f>IF(LEFT(Y600,1)="A","Sistema digestivo",IF(LEFT(Y600,1)="B","Sangre",IF(LEFT(Y600,1)="C","Cardiovascular",IF(LEFT(Y600,1)="D","Dermatológico",IF(LEFT(Y600,1)="G","Genitourinario",IF(LEFT(Y600,1)="H","Hormonal",IF(LEFT(Y600,1)="J","Antiinfecciosos",IF(LEFT(Y600,1)="L","Oncológicos",IF(LEFT(Y600,1)="M","Musculoesquelético",IF(LEFT(Y600,1)="N","Sistema nervioso",IF(LEFT(Y600,1)="R","Respiratorio",IF(LEFT(Y600,1)="S","Oftálmico",IF(LEFT(Y600,1)="V","Varios","OTRO")))))))))))))</f>
        <v>Antiinfecciosos</v>
      </c>
      <c r="AM600" t="str">
        <f>IF(AG600="Vigente","ACTIVO",IF(ISNUMBER(SEARCH("Inactivo",J600)),"INACTIVO","REVISAR"))</f>
        <v>ACTIVO</v>
      </c>
      <c r="AN600" t="str">
        <f ca="1">IF(OR(AF600="",AF600="null"),"",ROUND((AF600-TODAY())/365.25,2))</f>
        <v/>
      </c>
      <c r="AO600" t="str">
        <f ca="1">IF(AND(AG600="Vigente",OR(AF600="",AF600="null",AF600&gt;TODAY())),"SI",IF(AND(NOT(OR(AF600="",AF600="null")),AF600&lt;=TODAY()),"NO",IF(AG600="Vigente","SI","DESCONOCIDO")))</f>
        <v>SI</v>
      </c>
      <c r="AP600" t="str">
        <f>IF(AND(ISNUMBER(SEARCH("IMPORTAR",AA600)),ISNUMBER(SEARCH("FABRICAR",AA600))),"MIXTO",IF(ISNUMBER(SEARCH("IMPORTAR",AA600)),"IMPORTADO",IF(ISNUMBER(SEARCH("FABRICAR",AA600)),"LOCAL","OTRO")))</f>
        <v>LOCAL</v>
      </c>
      <c r="AQ600" t="str">
        <f>IF(AD600="Si","SI",IF(AD600="No","NO",""))</f>
        <v>NO</v>
      </c>
      <c r="AR600" t="str">
        <f>IF(ISNUMBER(SEARCH("®",N600)),"MARCA/INNOVADOR","GENERICO")</f>
        <v>MARCA/INNOVADOR</v>
      </c>
      <c r="AS600">
        <f ca="1">IF(AE600&gt;100,RANDBETWEEN(500,5000),IF(AND(AE600&gt;=10,AE600&lt;=100),RANDBETWEEN(100,1000),RANDBETWEEN(10,200)))</f>
        <v>669</v>
      </c>
      <c r="AT600">
        <f t="shared" ca="1" si="47"/>
        <v>127</v>
      </c>
      <c r="AU600">
        <f ca="1">INT(AS600*RANDBETWEEN(120,200)/100)</f>
        <v>836</v>
      </c>
      <c r="AV600" s="2">
        <f ca="1">IF(LEFT(Y600,1)="L",RANDBETWEEN(500000,5000000),IF(LEFT(Y600,1)="C",RANDBETWEEN(5000,50000),IF(LEFT(Y600,1)="N",RANDBETWEEN(10000,150000),IF(LEFT(Y600,1)="J",RANDBETWEEN(8000,200000),RANDBETWEEN(5000,100000)))))</f>
        <v>50268</v>
      </c>
      <c r="AW600" s="2">
        <f ca="1">INT(AV600*RANDBETWEEN(30,60)/100)</f>
        <v>28652</v>
      </c>
      <c r="AX600">
        <f ca="1">IF(Z600="ORAL",RANDBETWEEN(1000,10000),IF(OR(Z600="INTRAVENOSA",Z600="INTRAMUSCULAR"),RANDBETWEEN(100,2000),IF(OR(Z600="OFTÁLMICA",Z600="TOPICA (EXTERNA)"),RANDBETWEEN(200,3000),RANDBETWEEN(100,1500))))</f>
        <v>520</v>
      </c>
      <c r="AY600" s="2">
        <f ca="1">INT(AV600*RANDBETWEEN(90,130)/100)</f>
        <v>53786</v>
      </c>
      <c r="AZ600" t="str">
        <f t="shared" ca="1" si="48"/>
        <v>0.6%</v>
      </c>
      <c r="BA600" t="str">
        <f t="shared" ca="1" si="49"/>
        <v>BAJO</v>
      </c>
    </row>
    <row r="601" spans="4:53" x14ac:dyDescent="0.35">
      <c r="D601" t="s">
        <v>4079</v>
      </c>
      <c r="E601" s="1">
        <v>43340</v>
      </c>
      <c r="F601" t="s">
        <v>2508</v>
      </c>
      <c r="G601" t="s">
        <v>108</v>
      </c>
      <c r="H601" t="s">
        <v>1490</v>
      </c>
      <c r="I601">
        <v>20137593</v>
      </c>
      <c r="J601" t="s">
        <v>28</v>
      </c>
      <c r="K601">
        <v>1</v>
      </c>
      <c r="L601" t="s">
        <v>4080</v>
      </c>
      <c r="M601" t="s">
        <v>4081</v>
      </c>
      <c r="N601" t="s">
        <v>4082</v>
      </c>
      <c r="O601" t="s">
        <v>4083</v>
      </c>
      <c r="P601" t="s">
        <v>845</v>
      </c>
      <c r="Q601" s="1">
        <v>43207</v>
      </c>
      <c r="R601" t="s">
        <v>33</v>
      </c>
      <c r="S601" t="s">
        <v>27</v>
      </c>
      <c r="T601" t="s">
        <v>1490</v>
      </c>
      <c r="U601" t="s">
        <v>115</v>
      </c>
      <c r="V601" t="s">
        <v>846</v>
      </c>
      <c r="W601" t="s">
        <v>2402</v>
      </c>
      <c r="X601">
        <v>20137593</v>
      </c>
      <c r="Y601" t="s">
        <v>847</v>
      </c>
      <c r="Z601" t="s">
        <v>119</v>
      </c>
      <c r="AA601" t="s">
        <v>24</v>
      </c>
      <c r="AB601" t="s">
        <v>120</v>
      </c>
      <c r="AC601" t="s">
        <v>25</v>
      </c>
      <c r="AD601" t="s">
        <v>121</v>
      </c>
      <c r="AE601">
        <v>30</v>
      </c>
      <c r="AF601" t="s">
        <v>27</v>
      </c>
      <c r="AG601" t="s">
        <v>26</v>
      </c>
      <c r="AH601" t="s">
        <v>2508</v>
      </c>
      <c r="AI601" t="str">
        <f t="shared" si="45"/>
        <v>NO</v>
      </c>
      <c r="AJ601" t="str">
        <f t="shared" si="46"/>
        <v>LABORATORIO FRANCO COLOMBIANO - LAFRANCOL</v>
      </c>
      <c r="AK601" t="str">
        <f>IF(ISNUMBER(SEARCH("FABRICANTE",AC601)),"FABRICANTE",IF(ISNUMBER(SEARCH("IMPORTADOR",AC601)),"IMPORTADOR","OTRO"))</f>
        <v>FABRICANTE</v>
      </c>
      <c r="AL601" t="str">
        <f>IF(LEFT(Y601,1)="A","Sistema digestivo",IF(LEFT(Y601,1)="B","Sangre",IF(LEFT(Y601,1)="C","Cardiovascular",IF(LEFT(Y601,1)="D","Dermatológico",IF(LEFT(Y601,1)="G","Genitourinario",IF(LEFT(Y601,1)="H","Hormonal",IF(LEFT(Y601,1)="J","Antiinfecciosos",IF(LEFT(Y601,1)="L","Oncológicos",IF(LEFT(Y601,1)="M","Musculoesquelético",IF(LEFT(Y601,1)="N","Sistema nervioso",IF(LEFT(Y601,1)="R","Respiratorio",IF(LEFT(Y601,1)="S","Oftálmico",IF(LEFT(Y601,1)="V","Varios","OTRO")))))))))))))</f>
        <v>Sistema nervioso</v>
      </c>
      <c r="AM601" t="str">
        <f>IF(AG601="Vigente","ACTIVO",IF(ISNUMBER(SEARCH("Inactivo",J601)),"INACTIVO","REVISAR"))</f>
        <v>ACTIVO</v>
      </c>
      <c r="AN601" t="str">
        <f ca="1">IF(OR(AF601="",AF601="null"),"",ROUND((AF601-TODAY())/365.25,2))</f>
        <v/>
      </c>
      <c r="AO601" t="str">
        <f ca="1">IF(AND(AG601="Vigente",OR(AF601="",AF601="null",AF601&gt;TODAY())),"SI",IF(AND(NOT(OR(AF601="",AF601="null")),AF601&lt;=TODAY()),"NO",IF(AG601="Vigente","SI","DESCONOCIDO")))</f>
        <v>SI</v>
      </c>
      <c r="AP601" t="str">
        <f>IF(AND(ISNUMBER(SEARCH("IMPORTAR",AA601)),ISNUMBER(SEARCH("FABRICAR",AA601))),"MIXTO",IF(ISNUMBER(SEARCH("IMPORTAR",AA601)),"IMPORTADO",IF(ISNUMBER(SEARCH("FABRICAR",AA601)),"LOCAL","OTRO")))</f>
        <v>LOCAL</v>
      </c>
      <c r="AQ601" t="str">
        <f>IF(AD601="Si","SI",IF(AD601="No","NO",""))</f>
        <v>NO</v>
      </c>
      <c r="AR601" t="str">
        <f>IF(ISNUMBER(SEARCH("®",N601)),"MARCA/INNOVADOR","GENERICO")</f>
        <v>MARCA/INNOVADOR</v>
      </c>
      <c r="AS601">
        <f ca="1">IF(AE601&gt;100,RANDBETWEEN(500,5000),IF(AND(AE601&gt;=10,AE601&lt;=100),RANDBETWEEN(100,1000),RANDBETWEEN(10,200)))</f>
        <v>651</v>
      </c>
      <c r="AT601">
        <f t="shared" ca="1" si="47"/>
        <v>91</v>
      </c>
      <c r="AU601">
        <f ca="1">INT(AS601*RANDBETWEEN(120,200)/100)</f>
        <v>1093</v>
      </c>
      <c r="AV601" s="2">
        <f ca="1">IF(LEFT(Y601,1)="L",RANDBETWEEN(500000,5000000),IF(LEFT(Y601,1)="C",RANDBETWEEN(5000,50000),IF(LEFT(Y601,1)="N",RANDBETWEEN(10000,150000),IF(LEFT(Y601,1)="J",RANDBETWEEN(8000,200000),RANDBETWEEN(5000,100000)))))</f>
        <v>85649</v>
      </c>
      <c r="AW601" s="2">
        <f ca="1">INT(AV601*RANDBETWEEN(30,60)/100)</f>
        <v>38542</v>
      </c>
      <c r="AX601">
        <f ca="1">IF(Z601="ORAL",RANDBETWEEN(1000,10000),IF(OR(Z601="INTRAVENOSA",Z601="INTRAMUSCULAR"),RANDBETWEEN(100,2000),IF(OR(Z601="OFTÁLMICA",Z601="TOPICA (EXTERNA)"),RANDBETWEEN(200,3000),RANDBETWEEN(100,1500))))</f>
        <v>6196</v>
      </c>
      <c r="AY601" s="2">
        <f ca="1">INT(AV601*RANDBETWEEN(90,130)/100)</f>
        <v>82223</v>
      </c>
      <c r="AZ601" t="str">
        <f t="shared" ca="1" si="48"/>
        <v>10.5%</v>
      </c>
      <c r="BA601" t="str">
        <f t="shared" ca="1" si="49"/>
        <v>BAJO</v>
      </c>
    </row>
    <row r="602" spans="4:53" x14ac:dyDescent="0.35">
      <c r="D602" t="s">
        <v>4084</v>
      </c>
      <c r="E602" s="1">
        <v>40338</v>
      </c>
      <c r="F602" t="s">
        <v>4085</v>
      </c>
      <c r="G602" t="s">
        <v>502</v>
      </c>
      <c r="H602" t="s">
        <v>4086</v>
      </c>
      <c r="I602">
        <v>20001071</v>
      </c>
      <c r="J602" t="s">
        <v>28</v>
      </c>
      <c r="K602">
        <v>1</v>
      </c>
      <c r="L602" t="s">
        <v>4087</v>
      </c>
      <c r="M602" t="s">
        <v>4088</v>
      </c>
      <c r="N602" t="s">
        <v>4089</v>
      </c>
      <c r="O602" t="s">
        <v>4090</v>
      </c>
      <c r="P602" t="s">
        <v>4091</v>
      </c>
      <c r="Q602" s="1">
        <v>39793</v>
      </c>
      <c r="R602" t="s">
        <v>151</v>
      </c>
      <c r="S602" s="1">
        <v>44005</v>
      </c>
      <c r="T602" t="s">
        <v>4092</v>
      </c>
      <c r="U602" t="s">
        <v>115</v>
      </c>
      <c r="V602" t="s">
        <v>4093</v>
      </c>
      <c r="W602" t="s">
        <v>4094</v>
      </c>
      <c r="X602">
        <v>20001071</v>
      </c>
      <c r="Y602" t="s">
        <v>4095</v>
      </c>
      <c r="Z602" t="s">
        <v>154</v>
      </c>
      <c r="AA602" t="s">
        <v>24</v>
      </c>
      <c r="AB602" t="s">
        <v>133</v>
      </c>
      <c r="AC602" t="s">
        <v>25</v>
      </c>
      <c r="AD602" t="s">
        <v>121</v>
      </c>
      <c r="AE602">
        <v>5</v>
      </c>
      <c r="AF602" t="s">
        <v>27</v>
      </c>
      <c r="AG602" t="s">
        <v>26</v>
      </c>
      <c r="AH602" t="s">
        <v>4533</v>
      </c>
      <c r="AI602" t="str">
        <f t="shared" si="45"/>
        <v>NO</v>
      </c>
      <c r="AJ602" t="str">
        <f t="shared" si="46"/>
        <v>BD FARMA</v>
      </c>
      <c r="AK602" t="str">
        <f>IF(ISNUMBER(SEARCH("FABRICANTE",AC602)),"FABRICANTE",IF(ISNUMBER(SEARCH("IMPORTADOR",AC602)),"IMPORTADOR","OTRO"))</f>
        <v>FABRICANTE</v>
      </c>
      <c r="AL602" t="str">
        <f>IF(LEFT(Y602,1)="A","Sistema digestivo",IF(LEFT(Y602,1)="B","Sangre",IF(LEFT(Y602,1)="C","Cardiovascular",IF(LEFT(Y602,1)="D","Dermatológico",IF(LEFT(Y602,1)="G","Genitourinario",IF(LEFT(Y602,1)="H","Hormonal",IF(LEFT(Y602,1)="J","Antiinfecciosos",IF(LEFT(Y602,1)="L","Oncológicos",IF(LEFT(Y602,1)="M","Musculoesquelético",IF(LEFT(Y602,1)="N","Sistema nervioso",IF(LEFT(Y602,1)="R","Respiratorio",IF(LEFT(Y602,1)="S","Oftálmico",IF(LEFT(Y602,1)="V","Varios","OTRO")))))))))))))</f>
        <v>Oftálmico</v>
      </c>
      <c r="AM602" t="str">
        <f>IF(AG602="Vigente","ACTIVO",IF(ISNUMBER(SEARCH("Inactivo",J602)),"INACTIVO","REVISAR"))</f>
        <v>ACTIVO</v>
      </c>
      <c r="AN602" t="str">
        <f ca="1">IF(OR(AF602="",AF602="null"),"",ROUND((AF602-TODAY())/365.25,2))</f>
        <v/>
      </c>
      <c r="AO602" t="str">
        <f ca="1">IF(AND(AG602="Vigente",OR(AF602="",AF602="null",AF602&gt;TODAY())),"SI",IF(AND(NOT(OR(AF602="",AF602="null")),AF602&lt;=TODAY()),"NO",IF(AG602="Vigente","SI","DESCONOCIDO")))</f>
        <v>SI</v>
      </c>
      <c r="AP602" t="str">
        <f>IF(AND(ISNUMBER(SEARCH("IMPORTAR",AA602)),ISNUMBER(SEARCH("FABRICAR",AA602))),"MIXTO",IF(ISNUMBER(SEARCH("IMPORTAR",AA602)),"IMPORTADO",IF(ISNUMBER(SEARCH("FABRICAR",AA602)),"LOCAL","OTRO")))</f>
        <v>LOCAL</v>
      </c>
      <c r="AQ602" t="str">
        <f>IF(AD602="Si","SI",IF(AD602="No","NO",""))</f>
        <v>NO</v>
      </c>
      <c r="AR602" t="str">
        <f>IF(ISNUMBER(SEARCH("®",N602)),"MARCA/INNOVADOR","GENERICO")</f>
        <v>GENERICO</v>
      </c>
      <c r="AS602">
        <f ca="1">IF(AE602&gt;100,RANDBETWEEN(500,5000),IF(AND(AE602&gt;=10,AE602&lt;=100),RANDBETWEEN(100,1000),RANDBETWEEN(10,200)))</f>
        <v>60</v>
      </c>
      <c r="AT602">
        <f t="shared" ca="1" si="47"/>
        <v>8</v>
      </c>
      <c r="AU602">
        <f ca="1">INT(AS602*RANDBETWEEN(120,200)/100)</f>
        <v>73</v>
      </c>
      <c r="AV602" s="2">
        <f ca="1">IF(LEFT(Y602,1)="L",RANDBETWEEN(500000,5000000),IF(LEFT(Y602,1)="C",RANDBETWEEN(5000,50000),IF(LEFT(Y602,1)="N",RANDBETWEEN(10000,150000),IF(LEFT(Y602,1)="J",RANDBETWEEN(8000,200000),RANDBETWEEN(5000,100000)))))</f>
        <v>66130</v>
      </c>
      <c r="AW602" s="2">
        <f ca="1">INT(AV602*RANDBETWEEN(30,60)/100)</f>
        <v>35710</v>
      </c>
      <c r="AX602">
        <f ca="1">IF(Z602="ORAL",RANDBETWEEN(1000,10000),IF(OR(Z602="INTRAVENOSA",Z602="INTRAMUSCULAR"),RANDBETWEEN(100,2000),IF(OR(Z602="OFTÁLMICA",Z602="TOPICA (EXTERNA)"),RANDBETWEEN(200,3000),RANDBETWEEN(100,1500))))</f>
        <v>1311</v>
      </c>
      <c r="AY602" s="2">
        <f ca="1">INT(AV602*RANDBETWEEN(90,130)/100)</f>
        <v>67452</v>
      </c>
      <c r="AZ602" t="str">
        <f t="shared" ca="1" si="48"/>
        <v>11.9%</v>
      </c>
      <c r="BA602" t="str">
        <f t="shared" ca="1" si="49"/>
        <v>BAJO</v>
      </c>
    </row>
    <row r="603" spans="4:53" x14ac:dyDescent="0.35">
      <c r="D603" t="s">
        <v>4096</v>
      </c>
      <c r="E603" s="1">
        <v>41310</v>
      </c>
      <c r="F603" t="s">
        <v>2091</v>
      </c>
      <c r="G603" t="s">
        <v>108</v>
      </c>
      <c r="H603" t="s">
        <v>4097</v>
      </c>
      <c r="I603">
        <v>20053003</v>
      </c>
      <c r="J603" t="s">
        <v>28</v>
      </c>
      <c r="K603">
        <v>5</v>
      </c>
      <c r="L603" t="s">
        <v>27</v>
      </c>
      <c r="M603" t="s">
        <v>4098</v>
      </c>
      <c r="N603" t="s">
        <v>4099</v>
      </c>
      <c r="O603" t="s">
        <v>4100</v>
      </c>
      <c r="P603" t="s">
        <v>2097</v>
      </c>
      <c r="Q603" s="1">
        <v>41234</v>
      </c>
      <c r="R603" t="s">
        <v>459</v>
      </c>
      <c r="S603" t="s">
        <v>27</v>
      </c>
      <c r="T603" t="s">
        <v>4097</v>
      </c>
      <c r="U603" t="s">
        <v>247</v>
      </c>
      <c r="V603" t="s">
        <v>4101</v>
      </c>
      <c r="W603">
        <v>2</v>
      </c>
      <c r="X603">
        <v>20053003</v>
      </c>
      <c r="Y603" t="s">
        <v>4102</v>
      </c>
      <c r="Z603" t="s">
        <v>119</v>
      </c>
      <c r="AA603" t="s">
        <v>24</v>
      </c>
      <c r="AB603" t="s">
        <v>250</v>
      </c>
      <c r="AC603" t="s">
        <v>25</v>
      </c>
      <c r="AD603" t="s">
        <v>121</v>
      </c>
      <c r="AE603">
        <v>1</v>
      </c>
      <c r="AF603" t="s">
        <v>27</v>
      </c>
      <c r="AG603" t="s">
        <v>26</v>
      </c>
      <c r="AH603" t="s">
        <v>6768</v>
      </c>
      <c r="AI603" t="str">
        <f t="shared" si="45"/>
        <v>NO</v>
      </c>
      <c r="AJ603" t="str">
        <f t="shared" si="46"/>
        <v>JGB</v>
      </c>
      <c r="AK603" t="str">
        <f>IF(ISNUMBER(SEARCH("FABRICANTE",AC603)),"FABRICANTE",IF(ISNUMBER(SEARCH("IMPORTADOR",AC603)),"IMPORTADOR","OTRO"))</f>
        <v>FABRICANTE</v>
      </c>
      <c r="AL603" t="str">
        <f>IF(LEFT(Y603,1)="A","Sistema digestivo",IF(LEFT(Y603,1)="B","Sangre",IF(LEFT(Y603,1)="C","Cardiovascular",IF(LEFT(Y603,1)="D","Dermatológico",IF(LEFT(Y603,1)="G","Genitourinario",IF(LEFT(Y603,1)="H","Hormonal",IF(LEFT(Y603,1)="J","Antiinfecciosos",IF(LEFT(Y603,1)="L","Oncológicos",IF(LEFT(Y603,1)="M","Musculoesquelético",IF(LEFT(Y603,1)="N","Sistema nervioso",IF(LEFT(Y603,1)="R","Respiratorio",IF(LEFT(Y603,1)="S","Oftálmico",IF(LEFT(Y603,1)="V","Varios","OTRO")))))))))))))</f>
        <v>Respiratorio</v>
      </c>
      <c r="AM603" t="str">
        <f>IF(AG603="Vigente","ACTIVO",IF(ISNUMBER(SEARCH("Inactivo",J603)),"INACTIVO","REVISAR"))</f>
        <v>ACTIVO</v>
      </c>
      <c r="AN603" t="str">
        <f ca="1">IF(OR(AF603="",AF603="null"),"",ROUND((AF603-TODAY())/365.25,2))</f>
        <v/>
      </c>
      <c r="AO603" t="str">
        <f ca="1">IF(AND(AG603="Vigente",OR(AF603="",AF603="null",AF603&gt;TODAY())),"SI",IF(AND(NOT(OR(AF603="",AF603="null")),AF603&lt;=TODAY()),"NO",IF(AG603="Vigente","SI","DESCONOCIDO")))</f>
        <v>SI</v>
      </c>
      <c r="AP603" t="str">
        <f>IF(AND(ISNUMBER(SEARCH("IMPORTAR",AA603)),ISNUMBER(SEARCH("FABRICAR",AA603))),"MIXTO",IF(ISNUMBER(SEARCH("IMPORTAR",AA603)),"IMPORTADO",IF(ISNUMBER(SEARCH("FABRICAR",AA603)),"LOCAL","OTRO")))</f>
        <v>LOCAL</v>
      </c>
      <c r="AQ603" t="str">
        <f>IF(AD603="Si","SI",IF(AD603="No","NO",""))</f>
        <v>NO</v>
      </c>
      <c r="AR603" t="str">
        <f>IF(ISNUMBER(SEARCH("®",N603)),"MARCA/INNOVADOR","GENERICO")</f>
        <v>GENERICO</v>
      </c>
      <c r="AS603">
        <f ca="1">IF(AE603&gt;100,RANDBETWEEN(500,5000),IF(AND(AE603&gt;=10,AE603&lt;=100),RANDBETWEEN(100,1000),RANDBETWEEN(10,200)))</f>
        <v>162</v>
      </c>
      <c r="AT603">
        <f t="shared" ca="1" si="47"/>
        <v>32</v>
      </c>
      <c r="AU603">
        <f ca="1">INT(AS603*RANDBETWEEN(120,200)/100)</f>
        <v>309</v>
      </c>
      <c r="AV603" s="2">
        <f ca="1">IF(LEFT(Y603,1)="L",RANDBETWEEN(500000,5000000),IF(LEFT(Y603,1)="C",RANDBETWEEN(5000,50000),IF(LEFT(Y603,1)="N",RANDBETWEEN(10000,150000),IF(LEFT(Y603,1)="J",RANDBETWEEN(8000,200000),RANDBETWEEN(5000,100000)))))</f>
        <v>10780</v>
      </c>
      <c r="AW603" s="2">
        <f ca="1">INT(AV603*RANDBETWEEN(30,60)/100)</f>
        <v>4743</v>
      </c>
      <c r="AX603">
        <f ca="1">IF(Z603="ORAL",RANDBETWEEN(1000,10000),IF(OR(Z603="INTRAVENOSA",Z603="INTRAMUSCULAR"),RANDBETWEEN(100,2000),IF(OR(Z603="OFTÁLMICA",Z603="TOPICA (EXTERNA)"),RANDBETWEEN(200,3000),RANDBETWEEN(100,1500))))</f>
        <v>3632</v>
      </c>
      <c r="AY603" s="2">
        <f ca="1">INT(AV603*RANDBETWEEN(90,130)/100)</f>
        <v>12720</v>
      </c>
      <c r="AZ603" t="str">
        <f t="shared" ca="1" si="48"/>
        <v>23.8%</v>
      </c>
      <c r="BA603" t="str">
        <f t="shared" ca="1" si="49"/>
        <v>BAJO</v>
      </c>
    </row>
    <row r="604" spans="4:53" x14ac:dyDescent="0.35">
      <c r="D604" t="s">
        <v>4103</v>
      </c>
      <c r="E604" s="1">
        <v>42206</v>
      </c>
      <c r="F604" t="s">
        <v>1132</v>
      </c>
      <c r="G604" t="s">
        <v>108</v>
      </c>
      <c r="H604" t="s">
        <v>93</v>
      </c>
      <c r="I604">
        <v>20084685</v>
      </c>
      <c r="J604" t="s">
        <v>110</v>
      </c>
      <c r="K604">
        <v>25</v>
      </c>
      <c r="L604" t="s">
        <v>27</v>
      </c>
      <c r="M604" t="s">
        <v>1133</v>
      </c>
      <c r="N604" t="s">
        <v>1134</v>
      </c>
      <c r="O604" t="s">
        <v>4104</v>
      </c>
      <c r="P604" t="s">
        <v>1136</v>
      </c>
      <c r="Q604" s="1">
        <v>42202</v>
      </c>
      <c r="R604" t="s">
        <v>50</v>
      </c>
      <c r="S604" t="s">
        <v>27</v>
      </c>
      <c r="T604" t="s">
        <v>93</v>
      </c>
      <c r="U604" t="s">
        <v>115</v>
      </c>
      <c r="V604" t="s">
        <v>275</v>
      </c>
      <c r="W604">
        <v>40</v>
      </c>
      <c r="X604">
        <v>20084685</v>
      </c>
      <c r="Y604" t="s">
        <v>276</v>
      </c>
      <c r="Z604" t="s">
        <v>132</v>
      </c>
      <c r="AA604" t="s">
        <v>32</v>
      </c>
      <c r="AB604" t="s">
        <v>239</v>
      </c>
      <c r="AC604" t="s">
        <v>38</v>
      </c>
      <c r="AD604" t="s">
        <v>121</v>
      </c>
      <c r="AE604">
        <v>20</v>
      </c>
      <c r="AF604" t="s">
        <v>27</v>
      </c>
      <c r="AG604" t="s">
        <v>26</v>
      </c>
      <c r="AH604" t="s">
        <v>1822</v>
      </c>
      <c r="AI604" t="str">
        <f t="shared" si="45"/>
        <v>SI</v>
      </c>
      <c r="AJ604" t="str">
        <f t="shared" si="46"/>
        <v>LABORATORIOS DELTA</v>
      </c>
      <c r="AK604" t="str">
        <f>IF(ISNUMBER(SEARCH("FABRICANTE",AC604)),"FABRICANTE",IF(ISNUMBER(SEARCH("IMPORTADOR",AC604)),"IMPORTADOR","OTRO"))</f>
        <v>IMPORTADOR</v>
      </c>
      <c r="AL604" t="str">
        <f>IF(LEFT(Y604,1)="A","Sistema digestivo",IF(LEFT(Y604,1)="B","Sangre",IF(LEFT(Y604,1)="C","Cardiovascular",IF(LEFT(Y604,1)="D","Dermatológico",IF(LEFT(Y604,1)="G","Genitourinario",IF(LEFT(Y604,1)="H","Hormonal",IF(LEFT(Y604,1)="J","Antiinfecciosos",IF(LEFT(Y604,1)="L","Oncológicos",IF(LEFT(Y604,1)="M","Musculoesquelético",IF(LEFT(Y604,1)="N","Sistema nervioso",IF(LEFT(Y604,1)="R","Respiratorio",IF(LEFT(Y604,1)="S","Oftálmico",IF(LEFT(Y604,1)="V","Varios","OTRO")))))))))))))</f>
        <v>Sangre</v>
      </c>
      <c r="AM604" t="str">
        <f>IF(AG604="Vigente","ACTIVO",IF(ISNUMBER(SEARCH("Inactivo",J604)),"INACTIVO","REVISAR"))</f>
        <v>ACTIVO</v>
      </c>
      <c r="AN604" t="str">
        <f ca="1">IF(OR(AF604="",AF604="null"),"",ROUND((AF604-TODAY())/365.25,2))</f>
        <v/>
      </c>
      <c r="AO604" t="str">
        <f ca="1">IF(AND(AG604="Vigente",OR(AF604="",AF604="null",AF604&gt;TODAY())),"SI",IF(AND(NOT(OR(AF604="",AF604="null")),AF604&lt;=TODAY()),"NO",IF(AG604="Vigente","SI","DESCONOCIDO")))</f>
        <v>SI</v>
      </c>
      <c r="AP604" t="str">
        <f>IF(AND(ISNUMBER(SEARCH("IMPORTAR",AA604)),ISNUMBER(SEARCH("FABRICAR",AA604))),"MIXTO",IF(ISNUMBER(SEARCH("IMPORTAR",AA604)),"IMPORTADO",IF(ISNUMBER(SEARCH("FABRICAR",AA604)),"LOCAL","OTRO")))</f>
        <v>IMPORTADO</v>
      </c>
      <c r="AQ604" t="str">
        <f>IF(AD604="Si","SI",IF(AD604="No","NO",""))</f>
        <v>NO</v>
      </c>
      <c r="AR604" t="str">
        <f>IF(ISNUMBER(SEARCH("®",N604)),"MARCA/INNOVADOR","GENERICO")</f>
        <v>GENERICO</v>
      </c>
      <c r="AS604">
        <f ca="1">IF(AE604&gt;100,RANDBETWEEN(500,5000),IF(AND(AE604&gt;=10,AE604&lt;=100),RANDBETWEEN(100,1000),RANDBETWEEN(10,200)))</f>
        <v>850</v>
      </c>
      <c r="AT604">
        <f t="shared" ca="1" si="47"/>
        <v>102</v>
      </c>
      <c r="AU604">
        <f ca="1">INT(AS604*RANDBETWEEN(120,200)/100)</f>
        <v>1198</v>
      </c>
      <c r="AV604" s="2">
        <f ca="1">IF(LEFT(Y604,1)="L",RANDBETWEEN(500000,5000000),IF(LEFT(Y604,1)="C",RANDBETWEEN(5000,50000),IF(LEFT(Y604,1)="N",RANDBETWEEN(10000,150000),IF(LEFT(Y604,1)="J",RANDBETWEEN(8000,200000),RANDBETWEEN(5000,100000)))))</f>
        <v>72542</v>
      </c>
      <c r="AW604" s="2">
        <f ca="1">INT(AV604*RANDBETWEEN(30,60)/100)</f>
        <v>23213</v>
      </c>
      <c r="AX604">
        <f ca="1">IF(Z604="ORAL",RANDBETWEEN(1000,10000),IF(OR(Z604="INTRAVENOSA",Z604="INTRAMUSCULAR"),RANDBETWEEN(100,2000),IF(OR(Z604="OFTÁLMICA",Z604="TOPICA (EXTERNA)"),RANDBETWEEN(200,3000),RANDBETWEEN(100,1500))))</f>
        <v>631</v>
      </c>
      <c r="AY604" s="2">
        <f ca="1">INT(AV604*RANDBETWEEN(90,130)/100)</f>
        <v>74718</v>
      </c>
      <c r="AZ604" t="str">
        <f t="shared" ca="1" si="48"/>
        <v>1.6%</v>
      </c>
      <c r="BA604" t="str">
        <f t="shared" ca="1" si="49"/>
        <v>ALTO</v>
      </c>
    </row>
    <row r="605" spans="4:53" x14ac:dyDescent="0.35">
      <c r="D605" t="s">
        <v>4105</v>
      </c>
      <c r="E605" s="1">
        <v>42572</v>
      </c>
      <c r="F605" t="s">
        <v>539</v>
      </c>
      <c r="G605" t="s">
        <v>108</v>
      </c>
      <c r="H605" t="s">
        <v>1490</v>
      </c>
      <c r="I605">
        <v>20104080</v>
      </c>
      <c r="J605" t="s">
        <v>28</v>
      </c>
      <c r="K605">
        <v>6</v>
      </c>
      <c r="L605" t="s">
        <v>27</v>
      </c>
      <c r="M605" t="s">
        <v>4106</v>
      </c>
      <c r="N605" t="s">
        <v>4107</v>
      </c>
      <c r="O605" t="s">
        <v>4108</v>
      </c>
      <c r="P605" t="s">
        <v>536</v>
      </c>
      <c r="Q605" s="1">
        <v>43612</v>
      </c>
      <c r="R605" t="s">
        <v>33</v>
      </c>
      <c r="S605" t="s">
        <v>27</v>
      </c>
      <c r="T605" t="s">
        <v>1490</v>
      </c>
      <c r="U605" t="s">
        <v>115</v>
      </c>
      <c r="V605" t="s">
        <v>1715</v>
      </c>
      <c r="W605">
        <v>25</v>
      </c>
      <c r="X605">
        <v>20104080</v>
      </c>
      <c r="Y605" t="s">
        <v>1716</v>
      </c>
      <c r="Z605" t="s">
        <v>119</v>
      </c>
      <c r="AA605" t="s">
        <v>24</v>
      </c>
      <c r="AB605" t="s">
        <v>120</v>
      </c>
      <c r="AC605" t="s">
        <v>25</v>
      </c>
      <c r="AD605" t="s">
        <v>155</v>
      </c>
      <c r="AE605">
        <v>5</v>
      </c>
      <c r="AF605" t="s">
        <v>27</v>
      </c>
      <c r="AG605" t="s">
        <v>26</v>
      </c>
      <c r="AH605" t="s">
        <v>539</v>
      </c>
      <c r="AI605" t="str">
        <f t="shared" si="45"/>
        <v>NO</v>
      </c>
      <c r="AJ605" t="str">
        <f t="shared" si="46"/>
        <v>LABORATORIO FRANCO COLOMBIANO - LAFRANCOL</v>
      </c>
      <c r="AK605" t="str">
        <f>IF(ISNUMBER(SEARCH("FABRICANTE",AC605)),"FABRICANTE",IF(ISNUMBER(SEARCH("IMPORTADOR",AC605)),"IMPORTADOR","OTRO"))</f>
        <v>FABRICANTE</v>
      </c>
      <c r="AL605" t="str">
        <f>IF(LEFT(Y605,1)="A","Sistema digestivo",IF(LEFT(Y605,1)="B","Sangre",IF(LEFT(Y605,1)="C","Cardiovascular",IF(LEFT(Y605,1)="D","Dermatológico",IF(LEFT(Y605,1)="G","Genitourinario",IF(LEFT(Y605,1)="H","Hormonal",IF(LEFT(Y605,1)="J","Antiinfecciosos",IF(LEFT(Y605,1)="L","Oncológicos",IF(LEFT(Y605,1)="M","Musculoesquelético",IF(LEFT(Y605,1)="N","Sistema nervioso",IF(LEFT(Y605,1)="R","Respiratorio",IF(LEFT(Y605,1)="S","Oftálmico",IF(LEFT(Y605,1)="V","Varios","OTRO")))))))))))))</f>
        <v>Cardiovascular</v>
      </c>
      <c r="AM605" t="str">
        <f>IF(AG605="Vigente","ACTIVO",IF(ISNUMBER(SEARCH("Inactivo",J605)),"INACTIVO","REVISAR"))</f>
        <v>ACTIVO</v>
      </c>
      <c r="AN605" t="str">
        <f ca="1">IF(OR(AF605="",AF605="null"),"",ROUND((AF605-TODAY())/365.25,2))</f>
        <v/>
      </c>
      <c r="AO605" t="str">
        <f ca="1">IF(AND(AG605="Vigente",OR(AF605="",AF605="null",AF605&gt;TODAY())),"SI",IF(AND(NOT(OR(AF605="",AF605="null")),AF605&lt;=TODAY()),"NO",IF(AG605="Vigente","SI","DESCONOCIDO")))</f>
        <v>SI</v>
      </c>
      <c r="AP605" t="str">
        <f>IF(AND(ISNUMBER(SEARCH("IMPORTAR",AA605)),ISNUMBER(SEARCH("FABRICAR",AA605))),"MIXTO",IF(ISNUMBER(SEARCH("IMPORTAR",AA605)),"IMPORTADO",IF(ISNUMBER(SEARCH("FABRICAR",AA605)),"LOCAL","OTRO")))</f>
        <v>LOCAL</v>
      </c>
      <c r="AQ605" t="str">
        <f>IF(AD605="Si","SI",IF(AD605="No","NO",""))</f>
        <v>SI</v>
      </c>
      <c r="AR605" t="str">
        <f>IF(ISNUMBER(SEARCH("®",N605)),"MARCA/INNOVADOR","GENERICO")</f>
        <v>MARCA/INNOVADOR</v>
      </c>
      <c r="AS605">
        <f ca="1">IF(AE605&gt;100,RANDBETWEEN(500,5000),IF(AND(AE605&gt;=10,AE605&lt;=100),RANDBETWEEN(100,1000),RANDBETWEEN(10,200)))</f>
        <v>70</v>
      </c>
      <c r="AT605">
        <f t="shared" ca="1" si="47"/>
        <v>13</v>
      </c>
      <c r="AU605">
        <f ca="1">INT(AS605*RANDBETWEEN(120,200)/100)</f>
        <v>85</v>
      </c>
      <c r="AV605" s="2">
        <f ca="1">IF(LEFT(Y605,1)="L",RANDBETWEEN(500000,5000000),IF(LEFT(Y605,1)="C",RANDBETWEEN(5000,50000),IF(LEFT(Y605,1)="N",RANDBETWEEN(10000,150000),IF(LEFT(Y605,1)="J",RANDBETWEEN(8000,200000),RANDBETWEEN(5000,100000)))))</f>
        <v>28366</v>
      </c>
      <c r="AW605" s="2">
        <f ca="1">INT(AV605*RANDBETWEEN(30,60)/100)</f>
        <v>10779</v>
      </c>
      <c r="AX605">
        <f ca="1">IF(Z605="ORAL",RANDBETWEEN(1000,10000),IF(OR(Z605="INTRAVENOSA",Z605="INTRAMUSCULAR"),RANDBETWEEN(100,2000),IF(OR(Z605="OFTÁLMICA",Z605="TOPICA (EXTERNA)"),RANDBETWEEN(200,3000),RANDBETWEEN(100,1500))))</f>
        <v>8206</v>
      </c>
      <c r="AY605" s="2">
        <f ca="1">INT(AV605*RANDBETWEEN(90,130)/100)</f>
        <v>30635</v>
      </c>
      <c r="AZ605" t="str">
        <f t="shared" ca="1" si="48"/>
        <v>6.3%</v>
      </c>
      <c r="BA605" t="str">
        <f t="shared" ca="1" si="49"/>
        <v>BAJO</v>
      </c>
    </row>
    <row r="606" spans="4:53" x14ac:dyDescent="0.35">
      <c r="D606" t="s">
        <v>4109</v>
      </c>
      <c r="E606" s="1">
        <v>41054</v>
      </c>
      <c r="F606" t="s">
        <v>241</v>
      </c>
      <c r="G606" t="s">
        <v>108</v>
      </c>
      <c r="H606" t="s">
        <v>242</v>
      </c>
      <c r="I606">
        <v>20042480</v>
      </c>
      <c r="J606" t="s">
        <v>28</v>
      </c>
      <c r="K606">
        <v>109</v>
      </c>
      <c r="L606" t="s">
        <v>27</v>
      </c>
      <c r="M606" t="s">
        <v>243</v>
      </c>
      <c r="N606" t="s">
        <v>244</v>
      </c>
      <c r="O606" t="s">
        <v>4110</v>
      </c>
      <c r="P606" t="s">
        <v>246</v>
      </c>
      <c r="Q606" s="1">
        <v>42591</v>
      </c>
      <c r="R606" t="s">
        <v>67</v>
      </c>
      <c r="S606" t="s">
        <v>27</v>
      </c>
      <c r="T606" t="s">
        <v>80</v>
      </c>
      <c r="U606" t="s">
        <v>247</v>
      </c>
      <c r="V606" t="s">
        <v>248</v>
      </c>
      <c r="W606" s="2">
        <v>2273</v>
      </c>
      <c r="X606">
        <v>20042480</v>
      </c>
      <c r="Y606" t="s">
        <v>249</v>
      </c>
      <c r="Z606" t="s">
        <v>119</v>
      </c>
      <c r="AA606" t="s">
        <v>24</v>
      </c>
      <c r="AB606" t="s">
        <v>250</v>
      </c>
      <c r="AC606" t="s">
        <v>25</v>
      </c>
      <c r="AD606" t="s">
        <v>155</v>
      </c>
      <c r="AE606">
        <v>3</v>
      </c>
      <c r="AF606" t="s">
        <v>27</v>
      </c>
      <c r="AG606" t="s">
        <v>26</v>
      </c>
      <c r="AH606" t="s">
        <v>6613</v>
      </c>
      <c r="AI606" t="str">
        <f t="shared" si="45"/>
        <v>NO</v>
      </c>
      <c r="AJ606" t="str">
        <f t="shared" si="46"/>
        <v>TECNOQUIMICAS</v>
      </c>
      <c r="AK606" t="str">
        <f>IF(ISNUMBER(SEARCH("FABRICANTE",AC606)),"FABRICANTE",IF(ISNUMBER(SEARCH("IMPORTADOR",AC606)),"IMPORTADOR","OTRO"))</f>
        <v>FABRICANTE</v>
      </c>
      <c r="AL606" t="str">
        <f>IF(LEFT(Y606,1)="A","Sistema digestivo",IF(LEFT(Y606,1)="B","Sangre",IF(LEFT(Y606,1)="C","Cardiovascular",IF(LEFT(Y606,1)="D","Dermatológico",IF(LEFT(Y606,1)="G","Genitourinario",IF(LEFT(Y606,1)="H","Hormonal",IF(LEFT(Y606,1)="J","Antiinfecciosos",IF(LEFT(Y606,1)="L","Oncológicos",IF(LEFT(Y606,1)="M","Musculoesquelético",IF(LEFT(Y606,1)="N","Sistema nervioso",IF(LEFT(Y606,1)="R","Respiratorio",IF(LEFT(Y606,1)="S","Oftálmico",IF(LEFT(Y606,1)="V","Varios","OTRO")))))))))))))</f>
        <v>Sistema digestivo</v>
      </c>
      <c r="AM606" t="str">
        <f>IF(AG606="Vigente","ACTIVO",IF(ISNUMBER(SEARCH("Inactivo",J606)),"INACTIVO","REVISAR"))</f>
        <v>ACTIVO</v>
      </c>
      <c r="AN606" t="str">
        <f ca="1">IF(OR(AF606="",AF606="null"),"",ROUND((AF606-TODAY())/365.25,2))</f>
        <v/>
      </c>
      <c r="AO606" t="str">
        <f ca="1">IF(AND(AG606="Vigente",OR(AF606="",AF606="null",AF606&gt;TODAY())),"SI",IF(AND(NOT(OR(AF606="",AF606="null")),AF606&lt;=TODAY()),"NO",IF(AG606="Vigente","SI","DESCONOCIDO")))</f>
        <v>SI</v>
      </c>
      <c r="AP606" t="str">
        <f>IF(AND(ISNUMBER(SEARCH("IMPORTAR",AA606)),ISNUMBER(SEARCH("FABRICAR",AA606))),"MIXTO",IF(ISNUMBER(SEARCH("IMPORTAR",AA606)),"IMPORTADO",IF(ISNUMBER(SEARCH("FABRICAR",AA606)),"LOCAL","OTRO")))</f>
        <v>LOCAL</v>
      </c>
      <c r="AQ606" t="str">
        <f>IF(AD606="Si","SI",IF(AD606="No","NO",""))</f>
        <v>SI</v>
      </c>
      <c r="AR606" t="str">
        <f>IF(ISNUMBER(SEARCH("®",N606)),"MARCA/INNOVADOR","GENERICO")</f>
        <v>MARCA/INNOVADOR</v>
      </c>
      <c r="AS606">
        <f ca="1">IF(AE606&gt;100,RANDBETWEEN(500,5000),IF(AND(AE606&gt;=10,AE606&lt;=100),RANDBETWEEN(100,1000),RANDBETWEEN(10,200)))</f>
        <v>72</v>
      </c>
      <c r="AT606">
        <f t="shared" ca="1" si="47"/>
        <v>7</v>
      </c>
      <c r="AU606">
        <f ca="1">INT(AS606*RANDBETWEEN(120,200)/100)</f>
        <v>133</v>
      </c>
      <c r="AV606" s="2">
        <f ca="1">IF(LEFT(Y606,1)="L",RANDBETWEEN(500000,5000000),IF(LEFT(Y606,1)="C",RANDBETWEEN(5000,50000),IF(LEFT(Y606,1)="N",RANDBETWEEN(10000,150000),IF(LEFT(Y606,1)="J",RANDBETWEEN(8000,200000),RANDBETWEEN(5000,100000)))))</f>
        <v>6712</v>
      </c>
      <c r="AW606" s="2">
        <f ca="1">INT(AV606*RANDBETWEEN(30,60)/100)</f>
        <v>2550</v>
      </c>
      <c r="AX606">
        <f ca="1">IF(Z606="ORAL",RANDBETWEEN(1000,10000),IF(OR(Z606="INTRAVENOSA",Z606="INTRAMUSCULAR"),RANDBETWEEN(100,2000),IF(OR(Z606="OFTÁLMICA",Z606="TOPICA (EXTERNA)"),RANDBETWEEN(200,3000),RANDBETWEEN(100,1500))))</f>
        <v>5790</v>
      </c>
      <c r="AY606" s="2">
        <f ca="1">INT(AV606*RANDBETWEEN(90,130)/100)</f>
        <v>6443</v>
      </c>
      <c r="AZ606" t="str">
        <f t="shared" ca="1" si="48"/>
        <v>21%</v>
      </c>
      <c r="BA606" t="str">
        <f t="shared" ca="1" si="49"/>
        <v>BAJO</v>
      </c>
    </row>
    <row r="607" spans="4:53" x14ac:dyDescent="0.35">
      <c r="D607" t="s">
        <v>4111</v>
      </c>
      <c r="E607" s="1">
        <v>37852</v>
      </c>
      <c r="F607" t="s">
        <v>3134</v>
      </c>
      <c r="G607" t="s">
        <v>108</v>
      </c>
      <c r="H607" t="s">
        <v>1325</v>
      </c>
      <c r="I607">
        <v>19933606</v>
      </c>
      <c r="J607" t="s">
        <v>28</v>
      </c>
      <c r="K607">
        <v>15</v>
      </c>
      <c r="L607" t="s">
        <v>27</v>
      </c>
      <c r="M607" t="s">
        <v>3022</v>
      </c>
      <c r="N607" t="s">
        <v>3023</v>
      </c>
      <c r="O607" t="s">
        <v>4112</v>
      </c>
      <c r="P607" t="s">
        <v>257</v>
      </c>
      <c r="Q607" s="1">
        <v>45012</v>
      </c>
      <c r="R607" t="s">
        <v>50</v>
      </c>
      <c r="S607" t="s">
        <v>27</v>
      </c>
      <c r="T607" t="s">
        <v>3025</v>
      </c>
      <c r="U607" t="s">
        <v>247</v>
      </c>
      <c r="V607" t="s">
        <v>554</v>
      </c>
      <c r="W607" t="s">
        <v>4113</v>
      </c>
      <c r="X607">
        <v>19933606</v>
      </c>
      <c r="Y607" t="s">
        <v>556</v>
      </c>
      <c r="Z607" t="s">
        <v>260</v>
      </c>
      <c r="AA607" t="s">
        <v>32</v>
      </c>
      <c r="AB607" t="s">
        <v>120</v>
      </c>
      <c r="AC607" t="s">
        <v>38</v>
      </c>
      <c r="AD607" t="s">
        <v>155</v>
      </c>
      <c r="AE607">
        <v>10</v>
      </c>
      <c r="AF607" t="s">
        <v>27</v>
      </c>
      <c r="AG607" t="s">
        <v>26</v>
      </c>
      <c r="AH607" t="s">
        <v>6663</v>
      </c>
      <c r="AI607" t="str">
        <f t="shared" si="45"/>
        <v>NO</v>
      </c>
      <c r="AJ607" t="str">
        <f t="shared" si="46"/>
        <v>FRESENIUS KABI DEUTSCHLAND</v>
      </c>
      <c r="AK607" t="str">
        <f>IF(ISNUMBER(SEARCH("FABRICANTE",AC607)),"FABRICANTE",IF(ISNUMBER(SEARCH("IMPORTADOR",AC607)),"IMPORTADOR","OTRO"))</f>
        <v>IMPORTADOR</v>
      </c>
      <c r="AL607" t="str">
        <f>IF(LEFT(Y607,1)="A","Sistema digestivo",IF(LEFT(Y607,1)="B","Sangre",IF(LEFT(Y607,1)="C","Cardiovascular",IF(LEFT(Y607,1)="D","Dermatológico",IF(LEFT(Y607,1)="G","Genitourinario",IF(LEFT(Y607,1)="H","Hormonal",IF(LEFT(Y607,1)="J","Antiinfecciosos",IF(LEFT(Y607,1)="L","Oncológicos",IF(LEFT(Y607,1)="M","Musculoesquelético",IF(LEFT(Y607,1)="N","Sistema nervioso",IF(LEFT(Y607,1)="R","Respiratorio",IF(LEFT(Y607,1)="S","Oftálmico",IF(LEFT(Y607,1)="V","Varios","OTRO")))))))))))))</f>
        <v>Sangre</v>
      </c>
      <c r="AM607" t="str">
        <f>IF(AG607="Vigente","ACTIVO",IF(ISNUMBER(SEARCH("Inactivo",J607)),"INACTIVO","REVISAR"))</f>
        <v>ACTIVO</v>
      </c>
      <c r="AN607" t="str">
        <f ca="1">IF(OR(AF607="",AF607="null"),"",ROUND((AF607-TODAY())/365.25,2))</f>
        <v/>
      </c>
      <c r="AO607" t="str">
        <f ca="1">IF(AND(AG607="Vigente",OR(AF607="",AF607="null",AF607&gt;TODAY())),"SI",IF(AND(NOT(OR(AF607="",AF607="null")),AF607&lt;=TODAY()),"NO",IF(AG607="Vigente","SI","DESCONOCIDO")))</f>
        <v>SI</v>
      </c>
      <c r="AP607" t="str">
        <f>IF(AND(ISNUMBER(SEARCH("IMPORTAR",AA607)),ISNUMBER(SEARCH("FABRICAR",AA607))),"MIXTO",IF(ISNUMBER(SEARCH("IMPORTAR",AA607)),"IMPORTADO",IF(ISNUMBER(SEARCH("FABRICAR",AA607)),"LOCAL","OTRO")))</f>
        <v>IMPORTADO</v>
      </c>
      <c r="AQ607" t="str">
        <f>IF(AD607="Si","SI",IF(AD607="No","NO",""))</f>
        <v>SI</v>
      </c>
      <c r="AR607" t="str">
        <f>IF(ISNUMBER(SEARCH("®",N607)),"MARCA/INNOVADOR","GENERICO")</f>
        <v>GENERICO</v>
      </c>
      <c r="AS607">
        <f ca="1">IF(AE607&gt;100,RANDBETWEEN(500,5000),IF(AND(AE607&gt;=10,AE607&lt;=100),RANDBETWEEN(100,1000),RANDBETWEEN(10,200)))</f>
        <v>216</v>
      </c>
      <c r="AT607">
        <f t="shared" ca="1" si="47"/>
        <v>21</v>
      </c>
      <c r="AU607">
        <f ca="1">INT(AS607*RANDBETWEEN(120,200)/100)</f>
        <v>421</v>
      </c>
      <c r="AV607" s="2">
        <f ca="1">IF(LEFT(Y607,1)="L",RANDBETWEEN(500000,5000000),IF(LEFT(Y607,1)="C",RANDBETWEEN(5000,50000),IF(LEFT(Y607,1)="N",RANDBETWEEN(10000,150000),IF(LEFT(Y607,1)="J",RANDBETWEEN(8000,200000),RANDBETWEEN(5000,100000)))))</f>
        <v>18136</v>
      </c>
      <c r="AW607" s="2">
        <f ca="1">INT(AV607*RANDBETWEEN(30,60)/100)</f>
        <v>8705</v>
      </c>
      <c r="AX607">
        <f ca="1">IF(Z607="ORAL",RANDBETWEEN(1000,10000),IF(OR(Z607="INTRAVENOSA",Z607="INTRAMUSCULAR"),RANDBETWEEN(100,2000),IF(OR(Z607="OFTÁLMICA",Z607="TOPICA (EXTERNA)"),RANDBETWEEN(200,3000),RANDBETWEEN(100,1500))))</f>
        <v>1274</v>
      </c>
      <c r="AY607" s="2">
        <f ca="1">INT(AV607*RANDBETWEEN(90,130)/100)</f>
        <v>19768</v>
      </c>
      <c r="AZ607" t="str">
        <f t="shared" ca="1" si="48"/>
        <v>2.4%</v>
      </c>
      <c r="BA607" t="str">
        <f t="shared" ca="1" si="49"/>
        <v>BAJO</v>
      </c>
    </row>
    <row r="608" spans="4:53" x14ac:dyDescent="0.35">
      <c r="D608" t="s">
        <v>4114</v>
      </c>
      <c r="E608" s="1">
        <v>41134</v>
      </c>
      <c r="F608" t="s">
        <v>4115</v>
      </c>
      <c r="G608" t="s">
        <v>108</v>
      </c>
      <c r="H608" t="s">
        <v>2662</v>
      </c>
      <c r="I608">
        <v>20046526</v>
      </c>
      <c r="J608" t="s">
        <v>28</v>
      </c>
      <c r="K608">
        <v>8</v>
      </c>
      <c r="L608" t="s">
        <v>27</v>
      </c>
      <c r="M608" t="s">
        <v>4116</v>
      </c>
      <c r="N608" t="s">
        <v>4117</v>
      </c>
      <c r="O608" t="s">
        <v>4118</v>
      </c>
      <c r="P608" t="s">
        <v>574</v>
      </c>
      <c r="Q608" s="1">
        <v>41583</v>
      </c>
      <c r="R608" t="s">
        <v>29</v>
      </c>
      <c r="S608" t="s">
        <v>27</v>
      </c>
      <c r="T608" t="s">
        <v>48</v>
      </c>
      <c r="U608" t="s">
        <v>115</v>
      </c>
      <c r="V608" t="s">
        <v>4119</v>
      </c>
      <c r="W608">
        <v>2</v>
      </c>
      <c r="X608">
        <v>20046526</v>
      </c>
      <c r="Y608" t="s">
        <v>4120</v>
      </c>
      <c r="Z608" t="s">
        <v>119</v>
      </c>
      <c r="AA608" t="s">
        <v>24</v>
      </c>
      <c r="AB608" t="s">
        <v>120</v>
      </c>
      <c r="AC608" t="s">
        <v>25</v>
      </c>
      <c r="AD608" t="s">
        <v>121</v>
      </c>
      <c r="AE608">
        <v>900</v>
      </c>
      <c r="AF608" t="s">
        <v>27</v>
      </c>
      <c r="AG608" t="s">
        <v>26</v>
      </c>
      <c r="AH608" t="s">
        <v>4115</v>
      </c>
      <c r="AI608" t="str">
        <f t="shared" si="45"/>
        <v>NO</v>
      </c>
      <c r="AJ608" t="str">
        <f t="shared" si="46"/>
        <v>GENFAR</v>
      </c>
      <c r="AK608" t="str">
        <f>IF(ISNUMBER(SEARCH("FABRICANTE",AC608)),"FABRICANTE",IF(ISNUMBER(SEARCH("IMPORTADOR",AC608)),"IMPORTADOR","OTRO"))</f>
        <v>FABRICANTE</v>
      </c>
      <c r="AL608" t="str">
        <f>IF(LEFT(Y608,1)="A","Sistema digestivo",IF(LEFT(Y608,1)="B","Sangre",IF(LEFT(Y608,1)="C","Cardiovascular",IF(LEFT(Y608,1)="D","Dermatológico",IF(LEFT(Y608,1)="G","Genitourinario",IF(LEFT(Y608,1)="H","Hormonal",IF(LEFT(Y608,1)="J","Antiinfecciosos",IF(LEFT(Y608,1)="L","Oncológicos",IF(LEFT(Y608,1)="M","Musculoesquelético",IF(LEFT(Y608,1)="N","Sistema nervioso",IF(LEFT(Y608,1)="R","Respiratorio",IF(LEFT(Y608,1)="S","Oftálmico",IF(LEFT(Y608,1)="V","Varios","OTRO")))))))))))))</f>
        <v>Sistema digestivo</v>
      </c>
      <c r="AM608" t="str">
        <f>IF(AG608="Vigente","ACTIVO",IF(ISNUMBER(SEARCH("Inactivo",J608)),"INACTIVO","REVISAR"))</f>
        <v>ACTIVO</v>
      </c>
      <c r="AN608" t="str">
        <f ca="1">IF(OR(AF608="",AF608="null"),"",ROUND((AF608-TODAY())/365.25,2))</f>
        <v/>
      </c>
      <c r="AO608" t="str">
        <f ca="1">IF(AND(AG608="Vigente",OR(AF608="",AF608="null",AF608&gt;TODAY())),"SI",IF(AND(NOT(OR(AF608="",AF608="null")),AF608&lt;=TODAY()),"NO",IF(AG608="Vigente","SI","DESCONOCIDO")))</f>
        <v>SI</v>
      </c>
      <c r="AP608" t="str">
        <f>IF(AND(ISNUMBER(SEARCH("IMPORTAR",AA608)),ISNUMBER(SEARCH("FABRICAR",AA608))),"MIXTO",IF(ISNUMBER(SEARCH("IMPORTAR",AA608)),"IMPORTADO",IF(ISNUMBER(SEARCH("FABRICAR",AA608)),"LOCAL","OTRO")))</f>
        <v>LOCAL</v>
      </c>
      <c r="AQ608" t="str">
        <f>IF(AD608="Si","SI",IF(AD608="No","NO",""))</f>
        <v>NO</v>
      </c>
      <c r="AR608" t="str">
        <f>IF(ISNUMBER(SEARCH("®",N608)),"MARCA/INNOVADOR","GENERICO")</f>
        <v>GENERICO</v>
      </c>
      <c r="AS608">
        <f ca="1">IF(AE608&gt;100,RANDBETWEEN(500,5000),IF(AND(AE608&gt;=10,AE608&lt;=100),RANDBETWEEN(100,1000),RANDBETWEEN(10,200)))</f>
        <v>605</v>
      </c>
      <c r="AT608">
        <f t="shared" ca="1" si="47"/>
        <v>133</v>
      </c>
      <c r="AU608">
        <f ca="1">INT(AS608*RANDBETWEEN(120,200)/100)</f>
        <v>1089</v>
      </c>
      <c r="AV608" s="2">
        <f ca="1">IF(LEFT(Y608,1)="L",RANDBETWEEN(500000,5000000),IF(LEFT(Y608,1)="C",RANDBETWEEN(5000,50000),IF(LEFT(Y608,1)="N",RANDBETWEEN(10000,150000),IF(LEFT(Y608,1)="J",RANDBETWEEN(8000,200000),RANDBETWEEN(5000,100000)))))</f>
        <v>11217</v>
      </c>
      <c r="AW608" s="2">
        <f ca="1">INT(AV608*RANDBETWEEN(30,60)/100)</f>
        <v>5608</v>
      </c>
      <c r="AX608">
        <f ca="1">IF(Z608="ORAL",RANDBETWEEN(1000,10000),IF(OR(Z608="INTRAVENOSA",Z608="INTRAMUSCULAR"),RANDBETWEEN(100,2000),IF(OR(Z608="OFTÁLMICA",Z608="TOPICA (EXTERNA)"),RANDBETWEEN(200,3000),RANDBETWEEN(100,1500))))</f>
        <v>8150</v>
      </c>
      <c r="AY608" s="2">
        <f ca="1">INT(AV608*RANDBETWEEN(90,130)/100)</f>
        <v>10768</v>
      </c>
      <c r="AZ608" t="str">
        <f t="shared" ca="1" si="48"/>
        <v>16.7%</v>
      </c>
      <c r="BA608" t="str">
        <f t="shared" ca="1" si="49"/>
        <v>BAJO</v>
      </c>
    </row>
    <row r="609" spans="4:53" x14ac:dyDescent="0.35">
      <c r="D609" t="s">
        <v>4121</v>
      </c>
      <c r="E609" s="1">
        <v>39164</v>
      </c>
      <c r="F609" t="s">
        <v>4122</v>
      </c>
      <c r="G609" t="s">
        <v>108</v>
      </c>
      <c r="H609" t="s">
        <v>4123</v>
      </c>
      <c r="I609">
        <v>19975048</v>
      </c>
      <c r="J609" t="s">
        <v>110</v>
      </c>
      <c r="K609">
        <v>8</v>
      </c>
      <c r="L609" t="s">
        <v>27</v>
      </c>
      <c r="M609" t="s">
        <v>4124</v>
      </c>
      <c r="N609" t="s">
        <v>4125</v>
      </c>
      <c r="O609" t="s">
        <v>4126</v>
      </c>
      <c r="P609" t="s">
        <v>2067</v>
      </c>
      <c r="Q609" s="1">
        <v>42270</v>
      </c>
      <c r="R609" t="s">
        <v>33</v>
      </c>
      <c r="S609" s="1">
        <v>43808</v>
      </c>
      <c r="T609" t="s">
        <v>806</v>
      </c>
      <c r="U609" t="s">
        <v>115</v>
      </c>
      <c r="V609" t="s">
        <v>34</v>
      </c>
      <c r="W609">
        <v>100</v>
      </c>
      <c r="X609">
        <v>19975048</v>
      </c>
      <c r="Y609" t="s">
        <v>31</v>
      </c>
      <c r="Z609" t="s">
        <v>119</v>
      </c>
      <c r="AA609" t="s">
        <v>32</v>
      </c>
      <c r="AB609" t="s">
        <v>120</v>
      </c>
      <c r="AC609" t="s">
        <v>25</v>
      </c>
      <c r="AD609" t="s">
        <v>155</v>
      </c>
      <c r="AE609">
        <v>28</v>
      </c>
      <c r="AF609" t="s">
        <v>27</v>
      </c>
      <c r="AG609" t="s">
        <v>26</v>
      </c>
      <c r="AH609" t="s">
        <v>34</v>
      </c>
      <c r="AI609" t="str">
        <f t="shared" si="45"/>
        <v>SI</v>
      </c>
      <c r="AJ609" t="str">
        <f t="shared" si="46"/>
        <v>MERCK SHARP &amp; DOHME</v>
      </c>
      <c r="AK609" t="str">
        <f>IF(ISNUMBER(SEARCH("FABRICANTE",AC609)),"FABRICANTE",IF(ISNUMBER(SEARCH("IMPORTADOR",AC609)),"IMPORTADOR","OTRO"))</f>
        <v>FABRICANTE</v>
      </c>
      <c r="AL609" t="str">
        <f>IF(LEFT(Y609,1)="A","Sistema digestivo",IF(LEFT(Y609,1)="B","Sangre",IF(LEFT(Y609,1)="C","Cardiovascular",IF(LEFT(Y609,1)="D","Dermatológico",IF(LEFT(Y609,1)="G","Genitourinario",IF(LEFT(Y609,1)="H","Hormonal",IF(LEFT(Y609,1)="J","Antiinfecciosos",IF(LEFT(Y609,1)="L","Oncológicos",IF(LEFT(Y609,1)="M","Musculoesquelético",IF(LEFT(Y609,1)="N","Sistema nervioso",IF(LEFT(Y609,1)="R","Respiratorio",IF(LEFT(Y609,1)="S","Oftálmico",IF(LEFT(Y609,1)="V","Varios","OTRO")))))))))))))</f>
        <v>Sistema digestivo</v>
      </c>
      <c r="AM609" t="str">
        <f>IF(AG609="Vigente","ACTIVO",IF(ISNUMBER(SEARCH("Inactivo",J609)),"INACTIVO","REVISAR"))</f>
        <v>ACTIVO</v>
      </c>
      <c r="AN609" t="str">
        <f ca="1">IF(OR(AF609="",AF609="null"),"",ROUND((AF609-TODAY())/365.25,2))</f>
        <v/>
      </c>
      <c r="AO609" t="str">
        <f ca="1">IF(AND(AG609="Vigente",OR(AF609="",AF609="null",AF609&gt;TODAY())),"SI",IF(AND(NOT(OR(AF609="",AF609="null")),AF609&lt;=TODAY()),"NO",IF(AG609="Vigente","SI","DESCONOCIDO")))</f>
        <v>SI</v>
      </c>
      <c r="AP609" t="str">
        <f>IF(AND(ISNUMBER(SEARCH("IMPORTAR",AA609)),ISNUMBER(SEARCH("FABRICAR",AA609))),"MIXTO",IF(ISNUMBER(SEARCH("IMPORTAR",AA609)),"IMPORTADO",IF(ISNUMBER(SEARCH("FABRICAR",AA609)),"LOCAL","OTRO")))</f>
        <v>IMPORTADO</v>
      </c>
      <c r="AQ609" t="str">
        <f>IF(AD609="Si","SI",IF(AD609="No","NO",""))</f>
        <v>SI</v>
      </c>
      <c r="AR609" t="str">
        <f>IF(ISNUMBER(SEARCH("®",N609)),"MARCA/INNOVADOR","GENERICO")</f>
        <v>MARCA/INNOVADOR</v>
      </c>
      <c r="AS609">
        <f ca="1">IF(AE609&gt;100,RANDBETWEEN(500,5000),IF(AND(AE609&gt;=10,AE609&lt;=100),RANDBETWEEN(100,1000),RANDBETWEEN(10,200)))</f>
        <v>142</v>
      </c>
      <c r="AT609">
        <f t="shared" ca="1" si="47"/>
        <v>34</v>
      </c>
      <c r="AU609">
        <f ca="1">INT(AS609*RANDBETWEEN(120,200)/100)</f>
        <v>210</v>
      </c>
      <c r="AV609" s="2">
        <f ca="1">IF(LEFT(Y609,1)="L",RANDBETWEEN(500000,5000000),IF(LEFT(Y609,1)="C",RANDBETWEEN(5000,50000),IF(LEFT(Y609,1)="N",RANDBETWEEN(10000,150000),IF(LEFT(Y609,1)="J",RANDBETWEEN(8000,200000),RANDBETWEEN(5000,100000)))))</f>
        <v>16141</v>
      </c>
      <c r="AW609" s="2">
        <f ca="1">INT(AV609*RANDBETWEEN(30,60)/100)</f>
        <v>6940</v>
      </c>
      <c r="AX609">
        <f ca="1">IF(Z609="ORAL",RANDBETWEEN(1000,10000),IF(OR(Z609="INTRAVENOSA",Z609="INTRAMUSCULAR"),RANDBETWEEN(100,2000),IF(OR(Z609="OFTÁLMICA",Z609="TOPICA (EXTERNA)"),RANDBETWEEN(200,3000),RANDBETWEEN(100,1500))))</f>
        <v>1767</v>
      </c>
      <c r="AY609" s="2">
        <f ca="1">INT(AV609*RANDBETWEEN(90,130)/100)</f>
        <v>17270</v>
      </c>
      <c r="AZ609" t="str">
        <f t="shared" ca="1" si="48"/>
        <v>8.1%</v>
      </c>
      <c r="BA609" t="str">
        <f t="shared" ca="1" si="49"/>
        <v>ALTO</v>
      </c>
    </row>
    <row r="610" spans="4:53" x14ac:dyDescent="0.35">
      <c r="D610" t="s">
        <v>4127</v>
      </c>
      <c r="E610" s="1">
        <v>37880</v>
      </c>
      <c r="F610" t="s">
        <v>1018</v>
      </c>
      <c r="G610" t="s">
        <v>108</v>
      </c>
      <c r="H610" t="s">
        <v>158</v>
      </c>
      <c r="I610">
        <v>19939513</v>
      </c>
      <c r="J610" t="s">
        <v>28</v>
      </c>
      <c r="K610">
        <v>35</v>
      </c>
      <c r="L610" t="s">
        <v>27</v>
      </c>
      <c r="M610" t="s">
        <v>491</v>
      </c>
      <c r="N610" t="s">
        <v>492</v>
      </c>
      <c r="O610" t="s">
        <v>4128</v>
      </c>
      <c r="P610" t="s">
        <v>494</v>
      </c>
      <c r="Q610" s="1">
        <v>41585</v>
      </c>
      <c r="R610" t="s">
        <v>495</v>
      </c>
      <c r="S610" t="s">
        <v>27</v>
      </c>
      <c r="T610" t="s">
        <v>146</v>
      </c>
      <c r="U610" t="s">
        <v>115</v>
      </c>
      <c r="V610" t="s">
        <v>496</v>
      </c>
      <c r="W610">
        <v>10</v>
      </c>
      <c r="X610">
        <v>19939513</v>
      </c>
      <c r="Y610" t="s">
        <v>498</v>
      </c>
      <c r="Z610" t="s">
        <v>499</v>
      </c>
      <c r="AA610" t="s">
        <v>24</v>
      </c>
      <c r="AB610" t="s">
        <v>120</v>
      </c>
      <c r="AC610" t="s">
        <v>25</v>
      </c>
      <c r="AD610" t="s">
        <v>121</v>
      </c>
      <c r="AE610">
        <v>4</v>
      </c>
      <c r="AF610" t="s">
        <v>27</v>
      </c>
      <c r="AG610" t="s">
        <v>26</v>
      </c>
      <c r="AH610" t="s">
        <v>1018</v>
      </c>
      <c r="AI610" t="str">
        <f t="shared" si="45"/>
        <v>NO</v>
      </c>
      <c r="AJ610" t="str">
        <f t="shared" si="46"/>
        <v>TECNOFAR TQ</v>
      </c>
      <c r="AK610" t="str">
        <f>IF(ISNUMBER(SEARCH("FABRICANTE",AC610)),"FABRICANTE",IF(ISNUMBER(SEARCH("IMPORTADOR",AC610)),"IMPORTADOR","OTRO"))</f>
        <v>FABRICANTE</v>
      </c>
      <c r="AL610" t="str">
        <f>IF(LEFT(Y610,1)="A","Sistema digestivo",IF(LEFT(Y610,1)="B","Sangre",IF(LEFT(Y610,1)="C","Cardiovascular",IF(LEFT(Y610,1)="D","Dermatológico",IF(LEFT(Y610,1)="G","Genitourinario",IF(LEFT(Y610,1)="H","Hormonal",IF(LEFT(Y610,1)="J","Antiinfecciosos",IF(LEFT(Y610,1)="L","Oncológicos",IF(LEFT(Y610,1)="M","Musculoesquelético",IF(LEFT(Y610,1)="N","Sistema nervioso",IF(LEFT(Y610,1)="R","Respiratorio",IF(LEFT(Y610,1)="S","Oftálmico",IF(LEFT(Y610,1)="V","Varios","OTRO")))))))))))))</f>
        <v>Respiratorio</v>
      </c>
      <c r="AM610" t="str">
        <f>IF(AG610="Vigente","ACTIVO",IF(ISNUMBER(SEARCH("Inactivo",J610)),"INACTIVO","REVISAR"))</f>
        <v>ACTIVO</v>
      </c>
      <c r="AN610" t="str">
        <f ca="1">IF(OR(AF610="",AF610="null"),"",ROUND((AF610-TODAY())/365.25,2))</f>
        <v/>
      </c>
      <c r="AO610" t="str">
        <f ca="1">IF(AND(AG610="Vigente",OR(AF610="",AF610="null",AF610&gt;TODAY())),"SI",IF(AND(NOT(OR(AF610="",AF610="null")),AF610&lt;=TODAY()),"NO",IF(AG610="Vigente","SI","DESCONOCIDO")))</f>
        <v>SI</v>
      </c>
      <c r="AP610" t="str">
        <f>IF(AND(ISNUMBER(SEARCH("IMPORTAR",AA610)),ISNUMBER(SEARCH("FABRICAR",AA610))),"MIXTO",IF(ISNUMBER(SEARCH("IMPORTAR",AA610)),"IMPORTADO",IF(ISNUMBER(SEARCH("FABRICAR",AA610)),"LOCAL","OTRO")))</f>
        <v>LOCAL</v>
      </c>
      <c r="AQ610" t="str">
        <f>IF(AD610="Si","SI",IF(AD610="No","NO",""))</f>
        <v>NO</v>
      </c>
      <c r="AR610" t="str">
        <f>IF(ISNUMBER(SEARCH("®",N610)),"MARCA/INNOVADOR","GENERICO")</f>
        <v>GENERICO</v>
      </c>
      <c r="AS610">
        <f ca="1">IF(AE610&gt;100,RANDBETWEEN(500,5000),IF(AND(AE610&gt;=10,AE610&lt;=100),RANDBETWEEN(100,1000),RANDBETWEEN(10,200)))</f>
        <v>84</v>
      </c>
      <c r="AT610">
        <f t="shared" ca="1" si="47"/>
        <v>11</v>
      </c>
      <c r="AU610">
        <f ca="1">INT(AS610*RANDBETWEEN(120,200)/100)</f>
        <v>145</v>
      </c>
      <c r="AV610" s="2">
        <f ca="1">IF(LEFT(Y610,1)="L",RANDBETWEEN(500000,5000000),IF(LEFT(Y610,1)="C",RANDBETWEEN(5000,50000),IF(LEFT(Y610,1)="N",RANDBETWEEN(10000,150000),IF(LEFT(Y610,1)="J",RANDBETWEEN(8000,200000),RANDBETWEEN(5000,100000)))))</f>
        <v>18533</v>
      </c>
      <c r="AW610" s="2">
        <f ca="1">INT(AV610*RANDBETWEEN(30,60)/100)</f>
        <v>5930</v>
      </c>
      <c r="AX610">
        <f ca="1">IF(Z610="ORAL",RANDBETWEEN(1000,10000),IF(OR(Z610="INTRAVENOSA",Z610="INTRAMUSCULAR"),RANDBETWEEN(100,2000),IF(OR(Z610="OFTÁLMICA",Z610="TOPICA (EXTERNA)"),RANDBETWEEN(200,3000),RANDBETWEEN(100,1500))))</f>
        <v>533</v>
      </c>
      <c r="AY610" s="2">
        <f ca="1">INT(AV610*RANDBETWEEN(90,130)/100)</f>
        <v>20571</v>
      </c>
      <c r="AZ610" t="str">
        <f t="shared" ca="1" si="48"/>
        <v>5%</v>
      </c>
      <c r="BA610" t="str">
        <f t="shared" ca="1" si="49"/>
        <v>BAJO</v>
      </c>
    </row>
    <row r="611" spans="4:53" x14ac:dyDescent="0.35">
      <c r="D611" t="s">
        <v>4129</v>
      </c>
      <c r="E611" s="1">
        <v>39729</v>
      </c>
      <c r="F611" t="s">
        <v>453</v>
      </c>
      <c r="G611" t="s">
        <v>108</v>
      </c>
      <c r="H611" t="s">
        <v>4130</v>
      </c>
      <c r="I611">
        <v>19989496</v>
      </c>
      <c r="J611" t="s">
        <v>28</v>
      </c>
      <c r="K611">
        <v>1</v>
      </c>
      <c r="L611" t="s">
        <v>27</v>
      </c>
      <c r="M611" t="s">
        <v>4131</v>
      </c>
      <c r="N611" t="s">
        <v>4132</v>
      </c>
      <c r="O611" t="s">
        <v>4133</v>
      </c>
      <c r="P611" t="s">
        <v>659</v>
      </c>
      <c r="Q611" s="1">
        <v>39609</v>
      </c>
      <c r="R611" t="s">
        <v>37</v>
      </c>
      <c r="S611" t="s">
        <v>27</v>
      </c>
      <c r="T611" t="s">
        <v>4130</v>
      </c>
      <c r="U611" t="s">
        <v>115</v>
      </c>
      <c r="V611" t="s">
        <v>4134</v>
      </c>
      <c r="W611">
        <v>5</v>
      </c>
      <c r="X611">
        <v>19989496</v>
      </c>
      <c r="Y611" t="s">
        <v>4135</v>
      </c>
      <c r="Z611" t="s">
        <v>119</v>
      </c>
      <c r="AA611" t="s">
        <v>24</v>
      </c>
      <c r="AB611" t="s">
        <v>120</v>
      </c>
      <c r="AC611" t="s">
        <v>25</v>
      </c>
      <c r="AD611" t="s">
        <v>121</v>
      </c>
      <c r="AE611">
        <v>10</v>
      </c>
      <c r="AF611" t="s">
        <v>27</v>
      </c>
      <c r="AG611" t="s">
        <v>26</v>
      </c>
      <c r="AH611" t="s">
        <v>453</v>
      </c>
      <c r="AI611" t="str">
        <f t="shared" si="45"/>
        <v>NO</v>
      </c>
      <c r="AJ611" t="str">
        <f t="shared" si="46"/>
        <v>QUIMICA PATRIC</v>
      </c>
      <c r="AK611" t="str">
        <f>IF(ISNUMBER(SEARCH("FABRICANTE",AC611)),"FABRICANTE",IF(ISNUMBER(SEARCH("IMPORTADOR",AC611)),"IMPORTADOR","OTRO"))</f>
        <v>FABRICANTE</v>
      </c>
      <c r="AL611" t="str">
        <f>IF(LEFT(Y611,1)="A","Sistema digestivo",IF(LEFT(Y611,1)="B","Sangre",IF(LEFT(Y611,1)="C","Cardiovascular",IF(LEFT(Y611,1)="D","Dermatológico",IF(LEFT(Y611,1)="G","Genitourinario",IF(LEFT(Y611,1)="H","Hormonal",IF(LEFT(Y611,1)="J","Antiinfecciosos",IF(LEFT(Y611,1)="L","Oncológicos",IF(LEFT(Y611,1)="M","Musculoesquelético",IF(LEFT(Y611,1)="N","Sistema nervioso",IF(LEFT(Y611,1)="R","Respiratorio",IF(LEFT(Y611,1)="S","Oftálmico",IF(LEFT(Y611,1)="V","Varios","OTRO")))))))))))))</f>
        <v>Respiratorio</v>
      </c>
      <c r="AM611" t="str">
        <f>IF(AG611="Vigente","ACTIVO",IF(ISNUMBER(SEARCH("Inactivo",J611)),"INACTIVO","REVISAR"))</f>
        <v>ACTIVO</v>
      </c>
      <c r="AN611" t="str">
        <f ca="1">IF(OR(AF611="",AF611="null"),"",ROUND((AF611-TODAY())/365.25,2))</f>
        <v/>
      </c>
      <c r="AO611" t="str">
        <f ca="1">IF(AND(AG611="Vigente",OR(AF611="",AF611="null",AF611&gt;TODAY())),"SI",IF(AND(NOT(OR(AF611="",AF611="null")),AF611&lt;=TODAY()),"NO",IF(AG611="Vigente","SI","DESCONOCIDO")))</f>
        <v>SI</v>
      </c>
      <c r="AP611" t="str">
        <f>IF(AND(ISNUMBER(SEARCH("IMPORTAR",AA611)),ISNUMBER(SEARCH("FABRICAR",AA611))),"MIXTO",IF(ISNUMBER(SEARCH("IMPORTAR",AA611)),"IMPORTADO",IF(ISNUMBER(SEARCH("FABRICAR",AA611)),"LOCAL","OTRO")))</f>
        <v>LOCAL</v>
      </c>
      <c r="AQ611" t="str">
        <f>IF(AD611="Si","SI",IF(AD611="No","NO",""))</f>
        <v>NO</v>
      </c>
      <c r="AR611" t="str">
        <f>IF(ISNUMBER(SEARCH("®",N611)),"MARCA/INNOVADOR","GENERICO")</f>
        <v>GENERICO</v>
      </c>
      <c r="AS611">
        <f ca="1">IF(AE611&gt;100,RANDBETWEEN(500,5000),IF(AND(AE611&gt;=10,AE611&lt;=100),RANDBETWEEN(100,1000),RANDBETWEEN(10,200)))</f>
        <v>416</v>
      </c>
      <c r="AT611">
        <f t="shared" ca="1" si="47"/>
        <v>124</v>
      </c>
      <c r="AU611">
        <f ca="1">INT(AS611*RANDBETWEEN(120,200)/100)</f>
        <v>520</v>
      </c>
      <c r="AV611" s="2">
        <f ca="1">IF(LEFT(Y611,1)="L",RANDBETWEEN(500000,5000000),IF(LEFT(Y611,1)="C",RANDBETWEEN(5000,50000),IF(LEFT(Y611,1)="N",RANDBETWEEN(10000,150000),IF(LEFT(Y611,1)="J",RANDBETWEEN(8000,200000),RANDBETWEEN(5000,100000)))))</f>
        <v>26819</v>
      </c>
      <c r="AW611" s="2">
        <f ca="1">INT(AV611*RANDBETWEEN(30,60)/100)</f>
        <v>9386</v>
      </c>
      <c r="AX611">
        <f ca="1">IF(Z611="ORAL",RANDBETWEEN(1000,10000),IF(OR(Z611="INTRAVENOSA",Z611="INTRAMUSCULAR"),RANDBETWEEN(100,2000),IF(OR(Z611="OFTÁLMICA",Z611="TOPICA (EXTERNA)"),RANDBETWEEN(200,3000),RANDBETWEEN(100,1500))))</f>
        <v>9497</v>
      </c>
      <c r="AY611" s="2">
        <f ca="1">INT(AV611*RANDBETWEEN(90,130)/100)</f>
        <v>24941</v>
      </c>
      <c r="AZ611" t="str">
        <f t="shared" ca="1" si="48"/>
        <v>12.2%</v>
      </c>
      <c r="BA611" t="str">
        <f t="shared" ca="1" si="49"/>
        <v>BAJO</v>
      </c>
    </row>
    <row r="612" spans="4:53" x14ac:dyDescent="0.35">
      <c r="D612" t="s">
        <v>4136</v>
      </c>
      <c r="E612" s="1">
        <v>37580</v>
      </c>
      <c r="F612" t="s">
        <v>4137</v>
      </c>
      <c r="G612" t="s">
        <v>108</v>
      </c>
      <c r="H612" t="s">
        <v>4138</v>
      </c>
      <c r="I612">
        <v>19927923</v>
      </c>
      <c r="J612" t="s">
        <v>28</v>
      </c>
      <c r="K612">
        <v>4</v>
      </c>
      <c r="L612" t="s">
        <v>27</v>
      </c>
      <c r="M612" t="s">
        <v>4139</v>
      </c>
      <c r="N612" t="s">
        <v>4140</v>
      </c>
      <c r="O612" t="s">
        <v>4141</v>
      </c>
      <c r="P612" t="s">
        <v>2643</v>
      </c>
      <c r="Q612" s="1">
        <v>41085</v>
      </c>
      <c r="R612" t="s">
        <v>47</v>
      </c>
      <c r="S612" t="s">
        <v>27</v>
      </c>
      <c r="T612" t="s">
        <v>3215</v>
      </c>
      <c r="U612" t="s">
        <v>115</v>
      </c>
      <c r="V612" t="s">
        <v>817</v>
      </c>
      <c r="W612">
        <v>25</v>
      </c>
      <c r="X612">
        <v>19927923</v>
      </c>
      <c r="Y612" t="s">
        <v>818</v>
      </c>
      <c r="Z612" t="s">
        <v>119</v>
      </c>
      <c r="AA612" t="s">
        <v>32</v>
      </c>
      <c r="AB612" t="s">
        <v>120</v>
      </c>
      <c r="AC612" t="s">
        <v>25</v>
      </c>
      <c r="AD612" t="s">
        <v>121</v>
      </c>
      <c r="AE612">
        <v>10</v>
      </c>
      <c r="AF612" t="s">
        <v>27</v>
      </c>
      <c r="AG612" t="s">
        <v>26</v>
      </c>
      <c r="AH612" t="s">
        <v>6653</v>
      </c>
      <c r="AI612" t="str">
        <f t="shared" si="45"/>
        <v>SI</v>
      </c>
      <c r="AJ612" t="str">
        <f t="shared" si="46"/>
        <v>ASTRAZENECA COLOMBIA</v>
      </c>
      <c r="AK612" t="str">
        <f>IF(ISNUMBER(SEARCH("FABRICANTE",AC612)),"FABRICANTE",IF(ISNUMBER(SEARCH("IMPORTADOR",AC612)),"IMPORTADOR","OTRO"))</f>
        <v>FABRICANTE</v>
      </c>
      <c r="AL612" t="str">
        <f>IF(LEFT(Y612,1)="A","Sistema digestivo",IF(LEFT(Y612,1)="B","Sangre",IF(LEFT(Y612,1)="C","Cardiovascular",IF(LEFT(Y612,1)="D","Dermatológico",IF(LEFT(Y612,1)="G","Genitourinario",IF(LEFT(Y612,1)="H","Hormonal",IF(LEFT(Y612,1)="J","Antiinfecciosos",IF(LEFT(Y612,1)="L","Oncológicos",IF(LEFT(Y612,1)="M","Musculoesquelético",IF(LEFT(Y612,1)="N","Sistema nervioso",IF(LEFT(Y612,1)="R","Respiratorio",IF(LEFT(Y612,1)="S","Oftálmico",IF(LEFT(Y612,1)="V","Varios","OTRO")))))))))))))</f>
        <v>Cardiovascular</v>
      </c>
      <c r="AM612" t="str">
        <f>IF(AG612="Vigente","ACTIVO",IF(ISNUMBER(SEARCH("Inactivo",J612)),"INACTIVO","REVISAR"))</f>
        <v>ACTIVO</v>
      </c>
      <c r="AN612" t="str">
        <f ca="1">IF(OR(AF612="",AF612="null"),"",ROUND((AF612-TODAY())/365.25,2))</f>
        <v/>
      </c>
      <c r="AO612" t="str">
        <f ca="1">IF(AND(AG612="Vigente",OR(AF612="",AF612="null",AF612&gt;TODAY())),"SI",IF(AND(NOT(OR(AF612="",AF612="null")),AF612&lt;=TODAY()),"NO",IF(AG612="Vigente","SI","DESCONOCIDO")))</f>
        <v>SI</v>
      </c>
      <c r="AP612" t="str">
        <f>IF(AND(ISNUMBER(SEARCH("IMPORTAR",AA612)),ISNUMBER(SEARCH("FABRICAR",AA612))),"MIXTO",IF(ISNUMBER(SEARCH("IMPORTAR",AA612)),"IMPORTADO",IF(ISNUMBER(SEARCH("FABRICAR",AA612)),"LOCAL","OTRO")))</f>
        <v>IMPORTADO</v>
      </c>
      <c r="AQ612" t="str">
        <f>IF(AD612="Si","SI",IF(AD612="No","NO",""))</f>
        <v>NO</v>
      </c>
      <c r="AR612" t="str">
        <f>IF(ISNUMBER(SEARCH("®",N612)),"MARCA/INNOVADOR","GENERICO")</f>
        <v>MARCA/INNOVADOR</v>
      </c>
      <c r="AS612">
        <f ca="1">IF(AE612&gt;100,RANDBETWEEN(500,5000),IF(AND(AE612&gt;=10,AE612&lt;=100),RANDBETWEEN(100,1000),RANDBETWEEN(10,200)))</f>
        <v>821</v>
      </c>
      <c r="AT612">
        <f t="shared" ca="1" si="47"/>
        <v>98</v>
      </c>
      <c r="AU612">
        <f ca="1">INT(AS612*RANDBETWEEN(120,200)/100)</f>
        <v>1141</v>
      </c>
      <c r="AV612" s="2">
        <f ca="1">IF(LEFT(Y612,1)="L",RANDBETWEEN(500000,5000000),IF(LEFT(Y612,1)="C",RANDBETWEEN(5000,50000),IF(LEFT(Y612,1)="N",RANDBETWEEN(10000,150000),IF(LEFT(Y612,1)="J",RANDBETWEEN(8000,200000),RANDBETWEEN(5000,100000)))))</f>
        <v>38397</v>
      </c>
      <c r="AW612" s="2">
        <f ca="1">INT(AV612*RANDBETWEEN(30,60)/100)</f>
        <v>16894</v>
      </c>
      <c r="AX612">
        <f ca="1">IF(Z612="ORAL",RANDBETWEEN(1000,10000),IF(OR(Z612="INTRAVENOSA",Z612="INTRAMUSCULAR"),RANDBETWEEN(100,2000),IF(OR(Z612="OFTÁLMICA",Z612="TOPICA (EXTERNA)"),RANDBETWEEN(200,3000),RANDBETWEEN(100,1500))))</f>
        <v>2635</v>
      </c>
      <c r="AY612" s="2">
        <f ca="1">INT(AV612*RANDBETWEEN(90,130)/100)</f>
        <v>42236</v>
      </c>
      <c r="AZ612" t="str">
        <f t="shared" ca="1" si="48"/>
        <v>19.6%</v>
      </c>
      <c r="BA612" t="str">
        <f t="shared" ca="1" si="49"/>
        <v>BAJO</v>
      </c>
    </row>
    <row r="613" spans="4:53" x14ac:dyDescent="0.35">
      <c r="D613" t="s">
        <v>4142</v>
      </c>
      <c r="E613" s="1">
        <v>40301</v>
      </c>
      <c r="F613" t="s">
        <v>1734</v>
      </c>
      <c r="G613" t="s">
        <v>108</v>
      </c>
      <c r="H613" t="s">
        <v>4143</v>
      </c>
      <c r="I613">
        <v>20010745</v>
      </c>
      <c r="J613" t="s">
        <v>28</v>
      </c>
      <c r="K613">
        <v>21</v>
      </c>
      <c r="L613" t="s">
        <v>27</v>
      </c>
      <c r="M613" t="s">
        <v>4144</v>
      </c>
      <c r="N613" t="s">
        <v>4145</v>
      </c>
      <c r="O613" t="s">
        <v>4146</v>
      </c>
      <c r="P613" t="s">
        <v>4147</v>
      </c>
      <c r="Q613" s="1">
        <v>40714</v>
      </c>
      <c r="R613" t="s">
        <v>78</v>
      </c>
      <c r="S613" t="s">
        <v>27</v>
      </c>
      <c r="T613" t="s">
        <v>4148</v>
      </c>
      <c r="U613" t="s">
        <v>115</v>
      </c>
      <c r="V613" t="s">
        <v>4149</v>
      </c>
      <c r="W613">
        <v>267</v>
      </c>
      <c r="X613">
        <v>20010745</v>
      </c>
      <c r="Y613" t="s">
        <v>4150</v>
      </c>
      <c r="Z613" t="s">
        <v>119</v>
      </c>
      <c r="AA613" t="s">
        <v>32</v>
      </c>
      <c r="AB613" t="s">
        <v>120</v>
      </c>
      <c r="AC613" t="s">
        <v>25</v>
      </c>
      <c r="AD613" t="s">
        <v>155</v>
      </c>
      <c r="AE613">
        <v>10</v>
      </c>
      <c r="AF613" t="s">
        <v>27</v>
      </c>
      <c r="AG613" t="s">
        <v>26</v>
      </c>
      <c r="AH613" t="s">
        <v>6760</v>
      </c>
      <c r="AI613" t="str">
        <f t="shared" si="45"/>
        <v>NO</v>
      </c>
      <c r="AJ613" t="str">
        <f t="shared" si="46"/>
        <v>RB (HEALTH) COLOMBIA</v>
      </c>
      <c r="AK613" t="str">
        <f>IF(ISNUMBER(SEARCH("FABRICANTE",AC613)),"FABRICANTE",IF(ISNUMBER(SEARCH("IMPORTADOR",AC613)),"IMPORTADOR","OTRO"))</f>
        <v>FABRICANTE</v>
      </c>
      <c r="AL613" t="str">
        <f>IF(LEFT(Y613,1)="A","Sistema digestivo",IF(LEFT(Y613,1)="B","Sangre",IF(LEFT(Y613,1)="C","Cardiovascular",IF(LEFT(Y613,1)="D","Dermatológico",IF(LEFT(Y613,1)="G","Genitourinario",IF(LEFT(Y613,1)="H","Hormonal",IF(LEFT(Y613,1)="J","Antiinfecciosos",IF(LEFT(Y613,1)="L","Oncológicos",IF(LEFT(Y613,1)="M","Musculoesquelético",IF(LEFT(Y613,1)="N","Sistema nervioso",IF(LEFT(Y613,1)="R","Respiratorio",IF(LEFT(Y613,1)="S","Oftálmico",IF(LEFT(Y613,1)="V","Varios","OTRO")))))))))))))</f>
        <v>Sistema digestivo</v>
      </c>
      <c r="AM613" t="str">
        <f>IF(AG613="Vigente","ACTIVO",IF(ISNUMBER(SEARCH("Inactivo",J613)),"INACTIVO","REVISAR"))</f>
        <v>ACTIVO</v>
      </c>
      <c r="AN613" t="str">
        <f ca="1">IF(OR(AF613="",AF613="null"),"",ROUND((AF613-TODAY())/365.25,2))</f>
        <v/>
      </c>
      <c r="AO613" t="str">
        <f ca="1">IF(AND(AG613="Vigente",OR(AF613="",AF613="null",AF613&gt;TODAY())),"SI",IF(AND(NOT(OR(AF613="",AF613="null")),AF613&lt;=TODAY()),"NO",IF(AG613="Vigente","SI","DESCONOCIDO")))</f>
        <v>SI</v>
      </c>
      <c r="AP613" t="str">
        <f>IF(AND(ISNUMBER(SEARCH("IMPORTAR",AA613)),ISNUMBER(SEARCH("FABRICAR",AA613))),"MIXTO",IF(ISNUMBER(SEARCH("IMPORTAR",AA613)),"IMPORTADO",IF(ISNUMBER(SEARCH("FABRICAR",AA613)),"LOCAL","OTRO")))</f>
        <v>IMPORTADO</v>
      </c>
      <c r="AQ613" t="str">
        <f>IF(AD613="Si","SI",IF(AD613="No","NO",""))</f>
        <v>SI</v>
      </c>
      <c r="AR613" t="str">
        <f>IF(ISNUMBER(SEARCH("®",N613)),"MARCA/INNOVADOR","GENERICO")</f>
        <v>MARCA/INNOVADOR</v>
      </c>
      <c r="AS613">
        <f ca="1">IF(AE613&gt;100,RANDBETWEEN(500,5000),IF(AND(AE613&gt;=10,AE613&lt;=100),RANDBETWEEN(100,1000),RANDBETWEEN(10,200)))</f>
        <v>622</v>
      </c>
      <c r="AT613">
        <f t="shared" ca="1" si="47"/>
        <v>111</v>
      </c>
      <c r="AU613">
        <f ca="1">INT(AS613*RANDBETWEEN(120,200)/100)</f>
        <v>1225</v>
      </c>
      <c r="AV613" s="2">
        <f ca="1">IF(LEFT(Y613,1)="L",RANDBETWEEN(500000,5000000),IF(LEFT(Y613,1)="C",RANDBETWEEN(5000,50000),IF(LEFT(Y613,1)="N",RANDBETWEEN(10000,150000),IF(LEFT(Y613,1)="J",RANDBETWEEN(8000,200000),RANDBETWEEN(5000,100000)))))</f>
        <v>61697</v>
      </c>
      <c r="AW613" s="2">
        <f ca="1">INT(AV613*RANDBETWEEN(30,60)/100)</f>
        <v>36401</v>
      </c>
      <c r="AX613">
        <f ca="1">IF(Z613="ORAL",RANDBETWEEN(1000,10000),IF(OR(Z613="INTRAVENOSA",Z613="INTRAMUSCULAR"),RANDBETWEEN(100,2000),IF(OR(Z613="OFTÁLMICA",Z613="TOPICA (EXTERNA)"),RANDBETWEEN(200,3000),RANDBETWEEN(100,1500))))</f>
        <v>5113</v>
      </c>
      <c r="AY613" s="2">
        <f ca="1">INT(AV613*RANDBETWEEN(90,130)/100)</f>
        <v>64781</v>
      </c>
      <c r="AZ613" t="str">
        <f t="shared" ca="1" si="48"/>
        <v>19.2%</v>
      </c>
      <c r="BA613" t="str">
        <f t="shared" ca="1" si="49"/>
        <v>BAJO</v>
      </c>
    </row>
    <row r="614" spans="4:53" x14ac:dyDescent="0.35">
      <c r="D614" t="s">
        <v>4151</v>
      </c>
      <c r="E614" s="1">
        <v>45741</v>
      </c>
      <c r="F614" t="s">
        <v>4152</v>
      </c>
      <c r="G614" t="s">
        <v>108</v>
      </c>
      <c r="H614" t="s">
        <v>354</v>
      </c>
      <c r="I614">
        <v>20228043</v>
      </c>
      <c r="J614" t="s">
        <v>28</v>
      </c>
      <c r="K614">
        <v>3</v>
      </c>
      <c r="L614" t="s">
        <v>27</v>
      </c>
      <c r="M614" t="s">
        <v>4153</v>
      </c>
      <c r="N614" t="s">
        <v>4154</v>
      </c>
      <c r="O614" t="s">
        <v>4155</v>
      </c>
      <c r="P614" t="s">
        <v>181</v>
      </c>
      <c r="Q614" s="1">
        <v>45071</v>
      </c>
      <c r="R614" t="s">
        <v>37</v>
      </c>
      <c r="S614" t="s">
        <v>27</v>
      </c>
      <c r="T614" t="s">
        <v>354</v>
      </c>
      <c r="U614" t="s">
        <v>115</v>
      </c>
      <c r="V614" t="s">
        <v>4152</v>
      </c>
      <c r="W614">
        <v>75</v>
      </c>
      <c r="X614">
        <v>20228043</v>
      </c>
      <c r="Y614" t="s">
        <v>4156</v>
      </c>
      <c r="Z614" t="s">
        <v>119</v>
      </c>
      <c r="AA614" t="s">
        <v>32</v>
      </c>
      <c r="AB614" t="s">
        <v>120</v>
      </c>
      <c r="AC614" t="s">
        <v>38</v>
      </c>
      <c r="AD614" t="s">
        <v>155</v>
      </c>
      <c r="AE614">
        <v>42</v>
      </c>
      <c r="AF614" s="1">
        <v>47582</v>
      </c>
      <c r="AG614" t="s">
        <v>26</v>
      </c>
      <c r="AH614" t="s">
        <v>4152</v>
      </c>
      <c r="AI614" t="str">
        <f t="shared" si="45"/>
        <v>NO</v>
      </c>
      <c r="AJ614" t="str">
        <f t="shared" si="46"/>
        <v>PFIZER</v>
      </c>
      <c r="AK614" t="str">
        <f>IF(ISNUMBER(SEARCH("FABRICANTE",AC614)),"FABRICANTE",IF(ISNUMBER(SEARCH("IMPORTADOR",AC614)),"IMPORTADOR","OTRO"))</f>
        <v>IMPORTADOR</v>
      </c>
      <c r="AL614" t="str">
        <f>IF(LEFT(Y614,1)="A","Sistema digestivo",IF(LEFT(Y614,1)="B","Sangre",IF(LEFT(Y614,1)="C","Cardiovascular",IF(LEFT(Y614,1)="D","Dermatológico",IF(LEFT(Y614,1)="G","Genitourinario",IF(LEFT(Y614,1)="H","Hormonal",IF(LEFT(Y614,1)="J","Antiinfecciosos",IF(LEFT(Y614,1)="L","Oncológicos",IF(LEFT(Y614,1)="M","Musculoesquelético",IF(LEFT(Y614,1)="N","Sistema nervioso",IF(LEFT(Y614,1)="R","Respiratorio",IF(LEFT(Y614,1)="S","Oftálmico",IF(LEFT(Y614,1)="V","Varios","OTRO")))))))))))))</f>
        <v>Oncológicos</v>
      </c>
      <c r="AM614" t="str">
        <f>IF(AG614="Vigente","ACTIVO",IF(ISNUMBER(SEARCH("Inactivo",J614)),"INACTIVO","REVISAR"))</f>
        <v>ACTIVO</v>
      </c>
      <c r="AN614">
        <f ca="1">IF(OR(AF614="",AF614="null"),"",ROUND((AF614-TODAY())/365.25,2))</f>
        <v>3.87</v>
      </c>
      <c r="AO614" t="str">
        <f ca="1">IF(AND(AG614="Vigente",OR(AF614="",AF614="null",AF614&gt;TODAY())),"SI",IF(AND(NOT(OR(AF614="",AF614="null")),AF614&lt;=TODAY()),"NO",IF(AG614="Vigente","SI","DESCONOCIDO")))</f>
        <v>SI</v>
      </c>
      <c r="AP614" t="str">
        <f>IF(AND(ISNUMBER(SEARCH("IMPORTAR",AA614)),ISNUMBER(SEARCH("FABRICAR",AA614))),"MIXTO",IF(ISNUMBER(SEARCH("IMPORTAR",AA614)),"IMPORTADO",IF(ISNUMBER(SEARCH("FABRICAR",AA614)),"LOCAL","OTRO")))</f>
        <v>IMPORTADO</v>
      </c>
      <c r="AQ614" t="str">
        <f>IF(AD614="Si","SI",IF(AD614="No","NO",""))</f>
        <v>SI</v>
      </c>
      <c r="AR614" t="str">
        <f>IF(ISNUMBER(SEARCH("®",N614)),"MARCA/INNOVADOR","GENERICO")</f>
        <v>MARCA/INNOVADOR</v>
      </c>
      <c r="AS614">
        <f ca="1">IF(AE614&gt;100,RANDBETWEEN(500,5000),IF(AND(AE614&gt;=10,AE614&lt;=100),RANDBETWEEN(100,1000),RANDBETWEEN(10,200)))</f>
        <v>480</v>
      </c>
      <c r="AT614">
        <f t="shared" ca="1" si="47"/>
        <v>96</v>
      </c>
      <c r="AU614">
        <f ca="1">INT(AS614*RANDBETWEEN(120,200)/100)</f>
        <v>792</v>
      </c>
      <c r="AV614" s="2">
        <f ca="1">IF(LEFT(Y614,1)="L",RANDBETWEEN(500000,5000000),IF(LEFT(Y614,1)="C",RANDBETWEEN(5000,50000),IF(LEFT(Y614,1)="N",RANDBETWEEN(10000,150000),IF(LEFT(Y614,1)="J",RANDBETWEEN(8000,200000),RANDBETWEEN(5000,100000)))))</f>
        <v>1964493</v>
      </c>
      <c r="AW614" s="2">
        <f ca="1">INT(AV614*RANDBETWEEN(30,60)/100)</f>
        <v>1178695</v>
      </c>
      <c r="AX614">
        <f ca="1">IF(Z614="ORAL",RANDBETWEEN(1000,10000),IF(OR(Z614="INTRAVENOSA",Z614="INTRAMUSCULAR"),RANDBETWEEN(100,2000),IF(OR(Z614="OFTÁLMICA",Z614="TOPICA (EXTERNA)"),RANDBETWEEN(200,3000),RANDBETWEEN(100,1500))))</f>
        <v>6125</v>
      </c>
      <c r="AY614" s="2">
        <f ca="1">INT(AV614*RANDBETWEEN(90,130)/100)</f>
        <v>1885913</v>
      </c>
      <c r="AZ614" t="str">
        <f t="shared" ca="1" si="48"/>
        <v>14.8%</v>
      </c>
      <c r="BA614" t="str">
        <f t="shared" ca="1" si="49"/>
        <v>MEDIO</v>
      </c>
    </row>
    <row r="615" spans="4:53" x14ac:dyDescent="0.35">
      <c r="D615" t="s">
        <v>4157</v>
      </c>
      <c r="E615" s="1">
        <v>38650</v>
      </c>
      <c r="F615" t="s">
        <v>4158</v>
      </c>
      <c r="G615" t="s">
        <v>502</v>
      </c>
      <c r="H615" t="s">
        <v>44</v>
      </c>
      <c r="I615">
        <v>19954173</v>
      </c>
      <c r="J615" t="s">
        <v>28</v>
      </c>
      <c r="K615">
        <v>2</v>
      </c>
      <c r="L615" t="s">
        <v>4159</v>
      </c>
      <c r="M615" t="s">
        <v>4160</v>
      </c>
      <c r="N615" t="s">
        <v>4161</v>
      </c>
      <c r="O615" t="s">
        <v>4162</v>
      </c>
      <c r="P615" t="s">
        <v>4163</v>
      </c>
      <c r="Q615" s="1">
        <v>39031</v>
      </c>
      <c r="R615" t="s">
        <v>67</v>
      </c>
      <c r="S615" t="s">
        <v>27</v>
      </c>
      <c r="T615" t="s">
        <v>4164</v>
      </c>
      <c r="U615" t="s">
        <v>115</v>
      </c>
      <c r="V615" t="s">
        <v>4165</v>
      </c>
      <c r="W615">
        <v>20</v>
      </c>
      <c r="X615">
        <v>19954173</v>
      </c>
      <c r="Y615" t="s">
        <v>4166</v>
      </c>
      <c r="Z615" t="s">
        <v>119</v>
      </c>
      <c r="AA615" t="s">
        <v>24</v>
      </c>
      <c r="AB615" t="s">
        <v>250</v>
      </c>
      <c r="AC615" t="s">
        <v>25</v>
      </c>
      <c r="AD615" t="s">
        <v>121</v>
      </c>
      <c r="AE615">
        <v>120</v>
      </c>
      <c r="AF615" t="s">
        <v>27</v>
      </c>
      <c r="AG615" t="s">
        <v>26</v>
      </c>
      <c r="AH615" t="s">
        <v>4165</v>
      </c>
      <c r="AI615" t="str">
        <f t="shared" si="45"/>
        <v>NO</v>
      </c>
      <c r="AJ615" t="str">
        <f t="shared" si="46"/>
        <v>PENTACOOP</v>
      </c>
      <c r="AK615" t="str">
        <f>IF(ISNUMBER(SEARCH("FABRICANTE",AC615)),"FABRICANTE",IF(ISNUMBER(SEARCH("IMPORTADOR",AC615)),"IMPORTADOR","OTRO"))</f>
        <v>FABRICANTE</v>
      </c>
      <c r="AL615" t="str">
        <f>IF(LEFT(Y615,1)="A","Sistema digestivo",IF(LEFT(Y615,1)="B","Sangre",IF(LEFT(Y615,1)="C","Cardiovascular",IF(LEFT(Y615,1)="D","Dermatológico",IF(LEFT(Y615,1)="G","Genitourinario",IF(LEFT(Y615,1)="H","Hormonal",IF(LEFT(Y615,1)="J","Antiinfecciosos",IF(LEFT(Y615,1)="L","Oncológicos",IF(LEFT(Y615,1)="M","Musculoesquelético",IF(LEFT(Y615,1)="N","Sistema nervioso",IF(LEFT(Y615,1)="R","Respiratorio",IF(LEFT(Y615,1)="S","Oftálmico",IF(LEFT(Y615,1)="V","Varios","OTRO")))))))))))))</f>
        <v>Respiratorio</v>
      </c>
      <c r="AM615" t="str">
        <f>IF(AG615="Vigente","ACTIVO",IF(ISNUMBER(SEARCH("Inactivo",J615)),"INACTIVO","REVISAR"))</f>
        <v>ACTIVO</v>
      </c>
      <c r="AN615" t="str">
        <f ca="1">IF(OR(AF615="",AF615="null"),"",ROUND((AF615-TODAY())/365.25,2))</f>
        <v/>
      </c>
      <c r="AO615" t="str">
        <f ca="1">IF(AND(AG615="Vigente",OR(AF615="",AF615="null",AF615&gt;TODAY())),"SI",IF(AND(NOT(OR(AF615="",AF615="null")),AF615&lt;=TODAY()),"NO",IF(AG615="Vigente","SI","DESCONOCIDO")))</f>
        <v>SI</v>
      </c>
      <c r="AP615" t="str">
        <f>IF(AND(ISNUMBER(SEARCH("IMPORTAR",AA615)),ISNUMBER(SEARCH("FABRICAR",AA615))),"MIXTO",IF(ISNUMBER(SEARCH("IMPORTAR",AA615)),"IMPORTADO",IF(ISNUMBER(SEARCH("FABRICAR",AA615)),"LOCAL","OTRO")))</f>
        <v>LOCAL</v>
      </c>
      <c r="AQ615" t="str">
        <f>IF(AD615="Si","SI",IF(AD615="No","NO",""))</f>
        <v>NO</v>
      </c>
      <c r="AR615" t="str">
        <f>IF(ISNUMBER(SEARCH("®",N615)),"MARCA/INNOVADOR","GENERICO")</f>
        <v>GENERICO</v>
      </c>
      <c r="AS615">
        <f ca="1">IF(AE615&gt;100,RANDBETWEEN(500,5000),IF(AND(AE615&gt;=10,AE615&lt;=100),RANDBETWEEN(100,1000),RANDBETWEEN(10,200)))</f>
        <v>3078</v>
      </c>
      <c r="AT615">
        <f t="shared" ca="1" si="47"/>
        <v>492</v>
      </c>
      <c r="AU615">
        <f ca="1">INT(AS615*RANDBETWEEN(120,200)/100)</f>
        <v>4524</v>
      </c>
      <c r="AV615" s="2">
        <f ca="1">IF(LEFT(Y615,1)="L",RANDBETWEEN(500000,5000000),IF(LEFT(Y615,1)="C",RANDBETWEEN(5000,50000),IF(LEFT(Y615,1)="N",RANDBETWEEN(10000,150000),IF(LEFT(Y615,1)="J",RANDBETWEEN(8000,200000),RANDBETWEEN(5000,100000)))))</f>
        <v>52730</v>
      </c>
      <c r="AW615" s="2">
        <f ca="1">INT(AV615*RANDBETWEEN(30,60)/100)</f>
        <v>17928</v>
      </c>
      <c r="AX615">
        <f ca="1">IF(Z615="ORAL",RANDBETWEEN(1000,10000),IF(OR(Z615="INTRAVENOSA",Z615="INTRAMUSCULAR"),RANDBETWEEN(100,2000),IF(OR(Z615="OFTÁLMICA",Z615="TOPICA (EXTERNA)"),RANDBETWEEN(200,3000),RANDBETWEEN(100,1500))))</f>
        <v>6900</v>
      </c>
      <c r="AY615" s="2">
        <f ca="1">INT(AV615*RANDBETWEEN(90,130)/100)</f>
        <v>47457</v>
      </c>
      <c r="AZ615" t="str">
        <f t="shared" ca="1" si="48"/>
        <v>13.1%</v>
      </c>
      <c r="BA615" t="str">
        <f t="shared" ca="1" si="49"/>
        <v>BAJO</v>
      </c>
    </row>
    <row r="616" spans="4:53" x14ac:dyDescent="0.35">
      <c r="D616" t="s">
        <v>4167</v>
      </c>
      <c r="E616" s="1">
        <v>36292</v>
      </c>
      <c r="F616" t="s">
        <v>65</v>
      </c>
      <c r="G616" t="s">
        <v>108</v>
      </c>
      <c r="H616" t="s">
        <v>693</v>
      </c>
      <c r="I616">
        <v>27858</v>
      </c>
      <c r="J616" t="s">
        <v>110</v>
      </c>
      <c r="K616">
        <v>4</v>
      </c>
      <c r="L616" t="s">
        <v>27</v>
      </c>
      <c r="M616" t="s">
        <v>1140</v>
      </c>
      <c r="N616" t="s">
        <v>1141</v>
      </c>
      <c r="O616" t="s">
        <v>4168</v>
      </c>
      <c r="P616" t="s">
        <v>553</v>
      </c>
      <c r="Q616" s="1">
        <v>39031</v>
      </c>
      <c r="R616" t="s">
        <v>1143</v>
      </c>
      <c r="S616" s="1">
        <v>39972</v>
      </c>
      <c r="T616" t="s">
        <v>1144</v>
      </c>
      <c r="U616" t="s">
        <v>247</v>
      </c>
      <c r="V616" t="s">
        <v>64</v>
      </c>
      <c r="W616" t="s">
        <v>4169</v>
      </c>
      <c r="X616">
        <v>27858</v>
      </c>
      <c r="Y616" t="s">
        <v>1146</v>
      </c>
      <c r="Z616" t="s">
        <v>1147</v>
      </c>
      <c r="AA616" t="s">
        <v>24</v>
      </c>
      <c r="AB616" t="s">
        <v>133</v>
      </c>
      <c r="AC616" t="s">
        <v>25</v>
      </c>
      <c r="AD616" t="s">
        <v>121</v>
      </c>
      <c r="AE616">
        <v>1</v>
      </c>
      <c r="AF616" s="1">
        <v>401769</v>
      </c>
      <c r="AG616" t="s">
        <v>26</v>
      </c>
      <c r="AH616" t="s">
        <v>6772</v>
      </c>
      <c r="AI616" t="str">
        <f t="shared" si="45"/>
        <v>NO</v>
      </c>
      <c r="AJ616" t="str">
        <f t="shared" si="46"/>
        <v>OFTALMOQUIMICA</v>
      </c>
      <c r="AK616" t="str">
        <f>IF(ISNUMBER(SEARCH("FABRICANTE",AC616)),"FABRICANTE",IF(ISNUMBER(SEARCH("IMPORTADOR",AC616)),"IMPORTADOR","OTRO"))</f>
        <v>FABRICANTE</v>
      </c>
      <c r="AL616" t="str">
        <f>IF(LEFT(Y616,1)="A","Sistema digestivo",IF(LEFT(Y616,1)="B","Sangre",IF(LEFT(Y616,1)="C","Cardiovascular",IF(LEFT(Y616,1)="D","Dermatológico",IF(LEFT(Y616,1)="G","Genitourinario",IF(LEFT(Y616,1)="H","Hormonal",IF(LEFT(Y616,1)="J","Antiinfecciosos",IF(LEFT(Y616,1)="L","Oncológicos",IF(LEFT(Y616,1)="M","Musculoesquelético",IF(LEFT(Y616,1)="N","Sistema nervioso",IF(LEFT(Y616,1)="R","Respiratorio",IF(LEFT(Y616,1)="S","Oftálmico",IF(LEFT(Y616,1)="V","Varios","OTRO")))))))))))))</f>
        <v>Sangre</v>
      </c>
      <c r="AM616" t="str">
        <f>IF(AG616="Vigente","ACTIVO",IF(ISNUMBER(SEARCH("Inactivo",J616)),"INACTIVO","REVISAR"))</f>
        <v>ACTIVO</v>
      </c>
      <c r="AN616">
        <f ca="1">IF(OR(AF616="",AF616="null"),"",ROUND((AF616-TODAY())/365.25,2))</f>
        <v>973.58</v>
      </c>
      <c r="AO616" t="str">
        <f ca="1">IF(AND(AG616="Vigente",OR(AF616="",AF616="null",AF616&gt;TODAY())),"SI",IF(AND(NOT(OR(AF616="",AF616="null")),AF616&lt;=TODAY()),"NO",IF(AG616="Vigente","SI","DESCONOCIDO")))</f>
        <v>SI</v>
      </c>
      <c r="AP616" t="str">
        <f>IF(AND(ISNUMBER(SEARCH("IMPORTAR",AA616)),ISNUMBER(SEARCH("FABRICAR",AA616))),"MIXTO",IF(ISNUMBER(SEARCH("IMPORTAR",AA616)),"IMPORTADO",IF(ISNUMBER(SEARCH("FABRICAR",AA616)),"LOCAL","OTRO")))</f>
        <v>LOCAL</v>
      </c>
      <c r="AQ616" t="str">
        <f>IF(AD616="Si","SI",IF(AD616="No","NO",""))</f>
        <v>NO</v>
      </c>
      <c r="AR616" t="str">
        <f>IF(ISNUMBER(SEARCH("®",N616)),"MARCA/INNOVADOR","GENERICO")</f>
        <v>GENERICO</v>
      </c>
      <c r="AS616">
        <f ca="1">IF(AE616&gt;100,RANDBETWEEN(500,5000),IF(AND(AE616&gt;=10,AE616&lt;=100),RANDBETWEEN(100,1000),RANDBETWEEN(10,200)))</f>
        <v>156</v>
      </c>
      <c r="AT616">
        <f t="shared" ca="1" si="47"/>
        <v>35</v>
      </c>
      <c r="AU616">
        <f ca="1">INT(AS616*RANDBETWEEN(120,200)/100)</f>
        <v>219</v>
      </c>
      <c r="AV616" s="2">
        <f ca="1">IF(LEFT(Y616,1)="L",RANDBETWEEN(500000,5000000),IF(LEFT(Y616,1)="C",RANDBETWEEN(5000,50000),IF(LEFT(Y616,1)="N",RANDBETWEEN(10000,150000),IF(LEFT(Y616,1)="J",RANDBETWEEN(8000,200000),RANDBETWEEN(5000,100000)))))</f>
        <v>30096</v>
      </c>
      <c r="AW616" s="2">
        <f ca="1">INT(AV616*RANDBETWEEN(30,60)/100)</f>
        <v>17455</v>
      </c>
      <c r="AX616">
        <f ca="1">IF(Z616="ORAL",RANDBETWEEN(1000,10000),IF(OR(Z616="INTRAVENOSA",Z616="INTRAMUSCULAR"),RANDBETWEEN(100,2000),IF(OR(Z616="OFTÁLMICA",Z616="TOPICA (EXTERNA)"),RANDBETWEEN(200,3000),RANDBETWEEN(100,1500))))</f>
        <v>945</v>
      </c>
      <c r="AY616" s="2">
        <f ca="1">INT(AV616*RANDBETWEEN(90,130)/100)</f>
        <v>27086</v>
      </c>
      <c r="AZ616" t="str">
        <f t="shared" ca="1" si="48"/>
        <v>1.4%</v>
      </c>
      <c r="BA616" t="str">
        <f t="shared" ca="1" si="49"/>
        <v>MEDIO</v>
      </c>
    </row>
    <row r="617" spans="4:53" x14ac:dyDescent="0.35">
      <c r="D617" t="s">
        <v>4170</v>
      </c>
      <c r="E617" s="1">
        <v>41016</v>
      </c>
      <c r="F617" t="s">
        <v>4171</v>
      </c>
      <c r="G617" t="s">
        <v>108</v>
      </c>
      <c r="H617" t="s">
        <v>1490</v>
      </c>
      <c r="I617">
        <v>20043993</v>
      </c>
      <c r="J617" t="s">
        <v>28</v>
      </c>
      <c r="K617">
        <v>1</v>
      </c>
      <c r="L617" t="s">
        <v>27</v>
      </c>
      <c r="M617" t="s">
        <v>4172</v>
      </c>
      <c r="N617" t="s">
        <v>4173</v>
      </c>
      <c r="O617" t="s">
        <v>4174</v>
      </c>
      <c r="P617" t="s">
        <v>33</v>
      </c>
      <c r="Q617" s="1">
        <v>40989</v>
      </c>
      <c r="R617" t="s">
        <v>33</v>
      </c>
      <c r="S617" t="s">
        <v>27</v>
      </c>
      <c r="T617" t="s">
        <v>836</v>
      </c>
      <c r="U617" t="s">
        <v>115</v>
      </c>
      <c r="V617" t="s">
        <v>1583</v>
      </c>
      <c r="W617">
        <v>40</v>
      </c>
      <c r="X617">
        <v>20043993</v>
      </c>
      <c r="Y617" t="s">
        <v>1584</v>
      </c>
      <c r="Z617" t="s">
        <v>119</v>
      </c>
      <c r="AA617" t="s">
        <v>24</v>
      </c>
      <c r="AB617" t="s">
        <v>120</v>
      </c>
      <c r="AC617" t="s">
        <v>25</v>
      </c>
      <c r="AD617" t="s">
        <v>121</v>
      </c>
      <c r="AE617">
        <v>2</v>
      </c>
      <c r="AF617" t="s">
        <v>27</v>
      </c>
      <c r="AG617" t="s">
        <v>26</v>
      </c>
      <c r="AH617" t="s">
        <v>6755</v>
      </c>
      <c r="AI617" t="str">
        <f t="shared" si="45"/>
        <v>SI</v>
      </c>
      <c r="AJ617" t="str">
        <f t="shared" si="46"/>
        <v>AMERICAN GENERICS</v>
      </c>
      <c r="AK617" t="str">
        <f>IF(ISNUMBER(SEARCH("FABRICANTE",AC617)),"FABRICANTE",IF(ISNUMBER(SEARCH("IMPORTADOR",AC617)),"IMPORTADOR","OTRO"))</f>
        <v>FABRICANTE</v>
      </c>
      <c r="AL617" t="str">
        <f>IF(LEFT(Y617,1)="A","Sistema digestivo",IF(LEFT(Y617,1)="B","Sangre",IF(LEFT(Y617,1)="C","Cardiovascular",IF(LEFT(Y617,1)="D","Dermatológico",IF(LEFT(Y617,1)="G","Genitourinario",IF(LEFT(Y617,1)="H","Hormonal",IF(LEFT(Y617,1)="J","Antiinfecciosos",IF(LEFT(Y617,1)="L","Oncológicos",IF(LEFT(Y617,1)="M","Musculoesquelético",IF(LEFT(Y617,1)="N","Sistema nervioso",IF(LEFT(Y617,1)="R","Respiratorio",IF(LEFT(Y617,1)="S","Oftálmico",IF(LEFT(Y617,1)="V","Varios","OTRO")))))))))))))</f>
        <v>Cardiovascular</v>
      </c>
      <c r="AM617" t="str">
        <f>IF(AG617="Vigente","ACTIVO",IF(ISNUMBER(SEARCH("Inactivo",J617)),"INACTIVO","REVISAR"))</f>
        <v>ACTIVO</v>
      </c>
      <c r="AN617" t="str">
        <f ca="1">IF(OR(AF617="",AF617="null"),"",ROUND((AF617-TODAY())/365.25,2))</f>
        <v/>
      </c>
      <c r="AO617" t="str">
        <f ca="1">IF(AND(AG617="Vigente",OR(AF617="",AF617="null",AF617&gt;TODAY())),"SI",IF(AND(NOT(OR(AF617="",AF617="null")),AF617&lt;=TODAY()),"NO",IF(AG617="Vigente","SI","DESCONOCIDO")))</f>
        <v>SI</v>
      </c>
      <c r="AP617" t="str">
        <f>IF(AND(ISNUMBER(SEARCH("IMPORTAR",AA617)),ISNUMBER(SEARCH("FABRICAR",AA617))),"MIXTO",IF(ISNUMBER(SEARCH("IMPORTAR",AA617)),"IMPORTADO",IF(ISNUMBER(SEARCH("FABRICAR",AA617)),"LOCAL","OTRO")))</f>
        <v>LOCAL</v>
      </c>
      <c r="AQ617" t="str">
        <f>IF(AD617="Si","SI",IF(AD617="No","NO",""))</f>
        <v>NO</v>
      </c>
      <c r="AR617" t="str">
        <f>IF(ISNUMBER(SEARCH("®",N617)),"MARCA/INNOVADOR","GENERICO")</f>
        <v>GENERICO</v>
      </c>
      <c r="AS617">
        <f ca="1">IF(AE617&gt;100,RANDBETWEEN(500,5000),IF(AND(AE617&gt;=10,AE617&lt;=100),RANDBETWEEN(100,1000),RANDBETWEEN(10,200)))</f>
        <v>58</v>
      </c>
      <c r="AT617">
        <f t="shared" ca="1" si="47"/>
        <v>11</v>
      </c>
      <c r="AU617">
        <f ca="1">INT(AS617*RANDBETWEEN(120,200)/100)</f>
        <v>91</v>
      </c>
      <c r="AV617" s="2">
        <f ca="1">IF(LEFT(Y617,1)="L",RANDBETWEEN(500000,5000000),IF(LEFT(Y617,1)="C",RANDBETWEEN(5000,50000),IF(LEFT(Y617,1)="N",RANDBETWEEN(10000,150000),IF(LEFT(Y617,1)="J",RANDBETWEEN(8000,200000),RANDBETWEEN(5000,100000)))))</f>
        <v>19273</v>
      </c>
      <c r="AW617" s="2">
        <f ca="1">INT(AV617*RANDBETWEEN(30,60)/100)</f>
        <v>5974</v>
      </c>
      <c r="AX617">
        <f ca="1">IF(Z617="ORAL",RANDBETWEEN(1000,10000),IF(OR(Z617="INTRAVENOSA",Z617="INTRAMUSCULAR"),RANDBETWEEN(100,2000),IF(OR(Z617="OFTÁLMICA",Z617="TOPICA (EXTERNA)"),RANDBETWEEN(200,3000),RANDBETWEEN(100,1500))))</f>
        <v>4295</v>
      </c>
      <c r="AY617" s="2">
        <f ca="1">INT(AV617*RANDBETWEEN(90,130)/100)</f>
        <v>20814</v>
      </c>
      <c r="AZ617" t="str">
        <f t="shared" ca="1" si="48"/>
        <v>7.5%</v>
      </c>
      <c r="BA617" t="str">
        <f t="shared" ca="1" si="49"/>
        <v>BAJO</v>
      </c>
    </row>
    <row r="618" spans="4:53" x14ac:dyDescent="0.35">
      <c r="D618" t="s">
        <v>4175</v>
      </c>
      <c r="E618" s="1">
        <v>42321</v>
      </c>
      <c r="F618" t="s">
        <v>3424</v>
      </c>
      <c r="G618" t="s">
        <v>108</v>
      </c>
      <c r="H618" t="s">
        <v>3425</v>
      </c>
      <c r="I618">
        <v>20087738</v>
      </c>
      <c r="J618" t="s">
        <v>110</v>
      </c>
      <c r="K618">
        <v>17</v>
      </c>
      <c r="L618" t="s">
        <v>27</v>
      </c>
      <c r="M618" t="s">
        <v>3427</v>
      </c>
      <c r="N618" t="s">
        <v>3428</v>
      </c>
      <c r="O618" t="s">
        <v>4176</v>
      </c>
      <c r="P618" t="s">
        <v>3430</v>
      </c>
      <c r="Q618" s="1">
        <v>42656</v>
      </c>
      <c r="R618" t="s">
        <v>33</v>
      </c>
      <c r="S618" s="1">
        <v>44287</v>
      </c>
      <c r="T618" t="s">
        <v>114</v>
      </c>
      <c r="U618" t="s">
        <v>115</v>
      </c>
      <c r="V618" t="s">
        <v>3431</v>
      </c>
      <c r="W618">
        <v>325</v>
      </c>
      <c r="X618">
        <v>20087738</v>
      </c>
      <c r="Y618" t="s">
        <v>3432</v>
      </c>
      <c r="Z618" t="s">
        <v>119</v>
      </c>
      <c r="AA618" t="s">
        <v>165</v>
      </c>
      <c r="AB618" t="s">
        <v>120</v>
      </c>
      <c r="AC618" t="s">
        <v>25</v>
      </c>
      <c r="AD618" t="s">
        <v>121</v>
      </c>
      <c r="AE618">
        <v>20</v>
      </c>
      <c r="AF618" t="s">
        <v>27</v>
      </c>
      <c r="AG618" t="s">
        <v>26</v>
      </c>
      <c r="AH618" t="s">
        <v>522</v>
      </c>
      <c r="AI618" t="str">
        <f t="shared" si="45"/>
        <v>NO</v>
      </c>
      <c r="AJ618" t="str">
        <f t="shared" si="46"/>
        <v>LABORATORIOS LEGRAND</v>
      </c>
      <c r="AK618" t="str">
        <f>IF(ISNUMBER(SEARCH("FABRICANTE",AC618)),"FABRICANTE",IF(ISNUMBER(SEARCH("IMPORTADOR",AC618)),"IMPORTADOR","OTRO"))</f>
        <v>FABRICANTE</v>
      </c>
      <c r="AL618" t="str">
        <f>IF(LEFT(Y618,1)="A","Sistema digestivo",IF(LEFT(Y618,1)="B","Sangre",IF(LEFT(Y618,1)="C","Cardiovascular",IF(LEFT(Y618,1)="D","Dermatológico",IF(LEFT(Y618,1)="G","Genitourinario",IF(LEFT(Y618,1)="H","Hormonal",IF(LEFT(Y618,1)="J","Antiinfecciosos",IF(LEFT(Y618,1)="L","Oncológicos",IF(LEFT(Y618,1)="M","Musculoesquelético",IF(LEFT(Y618,1)="N","Sistema nervioso",IF(LEFT(Y618,1)="R","Respiratorio",IF(LEFT(Y618,1)="S","Oftálmico",IF(LEFT(Y618,1)="V","Varios","OTRO")))))))))))))</f>
        <v>Sistema nervioso</v>
      </c>
      <c r="AM618" t="str">
        <f>IF(AG618="Vigente","ACTIVO",IF(ISNUMBER(SEARCH("Inactivo",J618)),"INACTIVO","REVISAR"))</f>
        <v>ACTIVO</v>
      </c>
      <c r="AN618" t="str">
        <f ca="1">IF(OR(AF618="",AF618="null"),"",ROUND((AF618-TODAY())/365.25,2))</f>
        <v/>
      </c>
      <c r="AO618" t="str">
        <f ca="1">IF(AND(AG618="Vigente",OR(AF618="",AF618="null",AF618&gt;TODAY())),"SI",IF(AND(NOT(OR(AF618="",AF618="null")),AF618&lt;=TODAY()),"NO",IF(AG618="Vigente","SI","DESCONOCIDO")))</f>
        <v>SI</v>
      </c>
      <c r="AP618" t="str">
        <f>IF(AND(ISNUMBER(SEARCH("IMPORTAR",AA618)),ISNUMBER(SEARCH("FABRICAR",AA618))),"MIXTO",IF(ISNUMBER(SEARCH("IMPORTAR",AA618)),"IMPORTADO",IF(ISNUMBER(SEARCH("FABRICAR",AA618)),"LOCAL","OTRO")))</f>
        <v>IMPORTADO</v>
      </c>
      <c r="AQ618" t="str">
        <f>IF(AD618="Si","SI",IF(AD618="No","NO",""))</f>
        <v>NO</v>
      </c>
      <c r="AR618" t="str">
        <f>IF(ISNUMBER(SEARCH("®",N618)),"MARCA/INNOVADOR","GENERICO")</f>
        <v>MARCA/INNOVADOR</v>
      </c>
      <c r="AS618">
        <f ca="1">IF(AE618&gt;100,RANDBETWEEN(500,5000),IF(AND(AE618&gt;=10,AE618&lt;=100),RANDBETWEEN(100,1000),RANDBETWEEN(10,200)))</f>
        <v>425</v>
      </c>
      <c r="AT618">
        <f t="shared" ca="1" si="47"/>
        <v>106</v>
      </c>
      <c r="AU618">
        <f ca="1">INT(AS618*RANDBETWEEN(120,200)/100)</f>
        <v>735</v>
      </c>
      <c r="AV618" s="2">
        <f ca="1">IF(LEFT(Y618,1)="L",RANDBETWEEN(500000,5000000),IF(LEFT(Y618,1)="C",RANDBETWEEN(5000,50000),IF(LEFT(Y618,1)="N",RANDBETWEEN(10000,150000),IF(LEFT(Y618,1)="J",RANDBETWEEN(8000,200000),RANDBETWEEN(5000,100000)))))</f>
        <v>59423</v>
      </c>
      <c r="AW618" s="2">
        <f ca="1">INT(AV618*RANDBETWEEN(30,60)/100)</f>
        <v>33871</v>
      </c>
      <c r="AX618">
        <f ca="1">IF(Z618="ORAL",RANDBETWEEN(1000,10000),IF(OR(Z618="INTRAVENOSA",Z618="INTRAMUSCULAR"),RANDBETWEEN(100,2000),IF(OR(Z618="OFTÁLMICA",Z618="TOPICA (EXTERNA)"),RANDBETWEEN(200,3000),RANDBETWEEN(100,1500))))</f>
        <v>7685</v>
      </c>
      <c r="AY618" s="2">
        <f ca="1">INT(AV618*RANDBETWEEN(90,130)/100)</f>
        <v>57046</v>
      </c>
      <c r="AZ618" t="str">
        <f t="shared" ca="1" si="48"/>
        <v>5.7%</v>
      </c>
      <c r="BA618" t="str">
        <f t="shared" ca="1" si="49"/>
        <v>ALTO</v>
      </c>
    </row>
    <row r="619" spans="4:53" x14ac:dyDescent="0.35">
      <c r="D619" t="s">
        <v>4177</v>
      </c>
      <c r="E619" s="1">
        <v>34454</v>
      </c>
      <c r="F619" t="s">
        <v>2693</v>
      </c>
      <c r="G619" t="s">
        <v>108</v>
      </c>
      <c r="H619" t="s">
        <v>2700</v>
      </c>
      <c r="I619">
        <v>49658</v>
      </c>
      <c r="J619" t="s">
        <v>28</v>
      </c>
      <c r="K619">
        <v>32</v>
      </c>
      <c r="L619" t="s">
        <v>27</v>
      </c>
      <c r="M619" t="s">
        <v>2696</v>
      </c>
      <c r="N619" t="s">
        <v>2697</v>
      </c>
      <c r="O619" t="s">
        <v>4178</v>
      </c>
      <c r="P619" t="s">
        <v>2699</v>
      </c>
      <c r="Q619" s="1">
        <v>42304</v>
      </c>
      <c r="R619" t="s">
        <v>1818</v>
      </c>
      <c r="S619" t="s">
        <v>27</v>
      </c>
      <c r="T619" t="s">
        <v>2700</v>
      </c>
      <c r="U619" t="s">
        <v>2701</v>
      </c>
      <c r="V619" t="s">
        <v>1819</v>
      </c>
      <c r="W619" t="s">
        <v>2702</v>
      </c>
      <c r="X619">
        <v>49658</v>
      </c>
      <c r="Y619" t="s">
        <v>1820</v>
      </c>
      <c r="Z619" t="s">
        <v>1168</v>
      </c>
      <c r="AA619" t="s">
        <v>24</v>
      </c>
      <c r="AB619" t="s">
        <v>1983</v>
      </c>
      <c r="AC619" t="s">
        <v>25</v>
      </c>
      <c r="AD619" t="s">
        <v>121</v>
      </c>
      <c r="AE619">
        <v>1</v>
      </c>
      <c r="AF619" t="s">
        <v>27</v>
      </c>
      <c r="AG619" t="s">
        <v>26</v>
      </c>
      <c r="AH619" t="s">
        <v>6789</v>
      </c>
      <c r="AI619" t="str">
        <f t="shared" si="45"/>
        <v>SI</v>
      </c>
      <c r="AJ619" t="str">
        <f t="shared" si="46"/>
        <v>GASES INDUSTRIALES DE COLOMBIA CRYOGAS</v>
      </c>
      <c r="AK619" t="str">
        <f>IF(ISNUMBER(SEARCH("FABRICANTE",AC619)),"FABRICANTE",IF(ISNUMBER(SEARCH("IMPORTADOR",AC619)),"IMPORTADOR","OTRO"))</f>
        <v>FABRICANTE</v>
      </c>
      <c r="AL619" t="str">
        <f>IF(LEFT(Y619,1)="A","Sistema digestivo",IF(LEFT(Y619,1)="B","Sangre",IF(LEFT(Y619,1)="C","Cardiovascular",IF(LEFT(Y619,1)="D","Dermatológico",IF(LEFT(Y619,1)="G","Genitourinario",IF(LEFT(Y619,1)="H","Hormonal",IF(LEFT(Y619,1)="J","Antiinfecciosos",IF(LEFT(Y619,1)="L","Oncológicos",IF(LEFT(Y619,1)="M","Musculoesquelético",IF(LEFT(Y619,1)="N","Sistema nervioso",IF(LEFT(Y619,1)="R","Respiratorio",IF(LEFT(Y619,1)="S","Oftálmico",IF(LEFT(Y619,1)="V","Varios","OTRO")))))))))))))</f>
        <v>Varios</v>
      </c>
      <c r="AM619" t="str">
        <f>IF(AG619="Vigente","ACTIVO",IF(ISNUMBER(SEARCH("Inactivo",J619)),"INACTIVO","REVISAR"))</f>
        <v>ACTIVO</v>
      </c>
      <c r="AN619" t="str">
        <f ca="1">IF(OR(AF619="",AF619="null"),"",ROUND((AF619-TODAY())/365.25,2))</f>
        <v/>
      </c>
      <c r="AO619" t="str">
        <f ca="1">IF(AND(AG619="Vigente",OR(AF619="",AF619="null",AF619&gt;TODAY())),"SI",IF(AND(NOT(OR(AF619="",AF619="null")),AF619&lt;=TODAY()),"NO",IF(AG619="Vigente","SI","DESCONOCIDO")))</f>
        <v>SI</v>
      </c>
      <c r="AP619" t="str">
        <f>IF(AND(ISNUMBER(SEARCH("IMPORTAR",AA619)),ISNUMBER(SEARCH("FABRICAR",AA619))),"MIXTO",IF(ISNUMBER(SEARCH("IMPORTAR",AA619)),"IMPORTADO",IF(ISNUMBER(SEARCH("FABRICAR",AA619)),"LOCAL","OTRO")))</f>
        <v>LOCAL</v>
      </c>
      <c r="AQ619" t="str">
        <f>IF(AD619="Si","SI",IF(AD619="No","NO",""))</f>
        <v>NO</v>
      </c>
      <c r="AR619" t="str">
        <f>IF(ISNUMBER(SEARCH("®",N619)),"MARCA/INNOVADOR","GENERICO")</f>
        <v>GENERICO</v>
      </c>
      <c r="AS619">
        <f ca="1">IF(AE619&gt;100,RANDBETWEEN(500,5000),IF(AND(AE619&gt;=10,AE619&lt;=100),RANDBETWEEN(100,1000),RANDBETWEEN(10,200)))</f>
        <v>70</v>
      </c>
      <c r="AT619">
        <f t="shared" ca="1" si="47"/>
        <v>14</v>
      </c>
      <c r="AU619">
        <f ca="1">INT(AS619*RANDBETWEEN(120,200)/100)</f>
        <v>91</v>
      </c>
      <c r="AV619" s="2">
        <f ca="1">IF(LEFT(Y619,1)="L",RANDBETWEEN(500000,5000000),IF(LEFT(Y619,1)="C",RANDBETWEEN(5000,50000),IF(LEFT(Y619,1)="N",RANDBETWEEN(10000,150000),IF(LEFT(Y619,1)="J",RANDBETWEEN(8000,200000),RANDBETWEEN(5000,100000)))))</f>
        <v>75025</v>
      </c>
      <c r="AW619" s="2">
        <f ca="1">INT(AV619*RANDBETWEEN(30,60)/100)</f>
        <v>38262</v>
      </c>
      <c r="AX619">
        <f ca="1">IF(Z619="ORAL",RANDBETWEEN(1000,10000),IF(OR(Z619="INTRAVENOSA",Z619="INTRAMUSCULAR"),RANDBETWEEN(100,2000),IF(OR(Z619="OFTÁLMICA",Z619="TOPICA (EXTERNA)"),RANDBETWEEN(200,3000),RANDBETWEEN(100,1500))))</f>
        <v>795</v>
      </c>
      <c r="AY619" s="2">
        <f ca="1">INT(AV619*RANDBETWEEN(90,130)/100)</f>
        <v>77275</v>
      </c>
      <c r="AZ619" t="str">
        <f t="shared" ca="1" si="48"/>
        <v>2.3%</v>
      </c>
      <c r="BA619" t="str">
        <f t="shared" ca="1" si="49"/>
        <v>BAJO</v>
      </c>
    </row>
    <row r="620" spans="4:53" x14ac:dyDescent="0.35">
      <c r="D620" t="s">
        <v>4179</v>
      </c>
      <c r="E620" s="1">
        <v>40613</v>
      </c>
      <c r="F620" t="s">
        <v>522</v>
      </c>
      <c r="G620" t="s">
        <v>502</v>
      </c>
      <c r="H620" t="s">
        <v>710</v>
      </c>
      <c r="I620">
        <v>20021760</v>
      </c>
      <c r="J620" t="s">
        <v>28</v>
      </c>
      <c r="K620">
        <v>1</v>
      </c>
      <c r="L620" t="s">
        <v>27</v>
      </c>
      <c r="M620" t="s">
        <v>4180</v>
      </c>
      <c r="N620" t="s">
        <v>4181</v>
      </c>
      <c r="O620" t="s">
        <v>4182</v>
      </c>
      <c r="P620" t="s">
        <v>4183</v>
      </c>
      <c r="Q620" s="1">
        <v>40439</v>
      </c>
      <c r="R620" t="s">
        <v>459</v>
      </c>
      <c r="S620" t="s">
        <v>27</v>
      </c>
      <c r="T620" t="s">
        <v>4184</v>
      </c>
      <c r="U620" t="s">
        <v>247</v>
      </c>
      <c r="V620" t="s">
        <v>528</v>
      </c>
      <c r="W620">
        <v>3</v>
      </c>
      <c r="X620">
        <v>20021760</v>
      </c>
      <c r="Y620" t="s">
        <v>529</v>
      </c>
      <c r="Z620" t="s">
        <v>119</v>
      </c>
      <c r="AA620" t="s">
        <v>24</v>
      </c>
      <c r="AB620" t="s">
        <v>250</v>
      </c>
      <c r="AC620" t="s">
        <v>25</v>
      </c>
      <c r="AD620" t="s">
        <v>121</v>
      </c>
      <c r="AE620">
        <v>60</v>
      </c>
      <c r="AF620" t="s">
        <v>27</v>
      </c>
      <c r="AG620" t="s">
        <v>26</v>
      </c>
      <c r="AH620" t="s">
        <v>522</v>
      </c>
      <c r="AI620" t="str">
        <f t="shared" si="45"/>
        <v>NO</v>
      </c>
      <c r="AJ620" t="str">
        <f t="shared" si="46"/>
        <v>LABORATORIOS BEST</v>
      </c>
      <c r="AK620" t="str">
        <f>IF(ISNUMBER(SEARCH("FABRICANTE",AC620)),"FABRICANTE",IF(ISNUMBER(SEARCH("IMPORTADOR",AC620)),"IMPORTADOR","OTRO"))</f>
        <v>FABRICANTE</v>
      </c>
      <c r="AL620" t="str">
        <f>IF(LEFT(Y620,1)="A","Sistema digestivo",IF(LEFT(Y620,1)="B","Sangre",IF(LEFT(Y620,1)="C","Cardiovascular",IF(LEFT(Y620,1)="D","Dermatológico",IF(LEFT(Y620,1)="G","Genitourinario",IF(LEFT(Y620,1)="H","Hormonal",IF(LEFT(Y620,1)="J","Antiinfecciosos",IF(LEFT(Y620,1)="L","Oncológicos",IF(LEFT(Y620,1)="M","Musculoesquelético",IF(LEFT(Y620,1)="N","Sistema nervioso",IF(LEFT(Y620,1)="R","Respiratorio",IF(LEFT(Y620,1)="S","Oftálmico",IF(LEFT(Y620,1)="V","Varios","OTRO")))))))))))))</f>
        <v>Sistema nervioso</v>
      </c>
      <c r="AM620" t="str">
        <f>IF(AG620="Vigente","ACTIVO",IF(ISNUMBER(SEARCH("Inactivo",J620)),"INACTIVO","REVISAR"))</f>
        <v>ACTIVO</v>
      </c>
      <c r="AN620" t="str">
        <f ca="1">IF(OR(AF620="",AF620="null"),"",ROUND((AF620-TODAY())/365.25,2))</f>
        <v/>
      </c>
      <c r="AO620" t="str">
        <f ca="1">IF(AND(AG620="Vigente",OR(AF620="",AF620="null",AF620&gt;TODAY())),"SI",IF(AND(NOT(OR(AF620="",AF620="null")),AF620&lt;=TODAY()),"NO",IF(AG620="Vigente","SI","DESCONOCIDO")))</f>
        <v>SI</v>
      </c>
      <c r="AP620" t="str">
        <f>IF(AND(ISNUMBER(SEARCH("IMPORTAR",AA620)),ISNUMBER(SEARCH("FABRICAR",AA620))),"MIXTO",IF(ISNUMBER(SEARCH("IMPORTAR",AA620)),"IMPORTADO",IF(ISNUMBER(SEARCH("FABRICAR",AA620)),"LOCAL","OTRO")))</f>
        <v>LOCAL</v>
      </c>
      <c r="AQ620" t="str">
        <f>IF(AD620="Si","SI",IF(AD620="No","NO",""))</f>
        <v>NO</v>
      </c>
      <c r="AR620" t="str">
        <f>IF(ISNUMBER(SEARCH("®",N620)),"MARCA/INNOVADOR","GENERICO")</f>
        <v>MARCA/INNOVADOR</v>
      </c>
      <c r="AS620">
        <f ca="1">IF(AE620&gt;100,RANDBETWEEN(500,5000),IF(AND(AE620&gt;=10,AE620&lt;=100),RANDBETWEEN(100,1000),RANDBETWEEN(10,200)))</f>
        <v>472</v>
      </c>
      <c r="AT620">
        <f t="shared" ca="1" si="47"/>
        <v>89</v>
      </c>
      <c r="AU620">
        <f ca="1">INT(AS620*RANDBETWEEN(120,200)/100)</f>
        <v>750</v>
      </c>
      <c r="AV620" s="2">
        <f ca="1">IF(LEFT(Y620,1)="L",RANDBETWEEN(500000,5000000),IF(LEFT(Y620,1)="C",RANDBETWEEN(5000,50000),IF(LEFT(Y620,1)="N",RANDBETWEEN(10000,150000),IF(LEFT(Y620,1)="J",RANDBETWEEN(8000,200000),RANDBETWEEN(5000,100000)))))</f>
        <v>26442</v>
      </c>
      <c r="AW620" s="2">
        <f ca="1">INT(AV620*RANDBETWEEN(30,60)/100)</f>
        <v>10312</v>
      </c>
      <c r="AX620">
        <f ca="1">IF(Z620="ORAL",RANDBETWEEN(1000,10000),IF(OR(Z620="INTRAVENOSA",Z620="INTRAMUSCULAR"),RANDBETWEEN(100,2000),IF(OR(Z620="OFTÁLMICA",Z620="TOPICA (EXTERNA)"),RANDBETWEEN(200,3000),RANDBETWEEN(100,1500))))</f>
        <v>4297</v>
      </c>
      <c r="AY620" s="2">
        <f ca="1">INT(AV620*RANDBETWEEN(90,130)/100)</f>
        <v>33845</v>
      </c>
      <c r="AZ620" t="str">
        <f t="shared" ca="1" si="48"/>
        <v>15.3%</v>
      </c>
      <c r="BA620" t="str">
        <f t="shared" ca="1" si="49"/>
        <v>BAJO</v>
      </c>
    </row>
    <row r="621" spans="4:53" x14ac:dyDescent="0.35">
      <c r="D621" t="s">
        <v>4185</v>
      </c>
      <c r="E621" s="1">
        <v>45370</v>
      </c>
      <c r="F621" t="s">
        <v>4186</v>
      </c>
      <c r="G621" t="s">
        <v>108</v>
      </c>
      <c r="H621" t="s">
        <v>710</v>
      </c>
      <c r="I621">
        <v>20177645</v>
      </c>
      <c r="J621" t="s">
        <v>28</v>
      </c>
      <c r="K621">
        <v>5</v>
      </c>
      <c r="L621" t="s">
        <v>4187</v>
      </c>
      <c r="M621" t="s">
        <v>4188</v>
      </c>
      <c r="N621" t="s">
        <v>4189</v>
      </c>
      <c r="O621" t="s">
        <v>4190</v>
      </c>
      <c r="P621" t="s">
        <v>33</v>
      </c>
      <c r="Q621" s="1">
        <v>45363</v>
      </c>
      <c r="R621" t="s">
        <v>33</v>
      </c>
      <c r="S621" t="s">
        <v>27</v>
      </c>
      <c r="T621" t="s">
        <v>1521</v>
      </c>
      <c r="U621" t="s">
        <v>115</v>
      </c>
      <c r="V621" t="s">
        <v>162</v>
      </c>
      <c r="W621">
        <v>500</v>
      </c>
      <c r="X621">
        <v>20177645</v>
      </c>
      <c r="Y621" t="s">
        <v>164</v>
      </c>
      <c r="Z621" t="s">
        <v>119</v>
      </c>
      <c r="AA621" t="s">
        <v>24</v>
      </c>
      <c r="AB621" t="s">
        <v>120</v>
      </c>
      <c r="AC621" t="s">
        <v>25</v>
      </c>
      <c r="AD621" t="s">
        <v>121</v>
      </c>
      <c r="AE621">
        <v>100</v>
      </c>
      <c r="AF621" s="1">
        <v>401769</v>
      </c>
      <c r="AG621" t="s">
        <v>26</v>
      </c>
      <c r="AH621" t="s">
        <v>4186</v>
      </c>
      <c r="AI621" t="str">
        <f t="shared" si="45"/>
        <v>NO</v>
      </c>
      <c r="AJ621" t="str">
        <f t="shared" si="46"/>
        <v>NEVOX FARMA</v>
      </c>
      <c r="AK621" t="str">
        <f>IF(ISNUMBER(SEARCH("FABRICANTE",AC621)),"FABRICANTE",IF(ISNUMBER(SEARCH("IMPORTADOR",AC621)),"IMPORTADOR","OTRO"))</f>
        <v>FABRICANTE</v>
      </c>
      <c r="AL621" t="str">
        <f>IF(LEFT(Y621,1)="A","Sistema digestivo",IF(LEFT(Y621,1)="B","Sangre",IF(LEFT(Y621,1)="C","Cardiovascular",IF(LEFT(Y621,1)="D","Dermatológico",IF(LEFT(Y621,1)="G","Genitourinario",IF(LEFT(Y621,1)="H","Hormonal",IF(LEFT(Y621,1)="J","Antiinfecciosos",IF(LEFT(Y621,1)="L","Oncológicos",IF(LEFT(Y621,1)="M","Musculoesquelético",IF(LEFT(Y621,1)="N","Sistema nervioso",IF(LEFT(Y621,1)="R","Respiratorio",IF(LEFT(Y621,1)="S","Oftálmico",IF(LEFT(Y621,1)="V","Varios","OTRO")))))))))))))</f>
        <v>Musculoesquelético</v>
      </c>
      <c r="AM621" t="str">
        <f>IF(AG621="Vigente","ACTIVO",IF(ISNUMBER(SEARCH("Inactivo",J621)),"INACTIVO","REVISAR"))</f>
        <v>ACTIVO</v>
      </c>
      <c r="AN621">
        <f ca="1">IF(OR(AF621="",AF621="null"),"",ROUND((AF621-TODAY())/365.25,2))</f>
        <v>973.58</v>
      </c>
      <c r="AO621" t="str">
        <f ca="1">IF(AND(AG621="Vigente",OR(AF621="",AF621="null",AF621&gt;TODAY())),"SI",IF(AND(NOT(OR(AF621="",AF621="null")),AF621&lt;=TODAY()),"NO",IF(AG621="Vigente","SI","DESCONOCIDO")))</f>
        <v>SI</v>
      </c>
      <c r="AP621" t="str">
        <f>IF(AND(ISNUMBER(SEARCH("IMPORTAR",AA621)),ISNUMBER(SEARCH("FABRICAR",AA621))),"MIXTO",IF(ISNUMBER(SEARCH("IMPORTAR",AA621)),"IMPORTADO",IF(ISNUMBER(SEARCH("FABRICAR",AA621)),"LOCAL","OTRO")))</f>
        <v>LOCAL</v>
      </c>
      <c r="AQ621" t="str">
        <f>IF(AD621="Si","SI",IF(AD621="No","NO",""))</f>
        <v>NO</v>
      </c>
      <c r="AR621" t="str">
        <f>IF(ISNUMBER(SEARCH("®",N621)),"MARCA/INNOVADOR","GENERICO")</f>
        <v>MARCA/INNOVADOR</v>
      </c>
      <c r="AS621">
        <f ca="1">IF(AE621&gt;100,RANDBETWEEN(500,5000),IF(AND(AE621&gt;=10,AE621&lt;=100),RANDBETWEEN(100,1000),RANDBETWEEN(10,200)))</f>
        <v>223</v>
      </c>
      <c r="AT621">
        <f t="shared" ca="1" si="47"/>
        <v>44</v>
      </c>
      <c r="AU621">
        <f ca="1">INT(AS621*RANDBETWEEN(120,200)/100)</f>
        <v>423</v>
      </c>
      <c r="AV621" s="2">
        <f ca="1">IF(LEFT(Y621,1)="L",RANDBETWEEN(500000,5000000),IF(LEFT(Y621,1)="C",RANDBETWEEN(5000,50000),IF(LEFT(Y621,1)="N",RANDBETWEEN(10000,150000),IF(LEFT(Y621,1)="J",RANDBETWEEN(8000,200000),RANDBETWEEN(5000,100000)))))</f>
        <v>27273</v>
      </c>
      <c r="AW621" s="2">
        <f ca="1">INT(AV621*RANDBETWEEN(30,60)/100)</f>
        <v>15818</v>
      </c>
      <c r="AX621">
        <f ca="1">IF(Z621="ORAL",RANDBETWEEN(1000,10000),IF(OR(Z621="INTRAVENOSA",Z621="INTRAMUSCULAR"),RANDBETWEEN(100,2000),IF(OR(Z621="OFTÁLMICA",Z621="TOPICA (EXTERNA)"),RANDBETWEEN(200,3000),RANDBETWEEN(100,1500))))</f>
        <v>6324</v>
      </c>
      <c r="AY621" s="2">
        <f ca="1">INT(AV621*RANDBETWEEN(90,130)/100)</f>
        <v>27545</v>
      </c>
      <c r="AZ621" t="str">
        <f t="shared" ca="1" si="48"/>
        <v>12.5%</v>
      </c>
      <c r="BA621" t="str">
        <f t="shared" ca="1" si="49"/>
        <v>BAJO</v>
      </c>
    </row>
    <row r="622" spans="4:53" x14ac:dyDescent="0.35">
      <c r="D622" t="s">
        <v>4191</v>
      </c>
      <c r="E622" s="1">
        <v>35986</v>
      </c>
      <c r="F622" t="s">
        <v>4192</v>
      </c>
      <c r="G622" t="s">
        <v>247</v>
      </c>
      <c r="H622" t="s">
        <v>4193</v>
      </c>
      <c r="I622">
        <v>227297</v>
      </c>
      <c r="J622" t="s">
        <v>28</v>
      </c>
      <c r="K622">
        <v>2</v>
      </c>
      <c r="L622" t="s">
        <v>4194</v>
      </c>
      <c r="M622" t="s">
        <v>4195</v>
      </c>
      <c r="N622" t="s">
        <v>4196</v>
      </c>
      <c r="O622" t="s">
        <v>4197</v>
      </c>
      <c r="P622" t="s">
        <v>2816</v>
      </c>
      <c r="Q622" s="1">
        <v>39031</v>
      </c>
      <c r="R622" t="s">
        <v>43</v>
      </c>
      <c r="S622" t="s">
        <v>27</v>
      </c>
      <c r="T622" t="s">
        <v>520</v>
      </c>
      <c r="U622" t="s">
        <v>247</v>
      </c>
      <c r="V622" t="s">
        <v>4198</v>
      </c>
      <c r="W622">
        <v>1</v>
      </c>
      <c r="X622">
        <v>227297</v>
      </c>
      <c r="Y622" t="s">
        <v>4199</v>
      </c>
      <c r="Z622" t="s">
        <v>566</v>
      </c>
      <c r="AA622" t="s">
        <v>32</v>
      </c>
      <c r="AB622" t="s">
        <v>653</v>
      </c>
      <c r="AC622" t="s">
        <v>25</v>
      </c>
      <c r="AD622" t="s">
        <v>121</v>
      </c>
      <c r="AE622">
        <v>100</v>
      </c>
      <c r="AF622" t="s">
        <v>27</v>
      </c>
      <c r="AG622" t="s">
        <v>26</v>
      </c>
      <c r="AH622" t="s">
        <v>6682</v>
      </c>
      <c r="AI622" t="str">
        <f t="shared" si="45"/>
        <v>SI</v>
      </c>
      <c r="AJ622" t="str">
        <f t="shared" si="46"/>
        <v>HALEON COLOMBIA</v>
      </c>
      <c r="AK622" t="str">
        <f>IF(ISNUMBER(SEARCH("FABRICANTE",AC622)),"FABRICANTE",IF(ISNUMBER(SEARCH("IMPORTADOR",AC622)),"IMPORTADOR","OTRO"))</f>
        <v>FABRICANTE</v>
      </c>
      <c r="AL622" t="str">
        <f>IF(LEFT(Y622,1)="A","Sistema digestivo",IF(LEFT(Y622,1)="B","Sangre",IF(LEFT(Y622,1)="C","Cardiovascular",IF(LEFT(Y622,1)="D","Dermatológico",IF(LEFT(Y622,1)="G","Genitourinario",IF(LEFT(Y622,1)="H","Hormonal",IF(LEFT(Y622,1)="J","Antiinfecciosos",IF(LEFT(Y622,1)="L","Oncológicos",IF(LEFT(Y622,1)="M","Musculoesquelético",IF(LEFT(Y622,1)="N","Sistema nervioso",IF(LEFT(Y622,1)="R","Respiratorio",IF(LEFT(Y622,1)="S","Oftálmico",IF(LEFT(Y622,1)="V","Varios","OTRO")))))))))))))</f>
        <v>Musculoesquelético</v>
      </c>
      <c r="AM622" t="str">
        <f>IF(AG622="Vigente","ACTIVO",IF(ISNUMBER(SEARCH("Inactivo",J622)),"INACTIVO","REVISAR"))</f>
        <v>ACTIVO</v>
      </c>
      <c r="AN622" t="str">
        <f ca="1">IF(OR(AF622="",AF622="null"),"",ROUND((AF622-TODAY())/365.25,2))</f>
        <v/>
      </c>
      <c r="AO622" t="str">
        <f ca="1">IF(AND(AG622="Vigente",OR(AF622="",AF622="null",AF622&gt;TODAY())),"SI",IF(AND(NOT(OR(AF622="",AF622="null")),AF622&lt;=TODAY()),"NO",IF(AG622="Vigente","SI","DESCONOCIDO")))</f>
        <v>SI</v>
      </c>
      <c r="AP622" t="str">
        <f>IF(AND(ISNUMBER(SEARCH("IMPORTAR",AA622)),ISNUMBER(SEARCH("FABRICAR",AA622))),"MIXTO",IF(ISNUMBER(SEARCH("IMPORTAR",AA622)),"IMPORTADO",IF(ISNUMBER(SEARCH("FABRICAR",AA622)),"LOCAL","OTRO")))</f>
        <v>IMPORTADO</v>
      </c>
      <c r="AQ622" t="str">
        <f>IF(AD622="Si","SI",IF(AD622="No","NO",""))</f>
        <v>NO</v>
      </c>
      <c r="AR622" t="str">
        <f>IF(ISNUMBER(SEARCH("®",N622)),"MARCA/INNOVADOR","GENERICO")</f>
        <v>GENERICO</v>
      </c>
      <c r="AS622">
        <f ca="1">IF(AE622&gt;100,RANDBETWEEN(500,5000),IF(AND(AE622&gt;=10,AE622&lt;=100),RANDBETWEEN(100,1000),RANDBETWEEN(10,200)))</f>
        <v>894</v>
      </c>
      <c r="AT622">
        <f t="shared" ca="1" si="47"/>
        <v>187</v>
      </c>
      <c r="AU622">
        <f ca="1">INT(AS622*RANDBETWEEN(120,200)/100)</f>
        <v>1117</v>
      </c>
      <c r="AV622" s="2">
        <f ca="1">IF(LEFT(Y622,1)="L",RANDBETWEEN(500000,5000000),IF(LEFT(Y622,1)="C",RANDBETWEEN(5000,50000),IF(LEFT(Y622,1)="N",RANDBETWEEN(10000,150000),IF(LEFT(Y622,1)="J",RANDBETWEEN(8000,200000),RANDBETWEEN(5000,100000)))))</f>
        <v>86042</v>
      </c>
      <c r="AW622" s="2">
        <f ca="1">INT(AV622*RANDBETWEEN(30,60)/100)</f>
        <v>49904</v>
      </c>
      <c r="AX622">
        <f ca="1">IF(Z622="ORAL",RANDBETWEEN(1000,10000),IF(OR(Z622="INTRAVENOSA",Z622="INTRAMUSCULAR"),RANDBETWEEN(100,2000),IF(OR(Z622="OFTÁLMICA",Z622="TOPICA (EXTERNA)"),RANDBETWEEN(200,3000),RANDBETWEEN(100,1500))))</f>
        <v>1582</v>
      </c>
      <c r="AY622" s="2">
        <f ca="1">INT(AV622*RANDBETWEEN(90,130)/100)</f>
        <v>94646</v>
      </c>
      <c r="AZ622" t="str">
        <f t="shared" ca="1" si="48"/>
        <v>10.9%</v>
      </c>
      <c r="BA622" t="str">
        <f t="shared" ca="1" si="49"/>
        <v>BAJO</v>
      </c>
    </row>
    <row r="623" spans="4:53" x14ac:dyDescent="0.35">
      <c r="D623" t="s">
        <v>4200</v>
      </c>
      <c r="E623" s="1">
        <v>41176</v>
      </c>
      <c r="F623" t="s">
        <v>660</v>
      </c>
      <c r="G623" t="s">
        <v>108</v>
      </c>
      <c r="H623" t="s">
        <v>2997</v>
      </c>
      <c r="I623">
        <v>20048817</v>
      </c>
      <c r="J623" t="s">
        <v>28</v>
      </c>
      <c r="K623">
        <v>18</v>
      </c>
      <c r="L623" t="s">
        <v>27</v>
      </c>
      <c r="M623" t="s">
        <v>2998</v>
      </c>
      <c r="N623" t="s">
        <v>2999</v>
      </c>
      <c r="O623" t="s">
        <v>4201</v>
      </c>
      <c r="P623" t="s">
        <v>33</v>
      </c>
      <c r="Q623" s="1">
        <v>42416</v>
      </c>
      <c r="R623" t="s">
        <v>33</v>
      </c>
      <c r="S623" t="s">
        <v>27</v>
      </c>
      <c r="T623" t="s">
        <v>114</v>
      </c>
      <c r="U623" t="s">
        <v>115</v>
      </c>
      <c r="V623" t="s">
        <v>660</v>
      </c>
      <c r="W623">
        <v>320</v>
      </c>
      <c r="X623">
        <v>20048817</v>
      </c>
      <c r="Y623" t="s">
        <v>661</v>
      </c>
      <c r="Z623" t="s">
        <v>119</v>
      </c>
      <c r="AA623" t="s">
        <v>24</v>
      </c>
      <c r="AB623" t="s">
        <v>120</v>
      </c>
      <c r="AC623" t="s">
        <v>25</v>
      </c>
      <c r="AD623" t="s">
        <v>121</v>
      </c>
      <c r="AE623">
        <v>28</v>
      </c>
      <c r="AF623" t="s">
        <v>27</v>
      </c>
      <c r="AG623" t="s">
        <v>26</v>
      </c>
      <c r="AH623" t="s">
        <v>660</v>
      </c>
      <c r="AI623" t="str">
        <f t="shared" si="45"/>
        <v>NO</v>
      </c>
      <c r="AJ623" t="str">
        <f t="shared" si="46"/>
        <v>LABORATORIOS LEGRAND</v>
      </c>
      <c r="AK623" t="str">
        <f>IF(ISNUMBER(SEARCH("FABRICANTE",AC623)),"FABRICANTE",IF(ISNUMBER(SEARCH("IMPORTADOR",AC623)),"IMPORTADOR","OTRO"))</f>
        <v>FABRICANTE</v>
      </c>
      <c r="AL623" t="str">
        <f>IF(LEFT(Y623,1)="A","Sistema digestivo",IF(LEFT(Y623,1)="B","Sangre",IF(LEFT(Y623,1)="C","Cardiovascular",IF(LEFT(Y623,1)="D","Dermatológico",IF(LEFT(Y623,1)="G","Genitourinario",IF(LEFT(Y623,1)="H","Hormonal",IF(LEFT(Y623,1)="J","Antiinfecciosos",IF(LEFT(Y623,1)="L","Oncológicos",IF(LEFT(Y623,1)="M","Musculoesquelético",IF(LEFT(Y623,1)="N","Sistema nervioso",IF(LEFT(Y623,1)="R","Respiratorio",IF(LEFT(Y623,1)="S","Oftálmico",IF(LEFT(Y623,1)="V","Varios","OTRO")))))))))))))</f>
        <v>Cardiovascular</v>
      </c>
      <c r="AM623" t="str">
        <f>IF(AG623="Vigente","ACTIVO",IF(ISNUMBER(SEARCH("Inactivo",J623)),"INACTIVO","REVISAR"))</f>
        <v>ACTIVO</v>
      </c>
      <c r="AN623" t="str">
        <f ca="1">IF(OR(AF623="",AF623="null"),"",ROUND((AF623-TODAY())/365.25,2))</f>
        <v/>
      </c>
      <c r="AO623" t="str">
        <f ca="1">IF(AND(AG623="Vigente",OR(AF623="",AF623="null",AF623&gt;TODAY())),"SI",IF(AND(NOT(OR(AF623="",AF623="null")),AF623&lt;=TODAY()),"NO",IF(AG623="Vigente","SI","DESCONOCIDO")))</f>
        <v>SI</v>
      </c>
      <c r="AP623" t="str">
        <f>IF(AND(ISNUMBER(SEARCH("IMPORTAR",AA623)),ISNUMBER(SEARCH("FABRICAR",AA623))),"MIXTO",IF(ISNUMBER(SEARCH("IMPORTAR",AA623)),"IMPORTADO",IF(ISNUMBER(SEARCH("FABRICAR",AA623)),"LOCAL","OTRO")))</f>
        <v>LOCAL</v>
      </c>
      <c r="AQ623" t="str">
        <f>IF(AD623="Si","SI",IF(AD623="No","NO",""))</f>
        <v>NO</v>
      </c>
      <c r="AR623" t="str">
        <f>IF(ISNUMBER(SEARCH("®",N623)),"MARCA/INNOVADOR","GENERICO")</f>
        <v>MARCA/INNOVADOR</v>
      </c>
      <c r="AS623">
        <f ca="1">IF(AE623&gt;100,RANDBETWEEN(500,5000),IF(AND(AE623&gt;=10,AE623&lt;=100),RANDBETWEEN(100,1000),RANDBETWEEN(10,200)))</f>
        <v>513</v>
      </c>
      <c r="AT623">
        <f t="shared" ca="1" si="47"/>
        <v>143</v>
      </c>
      <c r="AU623">
        <f ca="1">INT(AS623*RANDBETWEEN(120,200)/100)</f>
        <v>779</v>
      </c>
      <c r="AV623" s="2">
        <f ca="1">IF(LEFT(Y623,1)="L",RANDBETWEEN(500000,5000000),IF(LEFT(Y623,1)="C",RANDBETWEEN(5000,50000),IF(LEFT(Y623,1)="N",RANDBETWEEN(10000,150000),IF(LEFT(Y623,1)="J",RANDBETWEEN(8000,200000),RANDBETWEEN(5000,100000)))))</f>
        <v>48670</v>
      </c>
      <c r="AW623" s="2">
        <f ca="1">INT(AV623*RANDBETWEEN(30,60)/100)</f>
        <v>16547</v>
      </c>
      <c r="AX623">
        <f ca="1">IF(Z623="ORAL",RANDBETWEEN(1000,10000),IF(OR(Z623="INTRAVENOSA",Z623="INTRAMUSCULAR"),RANDBETWEEN(100,2000),IF(OR(Z623="OFTÁLMICA",Z623="TOPICA (EXTERNA)"),RANDBETWEEN(200,3000),RANDBETWEEN(100,1500))))</f>
        <v>3201</v>
      </c>
      <c r="AY623" s="2">
        <f ca="1">INT(AV623*RANDBETWEEN(90,130)/100)</f>
        <v>57917</v>
      </c>
      <c r="AZ623" t="str">
        <f t="shared" ca="1" si="48"/>
        <v>10.9%</v>
      </c>
      <c r="BA623" t="str">
        <f t="shared" ca="1" si="49"/>
        <v>BAJO</v>
      </c>
    </row>
    <row r="624" spans="4:53" x14ac:dyDescent="0.35">
      <c r="D624" t="s">
        <v>4202</v>
      </c>
      <c r="E624" s="1">
        <v>41458</v>
      </c>
      <c r="F624" t="s">
        <v>4203</v>
      </c>
      <c r="G624" t="s">
        <v>108</v>
      </c>
      <c r="H624" t="s">
        <v>4204</v>
      </c>
      <c r="I624">
        <v>20050067</v>
      </c>
      <c r="J624" t="s">
        <v>28</v>
      </c>
      <c r="K624">
        <v>9</v>
      </c>
      <c r="L624" t="s">
        <v>27</v>
      </c>
      <c r="M624" t="s">
        <v>4205</v>
      </c>
      <c r="N624" t="s">
        <v>4206</v>
      </c>
      <c r="O624" t="s">
        <v>4207</v>
      </c>
      <c r="P624" t="s">
        <v>4208</v>
      </c>
      <c r="Q624" s="1">
        <v>44370</v>
      </c>
      <c r="R624" t="s">
        <v>43</v>
      </c>
      <c r="S624" t="s">
        <v>27</v>
      </c>
      <c r="T624" t="s">
        <v>4209</v>
      </c>
      <c r="U624" t="s">
        <v>247</v>
      </c>
      <c r="V624" t="s">
        <v>2321</v>
      </c>
      <c r="W624" t="s">
        <v>1249</v>
      </c>
      <c r="X624">
        <v>20050067</v>
      </c>
      <c r="Y624" t="s">
        <v>2322</v>
      </c>
      <c r="Z624" t="s">
        <v>566</v>
      </c>
      <c r="AA624" t="s">
        <v>32</v>
      </c>
      <c r="AB624" t="s">
        <v>120</v>
      </c>
      <c r="AC624" t="s">
        <v>25</v>
      </c>
      <c r="AD624" t="s">
        <v>121</v>
      </c>
      <c r="AE624">
        <v>12</v>
      </c>
      <c r="AF624" t="s">
        <v>27</v>
      </c>
      <c r="AG624" t="s">
        <v>26</v>
      </c>
      <c r="AH624" t="s">
        <v>4203</v>
      </c>
      <c r="AI624" t="str">
        <f t="shared" si="45"/>
        <v>NO</v>
      </c>
      <c r="AJ624" t="str">
        <f t="shared" si="46"/>
        <v>FARCO-PHARMA</v>
      </c>
      <c r="AK624" t="str">
        <f>IF(ISNUMBER(SEARCH("FABRICANTE",AC624)),"FABRICANTE",IF(ISNUMBER(SEARCH("IMPORTADOR",AC624)),"IMPORTADOR","OTRO"))</f>
        <v>FABRICANTE</v>
      </c>
      <c r="AL624" t="str">
        <f>IF(LEFT(Y624,1)="A","Sistema digestivo",IF(LEFT(Y624,1)="B","Sangre",IF(LEFT(Y624,1)="C","Cardiovascular",IF(LEFT(Y624,1)="D","Dermatológico",IF(LEFT(Y624,1)="G","Genitourinario",IF(LEFT(Y624,1)="H","Hormonal",IF(LEFT(Y624,1)="J","Antiinfecciosos",IF(LEFT(Y624,1)="L","Oncológicos",IF(LEFT(Y624,1)="M","Musculoesquelético",IF(LEFT(Y624,1)="N","Sistema nervioso",IF(LEFT(Y624,1)="R","Respiratorio",IF(LEFT(Y624,1)="S","Oftálmico",IF(LEFT(Y624,1)="V","Varios","OTRO")))))))))))))</f>
        <v>Sistema nervioso</v>
      </c>
      <c r="AM624" t="str">
        <f>IF(AG624="Vigente","ACTIVO",IF(ISNUMBER(SEARCH("Inactivo",J624)),"INACTIVO","REVISAR"))</f>
        <v>ACTIVO</v>
      </c>
      <c r="AN624" t="str">
        <f ca="1">IF(OR(AF624="",AF624="null"),"",ROUND((AF624-TODAY())/365.25,2))</f>
        <v/>
      </c>
      <c r="AO624" t="str">
        <f ca="1">IF(AND(AG624="Vigente",OR(AF624="",AF624="null",AF624&gt;TODAY())),"SI",IF(AND(NOT(OR(AF624="",AF624="null")),AF624&lt;=TODAY()),"NO",IF(AG624="Vigente","SI","DESCONOCIDO")))</f>
        <v>SI</v>
      </c>
      <c r="AP624" t="str">
        <f>IF(AND(ISNUMBER(SEARCH("IMPORTAR",AA624)),ISNUMBER(SEARCH("FABRICAR",AA624))),"MIXTO",IF(ISNUMBER(SEARCH("IMPORTAR",AA624)),"IMPORTADO",IF(ISNUMBER(SEARCH("FABRICAR",AA624)),"LOCAL","OTRO")))</f>
        <v>IMPORTADO</v>
      </c>
      <c r="AQ624" t="str">
        <f>IF(AD624="Si","SI",IF(AD624="No","NO",""))</f>
        <v>NO</v>
      </c>
      <c r="AR624" t="str">
        <f>IF(ISNUMBER(SEARCH("®",N624)),"MARCA/INNOVADOR","GENERICO")</f>
        <v>MARCA/INNOVADOR</v>
      </c>
      <c r="AS624">
        <f ca="1">IF(AE624&gt;100,RANDBETWEEN(500,5000),IF(AND(AE624&gt;=10,AE624&lt;=100),RANDBETWEEN(100,1000),RANDBETWEEN(10,200)))</f>
        <v>927</v>
      </c>
      <c r="AT624">
        <f t="shared" ca="1" si="47"/>
        <v>213</v>
      </c>
      <c r="AU624">
        <f ca="1">INT(AS624*RANDBETWEEN(120,200)/100)</f>
        <v>1168</v>
      </c>
      <c r="AV624" s="2">
        <f ca="1">IF(LEFT(Y624,1)="L",RANDBETWEEN(500000,5000000),IF(LEFT(Y624,1)="C",RANDBETWEEN(5000,50000),IF(LEFT(Y624,1)="N",RANDBETWEEN(10000,150000),IF(LEFT(Y624,1)="J",RANDBETWEEN(8000,200000),RANDBETWEEN(5000,100000)))))</f>
        <v>92339</v>
      </c>
      <c r="AW624" s="2">
        <f ca="1">INT(AV624*RANDBETWEEN(30,60)/100)</f>
        <v>40629</v>
      </c>
      <c r="AX624">
        <f ca="1">IF(Z624="ORAL",RANDBETWEEN(1000,10000),IF(OR(Z624="INTRAVENOSA",Z624="INTRAMUSCULAR"),RANDBETWEEN(100,2000),IF(OR(Z624="OFTÁLMICA",Z624="TOPICA (EXTERNA)"),RANDBETWEEN(200,3000),RANDBETWEEN(100,1500))))</f>
        <v>1465</v>
      </c>
      <c r="AY624" s="2">
        <f ca="1">INT(AV624*RANDBETWEEN(90,130)/100)</f>
        <v>110806</v>
      </c>
      <c r="AZ624" t="str">
        <f t="shared" ca="1" si="48"/>
        <v>12%</v>
      </c>
      <c r="BA624" t="str">
        <f t="shared" ca="1" si="49"/>
        <v>BAJO</v>
      </c>
    </row>
    <row r="625" spans="4:53" x14ac:dyDescent="0.35">
      <c r="D625" t="s">
        <v>4210</v>
      </c>
      <c r="E625" s="1">
        <v>44041</v>
      </c>
      <c r="F625" t="s">
        <v>4211</v>
      </c>
      <c r="G625" t="s">
        <v>108</v>
      </c>
      <c r="H625" t="s">
        <v>206</v>
      </c>
      <c r="I625">
        <v>20163216</v>
      </c>
      <c r="J625" t="s">
        <v>28</v>
      </c>
      <c r="K625">
        <v>4</v>
      </c>
      <c r="L625" t="s">
        <v>4212</v>
      </c>
      <c r="M625" t="s">
        <v>4213</v>
      </c>
      <c r="N625" t="s">
        <v>4214</v>
      </c>
      <c r="O625" t="s">
        <v>4215</v>
      </c>
      <c r="P625" t="s">
        <v>601</v>
      </c>
      <c r="Q625" s="1">
        <v>44328</v>
      </c>
      <c r="R625" t="s">
        <v>211</v>
      </c>
      <c r="S625" t="s">
        <v>27</v>
      </c>
      <c r="T625" t="s">
        <v>206</v>
      </c>
      <c r="U625" t="s">
        <v>115</v>
      </c>
      <c r="V625" t="s">
        <v>4216</v>
      </c>
      <c r="W625">
        <v>750</v>
      </c>
      <c r="X625">
        <v>20163216</v>
      </c>
      <c r="Y625" t="s">
        <v>4217</v>
      </c>
      <c r="Z625" t="s">
        <v>213</v>
      </c>
      <c r="AA625" t="s">
        <v>32</v>
      </c>
      <c r="AB625" t="s">
        <v>120</v>
      </c>
      <c r="AC625" t="s">
        <v>25</v>
      </c>
      <c r="AD625" t="s">
        <v>121</v>
      </c>
      <c r="AE625">
        <v>1</v>
      </c>
      <c r="AF625" t="s">
        <v>27</v>
      </c>
      <c r="AG625" t="s">
        <v>26</v>
      </c>
      <c r="AH625" t="s">
        <v>4216</v>
      </c>
      <c r="AI625" t="str">
        <f t="shared" si="45"/>
        <v>NO</v>
      </c>
      <c r="AJ625" t="str">
        <f t="shared" si="46"/>
        <v>NECTAR LIFESCIENCES</v>
      </c>
      <c r="AK625" t="str">
        <f>IF(ISNUMBER(SEARCH("FABRICANTE",AC625)),"FABRICANTE",IF(ISNUMBER(SEARCH("IMPORTADOR",AC625)),"IMPORTADOR","OTRO"))</f>
        <v>FABRICANTE</v>
      </c>
      <c r="AL625" t="str">
        <f>IF(LEFT(Y625,1)="A","Sistema digestivo",IF(LEFT(Y625,1)="B","Sangre",IF(LEFT(Y625,1)="C","Cardiovascular",IF(LEFT(Y625,1)="D","Dermatológico",IF(LEFT(Y625,1)="G","Genitourinario",IF(LEFT(Y625,1)="H","Hormonal",IF(LEFT(Y625,1)="J","Antiinfecciosos",IF(LEFT(Y625,1)="L","Oncológicos",IF(LEFT(Y625,1)="M","Musculoesquelético",IF(LEFT(Y625,1)="N","Sistema nervioso",IF(LEFT(Y625,1)="R","Respiratorio",IF(LEFT(Y625,1)="S","Oftálmico",IF(LEFT(Y625,1)="V","Varios","OTRO")))))))))))))</f>
        <v>Antiinfecciosos</v>
      </c>
      <c r="AM625" t="str">
        <f>IF(AG625="Vigente","ACTIVO",IF(ISNUMBER(SEARCH("Inactivo",J625)),"INACTIVO","REVISAR"))</f>
        <v>ACTIVO</v>
      </c>
      <c r="AN625" t="str">
        <f ca="1">IF(OR(AF625="",AF625="null"),"",ROUND((AF625-TODAY())/365.25,2))</f>
        <v/>
      </c>
      <c r="AO625" t="str">
        <f ca="1">IF(AND(AG625="Vigente",OR(AF625="",AF625="null",AF625&gt;TODAY())),"SI",IF(AND(NOT(OR(AF625="",AF625="null")),AF625&lt;=TODAY()),"NO",IF(AG625="Vigente","SI","DESCONOCIDO")))</f>
        <v>SI</v>
      </c>
      <c r="AP625" t="str">
        <f>IF(AND(ISNUMBER(SEARCH("IMPORTAR",AA625)),ISNUMBER(SEARCH("FABRICAR",AA625))),"MIXTO",IF(ISNUMBER(SEARCH("IMPORTAR",AA625)),"IMPORTADO",IF(ISNUMBER(SEARCH("FABRICAR",AA625)),"LOCAL","OTRO")))</f>
        <v>IMPORTADO</v>
      </c>
      <c r="AQ625" t="str">
        <f>IF(AD625="Si","SI",IF(AD625="No","NO",""))</f>
        <v>NO</v>
      </c>
      <c r="AR625" t="str">
        <f>IF(ISNUMBER(SEARCH("®",N625)),"MARCA/INNOVADOR","GENERICO")</f>
        <v>MARCA/INNOVADOR</v>
      </c>
      <c r="AS625">
        <f ca="1">IF(AE625&gt;100,RANDBETWEEN(500,5000),IF(AND(AE625&gt;=10,AE625&lt;=100),RANDBETWEEN(100,1000),RANDBETWEEN(10,200)))</f>
        <v>179</v>
      </c>
      <c r="AT625">
        <f t="shared" ca="1" si="47"/>
        <v>48</v>
      </c>
      <c r="AU625">
        <f ca="1">INT(AS625*RANDBETWEEN(120,200)/100)</f>
        <v>336</v>
      </c>
      <c r="AV625" s="2">
        <f ca="1">IF(LEFT(Y625,1)="L",RANDBETWEEN(500000,5000000),IF(LEFT(Y625,1)="C",RANDBETWEEN(5000,50000),IF(LEFT(Y625,1)="N",RANDBETWEEN(10000,150000),IF(LEFT(Y625,1)="J",RANDBETWEEN(8000,200000),RANDBETWEEN(5000,100000)))))</f>
        <v>66580</v>
      </c>
      <c r="AW625" s="2">
        <f ca="1">INT(AV625*RANDBETWEEN(30,60)/100)</f>
        <v>28629</v>
      </c>
      <c r="AX625">
        <f ca="1">IF(Z625="ORAL",RANDBETWEEN(1000,10000),IF(OR(Z625="INTRAVENOSA",Z625="INTRAMUSCULAR"),RANDBETWEEN(100,2000),IF(OR(Z625="OFTÁLMICA",Z625="TOPICA (EXTERNA)"),RANDBETWEEN(200,3000),RANDBETWEEN(100,1500))))</f>
        <v>970</v>
      </c>
      <c r="AY625" s="2">
        <f ca="1">INT(AV625*RANDBETWEEN(90,130)/100)</f>
        <v>66580</v>
      </c>
      <c r="AZ625" t="str">
        <f t="shared" ca="1" si="48"/>
        <v>5.8%</v>
      </c>
      <c r="BA625" t="str">
        <f t="shared" ca="1" si="49"/>
        <v>BAJO</v>
      </c>
    </row>
    <row r="626" spans="4:53" x14ac:dyDescent="0.35">
      <c r="D626" t="s">
        <v>4218</v>
      </c>
      <c r="E626" s="1">
        <v>35416</v>
      </c>
      <c r="F626" t="s">
        <v>1959</v>
      </c>
      <c r="G626" t="s">
        <v>502</v>
      </c>
      <c r="H626" t="s">
        <v>549</v>
      </c>
      <c r="I626">
        <v>23282</v>
      </c>
      <c r="J626" t="s">
        <v>28</v>
      </c>
      <c r="K626">
        <v>4</v>
      </c>
      <c r="L626" t="s">
        <v>27</v>
      </c>
      <c r="M626" t="s">
        <v>4219</v>
      </c>
      <c r="N626" t="s">
        <v>4220</v>
      </c>
      <c r="O626" t="s">
        <v>4221</v>
      </c>
      <c r="P626" t="s">
        <v>2979</v>
      </c>
      <c r="Q626" s="1">
        <v>39031</v>
      </c>
      <c r="R626" t="s">
        <v>1964</v>
      </c>
      <c r="S626" s="1">
        <v>45183</v>
      </c>
      <c r="T626" t="s">
        <v>549</v>
      </c>
      <c r="U626" t="s">
        <v>115</v>
      </c>
      <c r="V626" t="s">
        <v>1965</v>
      </c>
      <c r="W626">
        <v>448</v>
      </c>
      <c r="X626">
        <v>23282</v>
      </c>
      <c r="Y626" t="s">
        <v>1966</v>
      </c>
      <c r="Z626" t="s">
        <v>1967</v>
      </c>
      <c r="AA626" t="s">
        <v>24</v>
      </c>
      <c r="AB626" t="s">
        <v>250</v>
      </c>
      <c r="AC626" t="s">
        <v>25</v>
      </c>
      <c r="AD626" t="s">
        <v>121</v>
      </c>
      <c r="AE626">
        <v>1000</v>
      </c>
      <c r="AF626" s="1">
        <v>401769</v>
      </c>
      <c r="AG626" t="s">
        <v>26</v>
      </c>
      <c r="AH626" t="s">
        <v>6726</v>
      </c>
      <c r="AI626" t="str">
        <f t="shared" si="45"/>
        <v>NO</v>
      </c>
      <c r="AJ626" t="str">
        <f t="shared" si="46"/>
        <v>LABORATORIOS BAXTER</v>
      </c>
      <c r="AK626" t="str">
        <f>IF(ISNUMBER(SEARCH("FABRICANTE",AC626)),"FABRICANTE",IF(ISNUMBER(SEARCH("IMPORTADOR",AC626)),"IMPORTADOR","OTRO"))</f>
        <v>FABRICANTE</v>
      </c>
      <c r="AL626" t="str">
        <f>IF(LEFT(Y626,1)="A","Sistema digestivo",IF(LEFT(Y626,1)="B","Sangre",IF(LEFT(Y626,1)="C","Cardiovascular",IF(LEFT(Y626,1)="D","Dermatológico",IF(LEFT(Y626,1)="G","Genitourinario",IF(LEFT(Y626,1)="H","Hormonal",IF(LEFT(Y626,1)="J","Antiinfecciosos",IF(LEFT(Y626,1)="L","Oncológicos",IF(LEFT(Y626,1)="M","Musculoesquelético",IF(LEFT(Y626,1)="N","Sistema nervioso",IF(LEFT(Y626,1)="R","Respiratorio",IF(LEFT(Y626,1)="S","Oftálmico",IF(LEFT(Y626,1)="V","Varios","OTRO")))))))))))))</f>
        <v>Sangre</v>
      </c>
      <c r="AM626" t="str">
        <f>IF(AG626="Vigente","ACTIVO",IF(ISNUMBER(SEARCH("Inactivo",J626)),"INACTIVO","REVISAR"))</f>
        <v>ACTIVO</v>
      </c>
      <c r="AN626">
        <f ca="1">IF(OR(AF626="",AF626="null"),"",ROUND((AF626-TODAY())/365.25,2))</f>
        <v>973.58</v>
      </c>
      <c r="AO626" t="str">
        <f ca="1">IF(AND(AG626="Vigente",OR(AF626="",AF626="null",AF626&gt;TODAY())),"SI",IF(AND(NOT(OR(AF626="",AF626="null")),AF626&lt;=TODAY()),"NO",IF(AG626="Vigente","SI","DESCONOCIDO")))</f>
        <v>SI</v>
      </c>
      <c r="AP626" t="str">
        <f>IF(AND(ISNUMBER(SEARCH("IMPORTAR",AA626)),ISNUMBER(SEARCH("FABRICAR",AA626))),"MIXTO",IF(ISNUMBER(SEARCH("IMPORTAR",AA626)),"IMPORTADO",IF(ISNUMBER(SEARCH("FABRICAR",AA626)),"LOCAL","OTRO")))</f>
        <v>LOCAL</v>
      </c>
      <c r="AQ626" t="str">
        <f>IF(AD626="Si","SI",IF(AD626="No","NO",""))</f>
        <v>NO</v>
      </c>
      <c r="AR626" t="str">
        <f>IF(ISNUMBER(SEARCH("®",N626)),"MARCA/INNOVADOR","GENERICO")</f>
        <v>GENERICO</v>
      </c>
      <c r="AS626">
        <f ca="1">IF(AE626&gt;100,RANDBETWEEN(500,5000),IF(AND(AE626&gt;=10,AE626&lt;=100),RANDBETWEEN(100,1000),RANDBETWEEN(10,200)))</f>
        <v>4026</v>
      </c>
      <c r="AT626">
        <f t="shared" ca="1" si="47"/>
        <v>563</v>
      </c>
      <c r="AU626">
        <f ca="1">INT(AS626*RANDBETWEEN(120,200)/100)</f>
        <v>6159</v>
      </c>
      <c r="AV626" s="2">
        <f ca="1">IF(LEFT(Y626,1)="L",RANDBETWEEN(500000,5000000),IF(LEFT(Y626,1)="C",RANDBETWEEN(5000,50000),IF(LEFT(Y626,1)="N",RANDBETWEEN(10000,150000),IF(LEFT(Y626,1)="J",RANDBETWEEN(8000,200000),RANDBETWEEN(5000,100000)))))</f>
        <v>83075</v>
      </c>
      <c r="AW626" s="2">
        <f ca="1">INT(AV626*RANDBETWEEN(30,60)/100)</f>
        <v>34060</v>
      </c>
      <c r="AX626">
        <f ca="1">IF(Z626="ORAL",RANDBETWEEN(1000,10000),IF(OR(Z626="INTRAVENOSA",Z626="INTRAMUSCULAR"),RANDBETWEEN(100,2000),IF(OR(Z626="OFTÁLMICA",Z626="TOPICA (EXTERNA)"),RANDBETWEEN(200,3000),RANDBETWEEN(100,1500))))</f>
        <v>489</v>
      </c>
      <c r="AY626" s="2">
        <f ca="1">INT(AV626*RANDBETWEEN(90,130)/100)</f>
        <v>77259</v>
      </c>
      <c r="AZ626" t="str">
        <f t="shared" ca="1" si="48"/>
        <v>1.7%</v>
      </c>
      <c r="BA626" t="str">
        <f t="shared" ca="1" si="49"/>
        <v>BAJO</v>
      </c>
    </row>
    <row r="627" spans="4:53" x14ac:dyDescent="0.35">
      <c r="D627" t="s">
        <v>4222</v>
      </c>
      <c r="E627" s="1">
        <v>41087</v>
      </c>
      <c r="F627" t="s">
        <v>70</v>
      </c>
      <c r="G627" t="s">
        <v>108</v>
      </c>
      <c r="H627" t="s">
        <v>146</v>
      </c>
      <c r="I627">
        <v>20039588</v>
      </c>
      <c r="J627" t="s">
        <v>28</v>
      </c>
      <c r="K627">
        <v>56</v>
      </c>
      <c r="L627" t="s">
        <v>27</v>
      </c>
      <c r="M627" t="s">
        <v>474</v>
      </c>
      <c r="N627" t="s">
        <v>475</v>
      </c>
      <c r="O627" t="s">
        <v>4223</v>
      </c>
      <c r="P627" t="s">
        <v>477</v>
      </c>
      <c r="Q627" s="1">
        <v>42669</v>
      </c>
      <c r="R627" t="s">
        <v>67</v>
      </c>
      <c r="S627" t="s">
        <v>27</v>
      </c>
      <c r="T627" t="s">
        <v>80</v>
      </c>
      <c r="U627" t="s">
        <v>247</v>
      </c>
      <c r="V627" t="s">
        <v>248</v>
      </c>
      <c r="W627" t="s">
        <v>1778</v>
      </c>
      <c r="X627">
        <v>20039588</v>
      </c>
      <c r="Y627" t="s">
        <v>249</v>
      </c>
      <c r="Z627" t="s">
        <v>119</v>
      </c>
      <c r="AA627" t="s">
        <v>24</v>
      </c>
      <c r="AB627" t="s">
        <v>120</v>
      </c>
      <c r="AC627" t="s">
        <v>25</v>
      </c>
      <c r="AD627" t="s">
        <v>155</v>
      </c>
      <c r="AE627">
        <v>4</v>
      </c>
      <c r="AF627" t="s">
        <v>27</v>
      </c>
      <c r="AG627" t="s">
        <v>26</v>
      </c>
      <c r="AH627" t="s">
        <v>6735</v>
      </c>
      <c r="AI627" t="str">
        <f t="shared" si="45"/>
        <v>NO</v>
      </c>
      <c r="AJ627" t="str">
        <f t="shared" si="46"/>
        <v>TECNOQUIMICAS</v>
      </c>
      <c r="AK627" t="str">
        <f>IF(ISNUMBER(SEARCH("FABRICANTE",AC627)),"FABRICANTE",IF(ISNUMBER(SEARCH("IMPORTADOR",AC627)),"IMPORTADOR","OTRO"))</f>
        <v>FABRICANTE</v>
      </c>
      <c r="AL627" t="str">
        <f>IF(LEFT(Y627,1)="A","Sistema digestivo",IF(LEFT(Y627,1)="B","Sangre",IF(LEFT(Y627,1)="C","Cardiovascular",IF(LEFT(Y627,1)="D","Dermatológico",IF(LEFT(Y627,1)="G","Genitourinario",IF(LEFT(Y627,1)="H","Hormonal",IF(LEFT(Y627,1)="J","Antiinfecciosos",IF(LEFT(Y627,1)="L","Oncológicos",IF(LEFT(Y627,1)="M","Musculoesquelético",IF(LEFT(Y627,1)="N","Sistema nervioso",IF(LEFT(Y627,1)="R","Respiratorio",IF(LEFT(Y627,1)="S","Oftálmico",IF(LEFT(Y627,1)="V","Varios","OTRO")))))))))))))</f>
        <v>Sistema digestivo</v>
      </c>
      <c r="AM627" t="str">
        <f>IF(AG627="Vigente","ACTIVO",IF(ISNUMBER(SEARCH("Inactivo",J627)),"INACTIVO","REVISAR"))</f>
        <v>ACTIVO</v>
      </c>
      <c r="AN627" t="str">
        <f ca="1">IF(OR(AF627="",AF627="null"),"",ROUND((AF627-TODAY())/365.25,2))</f>
        <v/>
      </c>
      <c r="AO627" t="str">
        <f ca="1">IF(AND(AG627="Vigente",OR(AF627="",AF627="null",AF627&gt;TODAY())),"SI",IF(AND(NOT(OR(AF627="",AF627="null")),AF627&lt;=TODAY()),"NO",IF(AG627="Vigente","SI","DESCONOCIDO")))</f>
        <v>SI</v>
      </c>
      <c r="AP627" t="str">
        <f>IF(AND(ISNUMBER(SEARCH("IMPORTAR",AA627)),ISNUMBER(SEARCH("FABRICAR",AA627))),"MIXTO",IF(ISNUMBER(SEARCH("IMPORTAR",AA627)),"IMPORTADO",IF(ISNUMBER(SEARCH("FABRICAR",AA627)),"LOCAL","OTRO")))</f>
        <v>LOCAL</v>
      </c>
      <c r="AQ627" t="str">
        <f>IF(AD627="Si","SI",IF(AD627="No","NO",""))</f>
        <v>SI</v>
      </c>
      <c r="AR627" t="str">
        <f>IF(ISNUMBER(SEARCH("®",N627)),"MARCA/INNOVADOR","GENERICO")</f>
        <v>MARCA/INNOVADOR</v>
      </c>
      <c r="AS627">
        <f ca="1">IF(AE627&gt;100,RANDBETWEEN(500,5000),IF(AND(AE627&gt;=10,AE627&lt;=100),RANDBETWEEN(100,1000),RANDBETWEEN(10,200)))</f>
        <v>87</v>
      </c>
      <c r="AT627">
        <f t="shared" ca="1" si="47"/>
        <v>23</v>
      </c>
      <c r="AU627">
        <f ca="1">INT(AS627*RANDBETWEEN(120,200)/100)</f>
        <v>136</v>
      </c>
      <c r="AV627" s="2">
        <f ca="1">IF(LEFT(Y627,1)="L",RANDBETWEEN(500000,5000000),IF(LEFT(Y627,1)="C",RANDBETWEEN(5000,50000),IF(LEFT(Y627,1)="N",RANDBETWEEN(10000,150000),IF(LEFT(Y627,1)="J",RANDBETWEEN(8000,200000),RANDBETWEEN(5000,100000)))))</f>
        <v>98628</v>
      </c>
      <c r="AW627" s="2">
        <f ca="1">INT(AV627*RANDBETWEEN(30,60)/100)</f>
        <v>31560</v>
      </c>
      <c r="AX627">
        <f ca="1">IF(Z627="ORAL",RANDBETWEEN(1000,10000),IF(OR(Z627="INTRAVENOSA",Z627="INTRAMUSCULAR"),RANDBETWEEN(100,2000),IF(OR(Z627="OFTÁLMICA",Z627="TOPICA (EXTERNA)"),RANDBETWEEN(200,3000),RANDBETWEEN(100,1500))))</f>
        <v>3946</v>
      </c>
      <c r="AY627" s="2">
        <f ca="1">INT(AV627*RANDBETWEEN(90,130)/100)</f>
        <v>93696</v>
      </c>
      <c r="AZ627" t="str">
        <f t="shared" ca="1" si="48"/>
        <v>17.7%</v>
      </c>
      <c r="BA627" t="str">
        <f t="shared" ca="1" si="49"/>
        <v>BAJO</v>
      </c>
    </row>
    <row r="628" spans="4:53" x14ac:dyDescent="0.35">
      <c r="D628" t="s">
        <v>4224</v>
      </c>
      <c r="E628" s="1">
        <v>40840</v>
      </c>
      <c r="F628" t="s">
        <v>4225</v>
      </c>
      <c r="G628" t="s">
        <v>108</v>
      </c>
      <c r="H628" t="s">
        <v>177</v>
      </c>
      <c r="I628">
        <v>20032912</v>
      </c>
      <c r="J628" t="s">
        <v>28</v>
      </c>
      <c r="K628">
        <v>4</v>
      </c>
      <c r="L628" t="s">
        <v>4226</v>
      </c>
      <c r="M628" t="s">
        <v>4227</v>
      </c>
      <c r="N628" t="s">
        <v>4228</v>
      </c>
      <c r="O628" t="s">
        <v>4229</v>
      </c>
      <c r="P628" t="s">
        <v>358</v>
      </c>
      <c r="Q628" s="1">
        <v>40826</v>
      </c>
      <c r="R628" t="s">
        <v>37</v>
      </c>
      <c r="S628" t="s">
        <v>27</v>
      </c>
      <c r="T628" t="s">
        <v>182</v>
      </c>
      <c r="U628" t="s">
        <v>115</v>
      </c>
      <c r="V628" t="s">
        <v>4230</v>
      </c>
      <c r="W628" t="s">
        <v>433</v>
      </c>
      <c r="X628">
        <v>20032912</v>
      </c>
      <c r="Y628" t="s">
        <v>4231</v>
      </c>
      <c r="Z628" t="s">
        <v>119</v>
      </c>
      <c r="AA628" t="s">
        <v>32</v>
      </c>
      <c r="AB628" t="s">
        <v>120</v>
      </c>
      <c r="AC628" t="s">
        <v>38</v>
      </c>
      <c r="AD628" t="s">
        <v>155</v>
      </c>
      <c r="AE628">
        <v>7</v>
      </c>
      <c r="AF628" t="s">
        <v>27</v>
      </c>
      <c r="AG628" t="s">
        <v>26</v>
      </c>
      <c r="AH628" t="s">
        <v>6683</v>
      </c>
      <c r="AI628" t="str">
        <f t="shared" si="45"/>
        <v>SI</v>
      </c>
      <c r="AJ628" t="str">
        <f t="shared" si="46"/>
        <v>NOVARTIS PHARMA</v>
      </c>
      <c r="AK628" t="str">
        <f>IF(ISNUMBER(SEARCH("FABRICANTE",AC628)),"FABRICANTE",IF(ISNUMBER(SEARCH("IMPORTADOR",AC628)),"IMPORTADOR","OTRO"))</f>
        <v>IMPORTADOR</v>
      </c>
      <c r="AL628" t="str">
        <f>IF(LEFT(Y628,1)="A","Sistema digestivo",IF(LEFT(Y628,1)="B","Sangre",IF(LEFT(Y628,1)="C","Cardiovascular",IF(LEFT(Y628,1)="D","Dermatológico",IF(LEFT(Y628,1)="G","Genitourinario",IF(LEFT(Y628,1)="H","Hormonal",IF(LEFT(Y628,1)="J","Antiinfecciosos",IF(LEFT(Y628,1)="L","Oncológicos",IF(LEFT(Y628,1)="M","Musculoesquelético",IF(LEFT(Y628,1)="N","Sistema nervioso",IF(LEFT(Y628,1)="R","Respiratorio",IF(LEFT(Y628,1)="S","Oftálmico",IF(LEFT(Y628,1)="V","Varios","OTRO")))))))))))))</f>
        <v>Oncológicos</v>
      </c>
      <c r="AM628" t="str">
        <f>IF(AG628="Vigente","ACTIVO",IF(ISNUMBER(SEARCH("Inactivo",J628)),"INACTIVO","REVISAR"))</f>
        <v>ACTIVO</v>
      </c>
      <c r="AN628" t="str">
        <f ca="1">IF(OR(AF628="",AF628="null"),"",ROUND((AF628-TODAY())/365.25,2))</f>
        <v/>
      </c>
      <c r="AO628" t="str">
        <f ca="1">IF(AND(AG628="Vigente",OR(AF628="",AF628="null",AF628&gt;TODAY())),"SI",IF(AND(NOT(OR(AF628="",AF628="null")),AF628&lt;=TODAY()),"NO",IF(AG628="Vigente","SI","DESCONOCIDO")))</f>
        <v>SI</v>
      </c>
      <c r="AP628" t="str">
        <f>IF(AND(ISNUMBER(SEARCH("IMPORTAR",AA628)),ISNUMBER(SEARCH("FABRICAR",AA628))),"MIXTO",IF(ISNUMBER(SEARCH("IMPORTAR",AA628)),"IMPORTADO",IF(ISNUMBER(SEARCH("FABRICAR",AA628)),"LOCAL","OTRO")))</f>
        <v>IMPORTADO</v>
      </c>
      <c r="AQ628" t="str">
        <f>IF(AD628="Si","SI",IF(AD628="No","NO",""))</f>
        <v>SI</v>
      </c>
      <c r="AR628" t="str">
        <f>IF(ISNUMBER(SEARCH("®",N628)),"MARCA/INNOVADOR","GENERICO")</f>
        <v>MARCA/INNOVADOR</v>
      </c>
      <c r="AS628">
        <f ca="1">IF(AE628&gt;100,RANDBETWEEN(500,5000),IF(AND(AE628&gt;=10,AE628&lt;=100),RANDBETWEEN(100,1000),RANDBETWEEN(10,200)))</f>
        <v>139</v>
      </c>
      <c r="AT628">
        <f t="shared" ca="1" si="47"/>
        <v>15</v>
      </c>
      <c r="AU628">
        <f ca="1">INT(AS628*RANDBETWEEN(120,200)/100)</f>
        <v>276</v>
      </c>
      <c r="AV628" s="2">
        <f ca="1">IF(LEFT(Y628,1)="L",RANDBETWEEN(500000,5000000),IF(LEFT(Y628,1)="C",RANDBETWEEN(5000,50000),IF(LEFT(Y628,1)="N",RANDBETWEEN(10000,150000),IF(LEFT(Y628,1)="J",RANDBETWEEN(8000,200000),RANDBETWEEN(5000,100000)))))</f>
        <v>3278403</v>
      </c>
      <c r="AW628" s="2">
        <f ca="1">INT(AV628*RANDBETWEEN(30,60)/100)</f>
        <v>1803121</v>
      </c>
      <c r="AX628">
        <f ca="1">IF(Z628="ORAL",RANDBETWEEN(1000,10000),IF(OR(Z628="INTRAVENOSA",Z628="INTRAMUSCULAR"),RANDBETWEEN(100,2000),IF(OR(Z628="OFTÁLMICA",Z628="TOPICA (EXTERNA)"),RANDBETWEEN(200,3000),RANDBETWEEN(100,1500))))</f>
        <v>8266</v>
      </c>
      <c r="AY628" s="2">
        <f ca="1">INT(AV628*RANDBETWEEN(90,130)/100)</f>
        <v>3376755</v>
      </c>
      <c r="AZ628" t="str">
        <f t="shared" ca="1" si="48"/>
        <v>12.7%</v>
      </c>
      <c r="BA628" t="str">
        <f t="shared" ca="1" si="49"/>
        <v>BAJO</v>
      </c>
    </row>
    <row r="629" spans="4:53" x14ac:dyDescent="0.35">
      <c r="D629" t="s">
        <v>4232</v>
      </c>
      <c r="E629" s="1">
        <v>34701</v>
      </c>
      <c r="F629" t="s">
        <v>76</v>
      </c>
      <c r="G629" t="s">
        <v>108</v>
      </c>
      <c r="H629" t="s">
        <v>3435</v>
      </c>
      <c r="I629">
        <v>50476</v>
      </c>
      <c r="J629" t="s">
        <v>28</v>
      </c>
      <c r="K629">
        <v>21</v>
      </c>
      <c r="L629" t="s">
        <v>27</v>
      </c>
      <c r="M629" t="s">
        <v>4233</v>
      </c>
      <c r="N629" t="s">
        <v>4234</v>
      </c>
      <c r="O629" t="s">
        <v>4235</v>
      </c>
      <c r="P629" t="s">
        <v>4236</v>
      </c>
      <c r="Q629" s="1">
        <v>42240</v>
      </c>
      <c r="R629" t="s">
        <v>867</v>
      </c>
      <c r="S629" s="1">
        <v>44048</v>
      </c>
      <c r="T629" t="s">
        <v>3083</v>
      </c>
      <c r="U629" t="s">
        <v>247</v>
      </c>
      <c r="V629" t="s">
        <v>4237</v>
      </c>
      <c r="W629" t="s">
        <v>4238</v>
      </c>
      <c r="X629">
        <v>50476</v>
      </c>
      <c r="Y629" t="s">
        <v>4239</v>
      </c>
      <c r="Z629" t="s">
        <v>119</v>
      </c>
      <c r="AA629" t="s">
        <v>32</v>
      </c>
      <c r="AB629" t="s">
        <v>120</v>
      </c>
      <c r="AC629" t="s">
        <v>38</v>
      </c>
      <c r="AD629" t="s">
        <v>155</v>
      </c>
      <c r="AE629">
        <v>10</v>
      </c>
      <c r="AF629" t="s">
        <v>27</v>
      </c>
      <c r="AG629" t="s">
        <v>26</v>
      </c>
      <c r="AH629" t="s">
        <v>6777</v>
      </c>
      <c r="AI629" t="str">
        <f t="shared" si="45"/>
        <v>NO</v>
      </c>
      <c r="AJ629" t="str">
        <f t="shared" si="46"/>
        <v>ASOFARMA DE MEXICO</v>
      </c>
      <c r="AK629" t="str">
        <f>IF(ISNUMBER(SEARCH("FABRICANTE",AC629)),"FABRICANTE",IF(ISNUMBER(SEARCH("IMPORTADOR",AC629)),"IMPORTADOR","OTRO"))</f>
        <v>IMPORTADOR</v>
      </c>
      <c r="AL629" t="str">
        <f>IF(LEFT(Y629,1)="A","Sistema digestivo",IF(LEFT(Y629,1)="B","Sangre",IF(LEFT(Y629,1)="C","Cardiovascular",IF(LEFT(Y629,1)="D","Dermatológico",IF(LEFT(Y629,1)="G","Genitourinario",IF(LEFT(Y629,1)="H","Hormonal",IF(LEFT(Y629,1)="J","Antiinfecciosos",IF(LEFT(Y629,1)="L","Oncológicos",IF(LEFT(Y629,1)="M","Musculoesquelético",IF(LEFT(Y629,1)="N","Sistema nervioso",IF(LEFT(Y629,1)="R","Respiratorio",IF(LEFT(Y629,1)="S","Oftálmico",IF(LEFT(Y629,1)="V","Varios","OTRO")))))))))))))</f>
        <v>Sistema digestivo</v>
      </c>
      <c r="AM629" t="str">
        <f>IF(AG629="Vigente","ACTIVO",IF(ISNUMBER(SEARCH("Inactivo",J629)),"INACTIVO","REVISAR"))</f>
        <v>ACTIVO</v>
      </c>
      <c r="AN629" t="str">
        <f ca="1">IF(OR(AF629="",AF629="null"),"",ROUND((AF629-TODAY())/365.25,2))</f>
        <v/>
      </c>
      <c r="AO629" t="str">
        <f ca="1">IF(AND(AG629="Vigente",OR(AF629="",AF629="null",AF629&gt;TODAY())),"SI",IF(AND(NOT(OR(AF629="",AF629="null")),AF629&lt;=TODAY()),"NO",IF(AG629="Vigente","SI","DESCONOCIDO")))</f>
        <v>SI</v>
      </c>
      <c r="AP629" t="str">
        <f>IF(AND(ISNUMBER(SEARCH("IMPORTAR",AA629)),ISNUMBER(SEARCH("FABRICAR",AA629))),"MIXTO",IF(ISNUMBER(SEARCH("IMPORTAR",AA629)),"IMPORTADO",IF(ISNUMBER(SEARCH("FABRICAR",AA629)),"LOCAL","OTRO")))</f>
        <v>IMPORTADO</v>
      </c>
      <c r="AQ629" t="str">
        <f>IF(AD629="Si","SI",IF(AD629="No","NO",""))</f>
        <v>SI</v>
      </c>
      <c r="AR629" t="str">
        <f>IF(ISNUMBER(SEARCH("®",N629)),"MARCA/INNOVADOR","GENERICO")</f>
        <v>GENERICO</v>
      </c>
      <c r="AS629">
        <f ca="1">IF(AE629&gt;100,RANDBETWEEN(500,5000),IF(AND(AE629&gt;=10,AE629&lt;=100),RANDBETWEEN(100,1000),RANDBETWEEN(10,200)))</f>
        <v>358</v>
      </c>
      <c r="AT629">
        <f t="shared" ca="1" si="47"/>
        <v>93</v>
      </c>
      <c r="AU629">
        <f ca="1">INT(AS629*RANDBETWEEN(120,200)/100)</f>
        <v>443</v>
      </c>
      <c r="AV629" s="2">
        <f ca="1">IF(LEFT(Y629,1)="L",RANDBETWEEN(500000,5000000),IF(LEFT(Y629,1)="C",RANDBETWEEN(5000,50000),IF(LEFT(Y629,1)="N",RANDBETWEEN(10000,150000),IF(LEFT(Y629,1)="J",RANDBETWEEN(8000,200000),RANDBETWEEN(5000,100000)))))</f>
        <v>43424</v>
      </c>
      <c r="AW629" s="2">
        <f ca="1">INT(AV629*RANDBETWEEN(30,60)/100)</f>
        <v>25185</v>
      </c>
      <c r="AX629">
        <f ca="1">IF(Z629="ORAL",RANDBETWEEN(1000,10000),IF(OR(Z629="INTRAVENOSA",Z629="INTRAMUSCULAR"),RANDBETWEEN(100,2000),IF(OR(Z629="OFTÁLMICA",Z629="TOPICA (EXTERNA)"),RANDBETWEEN(200,3000),RANDBETWEEN(100,1500))))</f>
        <v>2362</v>
      </c>
      <c r="AY629" s="2">
        <f ca="1">INT(AV629*RANDBETWEEN(90,130)/100)</f>
        <v>55582</v>
      </c>
      <c r="AZ629" t="str">
        <f t="shared" ca="1" si="48"/>
        <v>20.1%</v>
      </c>
      <c r="BA629" t="str">
        <f t="shared" ca="1" si="49"/>
        <v>BAJO</v>
      </c>
    </row>
    <row r="630" spans="4:53" x14ac:dyDescent="0.35">
      <c r="D630" t="s">
        <v>4240</v>
      </c>
      <c r="E630" s="1">
        <v>42291</v>
      </c>
      <c r="F630" t="s">
        <v>4241</v>
      </c>
      <c r="G630" t="s">
        <v>108</v>
      </c>
      <c r="H630" t="s">
        <v>303</v>
      </c>
      <c r="I630">
        <v>20087761</v>
      </c>
      <c r="J630" t="s">
        <v>28</v>
      </c>
      <c r="K630">
        <v>1</v>
      </c>
      <c r="L630" t="s">
        <v>27</v>
      </c>
      <c r="M630" t="s">
        <v>4242</v>
      </c>
      <c r="N630" t="s">
        <v>4243</v>
      </c>
      <c r="O630" t="s">
        <v>4244</v>
      </c>
      <c r="P630" t="s">
        <v>4245</v>
      </c>
      <c r="Q630" s="1">
        <v>42149</v>
      </c>
      <c r="R630" t="s">
        <v>67</v>
      </c>
      <c r="S630" t="s">
        <v>27</v>
      </c>
      <c r="T630" t="s">
        <v>308</v>
      </c>
      <c r="U630" t="s">
        <v>247</v>
      </c>
      <c r="V630" t="s">
        <v>4246</v>
      </c>
      <c r="W630" t="s">
        <v>4247</v>
      </c>
      <c r="X630">
        <v>20087761</v>
      </c>
      <c r="Y630" t="s">
        <v>4248</v>
      </c>
      <c r="Z630" t="s">
        <v>119</v>
      </c>
      <c r="AA630" t="s">
        <v>24</v>
      </c>
      <c r="AB630" t="s">
        <v>120</v>
      </c>
      <c r="AC630" t="s">
        <v>25</v>
      </c>
      <c r="AD630" t="s">
        <v>121</v>
      </c>
      <c r="AE630">
        <v>1</v>
      </c>
      <c r="AF630" t="s">
        <v>27</v>
      </c>
      <c r="AG630" t="s">
        <v>26</v>
      </c>
      <c r="AH630" t="s">
        <v>4246</v>
      </c>
      <c r="AI630" t="str">
        <f t="shared" si="45"/>
        <v>NO</v>
      </c>
      <c r="AJ630" t="str">
        <f t="shared" si="46"/>
        <v>HUMAX PHARMACEUTICAL</v>
      </c>
      <c r="AK630" t="str">
        <f>IF(ISNUMBER(SEARCH("FABRICANTE",AC630)),"FABRICANTE",IF(ISNUMBER(SEARCH("IMPORTADOR",AC630)),"IMPORTADOR","OTRO"))</f>
        <v>FABRICANTE</v>
      </c>
      <c r="AL630" t="str">
        <f>IF(LEFT(Y630,1)="A","Sistema digestivo",IF(LEFT(Y630,1)="B","Sangre",IF(LEFT(Y630,1)="C","Cardiovascular",IF(LEFT(Y630,1)="D","Dermatológico",IF(LEFT(Y630,1)="G","Genitourinario",IF(LEFT(Y630,1)="H","Hormonal",IF(LEFT(Y630,1)="J","Antiinfecciosos",IF(LEFT(Y630,1)="L","Oncológicos",IF(LEFT(Y630,1)="M","Musculoesquelético",IF(LEFT(Y630,1)="N","Sistema nervioso",IF(LEFT(Y630,1)="R","Respiratorio",IF(LEFT(Y630,1)="S","Oftálmico",IF(LEFT(Y630,1)="V","Varios","OTRO")))))))))))))</f>
        <v>Sistema digestivo</v>
      </c>
      <c r="AM630" t="str">
        <f>IF(AG630="Vigente","ACTIVO",IF(ISNUMBER(SEARCH("Inactivo",J630)),"INACTIVO","REVISAR"))</f>
        <v>ACTIVO</v>
      </c>
      <c r="AN630" t="str">
        <f ca="1">IF(OR(AF630="",AF630="null"),"",ROUND((AF630-TODAY())/365.25,2))</f>
        <v/>
      </c>
      <c r="AO630" t="str">
        <f ca="1">IF(AND(AG630="Vigente",OR(AF630="",AF630="null",AF630&gt;TODAY())),"SI",IF(AND(NOT(OR(AF630="",AF630="null")),AF630&lt;=TODAY()),"NO",IF(AG630="Vigente","SI","DESCONOCIDO")))</f>
        <v>SI</v>
      </c>
      <c r="AP630" t="str">
        <f>IF(AND(ISNUMBER(SEARCH("IMPORTAR",AA630)),ISNUMBER(SEARCH("FABRICAR",AA630))),"MIXTO",IF(ISNUMBER(SEARCH("IMPORTAR",AA630)),"IMPORTADO",IF(ISNUMBER(SEARCH("FABRICAR",AA630)),"LOCAL","OTRO")))</f>
        <v>LOCAL</v>
      </c>
      <c r="AQ630" t="str">
        <f>IF(AD630="Si","SI",IF(AD630="No","NO",""))</f>
        <v>NO</v>
      </c>
      <c r="AR630" t="str">
        <f>IF(ISNUMBER(SEARCH("®",N630)),"MARCA/INNOVADOR","GENERICO")</f>
        <v>MARCA/INNOVADOR</v>
      </c>
      <c r="AS630">
        <f ca="1">IF(AE630&gt;100,RANDBETWEEN(500,5000),IF(AND(AE630&gt;=10,AE630&lt;=100),RANDBETWEEN(100,1000),RANDBETWEEN(10,200)))</f>
        <v>141</v>
      </c>
      <c r="AT630">
        <f t="shared" ca="1" si="47"/>
        <v>36</v>
      </c>
      <c r="AU630">
        <f ca="1">INT(AS630*RANDBETWEEN(120,200)/100)</f>
        <v>218</v>
      </c>
      <c r="AV630" s="2">
        <f ca="1">IF(LEFT(Y630,1)="L",RANDBETWEEN(500000,5000000),IF(LEFT(Y630,1)="C",RANDBETWEEN(5000,50000),IF(LEFT(Y630,1)="N",RANDBETWEEN(10000,150000),IF(LEFT(Y630,1)="J",RANDBETWEEN(8000,200000),RANDBETWEEN(5000,100000)))))</f>
        <v>36292</v>
      </c>
      <c r="AW630" s="2">
        <f ca="1">INT(AV630*RANDBETWEEN(30,60)/100)</f>
        <v>11250</v>
      </c>
      <c r="AX630">
        <f ca="1">IF(Z630="ORAL",RANDBETWEEN(1000,10000),IF(OR(Z630="INTRAVENOSA",Z630="INTRAMUSCULAR"),RANDBETWEEN(100,2000),IF(OR(Z630="OFTÁLMICA",Z630="TOPICA (EXTERNA)"),RANDBETWEEN(200,3000),RANDBETWEEN(100,1500))))</f>
        <v>9806</v>
      </c>
      <c r="AY630" s="2">
        <f ca="1">INT(AV630*RANDBETWEEN(90,130)/100)</f>
        <v>41009</v>
      </c>
      <c r="AZ630" t="str">
        <f t="shared" ca="1" si="48"/>
        <v>10%</v>
      </c>
      <c r="BA630" t="str">
        <f t="shared" ca="1" si="49"/>
        <v>BAJO</v>
      </c>
    </row>
    <row r="631" spans="4:53" x14ac:dyDescent="0.35">
      <c r="D631" t="s">
        <v>4249</v>
      </c>
      <c r="E631" s="1">
        <v>43719</v>
      </c>
      <c r="F631" t="s">
        <v>1609</v>
      </c>
      <c r="G631" t="s">
        <v>108</v>
      </c>
      <c r="H631" t="s">
        <v>540</v>
      </c>
      <c r="I631">
        <v>20132549</v>
      </c>
      <c r="J631" t="s">
        <v>28</v>
      </c>
      <c r="K631">
        <v>6</v>
      </c>
      <c r="L631" t="s">
        <v>4250</v>
      </c>
      <c r="M631" t="s">
        <v>4251</v>
      </c>
      <c r="N631" t="s">
        <v>4252</v>
      </c>
      <c r="O631" t="s">
        <v>4253</v>
      </c>
      <c r="P631" t="s">
        <v>29</v>
      </c>
      <c r="Q631" s="1">
        <v>43304</v>
      </c>
      <c r="R631" t="s">
        <v>29</v>
      </c>
      <c r="S631" t="s">
        <v>27</v>
      </c>
      <c r="T631" t="s">
        <v>545</v>
      </c>
      <c r="U631" t="s">
        <v>115</v>
      </c>
      <c r="V631" t="s">
        <v>1609</v>
      </c>
      <c r="W631">
        <v>80</v>
      </c>
      <c r="X631">
        <v>20132549</v>
      </c>
      <c r="Y631" t="s">
        <v>1614</v>
      </c>
      <c r="Z631" t="s">
        <v>119</v>
      </c>
      <c r="AA631" t="s">
        <v>32</v>
      </c>
      <c r="AB631" t="s">
        <v>120</v>
      </c>
      <c r="AC631" t="s">
        <v>25</v>
      </c>
      <c r="AD631" t="s">
        <v>155</v>
      </c>
      <c r="AE631">
        <v>6</v>
      </c>
      <c r="AF631" t="s">
        <v>27</v>
      </c>
      <c r="AG631" t="s">
        <v>26</v>
      </c>
      <c r="AH631" t="s">
        <v>1609</v>
      </c>
      <c r="AI631" t="str">
        <f t="shared" si="45"/>
        <v>NO</v>
      </c>
      <c r="AJ631" t="str">
        <f t="shared" si="46"/>
        <v>IPCA LABORATORIES</v>
      </c>
      <c r="AK631" t="str">
        <f>IF(ISNUMBER(SEARCH("FABRICANTE",AC631)),"FABRICANTE",IF(ISNUMBER(SEARCH("IMPORTADOR",AC631)),"IMPORTADOR","OTRO"))</f>
        <v>FABRICANTE</v>
      </c>
      <c r="AL631" t="str">
        <f>IF(LEFT(Y631,1)="A","Sistema digestivo",IF(LEFT(Y631,1)="B","Sangre",IF(LEFT(Y631,1)="C","Cardiovascular",IF(LEFT(Y631,1)="D","Dermatológico",IF(LEFT(Y631,1)="G","Genitourinario",IF(LEFT(Y631,1)="H","Hormonal",IF(LEFT(Y631,1)="J","Antiinfecciosos",IF(LEFT(Y631,1)="L","Oncológicos",IF(LEFT(Y631,1)="M","Musculoesquelético",IF(LEFT(Y631,1)="N","Sistema nervioso",IF(LEFT(Y631,1)="R","Respiratorio",IF(LEFT(Y631,1)="S","Oftálmico",IF(LEFT(Y631,1)="V","Varios","OTRO")))))))))))))</f>
        <v>Cardiovascular</v>
      </c>
      <c r="AM631" t="str">
        <f>IF(AG631="Vigente","ACTIVO",IF(ISNUMBER(SEARCH("Inactivo",J631)),"INACTIVO","REVISAR"))</f>
        <v>ACTIVO</v>
      </c>
      <c r="AN631" t="str">
        <f ca="1">IF(OR(AF631="",AF631="null"),"",ROUND((AF631-TODAY())/365.25,2))</f>
        <v/>
      </c>
      <c r="AO631" t="str">
        <f ca="1">IF(AND(AG631="Vigente",OR(AF631="",AF631="null",AF631&gt;TODAY())),"SI",IF(AND(NOT(OR(AF631="",AF631="null")),AF631&lt;=TODAY()),"NO",IF(AG631="Vigente","SI","DESCONOCIDO")))</f>
        <v>SI</v>
      </c>
      <c r="AP631" t="str">
        <f>IF(AND(ISNUMBER(SEARCH("IMPORTAR",AA631)),ISNUMBER(SEARCH("FABRICAR",AA631))),"MIXTO",IF(ISNUMBER(SEARCH("IMPORTAR",AA631)),"IMPORTADO",IF(ISNUMBER(SEARCH("FABRICAR",AA631)),"LOCAL","OTRO")))</f>
        <v>IMPORTADO</v>
      </c>
      <c r="AQ631" t="str">
        <f>IF(AD631="Si","SI",IF(AD631="No","NO",""))</f>
        <v>SI</v>
      </c>
      <c r="AR631" t="str">
        <f>IF(ISNUMBER(SEARCH("®",N631)),"MARCA/INNOVADOR","GENERICO")</f>
        <v>MARCA/INNOVADOR</v>
      </c>
      <c r="AS631">
        <f ca="1">IF(AE631&gt;100,RANDBETWEEN(500,5000),IF(AND(AE631&gt;=10,AE631&lt;=100),RANDBETWEEN(100,1000),RANDBETWEEN(10,200)))</f>
        <v>107</v>
      </c>
      <c r="AT631">
        <f t="shared" ca="1" si="47"/>
        <v>17</v>
      </c>
      <c r="AU631">
        <f ca="1">INT(AS631*RANDBETWEEN(120,200)/100)</f>
        <v>196</v>
      </c>
      <c r="AV631" s="2">
        <f ca="1">IF(LEFT(Y631,1)="L",RANDBETWEEN(500000,5000000),IF(LEFT(Y631,1)="C",RANDBETWEEN(5000,50000),IF(LEFT(Y631,1)="N",RANDBETWEEN(10000,150000),IF(LEFT(Y631,1)="J",RANDBETWEEN(8000,200000),RANDBETWEEN(5000,100000)))))</f>
        <v>29411</v>
      </c>
      <c r="AW631" s="2">
        <f ca="1">INT(AV631*RANDBETWEEN(30,60)/100)</f>
        <v>13823</v>
      </c>
      <c r="AX631">
        <f ca="1">IF(Z631="ORAL",RANDBETWEEN(1000,10000),IF(OR(Z631="INTRAVENOSA",Z631="INTRAMUSCULAR"),RANDBETWEEN(100,2000),IF(OR(Z631="OFTÁLMICA",Z631="TOPICA (EXTERNA)"),RANDBETWEEN(200,3000),RANDBETWEEN(100,1500))))</f>
        <v>3174</v>
      </c>
      <c r="AY631" s="2">
        <f ca="1">INT(AV631*RANDBETWEEN(90,130)/100)</f>
        <v>36175</v>
      </c>
      <c r="AZ631" t="str">
        <f t="shared" ca="1" si="48"/>
        <v>22%</v>
      </c>
      <c r="BA631" t="str">
        <f t="shared" ca="1" si="49"/>
        <v>BAJO</v>
      </c>
    </row>
    <row r="632" spans="4:53" x14ac:dyDescent="0.35">
      <c r="D632" t="s">
        <v>4254</v>
      </c>
      <c r="E632" s="1">
        <v>34967</v>
      </c>
      <c r="F632" t="s">
        <v>4255</v>
      </c>
      <c r="G632" t="s">
        <v>108</v>
      </c>
      <c r="H632" t="s">
        <v>1001</v>
      </c>
      <c r="I632">
        <v>52806</v>
      </c>
      <c r="J632" t="s">
        <v>28</v>
      </c>
      <c r="K632">
        <v>10</v>
      </c>
      <c r="L632" t="s">
        <v>4256</v>
      </c>
      <c r="M632" t="s">
        <v>4257</v>
      </c>
      <c r="N632" t="s">
        <v>4258</v>
      </c>
      <c r="O632" t="s">
        <v>4259</v>
      </c>
      <c r="P632" t="s">
        <v>29</v>
      </c>
      <c r="Q632" s="1">
        <v>41445</v>
      </c>
      <c r="R632" t="s">
        <v>29</v>
      </c>
      <c r="S632" s="1">
        <v>44470</v>
      </c>
      <c r="T632" t="s">
        <v>2414</v>
      </c>
      <c r="U632" t="s">
        <v>115</v>
      </c>
      <c r="V632" t="s">
        <v>3846</v>
      </c>
      <c r="W632">
        <v>5</v>
      </c>
      <c r="X632">
        <v>52806</v>
      </c>
      <c r="Y632" t="s">
        <v>3847</v>
      </c>
      <c r="Z632" t="s">
        <v>119</v>
      </c>
      <c r="AA632" t="s">
        <v>32</v>
      </c>
      <c r="AB632" t="s">
        <v>120</v>
      </c>
      <c r="AC632" t="s">
        <v>38</v>
      </c>
      <c r="AD632" t="s">
        <v>121</v>
      </c>
      <c r="AE632">
        <v>14</v>
      </c>
      <c r="AF632" t="s">
        <v>27</v>
      </c>
      <c r="AG632" t="s">
        <v>26</v>
      </c>
      <c r="AH632" t="s">
        <v>6821</v>
      </c>
      <c r="AI632" t="str">
        <f t="shared" si="45"/>
        <v>SI</v>
      </c>
      <c r="AJ632" t="str">
        <f t="shared" si="46"/>
        <v>ASPEN COLOMBIANA</v>
      </c>
      <c r="AK632" t="str">
        <f>IF(ISNUMBER(SEARCH("FABRICANTE",AC632)),"FABRICANTE",IF(ISNUMBER(SEARCH("IMPORTADOR",AC632)),"IMPORTADOR","OTRO"))</f>
        <v>IMPORTADOR</v>
      </c>
      <c r="AL632" t="str">
        <f>IF(LEFT(Y632,1)="A","Sistema digestivo",IF(LEFT(Y632,1)="B","Sangre",IF(LEFT(Y632,1)="C","Cardiovascular",IF(LEFT(Y632,1)="D","Dermatológico",IF(LEFT(Y632,1)="G","Genitourinario",IF(LEFT(Y632,1)="H","Hormonal",IF(LEFT(Y632,1)="J","Antiinfecciosos",IF(LEFT(Y632,1)="L","Oncológicos",IF(LEFT(Y632,1)="M","Musculoesquelético",IF(LEFT(Y632,1)="N","Sistema nervioso",IF(LEFT(Y632,1)="R","Respiratorio",IF(LEFT(Y632,1)="S","Oftálmico",IF(LEFT(Y632,1)="V","Varios","OTRO")))))))))))))</f>
        <v>Cardiovascular</v>
      </c>
      <c r="AM632" t="str">
        <f>IF(AG632="Vigente","ACTIVO",IF(ISNUMBER(SEARCH("Inactivo",J632)),"INACTIVO","REVISAR"))</f>
        <v>ACTIVO</v>
      </c>
      <c r="AN632" t="str">
        <f ca="1">IF(OR(AF632="",AF632="null"),"",ROUND((AF632-TODAY())/365.25,2))</f>
        <v/>
      </c>
      <c r="AO632" t="str">
        <f ca="1">IF(AND(AG632="Vigente",OR(AF632="",AF632="null",AF632&gt;TODAY())),"SI",IF(AND(NOT(OR(AF632="",AF632="null")),AF632&lt;=TODAY()),"NO",IF(AG632="Vigente","SI","DESCONOCIDO")))</f>
        <v>SI</v>
      </c>
      <c r="AP632" t="str">
        <f>IF(AND(ISNUMBER(SEARCH("IMPORTAR",AA632)),ISNUMBER(SEARCH("FABRICAR",AA632))),"MIXTO",IF(ISNUMBER(SEARCH("IMPORTAR",AA632)),"IMPORTADO",IF(ISNUMBER(SEARCH("FABRICAR",AA632)),"LOCAL","OTRO")))</f>
        <v>IMPORTADO</v>
      </c>
      <c r="AQ632" t="str">
        <f>IF(AD632="Si","SI",IF(AD632="No","NO",""))</f>
        <v>NO</v>
      </c>
      <c r="AR632" t="str">
        <f>IF(ISNUMBER(SEARCH("®",N632)),"MARCA/INNOVADOR","GENERICO")</f>
        <v>MARCA/INNOVADOR</v>
      </c>
      <c r="AS632">
        <f ca="1">IF(AE632&gt;100,RANDBETWEEN(500,5000),IF(AND(AE632&gt;=10,AE632&lt;=100),RANDBETWEEN(100,1000),RANDBETWEEN(10,200)))</f>
        <v>867</v>
      </c>
      <c r="AT632">
        <f t="shared" ca="1" si="47"/>
        <v>260</v>
      </c>
      <c r="AU632">
        <f ca="1">INT(AS632*RANDBETWEEN(120,200)/100)</f>
        <v>1482</v>
      </c>
      <c r="AV632" s="2">
        <f ca="1">IF(LEFT(Y632,1)="L",RANDBETWEEN(500000,5000000),IF(LEFT(Y632,1)="C",RANDBETWEEN(5000,50000),IF(LEFT(Y632,1)="N",RANDBETWEEN(10000,150000),IF(LEFT(Y632,1)="J",RANDBETWEEN(8000,200000),RANDBETWEEN(5000,100000)))))</f>
        <v>28063</v>
      </c>
      <c r="AW632" s="2">
        <f ca="1">INT(AV632*RANDBETWEEN(30,60)/100)</f>
        <v>12067</v>
      </c>
      <c r="AX632">
        <f ca="1">IF(Z632="ORAL",RANDBETWEEN(1000,10000),IF(OR(Z632="INTRAVENOSA",Z632="INTRAMUSCULAR"),RANDBETWEEN(100,2000),IF(OR(Z632="OFTÁLMICA",Z632="TOPICA (EXTERNA)"),RANDBETWEEN(200,3000),RANDBETWEEN(100,1500))))</f>
        <v>8133</v>
      </c>
      <c r="AY632" s="2">
        <f ca="1">INT(AV632*RANDBETWEEN(90,130)/100)</f>
        <v>29466</v>
      </c>
      <c r="AZ632" t="str">
        <f t="shared" ca="1" si="48"/>
        <v>9.3%</v>
      </c>
      <c r="BA632" t="str">
        <f t="shared" ca="1" si="49"/>
        <v>BAJO</v>
      </c>
    </row>
    <row r="633" spans="4:53" x14ac:dyDescent="0.35">
      <c r="D633" t="s">
        <v>4260</v>
      </c>
      <c r="E633" s="1">
        <v>43286</v>
      </c>
      <c r="F633" t="s">
        <v>2901</v>
      </c>
      <c r="G633" t="s">
        <v>108</v>
      </c>
      <c r="H633" t="s">
        <v>168</v>
      </c>
      <c r="I633">
        <v>20117157</v>
      </c>
      <c r="J633" t="s">
        <v>28</v>
      </c>
      <c r="K633">
        <v>2</v>
      </c>
      <c r="L633" t="s">
        <v>27</v>
      </c>
      <c r="M633" t="s">
        <v>4261</v>
      </c>
      <c r="N633" t="s">
        <v>4262</v>
      </c>
      <c r="O633" t="s">
        <v>4263</v>
      </c>
      <c r="P633" t="s">
        <v>29</v>
      </c>
      <c r="Q633" s="1">
        <v>43042</v>
      </c>
      <c r="R633" t="s">
        <v>29</v>
      </c>
      <c r="S633" t="s">
        <v>27</v>
      </c>
      <c r="T633" t="s">
        <v>172</v>
      </c>
      <c r="U633" t="s">
        <v>115</v>
      </c>
      <c r="V633" t="s">
        <v>4264</v>
      </c>
      <c r="W633">
        <v>5</v>
      </c>
      <c r="X633">
        <v>20117157</v>
      </c>
      <c r="Y633" t="s">
        <v>4265</v>
      </c>
      <c r="Z633" t="s">
        <v>119</v>
      </c>
      <c r="AA633" t="s">
        <v>24</v>
      </c>
      <c r="AB633" t="s">
        <v>120</v>
      </c>
      <c r="AC633" t="s">
        <v>25</v>
      </c>
      <c r="AD633" t="s">
        <v>121</v>
      </c>
      <c r="AE633">
        <v>30</v>
      </c>
      <c r="AF633" t="s">
        <v>27</v>
      </c>
      <c r="AG633" t="s">
        <v>26</v>
      </c>
      <c r="AH633" t="s">
        <v>2901</v>
      </c>
      <c r="AI633" t="str">
        <f t="shared" si="45"/>
        <v>NO</v>
      </c>
      <c r="AJ633" t="str">
        <f t="shared" si="46"/>
        <v>NOVAMED</v>
      </c>
      <c r="AK633" t="str">
        <f>IF(ISNUMBER(SEARCH("FABRICANTE",AC633)),"FABRICANTE",IF(ISNUMBER(SEARCH("IMPORTADOR",AC633)),"IMPORTADOR","OTRO"))</f>
        <v>FABRICANTE</v>
      </c>
      <c r="AL633" t="str">
        <f>IF(LEFT(Y633,1)="A","Sistema digestivo",IF(LEFT(Y633,1)="B","Sangre",IF(LEFT(Y633,1)="C","Cardiovascular",IF(LEFT(Y633,1)="D","Dermatológico",IF(LEFT(Y633,1)="G","Genitourinario",IF(LEFT(Y633,1)="H","Hormonal",IF(LEFT(Y633,1)="J","Antiinfecciosos",IF(LEFT(Y633,1)="L","Oncológicos",IF(LEFT(Y633,1)="M","Musculoesquelético",IF(LEFT(Y633,1)="N","Sistema nervioso",IF(LEFT(Y633,1)="R","Respiratorio",IF(LEFT(Y633,1)="S","Oftálmico",IF(LEFT(Y633,1)="V","Varios","OTRO")))))))))))))</f>
        <v>Respiratorio</v>
      </c>
      <c r="AM633" t="str">
        <f>IF(AG633="Vigente","ACTIVO",IF(ISNUMBER(SEARCH("Inactivo",J633)),"INACTIVO","REVISAR"))</f>
        <v>ACTIVO</v>
      </c>
      <c r="AN633" t="str">
        <f ca="1">IF(OR(AF633="",AF633="null"),"",ROUND((AF633-TODAY())/365.25,2))</f>
        <v/>
      </c>
      <c r="AO633" t="str">
        <f ca="1">IF(AND(AG633="Vigente",OR(AF633="",AF633="null",AF633&gt;TODAY())),"SI",IF(AND(NOT(OR(AF633="",AF633="null")),AF633&lt;=TODAY()),"NO",IF(AG633="Vigente","SI","DESCONOCIDO")))</f>
        <v>SI</v>
      </c>
      <c r="AP633" t="str">
        <f>IF(AND(ISNUMBER(SEARCH("IMPORTAR",AA633)),ISNUMBER(SEARCH("FABRICAR",AA633))),"MIXTO",IF(ISNUMBER(SEARCH("IMPORTAR",AA633)),"IMPORTADO",IF(ISNUMBER(SEARCH("FABRICAR",AA633)),"LOCAL","OTRO")))</f>
        <v>LOCAL</v>
      </c>
      <c r="AQ633" t="str">
        <f>IF(AD633="Si","SI",IF(AD633="No","NO",""))</f>
        <v>NO</v>
      </c>
      <c r="AR633" t="str">
        <f>IF(ISNUMBER(SEARCH("®",N633)),"MARCA/INNOVADOR","GENERICO")</f>
        <v>MARCA/INNOVADOR</v>
      </c>
      <c r="AS633">
        <f ca="1">IF(AE633&gt;100,RANDBETWEEN(500,5000),IF(AND(AE633&gt;=10,AE633&lt;=100),RANDBETWEEN(100,1000),RANDBETWEEN(10,200)))</f>
        <v>464</v>
      </c>
      <c r="AT633">
        <f t="shared" ca="1" si="47"/>
        <v>106</v>
      </c>
      <c r="AU633">
        <f ca="1">INT(AS633*RANDBETWEEN(120,200)/100)</f>
        <v>570</v>
      </c>
      <c r="AV633" s="2">
        <f ca="1">IF(LEFT(Y633,1)="L",RANDBETWEEN(500000,5000000),IF(LEFT(Y633,1)="C",RANDBETWEEN(5000,50000),IF(LEFT(Y633,1)="N",RANDBETWEEN(10000,150000),IF(LEFT(Y633,1)="J",RANDBETWEEN(8000,200000),RANDBETWEEN(5000,100000)))))</f>
        <v>83498</v>
      </c>
      <c r="AW633" s="2">
        <f ca="1">INT(AV633*RANDBETWEEN(30,60)/100)</f>
        <v>31729</v>
      </c>
      <c r="AX633">
        <f ca="1">IF(Z633="ORAL",RANDBETWEEN(1000,10000),IF(OR(Z633="INTRAVENOSA",Z633="INTRAMUSCULAR"),RANDBETWEEN(100,2000),IF(OR(Z633="OFTÁLMICA",Z633="TOPICA (EXTERNA)"),RANDBETWEEN(200,3000),RANDBETWEEN(100,1500))))</f>
        <v>4908</v>
      </c>
      <c r="AY633" s="2">
        <f ca="1">INT(AV633*RANDBETWEEN(90,130)/100)</f>
        <v>82663</v>
      </c>
      <c r="AZ633" t="str">
        <f t="shared" ca="1" si="48"/>
        <v>11.8%</v>
      </c>
      <c r="BA633" t="str">
        <f t="shared" ca="1" si="49"/>
        <v>BAJO</v>
      </c>
    </row>
    <row r="634" spans="4:53" x14ac:dyDescent="0.35">
      <c r="D634" t="s">
        <v>4266</v>
      </c>
      <c r="E634" s="1">
        <v>41114</v>
      </c>
      <c r="F634" t="s">
        <v>692</v>
      </c>
      <c r="G634" t="s">
        <v>108</v>
      </c>
      <c r="H634" t="s">
        <v>325</v>
      </c>
      <c r="I634">
        <v>20044617</v>
      </c>
      <c r="J634" t="s">
        <v>28</v>
      </c>
      <c r="K634">
        <v>4</v>
      </c>
      <c r="L634" t="s">
        <v>4267</v>
      </c>
      <c r="M634" t="s">
        <v>4268</v>
      </c>
      <c r="N634" t="s">
        <v>4269</v>
      </c>
      <c r="O634" t="s">
        <v>4270</v>
      </c>
      <c r="P634" t="s">
        <v>659</v>
      </c>
      <c r="Q634" s="1">
        <v>41096</v>
      </c>
      <c r="R634" t="s">
        <v>37</v>
      </c>
      <c r="S634" t="s">
        <v>27</v>
      </c>
      <c r="T634" t="s">
        <v>325</v>
      </c>
      <c r="U634" t="s">
        <v>115</v>
      </c>
      <c r="V634" t="s">
        <v>692</v>
      </c>
      <c r="W634">
        <v>200</v>
      </c>
      <c r="X634">
        <v>20044617</v>
      </c>
      <c r="Y634" t="s">
        <v>699</v>
      </c>
      <c r="Z634" t="s">
        <v>119</v>
      </c>
      <c r="AA634" t="s">
        <v>24</v>
      </c>
      <c r="AB634" t="s">
        <v>120</v>
      </c>
      <c r="AC634" t="s">
        <v>25</v>
      </c>
      <c r="AD634" t="s">
        <v>121</v>
      </c>
      <c r="AE634">
        <v>300</v>
      </c>
      <c r="AF634" t="s">
        <v>27</v>
      </c>
      <c r="AG634" t="s">
        <v>26</v>
      </c>
      <c r="AH634" t="s">
        <v>692</v>
      </c>
      <c r="AI634" t="str">
        <f t="shared" si="45"/>
        <v>NO</v>
      </c>
      <c r="AJ634" t="str">
        <f t="shared" si="46"/>
        <v>LABORATORIO PROFESIONAL FARMACEUTICO - LABORATORIOS LAPROFF</v>
      </c>
      <c r="AK634" t="str">
        <f>IF(ISNUMBER(SEARCH("FABRICANTE",AC634)),"FABRICANTE",IF(ISNUMBER(SEARCH("IMPORTADOR",AC634)),"IMPORTADOR","OTRO"))</f>
        <v>FABRICANTE</v>
      </c>
      <c r="AL634" t="str">
        <f>IF(LEFT(Y634,1)="A","Sistema digestivo",IF(LEFT(Y634,1)="B","Sangre",IF(LEFT(Y634,1)="C","Cardiovascular",IF(LEFT(Y634,1)="D","Dermatológico",IF(LEFT(Y634,1)="G","Genitourinario",IF(LEFT(Y634,1)="H","Hormonal",IF(LEFT(Y634,1)="J","Antiinfecciosos",IF(LEFT(Y634,1)="L","Oncológicos",IF(LEFT(Y634,1)="M","Musculoesquelético",IF(LEFT(Y634,1)="N","Sistema nervioso",IF(LEFT(Y634,1)="R","Respiratorio",IF(LEFT(Y634,1)="S","Oftálmico",IF(LEFT(Y634,1)="V","Varios","OTRO")))))))))))))</f>
        <v>Antiinfecciosos</v>
      </c>
      <c r="AM634" t="str">
        <f>IF(AG634="Vigente","ACTIVO",IF(ISNUMBER(SEARCH("Inactivo",J634)),"INACTIVO","REVISAR"))</f>
        <v>ACTIVO</v>
      </c>
      <c r="AN634" t="str">
        <f ca="1">IF(OR(AF634="",AF634="null"),"",ROUND((AF634-TODAY())/365.25,2))</f>
        <v/>
      </c>
      <c r="AO634" t="str">
        <f ca="1">IF(AND(AG634="Vigente",OR(AF634="",AF634="null",AF634&gt;TODAY())),"SI",IF(AND(NOT(OR(AF634="",AF634="null")),AF634&lt;=TODAY()),"NO",IF(AG634="Vigente","SI","DESCONOCIDO")))</f>
        <v>SI</v>
      </c>
      <c r="AP634" t="str">
        <f>IF(AND(ISNUMBER(SEARCH("IMPORTAR",AA634)),ISNUMBER(SEARCH("FABRICAR",AA634))),"MIXTO",IF(ISNUMBER(SEARCH("IMPORTAR",AA634)),"IMPORTADO",IF(ISNUMBER(SEARCH("FABRICAR",AA634)),"LOCAL","OTRO")))</f>
        <v>LOCAL</v>
      </c>
      <c r="AQ634" t="str">
        <f>IF(AD634="Si","SI",IF(AD634="No","NO",""))</f>
        <v>NO</v>
      </c>
      <c r="AR634" t="str">
        <f>IF(ISNUMBER(SEARCH("®",N634)),"MARCA/INNOVADOR","GENERICO")</f>
        <v>GENERICO</v>
      </c>
      <c r="AS634">
        <f ca="1">IF(AE634&gt;100,RANDBETWEEN(500,5000),IF(AND(AE634&gt;=10,AE634&lt;=100),RANDBETWEEN(100,1000),RANDBETWEEN(10,200)))</f>
        <v>584</v>
      </c>
      <c r="AT634">
        <f t="shared" ca="1" si="47"/>
        <v>110</v>
      </c>
      <c r="AU634">
        <f ca="1">INT(AS634*RANDBETWEEN(120,200)/100)</f>
        <v>782</v>
      </c>
      <c r="AV634" s="2">
        <f ca="1">IF(LEFT(Y634,1)="L",RANDBETWEEN(500000,5000000),IF(LEFT(Y634,1)="C",RANDBETWEEN(5000,50000),IF(LEFT(Y634,1)="N",RANDBETWEEN(10000,150000),IF(LEFT(Y634,1)="J",RANDBETWEEN(8000,200000),RANDBETWEEN(5000,100000)))))</f>
        <v>72339</v>
      </c>
      <c r="AW634" s="2">
        <f ca="1">INT(AV634*RANDBETWEEN(30,60)/100)</f>
        <v>40509</v>
      </c>
      <c r="AX634">
        <f ca="1">IF(Z634="ORAL",RANDBETWEEN(1000,10000),IF(OR(Z634="INTRAVENOSA",Z634="INTRAMUSCULAR"),RANDBETWEEN(100,2000),IF(OR(Z634="OFTÁLMICA",Z634="TOPICA (EXTERNA)"),RANDBETWEEN(200,3000),RANDBETWEEN(100,1500))))</f>
        <v>4616</v>
      </c>
      <c r="AY634" s="2">
        <f ca="1">INT(AV634*RANDBETWEEN(90,130)/100)</f>
        <v>87530</v>
      </c>
      <c r="AZ634" t="str">
        <f t="shared" ca="1" si="48"/>
        <v>22.3%</v>
      </c>
      <c r="BA634" t="str">
        <f t="shared" ca="1" si="49"/>
        <v>BAJO</v>
      </c>
    </row>
    <row r="635" spans="4:53" x14ac:dyDescent="0.35">
      <c r="D635" t="s">
        <v>4271</v>
      </c>
      <c r="E635" s="1">
        <v>44351</v>
      </c>
      <c r="F635" t="s">
        <v>1734</v>
      </c>
      <c r="G635" t="s">
        <v>108</v>
      </c>
      <c r="H635" t="s">
        <v>4272</v>
      </c>
      <c r="I635">
        <v>20174478</v>
      </c>
      <c r="J635" t="s">
        <v>28</v>
      </c>
      <c r="K635">
        <v>3</v>
      </c>
      <c r="L635" t="s">
        <v>4273</v>
      </c>
      <c r="M635" t="s">
        <v>4274</v>
      </c>
      <c r="N635" t="s">
        <v>4275</v>
      </c>
      <c r="O635" t="s">
        <v>4276</v>
      </c>
      <c r="P635" t="s">
        <v>3607</v>
      </c>
      <c r="Q635" s="1">
        <v>44280</v>
      </c>
      <c r="R635" t="s">
        <v>78</v>
      </c>
      <c r="S635" t="s">
        <v>27</v>
      </c>
      <c r="T635" t="s">
        <v>1445</v>
      </c>
      <c r="U635" t="s">
        <v>247</v>
      </c>
      <c r="V635" t="s">
        <v>64</v>
      </c>
      <c r="W635" t="s">
        <v>4277</v>
      </c>
      <c r="X635">
        <v>20174478</v>
      </c>
      <c r="Y635" t="s">
        <v>4278</v>
      </c>
      <c r="Z635" t="s">
        <v>119</v>
      </c>
      <c r="AA635" t="s">
        <v>24</v>
      </c>
      <c r="AB635" t="s">
        <v>250</v>
      </c>
      <c r="AC635" t="s">
        <v>25</v>
      </c>
      <c r="AD635" t="s">
        <v>121</v>
      </c>
      <c r="AE635">
        <v>30</v>
      </c>
      <c r="AF635" t="s">
        <v>27</v>
      </c>
      <c r="AG635" t="s">
        <v>26</v>
      </c>
      <c r="AH635" t="s">
        <v>6760</v>
      </c>
      <c r="AI635" t="str">
        <f t="shared" si="45"/>
        <v>NO</v>
      </c>
      <c r="AJ635" t="str">
        <f t="shared" si="46"/>
        <v>BIOQUIMICO PHARMAS.A.</v>
      </c>
      <c r="AK635" t="str">
        <f>IF(ISNUMBER(SEARCH("FABRICANTE",AC635)),"FABRICANTE",IF(ISNUMBER(SEARCH("IMPORTADOR",AC635)),"IMPORTADOR","OTRO"))</f>
        <v>FABRICANTE</v>
      </c>
      <c r="AL635" t="str">
        <f>IF(LEFT(Y635,1)="A","Sistema digestivo",IF(LEFT(Y635,1)="B","Sangre",IF(LEFT(Y635,1)="C","Cardiovascular",IF(LEFT(Y635,1)="D","Dermatológico",IF(LEFT(Y635,1)="G","Genitourinario",IF(LEFT(Y635,1)="H","Hormonal",IF(LEFT(Y635,1)="J","Antiinfecciosos",IF(LEFT(Y635,1)="L","Oncológicos",IF(LEFT(Y635,1)="M","Musculoesquelético",IF(LEFT(Y635,1)="N","Sistema nervioso",IF(LEFT(Y635,1)="R","Respiratorio",IF(LEFT(Y635,1)="S","Oftálmico",IF(LEFT(Y635,1)="V","Varios","OTRO")))))))))))))</f>
        <v>Sistema digestivo</v>
      </c>
      <c r="AM635" t="str">
        <f>IF(AG635="Vigente","ACTIVO",IF(ISNUMBER(SEARCH("Inactivo",J635)),"INACTIVO","REVISAR"))</f>
        <v>ACTIVO</v>
      </c>
      <c r="AN635" t="str">
        <f ca="1">IF(OR(AF635="",AF635="null"),"",ROUND((AF635-TODAY())/365.25,2))</f>
        <v/>
      </c>
      <c r="AO635" t="str">
        <f ca="1">IF(AND(AG635="Vigente",OR(AF635="",AF635="null",AF635&gt;TODAY())),"SI",IF(AND(NOT(OR(AF635="",AF635="null")),AF635&lt;=TODAY()),"NO",IF(AG635="Vigente","SI","DESCONOCIDO")))</f>
        <v>SI</v>
      </c>
      <c r="AP635" t="str">
        <f>IF(AND(ISNUMBER(SEARCH("IMPORTAR",AA635)),ISNUMBER(SEARCH("FABRICAR",AA635))),"MIXTO",IF(ISNUMBER(SEARCH("IMPORTAR",AA635)),"IMPORTADO",IF(ISNUMBER(SEARCH("FABRICAR",AA635)),"LOCAL","OTRO")))</f>
        <v>LOCAL</v>
      </c>
      <c r="AQ635" t="str">
        <f>IF(AD635="Si","SI",IF(AD635="No","NO",""))</f>
        <v>NO</v>
      </c>
      <c r="AR635" t="str">
        <f>IF(ISNUMBER(SEARCH("®",N635)),"MARCA/INNOVADOR","GENERICO")</f>
        <v>MARCA/INNOVADOR</v>
      </c>
      <c r="AS635">
        <f ca="1">IF(AE635&gt;100,RANDBETWEEN(500,5000),IF(AND(AE635&gt;=10,AE635&lt;=100),RANDBETWEEN(100,1000),RANDBETWEEN(10,200)))</f>
        <v>972</v>
      </c>
      <c r="AT635">
        <f t="shared" ca="1" si="47"/>
        <v>204</v>
      </c>
      <c r="AU635">
        <f ca="1">INT(AS635*RANDBETWEEN(120,200)/100)</f>
        <v>1351</v>
      </c>
      <c r="AV635" s="2">
        <f ca="1">IF(LEFT(Y635,1)="L",RANDBETWEEN(500000,5000000),IF(LEFT(Y635,1)="C",RANDBETWEEN(5000,50000),IF(LEFT(Y635,1)="N",RANDBETWEEN(10000,150000),IF(LEFT(Y635,1)="J",RANDBETWEEN(8000,200000),RANDBETWEEN(5000,100000)))))</f>
        <v>92136</v>
      </c>
      <c r="AW635" s="2">
        <f ca="1">INT(AV635*RANDBETWEEN(30,60)/100)</f>
        <v>50674</v>
      </c>
      <c r="AX635">
        <f ca="1">IF(Z635="ORAL",RANDBETWEEN(1000,10000),IF(OR(Z635="INTRAVENOSA",Z635="INTRAMUSCULAR"),RANDBETWEEN(100,2000),IF(OR(Z635="OFTÁLMICA",Z635="TOPICA (EXTERNA)"),RANDBETWEEN(200,3000),RANDBETWEEN(100,1500))))</f>
        <v>7674</v>
      </c>
      <c r="AY635" s="2">
        <f ca="1">INT(AV635*RANDBETWEEN(90,130)/100)</f>
        <v>106877</v>
      </c>
      <c r="AZ635" t="str">
        <f t="shared" ca="1" si="48"/>
        <v>5.3%</v>
      </c>
      <c r="BA635" t="str">
        <f t="shared" ca="1" si="49"/>
        <v>BAJO</v>
      </c>
    </row>
    <row r="636" spans="4:53" x14ac:dyDescent="0.35">
      <c r="D636" t="s">
        <v>4279</v>
      </c>
      <c r="E636" s="1">
        <v>42020</v>
      </c>
      <c r="F636" t="s">
        <v>4280</v>
      </c>
      <c r="G636" t="s">
        <v>108</v>
      </c>
      <c r="H636" t="s">
        <v>549</v>
      </c>
      <c r="I636">
        <v>20057807</v>
      </c>
      <c r="J636" t="s">
        <v>28</v>
      </c>
      <c r="K636">
        <v>1</v>
      </c>
      <c r="L636" t="s">
        <v>27</v>
      </c>
      <c r="M636" t="s">
        <v>4281</v>
      </c>
      <c r="N636" t="s">
        <v>4282</v>
      </c>
      <c r="O636" t="s">
        <v>4283</v>
      </c>
      <c r="P636" t="s">
        <v>4284</v>
      </c>
      <c r="Q636" s="1">
        <v>41660</v>
      </c>
      <c r="R636" t="s">
        <v>258</v>
      </c>
      <c r="S636" t="s">
        <v>27</v>
      </c>
      <c r="T636" t="s">
        <v>549</v>
      </c>
      <c r="U636" t="s">
        <v>247</v>
      </c>
      <c r="V636" t="s">
        <v>64</v>
      </c>
      <c r="W636" t="s">
        <v>4285</v>
      </c>
      <c r="X636">
        <v>20057807</v>
      </c>
      <c r="Y636" t="s">
        <v>259</v>
      </c>
      <c r="Z636" t="s">
        <v>260</v>
      </c>
      <c r="AA636" t="s">
        <v>32</v>
      </c>
      <c r="AB636" t="s">
        <v>120</v>
      </c>
      <c r="AC636" t="s">
        <v>38</v>
      </c>
      <c r="AD636" t="s">
        <v>121</v>
      </c>
      <c r="AE636">
        <v>1</v>
      </c>
      <c r="AF636" t="s">
        <v>27</v>
      </c>
      <c r="AG636" t="s">
        <v>26</v>
      </c>
      <c r="AH636" t="s">
        <v>4280</v>
      </c>
      <c r="AI636" t="str">
        <f t="shared" si="45"/>
        <v>NO</v>
      </c>
      <c r="AJ636" t="str">
        <f t="shared" si="46"/>
        <v>LABORATORIOS BAXTER</v>
      </c>
      <c r="AK636" t="str">
        <f>IF(ISNUMBER(SEARCH("FABRICANTE",AC636)),"FABRICANTE",IF(ISNUMBER(SEARCH("IMPORTADOR",AC636)),"IMPORTADOR","OTRO"))</f>
        <v>IMPORTADOR</v>
      </c>
      <c r="AL636" t="str">
        <f>IF(LEFT(Y636,1)="A","Sistema digestivo",IF(LEFT(Y636,1)="B","Sangre",IF(LEFT(Y636,1)="C","Cardiovascular",IF(LEFT(Y636,1)="D","Dermatológico",IF(LEFT(Y636,1)="G","Genitourinario",IF(LEFT(Y636,1)="H","Hormonal",IF(LEFT(Y636,1)="J","Antiinfecciosos",IF(LEFT(Y636,1)="L","Oncológicos",IF(LEFT(Y636,1)="M","Musculoesquelético",IF(LEFT(Y636,1)="N","Sistema nervioso",IF(LEFT(Y636,1)="R","Respiratorio",IF(LEFT(Y636,1)="S","Oftálmico",IF(LEFT(Y636,1)="V","Varios","OTRO")))))))))))))</f>
        <v>Sangre</v>
      </c>
      <c r="AM636" t="str">
        <f>IF(AG636="Vigente","ACTIVO",IF(ISNUMBER(SEARCH("Inactivo",J636)),"INACTIVO","REVISAR"))</f>
        <v>ACTIVO</v>
      </c>
      <c r="AN636" t="str">
        <f ca="1">IF(OR(AF636="",AF636="null"),"",ROUND((AF636-TODAY())/365.25,2))</f>
        <v/>
      </c>
      <c r="AO636" t="str">
        <f ca="1">IF(AND(AG636="Vigente",OR(AF636="",AF636="null",AF636&gt;TODAY())),"SI",IF(AND(NOT(OR(AF636="",AF636="null")),AF636&lt;=TODAY()),"NO",IF(AG636="Vigente","SI","DESCONOCIDO")))</f>
        <v>SI</v>
      </c>
      <c r="AP636" t="str">
        <f>IF(AND(ISNUMBER(SEARCH("IMPORTAR",AA636)),ISNUMBER(SEARCH("FABRICAR",AA636))),"MIXTO",IF(ISNUMBER(SEARCH("IMPORTAR",AA636)),"IMPORTADO",IF(ISNUMBER(SEARCH("FABRICAR",AA636)),"LOCAL","OTRO")))</f>
        <v>IMPORTADO</v>
      </c>
      <c r="AQ636" t="str">
        <f>IF(AD636="Si","SI",IF(AD636="No","NO",""))</f>
        <v>NO</v>
      </c>
      <c r="AR636" t="str">
        <f>IF(ISNUMBER(SEARCH("®",N636)),"MARCA/INNOVADOR","GENERICO")</f>
        <v>MARCA/INNOVADOR</v>
      </c>
      <c r="AS636">
        <f ca="1">IF(AE636&gt;100,RANDBETWEEN(500,5000),IF(AND(AE636&gt;=10,AE636&lt;=100),RANDBETWEEN(100,1000),RANDBETWEEN(10,200)))</f>
        <v>141</v>
      </c>
      <c r="AT636">
        <f t="shared" ca="1" si="47"/>
        <v>28</v>
      </c>
      <c r="AU636">
        <f ca="1">INT(AS636*RANDBETWEEN(120,200)/100)</f>
        <v>270</v>
      </c>
      <c r="AV636" s="2">
        <f ca="1">IF(LEFT(Y636,1)="L",RANDBETWEEN(500000,5000000),IF(LEFT(Y636,1)="C",RANDBETWEEN(5000,50000),IF(LEFT(Y636,1)="N",RANDBETWEEN(10000,150000),IF(LEFT(Y636,1)="J",RANDBETWEEN(8000,200000),RANDBETWEEN(5000,100000)))))</f>
        <v>45961</v>
      </c>
      <c r="AW636" s="2">
        <f ca="1">INT(AV636*RANDBETWEEN(30,60)/100)</f>
        <v>23899</v>
      </c>
      <c r="AX636">
        <f ca="1">IF(Z636="ORAL",RANDBETWEEN(1000,10000),IF(OR(Z636="INTRAVENOSA",Z636="INTRAMUSCULAR"),RANDBETWEEN(100,2000),IF(OR(Z636="OFTÁLMICA",Z636="TOPICA (EXTERNA)"),RANDBETWEEN(200,3000),RANDBETWEEN(100,1500))))</f>
        <v>1816</v>
      </c>
      <c r="AY636" s="2">
        <f ca="1">INT(AV636*RANDBETWEEN(90,130)/100)</f>
        <v>45041</v>
      </c>
      <c r="AZ636" t="str">
        <f t="shared" ca="1" si="48"/>
        <v>4.1%</v>
      </c>
      <c r="BA636" t="str">
        <f t="shared" ca="1" si="49"/>
        <v>BAJO</v>
      </c>
    </row>
    <row r="637" spans="4:53" x14ac:dyDescent="0.35">
      <c r="D637" t="s">
        <v>4286</v>
      </c>
      <c r="E637" s="1">
        <v>36385</v>
      </c>
      <c r="F637" t="s">
        <v>2704</v>
      </c>
      <c r="G637" t="s">
        <v>108</v>
      </c>
      <c r="H637" t="s">
        <v>1490</v>
      </c>
      <c r="I637">
        <v>19902458</v>
      </c>
      <c r="J637" t="s">
        <v>28</v>
      </c>
      <c r="K637">
        <v>1</v>
      </c>
      <c r="L637" t="s">
        <v>27</v>
      </c>
      <c r="M637" t="s">
        <v>4287</v>
      </c>
      <c r="N637" t="s">
        <v>4288</v>
      </c>
      <c r="O637" t="s">
        <v>4289</v>
      </c>
      <c r="P637" t="s">
        <v>29</v>
      </c>
      <c r="Q637" s="1">
        <v>39031</v>
      </c>
      <c r="R637" t="s">
        <v>29</v>
      </c>
      <c r="S637" t="s">
        <v>27</v>
      </c>
      <c r="T637" t="s">
        <v>1490</v>
      </c>
      <c r="U637" t="s">
        <v>115</v>
      </c>
      <c r="V637" t="s">
        <v>4290</v>
      </c>
      <c r="W637">
        <v>10</v>
      </c>
      <c r="X637">
        <v>19902458</v>
      </c>
      <c r="Y637" t="s">
        <v>4291</v>
      </c>
      <c r="Z637" t="s">
        <v>119</v>
      </c>
      <c r="AA637" t="s">
        <v>24</v>
      </c>
      <c r="AB637" t="s">
        <v>120</v>
      </c>
      <c r="AC637" t="s">
        <v>25</v>
      </c>
      <c r="AD637" t="s">
        <v>121</v>
      </c>
      <c r="AE637">
        <v>5</v>
      </c>
      <c r="AF637" t="s">
        <v>27</v>
      </c>
      <c r="AG637" t="s">
        <v>26</v>
      </c>
      <c r="AH637" t="s">
        <v>3846</v>
      </c>
      <c r="AI637" t="str">
        <f t="shared" si="45"/>
        <v>NO</v>
      </c>
      <c r="AJ637" t="str">
        <f t="shared" si="46"/>
        <v>LABORATORIO FRANCO COLOMBIANO - LAFRANCOL</v>
      </c>
      <c r="AK637" t="str">
        <f>IF(ISNUMBER(SEARCH("FABRICANTE",AC637)),"FABRICANTE",IF(ISNUMBER(SEARCH("IMPORTADOR",AC637)),"IMPORTADOR","OTRO"))</f>
        <v>FABRICANTE</v>
      </c>
      <c r="AL637" t="str">
        <f>IF(LEFT(Y637,1)="A","Sistema digestivo",IF(LEFT(Y637,1)="B","Sangre",IF(LEFT(Y637,1)="C","Cardiovascular",IF(LEFT(Y637,1)="D","Dermatológico",IF(LEFT(Y637,1)="G","Genitourinario",IF(LEFT(Y637,1)="H","Hormonal",IF(LEFT(Y637,1)="J","Antiinfecciosos",IF(LEFT(Y637,1)="L","Oncológicos",IF(LEFT(Y637,1)="M","Musculoesquelético",IF(LEFT(Y637,1)="N","Sistema nervioso",IF(LEFT(Y637,1)="R","Respiratorio",IF(LEFT(Y637,1)="S","Oftálmico",IF(LEFT(Y637,1)="V","Varios","OTRO")))))))))))))</f>
        <v>Cardiovascular</v>
      </c>
      <c r="AM637" t="str">
        <f>IF(AG637="Vigente","ACTIVO",IF(ISNUMBER(SEARCH("Inactivo",J637)),"INACTIVO","REVISAR"))</f>
        <v>ACTIVO</v>
      </c>
      <c r="AN637" t="str">
        <f ca="1">IF(OR(AF637="",AF637="null"),"",ROUND((AF637-TODAY())/365.25,2))</f>
        <v/>
      </c>
      <c r="AO637" t="str">
        <f ca="1">IF(AND(AG637="Vigente",OR(AF637="",AF637="null",AF637&gt;TODAY())),"SI",IF(AND(NOT(OR(AF637="",AF637="null")),AF637&lt;=TODAY()),"NO",IF(AG637="Vigente","SI","DESCONOCIDO")))</f>
        <v>SI</v>
      </c>
      <c r="AP637" t="str">
        <f>IF(AND(ISNUMBER(SEARCH("IMPORTAR",AA637)),ISNUMBER(SEARCH("FABRICAR",AA637))),"MIXTO",IF(ISNUMBER(SEARCH("IMPORTAR",AA637)),"IMPORTADO",IF(ISNUMBER(SEARCH("FABRICAR",AA637)),"LOCAL","OTRO")))</f>
        <v>LOCAL</v>
      </c>
      <c r="AQ637" t="str">
        <f>IF(AD637="Si","SI",IF(AD637="No","NO",""))</f>
        <v>NO</v>
      </c>
      <c r="AR637" t="str">
        <f>IF(ISNUMBER(SEARCH("®",N637)),"MARCA/INNOVADOR","GENERICO")</f>
        <v>MARCA/INNOVADOR</v>
      </c>
      <c r="AS637">
        <f ca="1">IF(AE637&gt;100,RANDBETWEEN(500,5000),IF(AND(AE637&gt;=10,AE637&lt;=100),RANDBETWEEN(100,1000),RANDBETWEEN(10,200)))</f>
        <v>118</v>
      </c>
      <c r="AT637">
        <f t="shared" ca="1" si="47"/>
        <v>18</v>
      </c>
      <c r="AU637">
        <f ca="1">INT(AS637*RANDBETWEEN(120,200)/100)</f>
        <v>228</v>
      </c>
      <c r="AV637" s="2">
        <f ca="1">IF(LEFT(Y637,1)="L",RANDBETWEEN(500000,5000000),IF(LEFT(Y637,1)="C",RANDBETWEEN(5000,50000),IF(LEFT(Y637,1)="N",RANDBETWEEN(10000,150000),IF(LEFT(Y637,1)="J",RANDBETWEEN(8000,200000),RANDBETWEEN(5000,100000)))))</f>
        <v>29444</v>
      </c>
      <c r="AW637" s="2">
        <f ca="1">INT(AV637*RANDBETWEEN(30,60)/100)</f>
        <v>13838</v>
      </c>
      <c r="AX637">
        <f ca="1">IF(Z637="ORAL",RANDBETWEEN(1000,10000),IF(OR(Z637="INTRAVENOSA",Z637="INTRAMUSCULAR"),RANDBETWEEN(100,2000),IF(OR(Z637="OFTÁLMICA",Z637="TOPICA (EXTERNA)"),RANDBETWEEN(200,3000),RANDBETWEEN(100,1500))))</f>
        <v>3910</v>
      </c>
      <c r="AY637" s="2">
        <f ca="1">INT(AV637*RANDBETWEEN(90,130)/100)</f>
        <v>27677</v>
      </c>
      <c r="AZ637" t="str">
        <f t="shared" ca="1" si="48"/>
        <v>14.7%</v>
      </c>
      <c r="BA637" t="str">
        <f t="shared" ca="1" si="49"/>
        <v>BAJO</v>
      </c>
    </row>
    <row r="638" spans="4:53" x14ac:dyDescent="0.35">
      <c r="D638" t="s">
        <v>4292</v>
      </c>
      <c r="E638" s="1">
        <v>40665</v>
      </c>
      <c r="F638" t="s">
        <v>4293</v>
      </c>
      <c r="G638" t="s">
        <v>108</v>
      </c>
      <c r="H638" t="s">
        <v>158</v>
      </c>
      <c r="I638">
        <v>20023718</v>
      </c>
      <c r="J638" t="s">
        <v>28</v>
      </c>
      <c r="K638">
        <v>22</v>
      </c>
      <c r="L638" t="s">
        <v>27</v>
      </c>
      <c r="M638" t="s">
        <v>4294</v>
      </c>
      <c r="N638" t="s">
        <v>4295</v>
      </c>
      <c r="O638" t="s">
        <v>4296</v>
      </c>
      <c r="P638" t="s">
        <v>2643</v>
      </c>
      <c r="Q638" s="1">
        <v>40518</v>
      </c>
      <c r="R638" t="s">
        <v>47</v>
      </c>
      <c r="S638" t="s">
        <v>27</v>
      </c>
      <c r="T638" t="s">
        <v>4297</v>
      </c>
      <c r="U638" t="s">
        <v>115</v>
      </c>
      <c r="V638" t="s">
        <v>782</v>
      </c>
      <c r="W638">
        <v>75</v>
      </c>
      <c r="X638">
        <v>20023718</v>
      </c>
      <c r="Y638" t="s">
        <v>783</v>
      </c>
      <c r="Z638" t="s">
        <v>119</v>
      </c>
      <c r="AA638" t="s">
        <v>24</v>
      </c>
      <c r="AB638" t="s">
        <v>120</v>
      </c>
      <c r="AC638" t="s">
        <v>25</v>
      </c>
      <c r="AD638" t="s">
        <v>155</v>
      </c>
      <c r="AE638">
        <v>7</v>
      </c>
      <c r="AF638" t="s">
        <v>27</v>
      </c>
      <c r="AG638" t="s">
        <v>26</v>
      </c>
      <c r="AH638" t="s">
        <v>782</v>
      </c>
      <c r="AI638" t="str">
        <f t="shared" si="45"/>
        <v>SI</v>
      </c>
      <c r="AJ638" t="str">
        <f t="shared" si="46"/>
        <v>TECNOQUIMICAS (PLANTA YUMBO)</v>
      </c>
      <c r="AK638" t="str">
        <f>IF(ISNUMBER(SEARCH("FABRICANTE",AC638)),"FABRICANTE",IF(ISNUMBER(SEARCH("IMPORTADOR",AC638)),"IMPORTADOR","OTRO"))</f>
        <v>FABRICANTE</v>
      </c>
      <c r="AL638" t="str">
        <f>IF(LEFT(Y638,1)="A","Sistema digestivo",IF(LEFT(Y638,1)="B","Sangre",IF(LEFT(Y638,1)="C","Cardiovascular",IF(LEFT(Y638,1)="D","Dermatológico",IF(LEFT(Y638,1)="G","Genitourinario",IF(LEFT(Y638,1)="H","Hormonal",IF(LEFT(Y638,1)="J","Antiinfecciosos",IF(LEFT(Y638,1)="L","Oncológicos",IF(LEFT(Y638,1)="M","Musculoesquelético",IF(LEFT(Y638,1)="N","Sistema nervioso",IF(LEFT(Y638,1)="R","Respiratorio",IF(LEFT(Y638,1)="S","Oftálmico",IF(LEFT(Y638,1)="V","Varios","OTRO")))))))))))))</f>
        <v>Sistema nervioso</v>
      </c>
      <c r="AM638" t="str">
        <f>IF(AG638="Vigente","ACTIVO",IF(ISNUMBER(SEARCH("Inactivo",J638)),"INACTIVO","REVISAR"))</f>
        <v>ACTIVO</v>
      </c>
      <c r="AN638" t="str">
        <f ca="1">IF(OR(AF638="",AF638="null"),"",ROUND((AF638-TODAY())/365.25,2))</f>
        <v/>
      </c>
      <c r="AO638" t="str">
        <f ca="1">IF(AND(AG638="Vigente",OR(AF638="",AF638="null",AF638&gt;TODAY())),"SI",IF(AND(NOT(OR(AF638="",AF638="null")),AF638&lt;=TODAY()),"NO",IF(AG638="Vigente","SI","DESCONOCIDO")))</f>
        <v>SI</v>
      </c>
      <c r="AP638" t="str">
        <f>IF(AND(ISNUMBER(SEARCH("IMPORTAR",AA638)),ISNUMBER(SEARCH("FABRICAR",AA638))),"MIXTO",IF(ISNUMBER(SEARCH("IMPORTAR",AA638)),"IMPORTADO",IF(ISNUMBER(SEARCH("FABRICAR",AA638)),"LOCAL","OTRO")))</f>
        <v>LOCAL</v>
      </c>
      <c r="AQ638" t="str">
        <f>IF(AD638="Si","SI",IF(AD638="No","NO",""))</f>
        <v>SI</v>
      </c>
      <c r="AR638" t="str">
        <f>IF(ISNUMBER(SEARCH("®",N638)),"MARCA/INNOVADOR","GENERICO")</f>
        <v>GENERICO</v>
      </c>
      <c r="AS638">
        <f ca="1">IF(AE638&gt;100,RANDBETWEEN(500,5000),IF(AND(AE638&gt;=10,AE638&lt;=100),RANDBETWEEN(100,1000),RANDBETWEEN(10,200)))</f>
        <v>43</v>
      </c>
      <c r="AT638">
        <f t="shared" ca="1" si="47"/>
        <v>10</v>
      </c>
      <c r="AU638">
        <f ca="1">INT(AS638*RANDBETWEEN(120,200)/100)</f>
        <v>52</v>
      </c>
      <c r="AV638" s="2">
        <f ca="1">IF(LEFT(Y638,1)="L",RANDBETWEEN(500000,5000000),IF(LEFT(Y638,1)="C",RANDBETWEEN(5000,50000),IF(LEFT(Y638,1)="N",RANDBETWEEN(10000,150000),IF(LEFT(Y638,1)="J",RANDBETWEEN(8000,200000),RANDBETWEEN(5000,100000)))))</f>
        <v>18155</v>
      </c>
      <c r="AW638" s="2">
        <f ca="1">INT(AV638*RANDBETWEEN(30,60)/100)</f>
        <v>10166</v>
      </c>
      <c r="AX638">
        <f ca="1">IF(Z638="ORAL",RANDBETWEEN(1000,10000),IF(OR(Z638="INTRAVENOSA",Z638="INTRAMUSCULAR"),RANDBETWEEN(100,2000),IF(OR(Z638="OFTÁLMICA",Z638="TOPICA (EXTERNA)"),RANDBETWEEN(200,3000),RANDBETWEEN(100,1500))))</f>
        <v>8494</v>
      </c>
      <c r="AY638" s="2">
        <f ca="1">INT(AV638*RANDBETWEEN(90,130)/100)</f>
        <v>21967</v>
      </c>
      <c r="AZ638" t="str">
        <f t="shared" ca="1" si="48"/>
        <v>7%</v>
      </c>
      <c r="BA638" t="str">
        <f t="shared" ca="1" si="49"/>
        <v>BAJO</v>
      </c>
    </row>
    <row r="639" spans="4:53" x14ac:dyDescent="0.35">
      <c r="D639" t="s">
        <v>4298</v>
      </c>
      <c r="E639" s="1">
        <v>42397</v>
      </c>
      <c r="F639" t="s">
        <v>4299</v>
      </c>
      <c r="G639" t="s">
        <v>502</v>
      </c>
      <c r="H639" t="s">
        <v>3238</v>
      </c>
      <c r="I639">
        <v>20092761</v>
      </c>
      <c r="J639" t="s">
        <v>110</v>
      </c>
      <c r="K639">
        <v>6</v>
      </c>
      <c r="L639" t="s">
        <v>27</v>
      </c>
      <c r="M639" t="s">
        <v>4300</v>
      </c>
      <c r="N639" t="s">
        <v>4301</v>
      </c>
      <c r="O639" t="s">
        <v>4302</v>
      </c>
      <c r="P639" t="s">
        <v>4303</v>
      </c>
      <c r="Q639" s="1">
        <v>42387</v>
      </c>
      <c r="R639" t="s">
        <v>564</v>
      </c>
      <c r="S639" t="s">
        <v>27</v>
      </c>
      <c r="T639" t="s">
        <v>3238</v>
      </c>
      <c r="U639" t="s">
        <v>247</v>
      </c>
      <c r="V639" t="s">
        <v>3243</v>
      </c>
      <c r="W639">
        <v>10</v>
      </c>
      <c r="X639">
        <v>20092761</v>
      </c>
      <c r="Y639" t="s">
        <v>3244</v>
      </c>
      <c r="Z639" t="s">
        <v>566</v>
      </c>
      <c r="AA639" t="s">
        <v>24</v>
      </c>
      <c r="AB639" t="s">
        <v>250</v>
      </c>
      <c r="AC639" t="s">
        <v>25</v>
      </c>
      <c r="AD639" t="s">
        <v>121</v>
      </c>
      <c r="AE639">
        <v>3785</v>
      </c>
      <c r="AF639" t="s">
        <v>27</v>
      </c>
      <c r="AG639" t="s">
        <v>26</v>
      </c>
      <c r="AH639" t="s">
        <v>6822</v>
      </c>
      <c r="AI639" t="str">
        <f t="shared" si="45"/>
        <v>NO</v>
      </c>
      <c r="AJ639" t="str">
        <f t="shared" si="46"/>
        <v>ELECTROQUIMICA WEST</v>
      </c>
      <c r="AK639" t="str">
        <f>IF(ISNUMBER(SEARCH("FABRICANTE",AC639)),"FABRICANTE",IF(ISNUMBER(SEARCH("IMPORTADOR",AC639)),"IMPORTADOR","OTRO"))</f>
        <v>FABRICANTE</v>
      </c>
      <c r="AL639" t="str">
        <f>IF(LEFT(Y639,1)="A","Sistema digestivo",IF(LEFT(Y639,1)="B","Sangre",IF(LEFT(Y639,1)="C","Cardiovascular",IF(LEFT(Y639,1)="D","Dermatológico",IF(LEFT(Y639,1)="G","Genitourinario",IF(LEFT(Y639,1)="H","Hormonal",IF(LEFT(Y639,1)="J","Antiinfecciosos",IF(LEFT(Y639,1)="L","Oncológicos",IF(LEFT(Y639,1)="M","Musculoesquelético",IF(LEFT(Y639,1)="N","Sistema nervioso",IF(LEFT(Y639,1)="R","Respiratorio",IF(LEFT(Y639,1)="S","Oftálmico",IF(LEFT(Y639,1)="V","Varios","OTRO")))))))))))))</f>
        <v>Dermatológico</v>
      </c>
      <c r="AM639" t="str">
        <f>IF(AG639="Vigente","ACTIVO",IF(ISNUMBER(SEARCH("Inactivo",J639)),"INACTIVO","REVISAR"))</f>
        <v>ACTIVO</v>
      </c>
      <c r="AN639" t="str">
        <f ca="1">IF(OR(AF639="",AF639="null"),"",ROUND((AF639-TODAY())/365.25,2))</f>
        <v/>
      </c>
      <c r="AO639" t="str">
        <f ca="1">IF(AND(AG639="Vigente",OR(AF639="",AF639="null",AF639&gt;TODAY())),"SI",IF(AND(NOT(OR(AF639="",AF639="null")),AF639&lt;=TODAY()),"NO",IF(AG639="Vigente","SI","DESCONOCIDO")))</f>
        <v>SI</v>
      </c>
      <c r="AP639" t="str">
        <f>IF(AND(ISNUMBER(SEARCH("IMPORTAR",AA639)),ISNUMBER(SEARCH("FABRICAR",AA639))),"MIXTO",IF(ISNUMBER(SEARCH("IMPORTAR",AA639)),"IMPORTADO",IF(ISNUMBER(SEARCH("FABRICAR",AA639)),"LOCAL","OTRO")))</f>
        <v>LOCAL</v>
      </c>
      <c r="AQ639" t="str">
        <f>IF(AD639="Si","SI",IF(AD639="No","NO",""))</f>
        <v>NO</v>
      </c>
      <c r="AR639" t="str">
        <f>IF(ISNUMBER(SEARCH("®",N639)),"MARCA/INNOVADOR","GENERICO")</f>
        <v>MARCA/INNOVADOR</v>
      </c>
      <c r="AS639">
        <f ca="1">IF(AE639&gt;100,RANDBETWEEN(500,5000),IF(AND(AE639&gt;=10,AE639&lt;=100),RANDBETWEEN(100,1000),RANDBETWEEN(10,200)))</f>
        <v>554</v>
      </c>
      <c r="AT639">
        <f t="shared" ca="1" si="47"/>
        <v>88</v>
      </c>
      <c r="AU639">
        <f ca="1">INT(AS639*RANDBETWEEN(120,200)/100)</f>
        <v>897</v>
      </c>
      <c r="AV639" s="2">
        <f ca="1">IF(LEFT(Y639,1)="L",RANDBETWEEN(500000,5000000),IF(LEFT(Y639,1)="C",RANDBETWEEN(5000,50000),IF(LEFT(Y639,1)="N",RANDBETWEEN(10000,150000),IF(LEFT(Y639,1)="J",RANDBETWEEN(8000,200000),RANDBETWEEN(5000,100000)))))</f>
        <v>19376</v>
      </c>
      <c r="AW639" s="2">
        <f ca="1">INT(AV639*RANDBETWEEN(30,60)/100)</f>
        <v>8525</v>
      </c>
      <c r="AX639">
        <f ca="1">IF(Z639="ORAL",RANDBETWEEN(1000,10000),IF(OR(Z639="INTRAVENOSA",Z639="INTRAMUSCULAR"),RANDBETWEEN(100,2000),IF(OR(Z639="OFTÁLMICA",Z639="TOPICA (EXTERNA)"),RANDBETWEEN(200,3000),RANDBETWEEN(100,1500))))</f>
        <v>2965</v>
      </c>
      <c r="AY639" s="2">
        <f ca="1">INT(AV639*RANDBETWEEN(90,130)/100)</f>
        <v>22476</v>
      </c>
      <c r="AZ639" t="str">
        <f t="shared" ca="1" si="48"/>
        <v>7.3%</v>
      </c>
      <c r="BA639" t="str">
        <f t="shared" ca="1" si="49"/>
        <v>ALTO</v>
      </c>
    </row>
    <row r="640" spans="4:53" x14ac:dyDescent="0.35">
      <c r="D640" t="s">
        <v>4304</v>
      </c>
      <c r="E640" s="1">
        <v>45777</v>
      </c>
      <c r="F640" t="s">
        <v>4305</v>
      </c>
      <c r="G640" t="s">
        <v>108</v>
      </c>
      <c r="H640" t="s">
        <v>454</v>
      </c>
      <c r="I640">
        <v>20266166</v>
      </c>
      <c r="J640" t="s">
        <v>28</v>
      </c>
      <c r="K640">
        <v>10</v>
      </c>
      <c r="L640" t="s">
        <v>4306</v>
      </c>
      <c r="M640" t="s">
        <v>4307</v>
      </c>
      <c r="N640" t="s">
        <v>4308</v>
      </c>
      <c r="O640" t="s">
        <v>4309</v>
      </c>
      <c r="P640" t="s">
        <v>33</v>
      </c>
      <c r="Q640" s="1">
        <v>45398</v>
      </c>
      <c r="R640" t="s">
        <v>33</v>
      </c>
      <c r="S640" t="s">
        <v>27</v>
      </c>
      <c r="T640" t="s">
        <v>1784</v>
      </c>
      <c r="U640" t="s">
        <v>115</v>
      </c>
      <c r="V640" t="s">
        <v>528</v>
      </c>
      <c r="W640">
        <v>65</v>
      </c>
      <c r="X640">
        <v>20266166</v>
      </c>
      <c r="Y640" t="s">
        <v>529</v>
      </c>
      <c r="Z640" t="s">
        <v>119</v>
      </c>
      <c r="AA640" t="s">
        <v>24</v>
      </c>
      <c r="AB640" t="s">
        <v>120</v>
      </c>
      <c r="AC640" t="s">
        <v>25</v>
      </c>
      <c r="AD640" t="s">
        <v>121</v>
      </c>
      <c r="AE640">
        <v>60</v>
      </c>
      <c r="AF640" s="1">
        <v>47618</v>
      </c>
      <c r="AG640" t="s">
        <v>26</v>
      </c>
      <c r="AH640" t="s">
        <v>6684</v>
      </c>
      <c r="AI640" t="str">
        <f t="shared" si="45"/>
        <v>NO</v>
      </c>
      <c r="AJ640" t="str">
        <f t="shared" si="46"/>
        <v>COLMED</v>
      </c>
      <c r="AK640" t="str">
        <f>IF(ISNUMBER(SEARCH("FABRICANTE",AC640)),"FABRICANTE",IF(ISNUMBER(SEARCH("IMPORTADOR",AC640)),"IMPORTADOR","OTRO"))</f>
        <v>FABRICANTE</v>
      </c>
      <c r="AL640" t="str">
        <f>IF(LEFT(Y640,1)="A","Sistema digestivo",IF(LEFT(Y640,1)="B","Sangre",IF(LEFT(Y640,1)="C","Cardiovascular",IF(LEFT(Y640,1)="D","Dermatológico",IF(LEFT(Y640,1)="G","Genitourinario",IF(LEFT(Y640,1)="H","Hormonal",IF(LEFT(Y640,1)="J","Antiinfecciosos",IF(LEFT(Y640,1)="L","Oncológicos",IF(LEFT(Y640,1)="M","Musculoesquelético",IF(LEFT(Y640,1)="N","Sistema nervioso",IF(LEFT(Y640,1)="R","Respiratorio",IF(LEFT(Y640,1)="S","Oftálmico",IF(LEFT(Y640,1)="V","Varios","OTRO")))))))))))))</f>
        <v>Sistema nervioso</v>
      </c>
      <c r="AM640" t="str">
        <f>IF(AG640="Vigente","ACTIVO",IF(ISNUMBER(SEARCH("Inactivo",J640)),"INACTIVO","REVISAR"))</f>
        <v>ACTIVO</v>
      </c>
      <c r="AN640">
        <f ca="1">IF(OR(AF640="",AF640="null"),"",ROUND((AF640-TODAY())/365.25,2))</f>
        <v>3.97</v>
      </c>
      <c r="AO640" t="str">
        <f ca="1">IF(AND(AG640="Vigente",OR(AF640="",AF640="null",AF640&gt;TODAY())),"SI",IF(AND(NOT(OR(AF640="",AF640="null")),AF640&lt;=TODAY()),"NO",IF(AG640="Vigente","SI","DESCONOCIDO")))</f>
        <v>SI</v>
      </c>
      <c r="AP640" t="str">
        <f>IF(AND(ISNUMBER(SEARCH("IMPORTAR",AA640)),ISNUMBER(SEARCH("FABRICAR",AA640))),"MIXTO",IF(ISNUMBER(SEARCH("IMPORTAR",AA640)),"IMPORTADO",IF(ISNUMBER(SEARCH("FABRICAR",AA640)),"LOCAL","OTRO")))</f>
        <v>LOCAL</v>
      </c>
      <c r="AQ640" t="str">
        <f>IF(AD640="Si","SI",IF(AD640="No","NO",""))</f>
        <v>NO</v>
      </c>
      <c r="AR640" t="str">
        <f>IF(ISNUMBER(SEARCH("®",N640)),"MARCA/INNOVADOR","GENERICO")</f>
        <v>MARCA/INNOVADOR</v>
      </c>
      <c r="AS640">
        <f ca="1">IF(AE640&gt;100,RANDBETWEEN(500,5000),IF(AND(AE640&gt;=10,AE640&lt;=100),RANDBETWEEN(100,1000),RANDBETWEEN(10,200)))</f>
        <v>536</v>
      </c>
      <c r="AT640">
        <f t="shared" ca="1" si="47"/>
        <v>107</v>
      </c>
      <c r="AU640">
        <f ca="1">INT(AS640*RANDBETWEEN(120,200)/100)</f>
        <v>857</v>
      </c>
      <c r="AV640" s="2">
        <f ca="1">IF(LEFT(Y640,1)="L",RANDBETWEEN(500000,5000000),IF(LEFT(Y640,1)="C",RANDBETWEEN(5000,50000),IF(LEFT(Y640,1)="N",RANDBETWEEN(10000,150000),IF(LEFT(Y640,1)="J",RANDBETWEEN(8000,200000),RANDBETWEEN(5000,100000)))))</f>
        <v>24350</v>
      </c>
      <c r="AW640" s="2">
        <f ca="1">INT(AV640*RANDBETWEEN(30,60)/100)</f>
        <v>12175</v>
      </c>
      <c r="AX640">
        <f ca="1">IF(Z640="ORAL",RANDBETWEEN(1000,10000),IF(OR(Z640="INTRAVENOSA",Z640="INTRAMUSCULAR"),RANDBETWEEN(100,2000),IF(OR(Z640="OFTÁLMICA",Z640="TOPICA (EXTERNA)"),RANDBETWEEN(200,3000),RANDBETWEEN(100,1500))))</f>
        <v>6378</v>
      </c>
      <c r="AY640" s="2">
        <f ca="1">INT(AV640*RANDBETWEEN(90,130)/100)</f>
        <v>25324</v>
      </c>
      <c r="AZ640" t="str">
        <f t="shared" ca="1" si="48"/>
        <v>13.6%</v>
      </c>
      <c r="BA640" t="str">
        <f t="shared" ca="1" si="49"/>
        <v>MEDIO</v>
      </c>
    </row>
    <row r="641" spans="4:53" x14ac:dyDescent="0.35">
      <c r="D641" t="s">
        <v>4310</v>
      </c>
      <c r="E641" s="1">
        <v>38364</v>
      </c>
      <c r="F641" t="s">
        <v>1479</v>
      </c>
      <c r="G641" t="s">
        <v>108</v>
      </c>
      <c r="H641" t="s">
        <v>428</v>
      </c>
      <c r="I641">
        <v>19945861</v>
      </c>
      <c r="J641" t="s">
        <v>28</v>
      </c>
      <c r="K641">
        <v>1</v>
      </c>
      <c r="L641" t="s">
        <v>27</v>
      </c>
      <c r="M641" t="s">
        <v>4311</v>
      </c>
      <c r="N641" t="s">
        <v>4312</v>
      </c>
      <c r="O641" t="s">
        <v>4313</v>
      </c>
      <c r="P641" t="s">
        <v>181</v>
      </c>
      <c r="Q641" s="1">
        <v>39031</v>
      </c>
      <c r="R641" t="s">
        <v>37</v>
      </c>
      <c r="S641" t="s">
        <v>27</v>
      </c>
      <c r="T641" t="s">
        <v>2723</v>
      </c>
      <c r="U641" t="s">
        <v>115</v>
      </c>
      <c r="V641" t="s">
        <v>321</v>
      </c>
      <c r="W641">
        <v>30</v>
      </c>
      <c r="X641">
        <v>19945861</v>
      </c>
      <c r="Y641" t="s">
        <v>322</v>
      </c>
      <c r="Z641" t="s">
        <v>119</v>
      </c>
      <c r="AA641" t="s">
        <v>24</v>
      </c>
      <c r="AB641" t="s">
        <v>120</v>
      </c>
      <c r="AC641" t="s">
        <v>25</v>
      </c>
      <c r="AD641" t="s">
        <v>121</v>
      </c>
      <c r="AE641">
        <v>12</v>
      </c>
      <c r="AF641" t="s">
        <v>27</v>
      </c>
      <c r="AG641" t="s">
        <v>26</v>
      </c>
      <c r="AH641" t="s">
        <v>976</v>
      </c>
      <c r="AI641" t="str">
        <f t="shared" si="45"/>
        <v>NO</v>
      </c>
      <c r="AJ641" t="str">
        <f t="shared" si="46"/>
        <v>LABORATORIOSSIEGFRIED</v>
      </c>
      <c r="AK641" t="str">
        <f>IF(ISNUMBER(SEARCH("FABRICANTE",AC641)),"FABRICANTE",IF(ISNUMBER(SEARCH("IMPORTADOR",AC641)),"IMPORTADOR","OTRO"))</f>
        <v>FABRICANTE</v>
      </c>
      <c r="AL641" t="str">
        <f>IF(LEFT(Y641,1)="A","Sistema digestivo",IF(LEFT(Y641,1)="B","Sangre",IF(LEFT(Y641,1)="C","Cardiovascular",IF(LEFT(Y641,1)="D","Dermatológico",IF(LEFT(Y641,1)="G","Genitourinario",IF(LEFT(Y641,1)="H","Hormonal",IF(LEFT(Y641,1)="J","Antiinfecciosos",IF(LEFT(Y641,1)="L","Oncológicos",IF(LEFT(Y641,1)="M","Musculoesquelético",IF(LEFT(Y641,1)="N","Sistema nervioso",IF(LEFT(Y641,1)="R","Respiratorio",IF(LEFT(Y641,1)="S","Oftálmico",IF(LEFT(Y641,1)="V","Varios","OTRO")))))))))))))</f>
        <v>Sistema nervioso</v>
      </c>
      <c r="AM641" t="str">
        <f>IF(AG641="Vigente","ACTIVO",IF(ISNUMBER(SEARCH("Inactivo",J641)),"INACTIVO","REVISAR"))</f>
        <v>ACTIVO</v>
      </c>
      <c r="AN641" t="str">
        <f ca="1">IF(OR(AF641="",AF641="null"),"",ROUND((AF641-TODAY())/365.25,2))</f>
        <v/>
      </c>
      <c r="AO641" t="str">
        <f ca="1">IF(AND(AG641="Vigente",OR(AF641="",AF641="null",AF641&gt;TODAY())),"SI",IF(AND(NOT(OR(AF641="",AF641="null")),AF641&lt;=TODAY()),"NO",IF(AG641="Vigente","SI","DESCONOCIDO")))</f>
        <v>SI</v>
      </c>
      <c r="AP641" t="str">
        <f>IF(AND(ISNUMBER(SEARCH("IMPORTAR",AA641)),ISNUMBER(SEARCH("FABRICAR",AA641))),"MIXTO",IF(ISNUMBER(SEARCH("IMPORTAR",AA641)),"IMPORTADO",IF(ISNUMBER(SEARCH("FABRICAR",AA641)),"LOCAL","OTRO")))</f>
        <v>LOCAL</v>
      </c>
      <c r="AQ641" t="str">
        <f>IF(AD641="Si","SI",IF(AD641="No","NO",""))</f>
        <v>NO</v>
      </c>
      <c r="AR641" t="str">
        <f>IF(ISNUMBER(SEARCH("®",N641)),"MARCA/INNOVADOR","GENERICO")</f>
        <v>MARCA/INNOVADOR</v>
      </c>
      <c r="AS641">
        <f ca="1">IF(AE641&gt;100,RANDBETWEEN(500,5000),IF(AND(AE641&gt;=10,AE641&lt;=100),RANDBETWEEN(100,1000),RANDBETWEEN(10,200)))</f>
        <v>334</v>
      </c>
      <c r="AT641">
        <f t="shared" ca="1" si="47"/>
        <v>73</v>
      </c>
      <c r="AU641">
        <f ca="1">INT(AS641*RANDBETWEEN(120,200)/100)</f>
        <v>484</v>
      </c>
      <c r="AV641" s="2">
        <f ca="1">IF(LEFT(Y641,1)="L",RANDBETWEEN(500000,5000000),IF(LEFT(Y641,1)="C",RANDBETWEEN(5000,50000),IF(LEFT(Y641,1)="N",RANDBETWEEN(10000,150000),IF(LEFT(Y641,1)="J",RANDBETWEEN(8000,200000),RANDBETWEEN(5000,100000)))))</f>
        <v>113728</v>
      </c>
      <c r="AW641" s="2">
        <f ca="1">INT(AV641*RANDBETWEEN(30,60)/100)</f>
        <v>60275</v>
      </c>
      <c r="AX641">
        <f ca="1">IF(Z641="ORAL",RANDBETWEEN(1000,10000),IF(OR(Z641="INTRAVENOSA",Z641="INTRAMUSCULAR"),RANDBETWEEN(100,2000),IF(OR(Z641="OFTÁLMICA",Z641="TOPICA (EXTERNA)"),RANDBETWEEN(200,3000),RANDBETWEEN(100,1500))))</f>
        <v>5009</v>
      </c>
      <c r="AY641" s="2">
        <f ca="1">INT(AV641*RANDBETWEEN(90,130)/100)</f>
        <v>110316</v>
      </c>
      <c r="AZ641" t="str">
        <f t="shared" ca="1" si="48"/>
        <v>10.2%</v>
      </c>
      <c r="BA641" t="str">
        <f t="shared" ca="1" si="49"/>
        <v>BAJO</v>
      </c>
    </row>
    <row r="642" spans="4:53" x14ac:dyDescent="0.35">
      <c r="D642" t="s">
        <v>4314</v>
      </c>
      <c r="E642" s="1">
        <v>41089</v>
      </c>
      <c r="F642" t="s">
        <v>3520</v>
      </c>
      <c r="G642" t="s">
        <v>108</v>
      </c>
      <c r="H642" t="s">
        <v>428</v>
      </c>
      <c r="I642">
        <v>20048477</v>
      </c>
      <c r="J642" t="s">
        <v>28</v>
      </c>
      <c r="K642">
        <v>16</v>
      </c>
      <c r="L642" t="s">
        <v>27</v>
      </c>
      <c r="M642" t="s">
        <v>4315</v>
      </c>
      <c r="N642" t="s">
        <v>4316</v>
      </c>
      <c r="O642" t="s">
        <v>4317</v>
      </c>
      <c r="P642" t="s">
        <v>866</v>
      </c>
      <c r="Q642" s="1">
        <v>45421</v>
      </c>
      <c r="R642" t="s">
        <v>396</v>
      </c>
      <c r="S642" t="s">
        <v>27</v>
      </c>
      <c r="T642" t="s">
        <v>428</v>
      </c>
      <c r="U642" t="s">
        <v>115</v>
      </c>
      <c r="V642" t="s">
        <v>321</v>
      </c>
      <c r="W642">
        <v>4</v>
      </c>
      <c r="X642">
        <v>20048477</v>
      </c>
      <c r="Y642" t="s">
        <v>322</v>
      </c>
      <c r="Z642" t="s">
        <v>119</v>
      </c>
      <c r="AA642" t="s">
        <v>24</v>
      </c>
      <c r="AB642" t="s">
        <v>120</v>
      </c>
      <c r="AC642" t="s">
        <v>25</v>
      </c>
      <c r="AD642" t="s">
        <v>121</v>
      </c>
      <c r="AE642">
        <v>15</v>
      </c>
      <c r="AF642" t="s">
        <v>27</v>
      </c>
      <c r="AG642" t="s">
        <v>26</v>
      </c>
      <c r="AH642" t="s">
        <v>6809</v>
      </c>
      <c r="AI642" t="str">
        <f t="shared" si="45"/>
        <v>NO</v>
      </c>
      <c r="AJ642" t="str">
        <f t="shared" si="46"/>
        <v>LABORATORIOS SIEGFRIED</v>
      </c>
      <c r="AK642" t="str">
        <f>IF(ISNUMBER(SEARCH("FABRICANTE",AC642)),"FABRICANTE",IF(ISNUMBER(SEARCH("IMPORTADOR",AC642)),"IMPORTADOR","OTRO"))</f>
        <v>FABRICANTE</v>
      </c>
      <c r="AL642" t="str">
        <f>IF(LEFT(Y642,1)="A","Sistema digestivo",IF(LEFT(Y642,1)="B","Sangre",IF(LEFT(Y642,1)="C","Cardiovascular",IF(LEFT(Y642,1)="D","Dermatológico",IF(LEFT(Y642,1)="G","Genitourinario",IF(LEFT(Y642,1)="H","Hormonal",IF(LEFT(Y642,1)="J","Antiinfecciosos",IF(LEFT(Y642,1)="L","Oncológicos",IF(LEFT(Y642,1)="M","Musculoesquelético",IF(LEFT(Y642,1)="N","Sistema nervioso",IF(LEFT(Y642,1)="R","Respiratorio",IF(LEFT(Y642,1)="S","Oftálmico",IF(LEFT(Y642,1)="V","Varios","OTRO")))))))))))))</f>
        <v>Sistema nervioso</v>
      </c>
      <c r="AM642" t="str">
        <f>IF(AG642="Vigente","ACTIVO",IF(ISNUMBER(SEARCH("Inactivo",J642)),"INACTIVO","REVISAR"))</f>
        <v>ACTIVO</v>
      </c>
      <c r="AN642" t="str">
        <f ca="1">IF(OR(AF642="",AF642="null"),"",ROUND((AF642-TODAY())/365.25,2))</f>
        <v/>
      </c>
      <c r="AO642" t="str">
        <f ca="1">IF(AND(AG642="Vigente",OR(AF642="",AF642="null",AF642&gt;TODAY())),"SI",IF(AND(NOT(OR(AF642="",AF642="null")),AF642&lt;=TODAY()),"NO",IF(AG642="Vigente","SI","DESCONOCIDO")))</f>
        <v>SI</v>
      </c>
      <c r="AP642" t="str">
        <f>IF(AND(ISNUMBER(SEARCH("IMPORTAR",AA642)),ISNUMBER(SEARCH("FABRICAR",AA642))),"MIXTO",IF(ISNUMBER(SEARCH("IMPORTAR",AA642)),"IMPORTADO",IF(ISNUMBER(SEARCH("FABRICAR",AA642)),"LOCAL","OTRO")))</f>
        <v>LOCAL</v>
      </c>
      <c r="AQ642" t="str">
        <f>IF(AD642="Si","SI",IF(AD642="No","NO",""))</f>
        <v>NO</v>
      </c>
      <c r="AR642" t="str">
        <f>IF(ISNUMBER(SEARCH("®",N642)),"MARCA/INNOVADOR","GENERICO")</f>
        <v>GENERICO</v>
      </c>
      <c r="AS642">
        <f ca="1">IF(AE642&gt;100,RANDBETWEEN(500,5000),IF(AND(AE642&gt;=10,AE642&lt;=100),RANDBETWEEN(100,1000),RANDBETWEEN(10,200)))</f>
        <v>346</v>
      </c>
      <c r="AT642">
        <f t="shared" ca="1" si="47"/>
        <v>51</v>
      </c>
      <c r="AU642">
        <f ca="1">INT(AS642*RANDBETWEEN(120,200)/100)</f>
        <v>519</v>
      </c>
      <c r="AV642" s="2">
        <f ca="1">IF(LEFT(Y642,1)="L",RANDBETWEEN(500000,5000000),IF(LEFT(Y642,1)="C",RANDBETWEEN(5000,50000),IF(LEFT(Y642,1)="N",RANDBETWEEN(10000,150000),IF(LEFT(Y642,1)="J",RANDBETWEEN(8000,200000),RANDBETWEEN(5000,100000)))))</f>
        <v>76614</v>
      </c>
      <c r="AW642" s="2">
        <f ca="1">INT(AV642*RANDBETWEEN(30,60)/100)</f>
        <v>41371</v>
      </c>
      <c r="AX642">
        <f ca="1">IF(Z642="ORAL",RANDBETWEEN(1000,10000),IF(OR(Z642="INTRAVENOSA",Z642="INTRAMUSCULAR"),RANDBETWEEN(100,2000),IF(OR(Z642="OFTÁLMICA",Z642="TOPICA (EXTERNA)"),RANDBETWEEN(200,3000),RANDBETWEEN(100,1500))))</f>
        <v>2979</v>
      </c>
      <c r="AY642" s="2">
        <f ca="1">INT(AV642*RANDBETWEEN(90,130)/100)</f>
        <v>78912</v>
      </c>
      <c r="AZ642" t="str">
        <f t="shared" ca="1" si="48"/>
        <v>19.8%</v>
      </c>
      <c r="BA642" t="str">
        <f t="shared" ca="1" si="49"/>
        <v>BAJO</v>
      </c>
    </row>
    <row r="643" spans="4:53" x14ac:dyDescent="0.35">
      <c r="D643" t="s">
        <v>4318</v>
      </c>
      <c r="E643" s="1">
        <v>40235</v>
      </c>
      <c r="F643" t="s">
        <v>4319</v>
      </c>
      <c r="G643" t="s">
        <v>108</v>
      </c>
      <c r="H643" t="s">
        <v>503</v>
      </c>
      <c r="I643">
        <v>20010477</v>
      </c>
      <c r="J643" t="s">
        <v>28</v>
      </c>
      <c r="K643">
        <v>1</v>
      </c>
      <c r="L643" t="s">
        <v>27</v>
      </c>
      <c r="M643" t="s">
        <v>4320</v>
      </c>
      <c r="N643" t="s">
        <v>4321</v>
      </c>
      <c r="O643" t="s">
        <v>4322</v>
      </c>
      <c r="P643" t="s">
        <v>1195</v>
      </c>
      <c r="Q643" s="1">
        <v>40108</v>
      </c>
      <c r="R643" t="s">
        <v>211</v>
      </c>
      <c r="S643" t="s">
        <v>27</v>
      </c>
      <c r="T643" t="s">
        <v>1784</v>
      </c>
      <c r="U643" t="s">
        <v>115</v>
      </c>
      <c r="V643" t="s">
        <v>2827</v>
      </c>
      <c r="W643">
        <v>500</v>
      </c>
      <c r="X643">
        <v>20010477</v>
      </c>
      <c r="Y643" t="s">
        <v>2828</v>
      </c>
      <c r="Z643" t="s">
        <v>260</v>
      </c>
      <c r="AA643" t="s">
        <v>24</v>
      </c>
      <c r="AB643" t="s">
        <v>120</v>
      </c>
      <c r="AC643" t="s">
        <v>25</v>
      </c>
      <c r="AD643" t="s">
        <v>121</v>
      </c>
      <c r="AE643">
        <v>1</v>
      </c>
      <c r="AF643" s="1">
        <v>402133</v>
      </c>
      <c r="AG643" t="s">
        <v>26</v>
      </c>
      <c r="AH643" t="s">
        <v>2827</v>
      </c>
      <c r="AI643" t="str">
        <f t="shared" ref="AI643:AI706" si="50">IF(OR(ISNUMBER(SEARCH("+",F643)),ISNUMBER(SEARCH(".",F643))),"SI","NO")</f>
        <v>NO</v>
      </c>
      <c r="AJ643" t="str">
        <f t="shared" ref="AJ643:AJ706" si="5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643)," S.A.S.",""),"S.A.S.","")," S.A.S",""),"S.A.S","")," S.A.C.I.","")," S.A.C.I","")," SAS","")," S.A.","")," S.A","")," LTDA.","")," LTDA","")," LIMITED","")," LTD.","")," LTD","")," INC.","")," INC","")," GMBH &amp; CO. KG.","")," GMBH","")," LLC","")," A.G.","")," A.G","")," A/S","")," S.R.L.","")," S.R.L","")," S.P.A.","")," DE C.V.","")," AG",""),"  "," "))</f>
        <v>COLMED</v>
      </c>
      <c r="AK643" t="str">
        <f>IF(ISNUMBER(SEARCH("FABRICANTE",AC643)),"FABRICANTE",IF(ISNUMBER(SEARCH("IMPORTADOR",AC643)),"IMPORTADOR","OTRO"))</f>
        <v>FABRICANTE</v>
      </c>
      <c r="AL643" t="str">
        <f>IF(LEFT(Y643,1)="A","Sistema digestivo",IF(LEFT(Y643,1)="B","Sangre",IF(LEFT(Y643,1)="C","Cardiovascular",IF(LEFT(Y643,1)="D","Dermatológico",IF(LEFT(Y643,1)="G","Genitourinario",IF(LEFT(Y643,1)="H","Hormonal",IF(LEFT(Y643,1)="J","Antiinfecciosos",IF(LEFT(Y643,1)="L","Oncológicos",IF(LEFT(Y643,1)="M","Musculoesquelético",IF(LEFT(Y643,1)="N","Sistema nervioso",IF(LEFT(Y643,1)="R","Respiratorio",IF(LEFT(Y643,1)="S","Oftálmico",IF(LEFT(Y643,1)="V","Varios","OTRO")))))))))))))</f>
        <v>Antiinfecciosos</v>
      </c>
      <c r="AM643" t="str">
        <f>IF(AG643="Vigente","ACTIVO",IF(ISNUMBER(SEARCH("Inactivo",J643)),"INACTIVO","REVISAR"))</f>
        <v>ACTIVO</v>
      </c>
      <c r="AN643">
        <f ca="1">IF(OR(AF643="",AF643="null"),"",ROUND((AF643-TODAY())/365.25,2))</f>
        <v>974.58</v>
      </c>
      <c r="AO643" t="str">
        <f ca="1">IF(AND(AG643="Vigente",OR(AF643="",AF643="null",AF643&gt;TODAY())),"SI",IF(AND(NOT(OR(AF643="",AF643="null")),AF643&lt;=TODAY()),"NO",IF(AG643="Vigente","SI","DESCONOCIDO")))</f>
        <v>SI</v>
      </c>
      <c r="AP643" t="str">
        <f>IF(AND(ISNUMBER(SEARCH("IMPORTAR",AA643)),ISNUMBER(SEARCH("FABRICAR",AA643))),"MIXTO",IF(ISNUMBER(SEARCH("IMPORTAR",AA643)),"IMPORTADO",IF(ISNUMBER(SEARCH("FABRICAR",AA643)),"LOCAL","OTRO")))</f>
        <v>LOCAL</v>
      </c>
      <c r="AQ643" t="str">
        <f>IF(AD643="Si","SI",IF(AD643="No","NO",""))</f>
        <v>NO</v>
      </c>
      <c r="AR643" t="str">
        <f>IF(ISNUMBER(SEARCH("®",N643)),"MARCA/INNOVADOR","GENERICO")</f>
        <v>GENERICO</v>
      </c>
      <c r="AS643">
        <f ca="1">IF(AE643&gt;100,RANDBETWEEN(500,5000),IF(AND(AE643&gt;=10,AE643&lt;=100),RANDBETWEEN(100,1000),RANDBETWEEN(10,200)))</f>
        <v>113</v>
      </c>
      <c r="AT643">
        <f t="shared" ref="AT643:AT706" ca="1" si="52">INT(AS643*RANDBETWEEN(10,30)/100)</f>
        <v>25</v>
      </c>
      <c r="AU643">
        <f ca="1">INT(AS643*RANDBETWEEN(120,200)/100)</f>
        <v>157</v>
      </c>
      <c r="AV643" s="2">
        <f ca="1">IF(LEFT(Y643,1)="L",RANDBETWEEN(500000,5000000),IF(LEFT(Y643,1)="C",RANDBETWEEN(5000,50000),IF(LEFT(Y643,1)="N",RANDBETWEEN(10000,150000),IF(LEFT(Y643,1)="J",RANDBETWEEN(8000,200000),RANDBETWEEN(5000,100000)))))</f>
        <v>153106</v>
      </c>
      <c r="AW643" s="2">
        <f ca="1">INT(AV643*RANDBETWEEN(30,60)/100)</f>
        <v>87270</v>
      </c>
      <c r="AX643">
        <f ca="1">IF(Z643="ORAL",RANDBETWEEN(1000,10000),IF(OR(Z643="INTRAVENOSA",Z643="INTRAMUSCULAR"),RANDBETWEEN(100,2000),IF(OR(Z643="OFTÁLMICA",Z643="TOPICA (EXTERNA)"),RANDBETWEEN(200,3000),RANDBETWEEN(100,1500))))</f>
        <v>377</v>
      </c>
      <c r="AY643" s="2">
        <f ca="1">INT(AV643*RANDBETWEEN(90,130)/100)</f>
        <v>191382</v>
      </c>
      <c r="AZ643" t="str">
        <f t="shared" ref="AZ643:AZ706" ca="1" si="53">IF(Z643="ORAL",RANDBETWEEN(50,250)/10,IF(OR(Z643="TOPICA (EXTERNA)",Z643="OFTÁLMICA"),RANDBETWEEN(20,150)/10,IF(OR(Z643="SUBCUTANEA",Z643="INTRAMUSCULAR"),RANDBETWEEN(10,100)/10,IF(Z643="INTRAVENOSA",RANDBETWEEN(1,50)/10,RANDBETWEEN(5,80)/10))))&amp;"%"</f>
        <v>3.9%</v>
      </c>
      <c r="BA643" t="str">
        <f t="shared" ref="BA643:BA706" ca="1" si="54">IF(OR(AG643&lt;&gt;"Vigente",AND(ISNUMBER(AF643),AF643&lt;TODAY()),AND(J643="Inactivo",NOT(ISNUMBER(AF643)))),"ALTO",IF(OR(AND(J643="Inactivo",ISNUMBER(AF643)),AND(ISNUMBER(AF643),AF643&gt;TODAY(),AF643&lt;=TODAY()+1825)),"MEDIO","BAJO"))</f>
        <v>BAJO</v>
      </c>
    </row>
    <row r="644" spans="4:53" x14ac:dyDescent="0.35">
      <c r="D644" t="s">
        <v>4323</v>
      </c>
      <c r="E644" s="1">
        <v>42300</v>
      </c>
      <c r="F644" t="s">
        <v>4324</v>
      </c>
      <c r="G644" t="s">
        <v>108</v>
      </c>
      <c r="H644" t="s">
        <v>308</v>
      </c>
      <c r="I644">
        <v>20089833</v>
      </c>
      <c r="J644" t="s">
        <v>28</v>
      </c>
      <c r="K644">
        <v>18</v>
      </c>
      <c r="L644" t="s">
        <v>27</v>
      </c>
      <c r="M644" t="s">
        <v>4325</v>
      </c>
      <c r="N644" t="s">
        <v>4326</v>
      </c>
      <c r="O644" t="s">
        <v>4327</v>
      </c>
      <c r="P644" t="s">
        <v>2894</v>
      </c>
      <c r="Q644" s="1">
        <v>45428</v>
      </c>
      <c r="R644" t="s">
        <v>4328</v>
      </c>
      <c r="S644" t="s">
        <v>27</v>
      </c>
      <c r="T644" t="s">
        <v>308</v>
      </c>
      <c r="U644" t="s">
        <v>115</v>
      </c>
      <c r="V644" t="s">
        <v>2896</v>
      </c>
      <c r="W644">
        <v>18</v>
      </c>
      <c r="X644">
        <v>20089833</v>
      </c>
      <c r="Y644" t="s">
        <v>2898</v>
      </c>
      <c r="Z644" t="s">
        <v>2899</v>
      </c>
      <c r="AA644" t="s">
        <v>32</v>
      </c>
      <c r="AB644" t="s">
        <v>120</v>
      </c>
      <c r="AC644" t="s">
        <v>38</v>
      </c>
      <c r="AD644" t="s">
        <v>121</v>
      </c>
      <c r="AE644">
        <v>3</v>
      </c>
      <c r="AF644" s="1">
        <v>401769</v>
      </c>
      <c r="AG644" t="s">
        <v>26</v>
      </c>
      <c r="AH644" t="s">
        <v>6823</v>
      </c>
      <c r="AI644" t="str">
        <f t="shared" si="50"/>
        <v>SI</v>
      </c>
      <c r="AJ644" t="str">
        <f t="shared" si="51"/>
        <v>HUMAX PHARMACEUTICAL</v>
      </c>
      <c r="AK644" t="str">
        <f>IF(ISNUMBER(SEARCH("FABRICANTE",AC644)),"FABRICANTE",IF(ISNUMBER(SEARCH("IMPORTADOR",AC644)),"IMPORTADOR","OTRO"))</f>
        <v>IMPORTADOR</v>
      </c>
      <c r="AL644" t="str">
        <f>IF(LEFT(Y644,1)="A","Sistema digestivo",IF(LEFT(Y644,1)="B","Sangre",IF(LEFT(Y644,1)="C","Cardiovascular",IF(LEFT(Y644,1)="D","Dermatológico",IF(LEFT(Y644,1)="G","Genitourinario",IF(LEFT(Y644,1)="H","Hormonal",IF(LEFT(Y644,1)="J","Antiinfecciosos",IF(LEFT(Y644,1)="L","Oncológicos",IF(LEFT(Y644,1)="M","Musculoesquelético",IF(LEFT(Y644,1)="N","Sistema nervioso",IF(LEFT(Y644,1)="R","Respiratorio",IF(LEFT(Y644,1)="S","Oftálmico",IF(LEFT(Y644,1)="V","Varios","OTRO")))))))))))))</f>
        <v>Sistema nervioso</v>
      </c>
      <c r="AM644" t="str">
        <f>IF(AG644="Vigente","ACTIVO",IF(ISNUMBER(SEARCH("Inactivo",J644)),"INACTIVO","REVISAR"))</f>
        <v>ACTIVO</v>
      </c>
      <c r="AN644">
        <f ca="1">IF(OR(AF644="",AF644="null"),"",ROUND((AF644-TODAY())/365.25,2))</f>
        <v>973.58</v>
      </c>
      <c r="AO644" t="str">
        <f ca="1">IF(AND(AG644="Vigente",OR(AF644="",AF644="null",AF644&gt;TODAY())),"SI",IF(AND(NOT(OR(AF644="",AF644="null")),AF644&lt;=TODAY()),"NO",IF(AG644="Vigente","SI","DESCONOCIDO")))</f>
        <v>SI</v>
      </c>
      <c r="AP644" t="str">
        <f>IF(AND(ISNUMBER(SEARCH("IMPORTAR",AA644)),ISNUMBER(SEARCH("FABRICAR",AA644))),"MIXTO",IF(ISNUMBER(SEARCH("IMPORTAR",AA644)),"IMPORTADO",IF(ISNUMBER(SEARCH("FABRICAR",AA644)),"LOCAL","OTRO")))</f>
        <v>IMPORTADO</v>
      </c>
      <c r="AQ644" t="str">
        <f>IF(AD644="Si","SI",IF(AD644="No","NO",""))</f>
        <v>NO</v>
      </c>
      <c r="AR644" t="str">
        <f>IF(ISNUMBER(SEARCH("®",N644)),"MARCA/INNOVADOR","GENERICO")</f>
        <v>GENERICO</v>
      </c>
      <c r="AS644">
        <f ca="1">IF(AE644&gt;100,RANDBETWEEN(500,5000),IF(AND(AE644&gt;=10,AE644&lt;=100),RANDBETWEEN(100,1000),RANDBETWEEN(10,200)))</f>
        <v>79</v>
      </c>
      <c r="AT644">
        <f t="shared" ca="1" si="52"/>
        <v>15</v>
      </c>
      <c r="AU644">
        <f ca="1">INT(AS644*RANDBETWEEN(120,200)/100)</f>
        <v>120</v>
      </c>
      <c r="AV644" s="2">
        <f ca="1">IF(LEFT(Y644,1)="L",RANDBETWEEN(500000,5000000),IF(LEFT(Y644,1)="C",RANDBETWEEN(5000,50000),IF(LEFT(Y644,1)="N",RANDBETWEEN(10000,150000),IF(LEFT(Y644,1)="J",RANDBETWEEN(8000,200000),RANDBETWEEN(5000,100000)))))</f>
        <v>67858</v>
      </c>
      <c r="AW644" s="2">
        <f ca="1">INT(AV644*RANDBETWEEN(30,60)/100)</f>
        <v>38000</v>
      </c>
      <c r="AX644">
        <f ca="1">IF(Z644="ORAL",RANDBETWEEN(1000,10000),IF(OR(Z644="INTRAVENOSA",Z644="INTRAMUSCULAR"),RANDBETWEEN(100,2000),IF(OR(Z644="OFTÁLMICA",Z644="TOPICA (EXTERNA)"),RANDBETWEEN(200,3000),RANDBETWEEN(100,1500))))</f>
        <v>560</v>
      </c>
      <c r="AY644" s="2">
        <f ca="1">INT(AV644*RANDBETWEEN(90,130)/100)</f>
        <v>86179</v>
      </c>
      <c r="AZ644" t="str">
        <f t="shared" ca="1" si="53"/>
        <v>4.2%</v>
      </c>
      <c r="BA644" t="str">
        <f t="shared" ca="1" si="54"/>
        <v>BAJO</v>
      </c>
    </row>
    <row r="645" spans="4:53" x14ac:dyDescent="0.35">
      <c r="D645" t="s">
        <v>4329</v>
      </c>
      <c r="E645" s="1">
        <v>37476</v>
      </c>
      <c r="F645" t="s">
        <v>22</v>
      </c>
      <c r="G645" t="s">
        <v>108</v>
      </c>
      <c r="H645" t="s">
        <v>4330</v>
      </c>
      <c r="I645">
        <v>19930431</v>
      </c>
      <c r="J645" t="s">
        <v>28</v>
      </c>
      <c r="K645">
        <v>2</v>
      </c>
      <c r="L645" t="s">
        <v>27</v>
      </c>
      <c r="M645" t="s">
        <v>4331</v>
      </c>
      <c r="N645" t="s">
        <v>4332</v>
      </c>
      <c r="O645" t="s">
        <v>4333</v>
      </c>
      <c r="P645" t="s">
        <v>29</v>
      </c>
      <c r="Q645" s="1">
        <v>41065</v>
      </c>
      <c r="R645" t="s">
        <v>29</v>
      </c>
      <c r="S645" t="s">
        <v>27</v>
      </c>
      <c r="T645" t="s">
        <v>736</v>
      </c>
      <c r="U645" t="s">
        <v>807</v>
      </c>
      <c r="V645" t="s">
        <v>30</v>
      </c>
      <c r="W645">
        <v>100</v>
      </c>
      <c r="X645">
        <v>19930431</v>
      </c>
      <c r="Y645" t="s">
        <v>23</v>
      </c>
      <c r="Z645" t="s">
        <v>119</v>
      </c>
      <c r="AA645" t="s">
        <v>32</v>
      </c>
      <c r="AB645" t="s">
        <v>120</v>
      </c>
      <c r="AC645" t="s">
        <v>25</v>
      </c>
      <c r="AD645" t="s">
        <v>155</v>
      </c>
      <c r="AE645">
        <v>10</v>
      </c>
      <c r="AF645" t="s">
        <v>27</v>
      </c>
      <c r="AG645" t="s">
        <v>26</v>
      </c>
      <c r="AH645" t="s">
        <v>22</v>
      </c>
      <c r="AI645" t="str">
        <f t="shared" si="50"/>
        <v>NO</v>
      </c>
      <c r="AJ645" t="str">
        <f t="shared" si="51"/>
        <v>LABORATORIO FRANCO COLOMBIANO LAFRANCOL</v>
      </c>
      <c r="AK645" t="str">
        <f>IF(ISNUMBER(SEARCH("FABRICANTE",AC645)),"FABRICANTE",IF(ISNUMBER(SEARCH("IMPORTADOR",AC645)),"IMPORTADOR","OTRO"))</f>
        <v>FABRICANTE</v>
      </c>
      <c r="AL645" t="str">
        <f>IF(LEFT(Y645,1)="A","Sistema digestivo",IF(LEFT(Y645,1)="B","Sangre",IF(LEFT(Y645,1)="C","Cardiovascular",IF(LEFT(Y645,1)="D","Dermatológico",IF(LEFT(Y645,1)="G","Genitourinario",IF(LEFT(Y645,1)="H","Hormonal",IF(LEFT(Y645,1)="J","Antiinfecciosos",IF(LEFT(Y645,1)="L","Oncológicos",IF(LEFT(Y645,1)="M","Musculoesquelético",IF(LEFT(Y645,1)="N","Sistema nervioso",IF(LEFT(Y645,1)="R","Respiratorio",IF(LEFT(Y645,1)="S","Oftálmico",IF(LEFT(Y645,1)="V","Varios","OTRO")))))))))))))</f>
        <v>Hormonal</v>
      </c>
      <c r="AM645" t="str">
        <f>IF(AG645="Vigente","ACTIVO",IF(ISNUMBER(SEARCH("Inactivo",J645)),"INACTIVO","REVISAR"))</f>
        <v>ACTIVO</v>
      </c>
      <c r="AN645" t="str">
        <f ca="1">IF(OR(AF645="",AF645="null"),"",ROUND((AF645-TODAY())/365.25,2))</f>
        <v/>
      </c>
      <c r="AO645" t="str">
        <f ca="1">IF(AND(AG645="Vigente",OR(AF645="",AF645="null",AF645&gt;TODAY())),"SI",IF(AND(NOT(OR(AF645="",AF645="null")),AF645&lt;=TODAY()),"NO",IF(AG645="Vigente","SI","DESCONOCIDO")))</f>
        <v>SI</v>
      </c>
      <c r="AP645" t="str">
        <f>IF(AND(ISNUMBER(SEARCH("IMPORTAR",AA645)),ISNUMBER(SEARCH("FABRICAR",AA645))),"MIXTO",IF(ISNUMBER(SEARCH("IMPORTAR",AA645)),"IMPORTADO",IF(ISNUMBER(SEARCH("FABRICAR",AA645)),"LOCAL","OTRO")))</f>
        <v>IMPORTADO</v>
      </c>
      <c r="AQ645" t="str">
        <f>IF(AD645="Si","SI",IF(AD645="No","NO",""))</f>
        <v>SI</v>
      </c>
      <c r="AR645" t="str">
        <f>IF(ISNUMBER(SEARCH("®",N645)),"MARCA/INNOVADOR","GENERICO")</f>
        <v>MARCA/INNOVADOR</v>
      </c>
      <c r="AS645">
        <f ca="1">IF(AE645&gt;100,RANDBETWEEN(500,5000),IF(AND(AE645&gt;=10,AE645&lt;=100),RANDBETWEEN(100,1000),RANDBETWEEN(10,200)))</f>
        <v>838</v>
      </c>
      <c r="AT645">
        <f t="shared" ca="1" si="52"/>
        <v>209</v>
      </c>
      <c r="AU645">
        <f ca="1">INT(AS645*RANDBETWEEN(120,200)/100)</f>
        <v>1122</v>
      </c>
      <c r="AV645" s="2">
        <f ca="1">IF(LEFT(Y645,1)="L",RANDBETWEEN(500000,5000000),IF(LEFT(Y645,1)="C",RANDBETWEEN(5000,50000),IF(LEFT(Y645,1)="N",RANDBETWEEN(10000,150000),IF(LEFT(Y645,1)="J",RANDBETWEEN(8000,200000),RANDBETWEEN(5000,100000)))))</f>
        <v>95685</v>
      </c>
      <c r="AW645" s="2">
        <f ca="1">INT(AV645*RANDBETWEEN(30,60)/100)</f>
        <v>43058</v>
      </c>
      <c r="AX645">
        <f ca="1">IF(Z645="ORAL",RANDBETWEEN(1000,10000),IF(OR(Z645="INTRAVENOSA",Z645="INTRAMUSCULAR"),RANDBETWEEN(100,2000),IF(OR(Z645="OFTÁLMICA",Z645="TOPICA (EXTERNA)"),RANDBETWEEN(200,3000),RANDBETWEEN(100,1500))))</f>
        <v>4495</v>
      </c>
      <c r="AY645" s="2">
        <f ca="1">INT(AV645*RANDBETWEEN(90,130)/100)</f>
        <v>106210</v>
      </c>
      <c r="AZ645" t="str">
        <f t="shared" ca="1" si="53"/>
        <v>6%</v>
      </c>
      <c r="BA645" t="str">
        <f t="shared" ca="1" si="54"/>
        <v>BAJO</v>
      </c>
    </row>
    <row r="646" spans="4:53" x14ac:dyDescent="0.35">
      <c r="D646" t="s">
        <v>4334</v>
      </c>
      <c r="E646" s="1">
        <v>41302</v>
      </c>
      <c r="F646" t="s">
        <v>4335</v>
      </c>
      <c r="G646" t="s">
        <v>108</v>
      </c>
      <c r="H646" t="s">
        <v>4336</v>
      </c>
      <c r="I646">
        <v>20019909</v>
      </c>
      <c r="J646" t="s">
        <v>28</v>
      </c>
      <c r="K646">
        <v>6</v>
      </c>
      <c r="L646" t="s">
        <v>27</v>
      </c>
      <c r="M646" t="s">
        <v>4337</v>
      </c>
      <c r="N646" t="s">
        <v>4338</v>
      </c>
      <c r="O646" t="s">
        <v>4339</v>
      </c>
      <c r="P646" t="s">
        <v>274</v>
      </c>
      <c r="Q646" s="1">
        <v>43693</v>
      </c>
      <c r="R646" t="s">
        <v>50</v>
      </c>
      <c r="S646" t="s">
        <v>27</v>
      </c>
      <c r="T646" t="s">
        <v>4340</v>
      </c>
      <c r="U646" t="s">
        <v>115</v>
      </c>
      <c r="V646" t="s">
        <v>4341</v>
      </c>
      <c r="W646">
        <v>30</v>
      </c>
      <c r="X646">
        <v>20019909</v>
      </c>
      <c r="Y646" t="s">
        <v>4342</v>
      </c>
      <c r="Z646" t="s">
        <v>132</v>
      </c>
      <c r="AA646" t="s">
        <v>32</v>
      </c>
      <c r="AB646" t="s">
        <v>120</v>
      </c>
      <c r="AC646" t="s">
        <v>25</v>
      </c>
      <c r="AD646" t="s">
        <v>121</v>
      </c>
      <c r="AE646">
        <v>1</v>
      </c>
      <c r="AF646" t="s">
        <v>27</v>
      </c>
      <c r="AG646" t="s">
        <v>26</v>
      </c>
      <c r="AH646" t="s">
        <v>4341</v>
      </c>
      <c r="AI646" t="str">
        <f t="shared" si="50"/>
        <v>NO</v>
      </c>
      <c r="AJ646" t="str">
        <f t="shared" si="51"/>
        <v>TAKEDA COLOMBIA</v>
      </c>
      <c r="AK646" t="str">
        <f>IF(ISNUMBER(SEARCH("FABRICANTE",AC646)),"FABRICANTE",IF(ISNUMBER(SEARCH("IMPORTADOR",AC646)),"IMPORTADOR","OTRO"))</f>
        <v>FABRICANTE</v>
      </c>
      <c r="AL646" t="str">
        <f>IF(LEFT(Y646,1)="A","Sistema digestivo",IF(LEFT(Y646,1)="B","Sangre",IF(LEFT(Y646,1)="C","Cardiovascular",IF(LEFT(Y646,1)="D","Dermatológico",IF(LEFT(Y646,1)="G","Genitourinario",IF(LEFT(Y646,1)="H","Hormonal",IF(LEFT(Y646,1)="J","Antiinfecciosos",IF(LEFT(Y646,1)="L","Oncológicos",IF(LEFT(Y646,1)="M","Musculoesquelético",IF(LEFT(Y646,1)="N","Sistema nervioso",IF(LEFT(Y646,1)="R","Respiratorio",IF(LEFT(Y646,1)="S","Oftálmico",IF(LEFT(Y646,1)="V","Varios","OTRO")))))))))))))</f>
        <v>Sangre</v>
      </c>
      <c r="AM646" t="str">
        <f>IF(AG646="Vigente","ACTIVO",IF(ISNUMBER(SEARCH("Inactivo",J646)),"INACTIVO","REVISAR"))</f>
        <v>ACTIVO</v>
      </c>
      <c r="AN646" t="str">
        <f ca="1">IF(OR(AF646="",AF646="null"),"",ROUND((AF646-TODAY())/365.25,2))</f>
        <v/>
      </c>
      <c r="AO646" t="str">
        <f ca="1">IF(AND(AG646="Vigente",OR(AF646="",AF646="null",AF646&gt;TODAY())),"SI",IF(AND(NOT(OR(AF646="",AF646="null")),AF646&lt;=TODAY()),"NO",IF(AG646="Vigente","SI","DESCONOCIDO")))</f>
        <v>SI</v>
      </c>
      <c r="AP646" t="str">
        <f>IF(AND(ISNUMBER(SEARCH("IMPORTAR",AA646)),ISNUMBER(SEARCH("FABRICAR",AA646))),"MIXTO",IF(ISNUMBER(SEARCH("IMPORTAR",AA646)),"IMPORTADO",IF(ISNUMBER(SEARCH("FABRICAR",AA646)),"LOCAL","OTRO")))</f>
        <v>IMPORTADO</v>
      </c>
      <c r="AQ646" t="str">
        <f>IF(AD646="Si","SI",IF(AD646="No","NO",""))</f>
        <v>NO</v>
      </c>
      <c r="AR646" t="str">
        <f>IF(ISNUMBER(SEARCH("®",N646)),"MARCA/INNOVADOR","GENERICO")</f>
        <v>MARCA/INNOVADOR</v>
      </c>
      <c r="AS646">
        <f ca="1">IF(AE646&gt;100,RANDBETWEEN(500,5000),IF(AND(AE646&gt;=10,AE646&lt;=100),RANDBETWEEN(100,1000),RANDBETWEEN(10,200)))</f>
        <v>97</v>
      </c>
      <c r="AT646">
        <f t="shared" ca="1" si="52"/>
        <v>26</v>
      </c>
      <c r="AU646">
        <f ca="1">INT(AS646*RANDBETWEEN(120,200)/100)</f>
        <v>181</v>
      </c>
      <c r="AV646" s="2">
        <f ca="1">IF(LEFT(Y646,1)="L",RANDBETWEEN(500000,5000000),IF(LEFT(Y646,1)="C",RANDBETWEEN(5000,50000),IF(LEFT(Y646,1)="N",RANDBETWEEN(10000,150000),IF(LEFT(Y646,1)="J",RANDBETWEEN(8000,200000),RANDBETWEEN(5000,100000)))))</f>
        <v>25371</v>
      </c>
      <c r="AW646" s="2">
        <f ca="1">INT(AV646*RANDBETWEEN(30,60)/100)</f>
        <v>14715</v>
      </c>
      <c r="AX646">
        <f ca="1">IF(Z646="ORAL",RANDBETWEEN(1000,10000),IF(OR(Z646="INTRAVENOSA",Z646="INTRAMUSCULAR"),RANDBETWEEN(100,2000),IF(OR(Z646="OFTÁLMICA",Z646="TOPICA (EXTERNA)"),RANDBETWEEN(200,3000),RANDBETWEEN(100,1500))))</f>
        <v>298</v>
      </c>
      <c r="AY646" s="2">
        <f ca="1">INT(AV646*RANDBETWEEN(90,130)/100)</f>
        <v>32982</v>
      </c>
      <c r="AZ646" t="str">
        <f t="shared" ca="1" si="53"/>
        <v>8.7%</v>
      </c>
      <c r="BA646" t="str">
        <f t="shared" ca="1" si="54"/>
        <v>BAJO</v>
      </c>
    </row>
    <row r="647" spans="4:53" x14ac:dyDescent="0.35">
      <c r="D647" t="s">
        <v>4343</v>
      </c>
      <c r="E647" s="1">
        <v>41975</v>
      </c>
      <c r="F647" t="s">
        <v>548</v>
      </c>
      <c r="G647" t="s">
        <v>108</v>
      </c>
      <c r="H647" t="s">
        <v>1329</v>
      </c>
      <c r="I647">
        <v>20061746</v>
      </c>
      <c r="J647" t="s">
        <v>28</v>
      </c>
      <c r="K647">
        <v>2</v>
      </c>
      <c r="L647" t="s">
        <v>27</v>
      </c>
      <c r="M647" t="s">
        <v>1326</v>
      </c>
      <c r="N647" t="s">
        <v>1327</v>
      </c>
      <c r="O647" t="s">
        <v>1502</v>
      </c>
      <c r="P647" t="s">
        <v>234</v>
      </c>
      <c r="Q647" s="1">
        <v>42083</v>
      </c>
      <c r="R647" t="s">
        <v>258</v>
      </c>
      <c r="S647" t="s">
        <v>27</v>
      </c>
      <c r="T647" t="s">
        <v>1329</v>
      </c>
      <c r="U647" t="s">
        <v>115</v>
      </c>
      <c r="V647" t="s">
        <v>64</v>
      </c>
      <c r="W647" t="s">
        <v>3675</v>
      </c>
      <c r="X647">
        <v>20061746</v>
      </c>
      <c r="Y647" t="s">
        <v>259</v>
      </c>
      <c r="Z647" t="s">
        <v>260</v>
      </c>
      <c r="AA647" t="s">
        <v>32</v>
      </c>
      <c r="AB647" t="s">
        <v>133</v>
      </c>
      <c r="AC647" t="s">
        <v>25</v>
      </c>
      <c r="AD647" t="s">
        <v>121</v>
      </c>
      <c r="AE647">
        <v>4</v>
      </c>
      <c r="AF647" s="1">
        <v>401769</v>
      </c>
      <c r="AG647" t="s">
        <v>26</v>
      </c>
      <c r="AH647" t="s">
        <v>6616</v>
      </c>
      <c r="AI647" t="str">
        <f t="shared" si="50"/>
        <v>NO</v>
      </c>
      <c r="AJ647" t="str">
        <f t="shared" si="51"/>
        <v>FRESENIUS KABI AB</v>
      </c>
      <c r="AK647" t="str">
        <f>IF(ISNUMBER(SEARCH("FABRICANTE",AC647)),"FABRICANTE",IF(ISNUMBER(SEARCH("IMPORTADOR",AC647)),"IMPORTADOR","OTRO"))</f>
        <v>FABRICANTE</v>
      </c>
      <c r="AL647" t="str">
        <f>IF(LEFT(Y647,1)="A","Sistema digestivo",IF(LEFT(Y647,1)="B","Sangre",IF(LEFT(Y647,1)="C","Cardiovascular",IF(LEFT(Y647,1)="D","Dermatológico",IF(LEFT(Y647,1)="G","Genitourinario",IF(LEFT(Y647,1)="H","Hormonal",IF(LEFT(Y647,1)="J","Antiinfecciosos",IF(LEFT(Y647,1)="L","Oncológicos",IF(LEFT(Y647,1)="M","Musculoesquelético",IF(LEFT(Y647,1)="N","Sistema nervioso",IF(LEFT(Y647,1)="R","Respiratorio",IF(LEFT(Y647,1)="S","Oftálmico",IF(LEFT(Y647,1)="V","Varios","OTRO")))))))))))))</f>
        <v>Sangre</v>
      </c>
      <c r="AM647" t="str">
        <f>IF(AG647="Vigente","ACTIVO",IF(ISNUMBER(SEARCH("Inactivo",J647)),"INACTIVO","REVISAR"))</f>
        <v>ACTIVO</v>
      </c>
      <c r="AN647">
        <f ca="1">IF(OR(AF647="",AF647="null"),"",ROUND((AF647-TODAY())/365.25,2))</f>
        <v>973.58</v>
      </c>
      <c r="AO647" t="str">
        <f ca="1">IF(AND(AG647="Vigente",OR(AF647="",AF647="null",AF647&gt;TODAY())),"SI",IF(AND(NOT(OR(AF647="",AF647="null")),AF647&lt;=TODAY()),"NO",IF(AG647="Vigente","SI","DESCONOCIDO")))</f>
        <v>SI</v>
      </c>
      <c r="AP647" t="str">
        <f>IF(AND(ISNUMBER(SEARCH("IMPORTAR",AA647)),ISNUMBER(SEARCH("FABRICAR",AA647))),"MIXTO",IF(ISNUMBER(SEARCH("IMPORTAR",AA647)),"IMPORTADO",IF(ISNUMBER(SEARCH("FABRICAR",AA647)),"LOCAL","OTRO")))</f>
        <v>IMPORTADO</v>
      </c>
      <c r="AQ647" t="str">
        <f>IF(AD647="Si","SI",IF(AD647="No","NO",""))</f>
        <v>NO</v>
      </c>
      <c r="AR647" t="str">
        <f>IF(ISNUMBER(SEARCH("®",N647)),"MARCA/INNOVADOR","GENERICO")</f>
        <v>MARCA/INNOVADOR</v>
      </c>
      <c r="AS647">
        <f ca="1">IF(AE647&gt;100,RANDBETWEEN(500,5000),IF(AND(AE647&gt;=10,AE647&lt;=100),RANDBETWEEN(100,1000),RANDBETWEEN(10,200)))</f>
        <v>10</v>
      </c>
      <c r="AT647">
        <f t="shared" ca="1" si="52"/>
        <v>1</v>
      </c>
      <c r="AU647">
        <f ca="1">INT(AS647*RANDBETWEEN(120,200)/100)</f>
        <v>16</v>
      </c>
      <c r="AV647" s="2">
        <f ca="1">IF(LEFT(Y647,1)="L",RANDBETWEEN(500000,5000000),IF(LEFT(Y647,1)="C",RANDBETWEEN(5000,50000),IF(LEFT(Y647,1)="N",RANDBETWEEN(10000,150000),IF(LEFT(Y647,1)="J",RANDBETWEEN(8000,200000),RANDBETWEEN(5000,100000)))))</f>
        <v>23000</v>
      </c>
      <c r="AW647" s="2">
        <f ca="1">INT(AV647*RANDBETWEEN(30,60)/100)</f>
        <v>10120</v>
      </c>
      <c r="AX647">
        <f ca="1">IF(Z647="ORAL",RANDBETWEEN(1000,10000),IF(OR(Z647="INTRAVENOSA",Z647="INTRAMUSCULAR"),RANDBETWEEN(100,2000),IF(OR(Z647="OFTÁLMICA",Z647="TOPICA (EXTERNA)"),RANDBETWEEN(200,3000),RANDBETWEEN(100,1500))))</f>
        <v>1419</v>
      </c>
      <c r="AY647" s="2">
        <f ca="1">INT(AV647*RANDBETWEEN(90,130)/100)</f>
        <v>20930</v>
      </c>
      <c r="AZ647" t="str">
        <f t="shared" ca="1" si="53"/>
        <v>1.4%</v>
      </c>
      <c r="BA647" t="str">
        <f t="shared" ca="1" si="54"/>
        <v>BAJO</v>
      </c>
    </row>
    <row r="648" spans="4:53" x14ac:dyDescent="0.35">
      <c r="D648" t="s">
        <v>4344</v>
      </c>
      <c r="E648" s="1">
        <v>40871</v>
      </c>
      <c r="F648" t="s">
        <v>4345</v>
      </c>
      <c r="G648" t="s">
        <v>108</v>
      </c>
      <c r="H648" t="s">
        <v>4346</v>
      </c>
      <c r="I648">
        <v>20039210</v>
      </c>
      <c r="J648" t="s">
        <v>110</v>
      </c>
      <c r="K648">
        <v>2</v>
      </c>
      <c r="L648" t="s">
        <v>27</v>
      </c>
      <c r="M648" t="s">
        <v>4347</v>
      </c>
      <c r="N648" t="s">
        <v>4348</v>
      </c>
      <c r="O648" t="s">
        <v>4349</v>
      </c>
      <c r="P648" t="s">
        <v>29</v>
      </c>
      <c r="Q648" s="1">
        <v>40862</v>
      </c>
      <c r="R648" t="s">
        <v>29</v>
      </c>
      <c r="S648" s="1">
        <v>40863</v>
      </c>
      <c r="T648" t="s">
        <v>4350</v>
      </c>
      <c r="U648" t="s">
        <v>115</v>
      </c>
      <c r="V648" t="s">
        <v>4351</v>
      </c>
      <c r="W648">
        <v>500</v>
      </c>
      <c r="X648">
        <v>20039210</v>
      </c>
      <c r="Y648" t="s">
        <v>4352</v>
      </c>
      <c r="Z648" t="s">
        <v>119</v>
      </c>
      <c r="AA648" t="s">
        <v>24</v>
      </c>
      <c r="AB648" t="s">
        <v>120</v>
      </c>
      <c r="AC648" t="s">
        <v>25</v>
      </c>
      <c r="AD648" t="s">
        <v>121</v>
      </c>
      <c r="AE648">
        <v>2</v>
      </c>
      <c r="AF648" s="1">
        <v>401769</v>
      </c>
      <c r="AG648" t="s">
        <v>26</v>
      </c>
      <c r="AH648" t="s">
        <v>4345</v>
      </c>
      <c r="AI648" t="str">
        <f t="shared" si="50"/>
        <v>NO</v>
      </c>
      <c r="AJ648" t="str">
        <f t="shared" si="51"/>
        <v>INVERSIONES COMERFAR</v>
      </c>
      <c r="AK648" t="str">
        <f>IF(ISNUMBER(SEARCH("FABRICANTE",AC648)),"FABRICANTE",IF(ISNUMBER(SEARCH("IMPORTADOR",AC648)),"IMPORTADOR","OTRO"))</f>
        <v>FABRICANTE</v>
      </c>
      <c r="AL648" t="str">
        <f>IF(LEFT(Y648,1)="A","Sistema digestivo",IF(LEFT(Y648,1)="B","Sangre",IF(LEFT(Y648,1)="C","Cardiovascular",IF(LEFT(Y648,1)="D","Dermatológico",IF(LEFT(Y648,1)="G","Genitourinario",IF(LEFT(Y648,1)="H","Hormonal",IF(LEFT(Y648,1)="J","Antiinfecciosos",IF(LEFT(Y648,1)="L","Oncológicos",IF(LEFT(Y648,1)="M","Musculoesquelético",IF(LEFT(Y648,1)="N","Sistema nervioso",IF(LEFT(Y648,1)="R","Respiratorio",IF(LEFT(Y648,1)="S","Oftálmico",IF(LEFT(Y648,1)="V","Varios","OTRO")))))))))))))</f>
        <v>OTRO</v>
      </c>
      <c r="AM648" t="str">
        <f>IF(AG648="Vigente","ACTIVO",IF(ISNUMBER(SEARCH("Inactivo",J648)),"INACTIVO","REVISAR"))</f>
        <v>ACTIVO</v>
      </c>
      <c r="AN648">
        <f ca="1">IF(OR(AF648="",AF648="null"),"",ROUND((AF648-TODAY())/365.25,2))</f>
        <v>973.58</v>
      </c>
      <c r="AO648" t="str">
        <f ca="1">IF(AND(AG648="Vigente",OR(AF648="",AF648="null",AF648&gt;TODAY())),"SI",IF(AND(NOT(OR(AF648="",AF648="null")),AF648&lt;=TODAY()),"NO",IF(AG648="Vigente","SI","DESCONOCIDO")))</f>
        <v>SI</v>
      </c>
      <c r="AP648" t="str">
        <f>IF(AND(ISNUMBER(SEARCH("IMPORTAR",AA648)),ISNUMBER(SEARCH("FABRICAR",AA648))),"MIXTO",IF(ISNUMBER(SEARCH("IMPORTAR",AA648)),"IMPORTADO",IF(ISNUMBER(SEARCH("FABRICAR",AA648)),"LOCAL","OTRO")))</f>
        <v>LOCAL</v>
      </c>
      <c r="AQ648" t="str">
        <f>IF(AD648="Si","SI",IF(AD648="No","NO",""))</f>
        <v>NO</v>
      </c>
      <c r="AR648" t="str">
        <f>IF(ISNUMBER(SEARCH("®",N648)),"MARCA/INNOVADOR","GENERICO")</f>
        <v>MARCA/INNOVADOR</v>
      </c>
      <c r="AS648">
        <f ca="1">IF(AE648&gt;100,RANDBETWEEN(500,5000),IF(AND(AE648&gt;=10,AE648&lt;=100),RANDBETWEEN(100,1000),RANDBETWEEN(10,200)))</f>
        <v>56</v>
      </c>
      <c r="AT648">
        <f t="shared" ca="1" si="52"/>
        <v>11</v>
      </c>
      <c r="AU648">
        <f ca="1">INT(AS648*RANDBETWEEN(120,200)/100)</f>
        <v>87</v>
      </c>
      <c r="AV648" s="2">
        <f ca="1">IF(LEFT(Y648,1)="L",RANDBETWEEN(500000,5000000),IF(LEFT(Y648,1)="C",RANDBETWEEN(5000,50000),IF(LEFT(Y648,1)="N",RANDBETWEEN(10000,150000),IF(LEFT(Y648,1)="J",RANDBETWEEN(8000,200000),RANDBETWEEN(5000,100000)))))</f>
        <v>91793</v>
      </c>
      <c r="AW648" s="2">
        <f ca="1">INT(AV648*RANDBETWEEN(30,60)/100)</f>
        <v>31209</v>
      </c>
      <c r="AX648">
        <f ca="1">IF(Z648="ORAL",RANDBETWEEN(1000,10000),IF(OR(Z648="INTRAVENOSA",Z648="INTRAMUSCULAR"),RANDBETWEEN(100,2000),IF(OR(Z648="OFTÁLMICA",Z648="TOPICA (EXTERNA)"),RANDBETWEEN(200,3000),RANDBETWEEN(100,1500))))</f>
        <v>2248</v>
      </c>
      <c r="AY648" s="2">
        <f ca="1">INT(AV648*RANDBETWEEN(90,130)/100)</f>
        <v>100054</v>
      </c>
      <c r="AZ648" t="str">
        <f t="shared" ca="1" si="53"/>
        <v>9.1%</v>
      </c>
      <c r="BA648" t="str">
        <f t="shared" ca="1" si="54"/>
        <v>MEDIO</v>
      </c>
    </row>
    <row r="649" spans="4:53" x14ac:dyDescent="0.35">
      <c r="D649" t="s">
        <v>4353</v>
      </c>
      <c r="E649" s="1">
        <v>39350</v>
      </c>
      <c r="F649" t="s">
        <v>4354</v>
      </c>
      <c r="G649" t="s">
        <v>108</v>
      </c>
      <c r="H649" t="s">
        <v>4355</v>
      </c>
      <c r="I649">
        <v>19978841</v>
      </c>
      <c r="J649" t="s">
        <v>110</v>
      </c>
      <c r="K649">
        <v>22</v>
      </c>
      <c r="L649" t="s">
        <v>27</v>
      </c>
      <c r="M649" t="s">
        <v>4356</v>
      </c>
      <c r="N649" t="s">
        <v>4357</v>
      </c>
      <c r="O649" t="s">
        <v>4358</v>
      </c>
      <c r="P649" t="s">
        <v>274</v>
      </c>
      <c r="Q649" s="1">
        <v>41782</v>
      </c>
      <c r="R649" t="s">
        <v>50</v>
      </c>
      <c r="S649" s="1">
        <v>45776</v>
      </c>
      <c r="T649" t="s">
        <v>354</v>
      </c>
      <c r="U649" t="s">
        <v>115</v>
      </c>
      <c r="V649" t="s">
        <v>4354</v>
      </c>
      <c r="W649">
        <v>50</v>
      </c>
      <c r="X649">
        <v>19978841</v>
      </c>
      <c r="Y649" t="s">
        <v>4359</v>
      </c>
      <c r="Z649" t="s">
        <v>132</v>
      </c>
      <c r="AA649" t="s">
        <v>32</v>
      </c>
      <c r="AB649" t="s">
        <v>239</v>
      </c>
      <c r="AC649" t="s">
        <v>25</v>
      </c>
      <c r="AD649" t="s">
        <v>155</v>
      </c>
      <c r="AE649">
        <v>2</v>
      </c>
      <c r="AF649" s="1">
        <v>401769</v>
      </c>
      <c r="AG649" t="s">
        <v>26</v>
      </c>
      <c r="AH649" t="s">
        <v>4354</v>
      </c>
      <c r="AI649" t="str">
        <f t="shared" si="50"/>
        <v>NO</v>
      </c>
      <c r="AJ649" t="str">
        <f t="shared" si="51"/>
        <v>PFIZER</v>
      </c>
      <c r="AK649" t="str">
        <f>IF(ISNUMBER(SEARCH("FABRICANTE",AC649)),"FABRICANTE",IF(ISNUMBER(SEARCH("IMPORTADOR",AC649)),"IMPORTADOR","OTRO"))</f>
        <v>FABRICANTE</v>
      </c>
      <c r="AL649" t="str">
        <f>IF(LEFT(Y649,1)="A","Sistema digestivo",IF(LEFT(Y649,1)="B","Sangre",IF(LEFT(Y649,1)="C","Cardiovascular",IF(LEFT(Y649,1)="D","Dermatológico",IF(LEFT(Y649,1)="G","Genitourinario",IF(LEFT(Y649,1)="H","Hormonal",IF(LEFT(Y649,1)="J","Antiinfecciosos",IF(LEFT(Y649,1)="L","Oncológicos",IF(LEFT(Y649,1)="M","Musculoesquelético",IF(LEFT(Y649,1)="N","Sistema nervioso",IF(LEFT(Y649,1)="R","Respiratorio",IF(LEFT(Y649,1)="S","Oftálmico",IF(LEFT(Y649,1)="V","Varios","OTRO")))))))))))))</f>
        <v>Oncológicos</v>
      </c>
      <c r="AM649" t="str">
        <f>IF(AG649="Vigente","ACTIVO",IF(ISNUMBER(SEARCH("Inactivo",J649)),"INACTIVO","REVISAR"))</f>
        <v>ACTIVO</v>
      </c>
      <c r="AN649">
        <f ca="1">IF(OR(AF649="",AF649="null"),"",ROUND((AF649-TODAY())/365.25,2))</f>
        <v>973.58</v>
      </c>
      <c r="AO649" t="str">
        <f ca="1">IF(AND(AG649="Vigente",OR(AF649="",AF649="null",AF649&gt;TODAY())),"SI",IF(AND(NOT(OR(AF649="",AF649="null")),AF649&lt;=TODAY()),"NO",IF(AG649="Vigente","SI","DESCONOCIDO")))</f>
        <v>SI</v>
      </c>
      <c r="AP649" t="str">
        <f>IF(AND(ISNUMBER(SEARCH("IMPORTAR",AA649)),ISNUMBER(SEARCH("FABRICAR",AA649))),"MIXTO",IF(ISNUMBER(SEARCH("IMPORTAR",AA649)),"IMPORTADO",IF(ISNUMBER(SEARCH("FABRICAR",AA649)),"LOCAL","OTRO")))</f>
        <v>IMPORTADO</v>
      </c>
      <c r="AQ649" t="str">
        <f>IF(AD649="Si","SI",IF(AD649="No","NO",""))</f>
        <v>SI</v>
      </c>
      <c r="AR649" t="str">
        <f>IF(ISNUMBER(SEARCH("®",N649)),"MARCA/INNOVADOR","GENERICO")</f>
        <v>MARCA/INNOVADOR</v>
      </c>
      <c r="AS649">
        <f ca="1">IF(AE649&gt;100,RANDBETWEEN(500,5000),IF(AND(AE649&gt;=10,AE649&lt;=100),RANDBETWEEN(100,1000),RANDBETWEEN(10,200)))</f>
        <v>101</v>
      </c>
      <c r="AT649">
        <f t="shared" ca="1" si="52"/>
        <v>25</v>
      </c>
      <c r="AU649">
        <f ca="1">INT(AS649*RANDBETWEEN(120,200)/100)</f>
        <v>123</v>
      </c>
      <c r="AV649" s="2">
        <f ca="1">IF(LEFT(Y649,1)="L",RANDBETWEEN(500000,5000000),IF(LEFT(Y649,1)="C",RANDBETWEEN(5000,50000),IF(LEFT(Y649,1)="N",RANDBETWEEN(10000,150000),IF(LEFT(Y649,1)="J",RANDBETWEEN(8000,200000),RANDBETWEEN(5000,100000)))))</f>
        <v>1036797</v>
      </c>
      <c r="AW649" s="2">
        <f ca="1">INT(AV649*RANDBETWEEN(30,60)/100)</f>
        <v>622078</v>
      </c>
      <c r="AX649">
        <f ca="1">IF(Z649="ORAL",RANDBETWEEN(1000,10000),IF(OR(Z649="INTRAVENOSA",Z649="INTRAMUSCULAR"),RANDBETWEEN(100,2000),IF(OR(Z649="OFTÁLMICA",Z649="TOPICA (EXTERNA)"),RANDBETWEEN(200,3000),RANDBETWEEN(100,1500))))</f>
        <v>355</v>
      </c>
      <c r="AY649" s="2">
        <f ca="1">INT(AV649*RANDBETWEEN(90,130)/100)</f>
        <v>1337468</v>
      </c>
      <c r="AZ649" t="str">
        <f t="shared" ca="1" si="53"/>
        <v>8.1%</v>
      </c>
      <c r="BA649" t="str">
        <f t="shared" ca="1" si="54"/>
        <v>MEDIO</v>
      </c>
    </row>
    <row r="650" spans="4:53" x14ac:dyDescent="0.35">
      <c r="D650" t="s">
        <v>4360</v>
      </c>
      <c r="E650" s="1">
        <v>45792</v>
      </c>
      <c r="F650" t="s">
        <v>2889</v>
      </c>
      <c r="G650" t="s">
        <v>108</v>
      </c>
      <c r="H650" t="s">
        <v>308</v>
      </c>
      <c r="I650">
        <v>20239795</v>
      </c>
      <c r="J650" t="s">
        <v>28</v>
      </c>
      <c r="K650">
        <v>16</v>
      </c>
      <c r="L650" t="s">
        <v>4361</v>
      </c>
      <c r="M650" t="s">
        <v>2891</v>
      </c>
      <c r="N650" t="s">
        <v>2892</v>
      </c>
      <c r="O650" t="s">
        <v>4362</v>
      </c>
      <c r="P650" t="s">
        <v>2894</v>
      </c>
      <c r="Q650" s="1">
        <v>45246</v>
      </c>
      <c r="R650" t="s">
        <v>2895</v>
      </c>
      <c r="S650" t="s">
        <v>27</v>
      </c>
      <c r="T650" t="s">
        <v>308</v>
      </c>
      <c r="U650" t="s">
        <v>115</v>
      </c>
      <c r="V650" t="s">
        <v>2896</v>
      </c>
      <c r="W650" t="s">
        <v>2897</v>
      </c>
      <c r="X650">
        <v>20239795</v>
      </c>
      <c r="Y650" t="s">
        <v>2898</v>
      </c>
      <c r="Z650" t="s">
        <v>2899</v>
      </c>
      <c r="AA650" t="s">
        <v>32</v>
      </c>
      <c r="AB650" t="s">
        <v>120</v>
      </c>
      <c r="AC650" t="s">
        <v>38</v>
      </c>
      <c r="AD650" t="s">
        <v>155</v>
      </c>
      <c r="AE650">
        <v>100</v>
      </c>
      <c r="AF650" s="1">
        <v>47632</v>
      </c>
      <c r="AG650" t="s">
        <v>26</v>
      </c>
      <c r="AH650" t="s">
        <v>6793</v>
      </c>
      <c r="AI650" t="str">
        <f t="shared" si="50"/>
        <v>SI</v>
      </c>
      <c r="AJ650" t="str">
        <f t="shared" si="51"/>
        <v>HUMAX PHARMACEUTICAL</v>
      </c>
      <c r="AK650" t="str">
        <f>IF(ISNUMBER(SEARCH("FABRICANTE",AC650)),"FABRICANTE",IF(ISNUMBER(SEARCH("IMPORTADOR",AC650)),"IMPORTADOR","OTRO"))</f>
        <v>IMPORTADOR</v>
      </c>
      <c r="AL650" t="str">
        <f>IF(LEFT(Y650,1)="A","Sistema digestivo",IF(LEFT(Y650,1)="B","Sangre",IF(LEFT(Y650,1)="C","Cardiovascular",IF(LEFT(Y650,1)="D","Dermatológico",IF(LEFT(Y650,1)="G","Genitourinario",IF(LEFT(Y650,1)="H","Hormonal",IF(LEFT(Y650,1)="J","Antiinfecciosos",IF(LEFT(Y650,1)="L","Oncológicos",IF(LEFT(Y650,1)="M","Musculoesquelético",IF(LEFT(Y650,1)="N","Sistema nervioso",IF(LEFT(Y650,1)="R","Respiratorio",IF(LEFT(Y650,1)="S","Oftálmico",IF(LEFT(Y650,1)="V","Varios","OTRO")))))))))))))</f>
        <v>Sistema nervioso</v>
      </c>
      <c r="AM650" t="str">
        <f>IF(AG650="Vigente","ACTIVO",IF(ISNUMBER(SEARCH("Inactivo",J650)),"INACTIVO","REVISAR"))</f>
        <v>ACTIVO</v>
      </c>
      <c r="AN650">
        <f ca="1">IF(OR(AF650="",AF650="null"),"",ROUND((AF650-TODAY())/365.25,2))</f>
        <v>4.01</v>
      </c>
      <c r="AO650" t="str">
        <f ca="1">IF(AND(AG650="Vigente",OR(AF650="",AF650="null",AF650&gt;TODAY())),"SI",IF(AND(NOT(OR(AF650="",AF650="null")),AF650&lt;=TODAY()),"NO",IF(AG650="Vigente","SI","DESCONOCIDO")))</f>
        <v>SI</v>
      </c>
      <c r="AP650" t="str">
        <f>IF(AND(ISNUMBER(SEARCH("IMPORTAR",AA650)),ISNUMBER(SEARCH("FABRICAR",AA650))),"MIXTO",IF(ISNUMBER(SEARCH("IMPORTAR",AA650)),"IMPORTADO",IF(ISNUMBER(SEARCH("FABRICAR",AA650)),"LOCAL","OTRO")))</f>
        <v>IMPORTADO</v>
      </c>
      <c r="AQ650" t="str">
        <f>IF(AD650="Si","SI",IF(AD650="No","NO",""))</f>
        <v>SI</v>
      </c>
      <c r="AR650" t="str">
        <f>IF(ISNUMBER(SEARCH("®",N650)),"MARCA/INNOVADOR","GENERICO")</f>
        <v>MARCA/INNOVADOR</v>
      </c>
      <c r="AS650">
        <f ca="1">IF(AE650&gt;100,RANDBETWEEN(500,5000),IF(AND(AE650&gt;=10,AE650&lt;=100),RANDBETWEEN(100,1000),RANDBETWEEN(10,200)))</f>
        <v>443</v>
      </c>
      <c r="AT650">
        <f t="shared" ca="1" si="52"/>
        <v>97</v>
      </c>
      <c r="AU650">
        <f ca="1">INT(AS650*RANDBETWEEN(120,200)/100)</f>
        <v>673</v>
      </c>
      <c r="AV650" s="2">
        <f ca="1">IF(LEFT(Y650,1)="L",RANDBETWEEN(500000,5000000),IF(LEFT(Y650,1)="C",RANDBETWEEN(5000,50000),IF(LEFT(Y650,1)="N",RANDBETWEEN(10000,150000),IF(LEFT(Y650,1)="J",RANDBETWEEN(8000,200000),RANDBETWEEN(5000,100000)))))</f>
        <v>61390</v>
      </c>
      <c r="AW650" s="2">
        <f ca="1">INT(AV650*RANDBETWEEN(30,60)/100)</f>
        <v>36834</v>
      </c>
      <c r="AX650">
        <f ca="1">IF(Z650="ORAL",RANDBETWEEN(1000,10000),IF(OR(Z650="INTRAVENOSA",Z650="INTRAMUSCULAR"),RANDBETWEEN(100,2000),IF(OR(Z650="OFTÁLMICA",Z650="TOPICA (EXTERNA)"),RANDBETWEEN(200,3000),RANDBETWEEN(100,1500))))</f>
        <v>797</v>
      </c>
      <c r="AY650" s="2">
        <f ca="1">INT(AV650*RANDBETWEEN(90,130)/100)</f>
        <v>63845</v>
      </c>
      <c r="AZ650" t="str">
        <f t="shared" ca="1" si="53"/>
        <v>5.2%</v>
      </c>
      <c r="BA650" t="str">
        <f t="shared" ca="1" si="54"/>
        <v>MEDIO</v>
      </c>
    </row>
    <row r="651" spans="4:53" x14ac:dyDescent="0.35">
      <c r="D651" t="s">
        <v>4363</v>
      </c>
      <c r="E651" s="1">
        <v>40564</v>
      </c>
      <c r="F651" t="s">
        <v>4364</v>
      </c>
      <c r="G651" t="s">
        <v>108</v>
      </c>
      <c r="H651" t="s">
        <v>3327</v>
      </c>
      <c r="I651">
        <v>20022179</v>
      </c>
      <c r="J651" t="s">
        <v>28</v>
      </c>
      <c r="K651">
        <v>6</v>
      </c>
      <c r="L651" t="s">
        <v>27</v>
      </c>
      <c r="M651" t="s">
        <v>4365</v>
      </c>
      <c r="N651" t="s">
        <v>4366</v>
      </c>
      <c r="O651" t="s">
        <v>4367</v>
      </c>
      <c r="P651" t="s">
        <v>432</v>
      </c>
      <c r="Q651" s="1">
        <v>41046</v>
      </c>
      <c r="R651" t="s">
        <v>33</v>
      </c>
      <c r="S651" t="s">
        <v>27</v>
      </c>
      <c r="T651" t="s">
        <v>3327</v>
      </c>
      <c r="U651" t="s">
        <v>781</v>
      </c>
      <c r="V651" t="s">
        <v>4368</v>
      </c>
      <c r="W651">
        <v>10</v>
      </c>
      <c r="X651">
        <v>20022179</v>
      </c>
      <c r="Y651" t="s">
        <v>4369</v>
      </c>
      <c r="Z651" t="s">
        <v>119</v>
      </c>
      <c r="AA651" t="s">
        <v>24</v>
      </c>
      <c r="AB651" t="s">
        <v>120</v>
      </c>
      <c r="AC651" t="s">
        <v>25</v>
      </c>
      <c r="AD651" t="s">
        <v>155</v>
      </c>
      <c r="AE651">
        <v>2</v>
      </c>
      <c r="AF651" t="s">
        <v>27</v>
      </c>
      <c r="AG651" t="s">
        <v>26</v>
      </c>
      <c r="AH651" t="s">
        <v>4364</v>
      </c>
      <c r="AI651" t="str">
        <f t="shared" si="50"/>
        <v>NO</v>
      </c>
      <c r="AJ651" t="str">
        <f t="shared" si="51"/>
        <v>LABORATORIOS SYNTHESIS</v>
      </c>
      <c r="AK651" t="str">
        <f>IF(ISNUMBER(SEARCH("FABRICANTE",AC651)),"FABRICANTE",IF(ISNUMBER(SEARCH("IMPORTADOR",AC651)),"IMPORTADOR","OTRO"))</f>
        <v>FABRICANTE</v>
      </c>
      <c r="AL651" t="str">
        <f>IF(LEFT(Y651,1)="A","Sistema digestivo",IF(LEFT(Y651,1)="B","Sangre",IF(LEFT(Y651,1)="C","Cardiovascular",IF(LEFT(Y651,1)="D","Dermatológico",IF(LEFT(Y651,1)="G","Genitourinario",IF(LEFT(Y651,1)="H","Hormonal",IF(LEFT(Y651,1)="J","Antiinfecciosos",IF(LEFT(Y651,1)="L","Oncológicos",IF(LEFT(Y651,1)="M","Musculoesquelético",IF(LEFT(Y651,1)="N","Sistema nervioso",IF(LEFT(Y651,1)="R","Respiratorio",IF(LEFT(Y651,1)="S","Oftálmico",IF(LEFT(Y651,1)="V","Varios","OTRO")))))))))))))</f>
        <v>Musculoesquelético</v>
      </c>
      <c r="AM651" t="str">
        <f>IF(AG651="Vigente","ACTIVO",IF(ISNUMBER(SEARCH("Inactivo",J651)),"INACTIVO","REVISAR"))</f>
        <v>ACTIVO</v>
      </c>
      <c r="AN651" t="str">
        <f ca="1">IF(OR(AF651="",AF651="null"),"",ROUND((AF651-TODAY())/365.25,2))</f>
        <v/>
      </c>
      <c r="AO651" t="str">
        <f ca="1">IF(AND(AG651="Vigente",OR(AF651="",AF651="null",AF651&gt;TODAY())),"SI",IF(AND(NOT(OR(AF651="",AF651="null")),AF651&lt;=TODAY()),"NO",IF(AG651="Vigente","SI","DESCONOCIDO")))</f>
        <v>SI</v>
      </c>
      <c r="AP651" t="str">
        <f>IF(AND(ISNUMBER(SEARCH("IMPORTAR",AA651)),ISNUMBER(SEARCH("FABRICAR",AA651))),"MIXTO",IF(ISNUMBER(SEARCH("IMPORTAR",AA651)),"IMPORTADO",IF(ISNUMBER(SEARCH("FABRICAR",AA651)),"LOCAL","OTRO")))</f>
        <v>LOCAL</v>
      </c>
      <c r="AQ651" t="str">
        <f>IF(AD651="Si","SI",IF(AD651="No","NO",""))</f>
        <v>SI</v>
      </c>
      <c r="AR651" t="str">
        <f>IF(ISNUMBER(SEARCH("®",N651)),"MARCA/INNOVADOR","GENERICO")</f>
        <v>MARCA/INNOVADOR</v>
      </c>
      <c r="AS651">
        <f ca="1">IF(AE651&gt;100,RANDBETWEEN(500,5000),IF(AND(AE651&gt;=10,AE651&lt;=100),RANDBETWEEN(100,1000),RANDBETWEEN(10,200)))</f>
        <v>74</v>
      </c>
      <c r="AT651">
        <f t="shared" ca="1" si="52"/>
        <v>18</v>
      </c>
      <c r="AU651">
        <f ca="1">INT(AS651*RANDBETWEEN(120,200)/100)</f>
        <v>88</v>
      </c>
      <c r="AV651" s="2">
        <f ca="1">IF(LEFT(Y651,1)="L",RANDBETWEEN(500000,5000000),IF(LEFT(Y651,1)="C",RANDBETWEEN(5000,50000),IF(LEFT(Y651,1)="N",RANDBETWEEN(10000,150000),IF(LEFT(Y651,1)="J",RANDBETWEEN(8000,200000),RANDBETWEEN(5000,100000)))))</f>
        <v>64727</v>
      </c>
      <c r="AW651" s="2">
        <f ca="1">INT(AV651*RANDBETWEEN(30,60)/100)</f>
        <v>34952</v>
      </c>
      <c r="AX651">
        <f ca="1">IF(Z651="ORAL",RANDBETWEEN(1000,10000),IF(OR(Z651="INTRAVENOSA",Z651="INTRAMUSCULAR"),RANDBETWEEN(100,2000),IF(OR(Z651="OFTÁLMICA",Z651="TOPICA (EXTERNA)"),RANDBETWEEN(200,3000),RANDBETWEEN(100,1500))))</f>
        <v>9834</v>
      </c>
      <c r="AY651" s="2">
        <f ca="1">INT(AV651*RANDBETWEEN(90,130)/100)</f>
        <v>69905</v>
      </c>
      <c r="AZ651" t="str">
        <f t="shared" ca="1" si="53"/>
        <v>23.7%</v>
      </c>
      <c r="BA651" t="str">
        <f t="shared" ca="1" si="54"/>
        <v>BAJO</v>
      </c>
    </row>
    <row r="652" spans="4:53" x14ac:dyDescent="0.35">
      <c r="D652" t="s">
        <v>4370</v>
      </c>
      <c r="E652" s="1">
        <v>43432</v>
      </c>
      <c r="F652" t="s">
        <v>3515</v>
      </c>
      <c r="G652" t="s">
        <v>108</v>
      </c>
      <c r="H652" t="s">
        <v>454</v>
      </c>
      <c r="I652">
        <v>20122093</v>
      </c>
      <c r="J652" t="s">
        <v>110</v>
      </c>
      <c r="K652">
        <v>3</v>
      </c>
      <c r="L652" t="s">
        <v>4371</v>
      </c>
      <c r="M652" t="s">
        <v>4372</v>
      </c>
      <c r="N652" t="s">
        <v>4373</v>
      </c>
      <c r="O652" t="s">
        <v>4374</v>
      </c>
      <c r="P652" t="s">
        <v>659</v>
      </c>
      <c r="Q652" s="1">
        <v>43419</v>
      </c>
      <c r="R652" t="s">
        <v>527</v>
      </c>
      <c r="S652" s="1">
        <v>45274</v>
      </c>
      <c r="T652" t="s">
        <v>1490</v>
      </c>
      <c r="U652" t="s">
        <v>469</v>
      </c>
      <c r="V652" t="s">
        <v>729</v>
      </c>
      <c r="W652" t="s">
        <v>4375</v>
      </c>
      <c r="X652">
        <v>20122093</v>
      </c>
      <c r="Y652" t="s">
        <v>730</v>
      </c>
      <c r="Z652" t="s">
        <v>119</v>
      </c>
      <c r="AA652" t="s">
        <v>24</v>
      </c>
      <c r="AB652" t="s">
        <v>120</v>
      </c>
      <c r="AC652" t="s">
        <v>25</v>
      </c>
      <c r="AD652" t="s">
        <v>121</v>
      </c>
      <c r="AE652">
        <v>60</v>
      </c>
      <c r="AF652" t="s">
        <v>27</v>
      </c>
      <c r="AG652" t="s">
        <v>26</v>
      </c>
      <c r="AH652" t="s">
        <v>3515</v>
      </c>
      <c r="AI652" t="str">
        <f t="shared" si="50"/>
        <v>NO</v>
      </c>
      <c r="AJ652" t="str">
        <f t="shared" si="51"/>
        <v>LABORATORIO FRANCO COLOMBIANO - LAFRANCOL</v>
      </c>
      <c r="AK652" t="str">
        <f>IF(ISNUMBER(SEARCH("FABRICANTE",AC652)),"FABRICANTE",IF(ISNUMBER(SEARCH("IMPORTADOR",AC652)),"IMPORTADOR","OTRO"))</f>
        <v>FABRICANTE</v>
      </c>
      <c r="AL652" t="str">
        <f>IF(LEFT(Y652,1)="A","Sistema digestivo",IF(LEFT(Y652,1)="B","Sangre",IF(LEFT(Y652,1)="C","Cardiovascular",IF(LEFT(Y652,1)="D","Dermatológico",IF(LEFT(Y652,1)="G","Genitourinario",IF(LEFT(Y652,1)="H","Hormonal",IF(LEFT(Y652,1)="J","Antiinfecciosos",IF(LEFT(Y652,1)="L","Oncológicos",IF(LEFT(Y652,1)="M","Musculoesquelético",IF(LEFT(Y652,1)="N","Sistema nervioso",IF(LEFT(Y652,1)="R","Respiratorio",IF(LEFT(Y652,1)="S","Oftálmico",IF(LEFT(Y652,1)="V","Varios","OTRO")))))))))))))</f>
        <v>Sistema digestivo</v>
      </c>
      <c r="AM652" t="str">
        <f>IF(AG652="Vigente","ACTIVO",IF(ISNUMBER(SEARCH("Inactivo",J652)),"INACTIVO","REVISAR"))</f>
        <v>ACTIVO</v>
      </c>
      <c r="AN652" t="str">
        <f ca="1">IF(OR(AF652="",AF652="null"),"",ROUND((AF652-TODAY())/365.25,2))</f>
        <v/>
      </c>
      <c r="AO652" t="str">
        <f ca="1">IF(AND(AG652="Vigente",OR(AF652="",AF652="null",AF652&gt;TODAY())),"SI",IF(AND(NOT(OR(AF652="",AF652="null")),AF652&lt;=TODAY()),"NO",IF(AG652="Vigente","SI","DESCONOCIDO")))</f>
        <v>SI</v>
      </c>
      <c r="AP652" t="str">
        <f>IF(AND(ISNUMBER(SEARCH("IMPORTAR",AA652)),ISNUMBER(SEARCH("FABRICAR",AA652))),"MIXTO",IF(ISNUMBER(SEARCH("IMPORTAR",AA652)),"IMPORTADO",IF(ISNUMBER(SEARCH("FABRICAR",AA652)),"LOCAL","OTRO")))</f>
        <v>LOCAL</v>
      </c>
      <c r="AQ652" t="str">
        <f>IF(AD652="Si","SI",IF(AD652="No","NO",""))</f>
        <v>NO</v>
      </c>
      <c r="AR652" t="str">
        <f>IF(ISNUMBER(SEARCH("®",N652)),"MARCA/INNOVADOR","GENERICO")</f>
        <v>GENERICO</v>
      </c>
      <c r="AS652">
        <f ca="1">IF(AE652&gt;100,RANDBETWEEN(500,5000),IF(AND(AE652&gt;=10,AE652&lt;=100),RANDBETWEEN(100,1000),RANDBETWEEN(10,200)))</f>
        <v>669</v>
      </c>
      <c r="AT652">
        <f t="shared" ca="1" si="52"/>
        <v>80</v>
      </c>
      <c r="AU652">
        <f ca="1">INT(AS652*RANDBETWEEN(120,200)/100)</f>
        <v>1304</v>
      </c>
      <c r="AV652" s="2">
        <f ca="1">IF(LEFT(Y652,1)="L",RANDBETWEEN(500000,5000000),IF(LEFT(Y652,1)="C",RANDBETWEEN(5000,50000),IF(LEFT(Y652,1)="N",RANDBETWEEN(10000,150000),IF(LEFT(Y652,1)="J",RANDBETWEEN(8000,200000),RANDBETWEEN(5000,100000)))))</f>
        <v>34644</v>
      </c>
      <c r="AW652" s="2">
        <f ca="1">INT(AV652*RANDBETWEEN(30,60)/100)</f>
        <v>18707</v>
      </c>
      <c r="AX652">
        <f ca="1">IF(Z652="ORAL",RANDBETWEEN(1000,10000),IF(OR(Z652="INTRAVENOSA",Z652="INTRAMUSCULAR"),RANDBETWEEN(100,2000),IF(OR(Z652="OFTÁLMICA",Z652="TOPICA (EXTERNA)"),RANDBETWEEN(200,3000),RANDBETWEEN(100,1500))))</f>
        <v>8068</v>
      </c>
      <c r="AY652" s="2">
        <f ca="1">INT(AV652*RANDBETWEEN(90,130)/100)</f>
        <v>42612</v>
      </c>
      <c r="AZ652" t="str">
        <f t="shared" ca="1" si="53"/>
        <v>8.5%</v>
      </c>
      <c r="BA652" t="str">
        <f t="shared" ca="1" si="54"/>
        <v>ALTO</v>
      </c>
    </row>
    <row r="653" spans="4:53" x14ac:dyDescent="0.35">
      <c r="D653" t="s">
        <v>4376</v>
      </c>
      <c r="E653" s="1">
        <v>37784</v>
      </c>
      <c r="F653" t="s">
        <v>4377</v>
      </c>
      <c r="G653" t="s">
        <v>108</v>
      </c>
      <c r="H653" t="s">
        <v>4378</v>
      </c>
      <c r="I653">
        <v>19936459</v>
      </c>
      <c r="J653" t="s">
        <v>110</v>
      </c>
      <c r="K653">
        <v>8</v>
      </c>
      <c r="L653" t="s">
        <v>27</v>
      </c>
      <c r="M653" t="s">
        <v>4379</v>
      </c>
      <c r="N653" t="s">
        <v>4380</v>
      </c>
      <c r="O653" t="s">
        <v>4381</v>
      </c>
      <c r="P653" t="s">
        <v>29</v>
      </c>
      <c r="Q653" s="1">
        <v>42265</v>
      </c>
      <c r="R653" t="s">
        <v>29</v>
      </c>
      <c r="S653" s="1">
        <v>43796</v>
      </c>
      <c r="T653" t="s">
        <v>4378</v>
      </c>
      <c r="U653" t="s">
        <v>115</v>
      </c>
      <c r="V653" t="s">
        <v>186</v>
      </c>
      <c r="W653">
        <v>10</v>
      </c>
      <c r="X653">
        <v>19936459</v>
      </c>
      <c r="Y653" t="s">
        <v>4382</v>
      </c>
      <c r="Z653" t="s">
        <v>119</v>
      </c>
      <c r="AA653" t="s">
        <v>32</v>
      </c>
      <c r="AB653" t="s">
        <v>120</v>
      </c>
      <c r="AC653" t="s">
        <v>38</v>
      </c>
      <c r="AD653" t="s">
        <v>121</v>
      </c>
      <c r="AE653">
        <v>90</v>
      </c>
      <c r="AF653" t="s">
        <v>27</v>
      </c>
      <c r="AG653" t="s">
        <v>26</v>
      </c>
      <c r="AH653" t="s">
        <v>949</v>
      </c>
      <c r="AI653" t="str">
        <f t="shared" si="50"/>
        <v>NO</v>
      </c>
      <c r="AJ653" t="str">
        <f t="shared" si="51"/>
        <v>ORGANON COLOMBIA</v>
      </c>
      <c r="AK653" t="str">
        <f>IF(ISNUMBER(SEARCH("FABRICANTE",AC653)),"FABRICANTE",IF(ISNUMBER(SEARCH("IMPORTADOR",AC653)),"IMPORTADOR","OTRO"))</f>
        <v>IMPORTADOR</v>
      </c>
      <c r="AL653" t="str">
        <f>IF(LEFT(Y653,1)="A","Sistema digestivo",IF(LEFT(Y653,1)="B","Sangre",IF(LEFT(Y653,1)="C","Cardiovascular",IF(LEFT(Y653,1)="D","Dermatológico",IF(LEFT(Y653,1)="G","Genitourinario",IF(LEFT(Y653,1)="H","Hormonal",IF(LEFT(Y653,1)="J","Antiinfecciosos",IF(LEFT(Y653,1)="L","Oncológicos",IF(LEFT(Y653,1)="M","Musculoesquelético",IF(LEFT(Y653,1)="N","Sistema nervioso",IF(LEFT(Y653,1)="R","Respiratorio",IF(LEFT(Y653,1)="S","Oftálmico",IF(LEFT(Y653,1)="V","Varios","OTRO")))))))))))))</f>
        <v>Cardiovascular</v>
      </c>
      <c r="AM653" t="str">
        <f>IF(AG653="Vigente","ACTIVO",IF(ISNUMBER(SEARCH("Inactivo",J653)),"INACTIVO","REVISAR"))</f>
        <v>ACTIVO</v>
      </c>
      <c r="AN653" t="str">
        <f ca="1">IF(OR(AF653="",AF653="null"),"",ROUND((AF653-TODAY())/365.25,2))</f>
        <v/>
      </c>
      <c r="AO653" t="str">
        <f ca="1">IF(AND(AG653="Vigente",OR(AF653="",AF653="null",AF653&gt;TODAY())),"SI",IF(AND(NOT(OR(AF653="",AF653="null")),AF653&lt;=TODAY()),"NO",IF(AG653="Vigente","SI","DESCONOCIDO")))</f>
        <v>SI</v>
      </c>
      <c r="AP653" t="str">
        <f>IF(AND(ISNUMBER(SEARCH("IMPORTAR",AA653)),ISNUMBER(SEARCH("FABRICAR",AA653))),"MIXTO",IF(ISNUMBER(SEARCH("IMPORTAR",AA653)),"IMPORTADO",IF(ISNUMBER(SEARCH("FABRICAR",AA653)),"LOCAL","OTRO")))</f>
        <v>IMPORTADO</v>
      </c>
      <c r="AQ653" t="str">
        <f>IF(AD653="Si","SI",IF(AD653="No","NO",""))</f>
        <v>NO</v>
      </c>
      <c r="AR653" t="str">
        <f>IF(ISNUMBER(SEARCH("®",N653)),"MARCA/INNOVADOR","GENERICO")</f>
        <v>MARCA/INNOVADOR</v>
      </c>
      <c r="AS653">
        <f ca="1">IF(AE653&gt;100,RANDBETWEEN(500,5000),IF(AND(AE653&gt;=10,AE653&lt;=100),RANDBETWEEN(100,1000),RANDBETWEEN(10,200)))</f>
        <v>723</v>
      </c>
      <c r="AT653">
        <f t="shared" ca="1" si="52"/>
        <v>151</v>
      </c>
      <c r="AU653">
        <f ca="1">INT(AS653*RANDBETWEEN(120,200)/100)</f>
        <v>1286</v>
      </c>
      <c r="AV653" s="2">
        <f ca="1">IF(LEFT(Y653,1)="L",RANDBETWEEN(500000,5000000),IF(LEFT(Y653,1)="C",RANDBETWEEN(5000,50000),IF(LEFT(Y653,1)="N",RANDBETWEEN(10000,150000),IF(LEFT(Y653,1)="J",RANDBETWEEN(8000,200000),RANDBETWEEN(5000,100000)))))</f>
        <v>33162</v>
      </c>
      <c r="AW653" s="2">
        <f ca="1">INT(AV653*RANDBETWEEN(30,60)/100)</f>
        <v>16249</v>
      </c>
      <c r="AX653">
        <f ca="1">IF(Z653="ORAL",RANDBETWEEN(1000,10000),IF(OR(Z653="INTRAVENOSA",Z653="INTRAMUSCULAR"),RANDBETWEEN(100,2000),IF(OR(Z653="OFTÁLMICA",Z653="TOPICA (EXTERNA)"),RANDBETWEEN(200,3000),RANDBETWEEN(100,1500))))</f>
        <v>6170</v>
      </c>
      <c r="AY653" s="2">
        <f ca="1">INT(AV653*RANDBETWEEN(90,130)/100)</f>
        <v>31835</v>
      </c>
      <c r="AZ653" t="str">
        <f t="shared" ca="1" si="53"/>
        <v>15.4%</v>
      </c>
      <c r="BA653" t="str">
        <f t="shared" ca="1" si="54"/>
        <v>ALTO</v>
      </c>
    </row>
    <row r="654" spans="4:53" x14ac:dyDescent="0.35">
      <c r="D654" t="s">
        <v>4383</v>
      </c>
      <c r="E654" s="1">
        <v>42495</v>
      </c>
      <c r="F654" t="s">
        <v>4384</v>
      </c>
      <c r="G654" t="s">
        <v>108</v>
      </c>
      <c r="H654" t="s">
        <v>136</v>
      </c>
      <c r="I654">
        <v>20060505</v>
      </c>
      <c r="J654" t="s">
        <v>28</v>
      </c>
      <c r="K654">
        <v>4</v>
      </c>
      <c r="L654" t="s">
        <v>27</v>
      </c>
      <c r="M654" t="s">
        <v>4385</v>
      </c>
      <c r="N654" t="s">
        <v>4386</v>
      </c>
      <c r="O654" t="s">
        <v>4387</v>
      </c>
      <c r="P654" t="s">
        <v>477</v>
      </c>
      <c r="Q654" s="1">
        <v>42493</v>
      </c>
      <c r="R654" t="s">
        <v>67</v>
      </c>
      <c r="S654" t="s">
        <v>27</v>
      </c>
      <c r="T654" t="s">
        <v>136</v>
      </c>
      <c r="U654" t="s">
        <v>247</v>
      </c>
      <c r="V654" t="s">
        <v>248</v>
      </c>
      <c r="W654" t="s">
        <v>4388</v>
      </c>
      <c r="X654">
        <v>20060505</v>
      </c>
      <c r="Y654" t="s">
        <v>249</v>
      </c>
      <c r="Z654" t="s">
        <v>119</v>
      </c>
      <c r="AA654" t="s">
        <v>32</v>
      </c>
      <c r="AB654" t="s">
        <v>133</v>
      </c>
      <c r="AC654" t="s">
        <v>38</v>
      </c>
      <c r="AD654" t="s">
        <v>121</v>
      </c>
      <c r="AE654">
        <v>1</v>
      </c>
      <c r="AF654" t="s">
        <v>27</v>
      </c>
      <c r="AG654" t="s">
        <v>26</v>
      </c>
      <c r="AH654" t="s">
        <v>6685</v>
      </c>
      <c r="AI654" t="str">
        <f t="shared" si="50"/>
        <v>SI</v>
      </c>
      <c r="AJ654" t="str">
        <f t="shared" si="51"/>
        <v>ABBOTT LABORATORIES DE COLOMBIA</v>
      </c>
      <c r="AK654" t="str">
        <f>IF(ISNUMBER(SEARCH("FABRICANTE",AC654)),"FABRICANTE",IF(ISNUMBER(SEARCH("IMPORTADOR",AC654)),"IMPORTADOR","OTRO"))</f>
        <v>IMPORTADOR</v>
      </c>
      <c r="AL654" t="str">
        <f>IF(LEFT(Y654,1)="A","Sistema digestivo",IF(LEFT(Y654,1)="B","Sangre",IF(LEFT(Y654,1)="C","Cardiovascular",IF(LEFT(Y654,1)="D","Dermatológico",IF(LEFT(Y654,1)="G","Genitourinario",IF(LEFT(Y654,1)="H","Hormonal",IF(LEFT(Y654,1)="J","Antiinfecciosos",IF(LEFT(Y654,1)="L","Oncológicos",IF(LEFT(Y654,1)="M","Musculoesquelético",IF(LEFT(Y654,1)="N","Sistema nervioso",IF(LEFT(Y654,1)="R","Respiratorio",IF(LEFT(Y654,1)="S","Oftálmico",IF(LEFT(Y654,1)="V","Varios","OTRO")))))))))))))</f>
        <v>Sistema digestivo</v>
      </c>
      <c r="AM654" t="str">
        <f>IF(AG654="Vigente","ACTIVO",IF(ISNUMBER(SEARCH("Inactivo",J654)),"INACTIVO","REVISAR"))</f>
        <v>ACTIVO</v>
      </c>
      <c r="AN654" t="str">
        <f ca="1">IF(OR(AF654="",AF654="null"),"",ROUND((AF654-TODAY())/365.25,2))</f>
        <v/>
      </c>
      <c r="AO654" t="str">
        <f ca="1">IF(AND(AG654="Vigente",OR(AF654="",AF654="null",AF654&gt;TODAY())),"SI",IF(AND(NOT(OR(AF654="",AF654="null")),AF654&lt;=TODAY()),"NO",IF(AG654="Vigente","SI","DESCONOCIDO")))</f>
        <v>SI</v>
      </c>
      <c r="AP654" t="str">
        <f>IF(AND(ISNUMBER(SEARCH("IMPORTAR",AA654)),ISNUMBER(SEARCH("FABRICAR",AA654))),"MIXTO",IF(ISNUMBER(SEARCH("IMPORTAR",AA654)),"IMPORTADO",IF(ISNUMBER(SEARCH("FABRICAR",AA654)),"LOCAL","OTRO")))</f>
        <v>IMPORTADO</v>
      </c>
      <c r="AQ654" t="str">
        <f>IF(AD654="Si","SI",IF(AD654="No","NO",""))</f>
        <v>NO</v>
      </c>
      <c r="AR654" t="str">
        <f>IF(ISNUMBER(SEARCH("®",N654)),"MARCA/INNOVADOR","GENERICO")</f>
        <v>MARCA/INNOVADOR</v>
      </c>
      <c r="AS654">
        <f ca="1">IF(AE654&gt;100,RANDBETWEEN(500,5000),IF(AND(AE654&gt;=10,AE654&lt;=100),RANDBETWEEN(100,1000),RANDBETWEEN(10,200)))</f>
        <v>123</v>
      </c>
      <c r="AT654">
        <f t="shared" ca="1" si="52"/>
        <v>25</v>
      </c>
      <c r="AU654">
        <f ca="1">INT(AS654*RANDBETWEEN(120,200)/100)</f>
        <v>156</v>
      </c>
      <c r="AV654" s="2">
        <f ca="1">IF(LEFT(Y654,1)="L",RANDBETWEEN(500000,5000000),IF(LEFT(Y654,1)="C",RANDBETWEEN(5000,50000),IF(LEFT(Y654,1)="N",RANDBETWEEN(10000,150000),IF(LEFT(Y654,1)="J",RANDBETWEEN(8000,200000),RANDBETWEEN(5000,100000)))))</f>
        <v>11502</v>
      </c>
      <c r="AW654" s="2">
        <f ca="1">INT(AV654*RANDBETWEEN(30,60)/100)</f>
        <v>5520</v>
      </c>
      <c r="AX654">
        <f ca="1">IF(Z654="ORAL",RANDBETWEEN(1000,10000),IF(OR(Z654="INTRAVENOSA",Z654="INTRAMUSCULAR"),RANDBETWEEN(100,2000),IF(OR(Z654="OFTÁLMICA",Z654="TOPICA (EXTERNA)"),RANDBETWEEN(200,3000),RANDBETWEEN(100,1500))))</f>
        <v>9883</v>
      </c>
      <c r="AY654" s="2">
        <f ca="1">INT(AV654*RANDBETWEEN(90,130)/100)</f>
        <v>11041</v>
      </c>
      <c r="AZ654" t="str">
        <f t="shared" ca="1" si="53"/>
        <v>22%</v>
      </c>
      <c r="BA654" t="str">
        <f t="shared" ca="1" si="54"/>
        <v>BAJO</v>
      </c>
    </row>
    <row r="655" spans="4:53" x14ac:dyDescent="0.35">
      <c r="D655" t="s">
        <v>4389</v>
      </c>
      <c r="E655" s="1">
        <v>36161</v>
      </c>
      <c r="F655" t="s">
        <v>2341</v>
      </c>
      <c r="G655" t="s">
        <v>108</v>
      </c>
      <c r="H655" t="s">
        <v>928</v>
      </c>
      <c r="I655">
        <v>26915</v>
      </c>
      <c r="J655" t="s">
        <v>28</v>
      </c>
      <c r="K655">
        <v>5</v>
      </c>
      <c r="L655" t="s">
        <v>27</v>
      </c>
      <c r="M655" t="s">
        <v>4390</v>
      </c>
      <c r="N655" t="s">
        <v>4391</v>
      </c>
      <c r="O655" t="s">
        <v>4392</v>
      </c>
      <c r="P655" t="s">
        <v>4393</v>
      </c>
      <c r="Q655" s="1">
        <v>40848</v>
      </c>
      <c r="R655" t="s">
        <v>78</v>
      </c>
      <c r="S655" t="s">
        <v>27</v>
      </c>
      <c r="T655" t="s">
        <v>928</v>
      </c>
      <c r="U655" t="s">
        <v>247</v>
      </c>
      <c r="V655" t="s">
        <v>2346</v>
      </c>
      <c r="W655">
        <v>4</v>
      </c>
      <c r="X655">
        <v>26915</v>
      </c>
      <c r="Y655" t="s">
        <v>2347</v>
      </c>
      <c r="Z655" t="s">
        <v>119</v>
      </c>
      <c r="AA655" t="s">
        <v>24</v>
      </c>
      <c r="AB655" t="s">
        <v>250</v>
      </c>
      <c r="AC655" t="s">
        <v>25</v>
      </c>
      <c r="AD655" t="s">
        <v>121</v>
      </c>
      <c r="AE655">
        <v>1</v>
      </c>
      <c r="AF655" t="s">
        <v>27</v>
      </c>
      <c r="AG655" t="s">
        <v>26</v>
      </c>
      <c r="AH655" t="s">
        <v>2341</v>
      </c>
      <c r="AI655" t="str">
        <f t="shared" si="50"/>
        <v>NO</v>
      </c>
      <c r="AJ655" t="str">
        <f t="shared" si="51"/>
        <v>LABORATORIOS ECAR</v>
      </c>
      <c r="AK655" t="str">
        <f>IF(ISNUMBER(SEARCH("FABRICANTE",AC655)),"FABRICANTE",IF(ISNUMBER(SEARCH("IMPORTADOR",AC655)),"IMPORTADOR","OTRO"))</f>
        <v>FABRICANTE</v>
      </c>
      <c r="AL655" t="str">
        <f>IF(LEFT(Y655,1)="A","Sistema digestivo",IF(LEFT(Y655,1)="B","Sangre",IF(LEFT(Y655,1)="C","Cardiovascular",IF(LEFT(Y655,1)="D","Dermatológico",IF(LEFT(Y655,1)="G","Genitourinario",IF(LEFT(Y655,1)="H","Hormonal",IF(LEFT(Y655,1)="J","Antiinfecciosos",IF(LEFT(Y655,1)="L","Oncológicos",IF(LEFT(Y655,1)="M","Musculoesquelético",IF(LEFT(Y655,1)="N","Sistema nervioso",IF(LEFT(Y655,1)="R","Respiratorio",IF(LEFT(Y655,1)="S","Oftálmico",IF(LEFT(Y655,1)="V","Varios","OTRO")))))))))))))</f>
        <v>Antiinfecciosos</v>
      </c>
      <c r="AM655" t="str">
        <f>IF(AG655="Vigente","ACTIVO",IF(ISNUMBER(SEARCH("Inactivo",J655)),"INACTIVO","REVISAR"))</f>
        <v>ACTIVO</v>
      </c>
      <c r="AN655" t="str">
        <f ca="1">IF(OR(AF655="",AF655="null"),"",ROUND((AF655-TODAY())/365.25,2))</f>
        <v/>
      </c>
      <c r="AO655" t="str">
        <f ca="1">IF(AND(AG655="Vigente",OR(AF655="",AF655="null",AF655&gt;TODAY())),"SI",IF(AND(NOT(OR(AF655="",AF655="null")),AF655&lt;=TODAY()),"NO",IF(AG655="Vigente","SI","DESCONOCIDO")))</f>
        <v>SI</v>
      </c>
      <c r="AP655" t="str">
        <f>IF(AND(ISNUMBER(SEARCH("IMPORTAR",AA655)),ISNUMBER(SEARCH("FABRICAR",AA655))),"MIXTO",IF(ISNUMBER(SEARCH("IMPORTAR",AA655)),"IMPORTADO",IF(ISNUMBER(SEARCH("FABRICAR",AA655)),"LOCAL","OTRO")))</f>
        <v>LOCAL</v>
      </c>
      <c r="AQ655" t="str">
        <f>IF(AD655="Si","SI",IF(AD655="No","NO",""))</f>
        <v>NO</v>
      </c>
      <c r="AR655" t="str">
        <f>IF(ISNUMBER(SEARCH("®",N655)),"MARCA/INNOVADOR","GENERICO")</f>
        <v>GENERICO</v>
      </c>
      <c r="AS655">
        <f ca="1">IF(AE655&gt;100,RANDBETWEEN(500,5000),IF(AND(AE655&gt;=10,AE655&lt;=100),RANDBETWEEN(100,1000),RANDBETWEEN(10,200)))</f>
        <v>139</v>
      </c>
      <c r="AT655">
        <f t="shared" ca="1" si="52"/>
        <v>13</v>
      </c>
      <c r="AU655">
        <f ca="1">INT(AS655*RANDBETWEEN(120,200)/100)</f>
        <v>247</v>
      </c>
      <c r="AV655" s="2">
        <f ca="1">IF(LEFT(Y655,1)="L",RANDBETWEEN(500000,5000000),IF(LEFT(Y655,1)="C",RANDBETWEEN(5000,50000),IF(LEFT(Y655,1)="N",RANDBETWEEN(10000,150000),IF(LEFT(Y655,1)="J",RANDBETWEEN(8000,200000),RANDBETWEEN(5000,100000)))))</f>
        <v>58631</v>
      </c>
      <c r="AW655" s="2">
        <f ca="1">INT(AV655*RANDBETWEEN(30,60)/100)</f>
        <v>24038</v>
      </c>
      <c r="AX655">
        <f ca="1">IF(Z655="ORAL",RANDBETWEEN(1000,10000),IF(OR(Z655="INTRAVENOSA",Z655="INTRAMUSCULAR"),RANDBETWEEN(100,2000),IF(OR(Z655="OFTÁLMICA",Z655="TOPICA (EXTERNA)"),RANDBETWEEN(200,3000),RANDBETWEEN(100,1500))))</f>
        <v>4653</v>
      </c>
      <c r="AY655" s="2">
        <f ca="1">INT(AV655*RANDBETWEEN(90,130)/100)</f>
        <v>63321</v>
      </c>
      <c r="AZ655" t="str">
        <f t="shared" ca="1" si="53"/>
        <v>23.8%</v>
      </c>
      <c r="BA655" t="str">
        <f t="shared" ca="1" si="54"/>
        <v>BAJO</v>
      </c>
    </row>
    <row r="656" spans="4:53" x14ac:dyDescent="0.35">
      <c r="D656" t="s">
        <v>4394</v>
      </c>
      <c r="E656" s="1">
        <v>41471</v>
      </c>
      <c r="F656" t="s">
        <v>4395</v>
      </c>
      <c r="G656" t="s">
        <v>108</v>
      </c>
      <c r="H656" t="s">
        <v>4396</v>
      </c>
      <c r="I656">
        <v>20054702</v>
      </c>
      <c r="J656" t="s">
        <v>110</v>
      </c>
      <c r="K656">
        <v>6</v>
      </c>
      <c r="L656" t="s">
        <v>27</v>
      </c>
      <c r="M656" t="s">
        <v>4397</v>
      </c>
      <c r="N656" t="s">
        <v>4398</v>
      </c>
      <c r="O656" t="s">
        <v>4399</v>
      </c>
      <c r="P656" t="s">
        <v>4400</v>
      </c>
      <c r="Q656" s="1">
        <v>42864</v>
      </c>
      <c r="R656" t="s">
        <v>211</v>
      </c>
      <c r="S656" t="s">
        <v>27</v>
      </c>
      <c r="T656" t="s">
        <v>4401</v>
      </c>
      <c r="U656" t="s">
        <v>247</v>
      </c>
      <c r="V656" t="s">
        <v>4402</v>
      </c>
      <c r="W656" t="s">
        <v>433</v>
      </c>
      <c r="X656">
        <v>20054702</v>
      </c>
      <c r="Y656" t="s">
        <v>4403</v>
      </c>
      <c r="Z656" t="s">
        <v>213</v>
      </c>
      <c r="AA656" t="s">
        <v>32</v>
      </c>
      <c r="AB656" t="s">
        <v>120</v>
      </c>
      <c r="AC656" t="s">
        <v>38</v>
      </c>
      <c r="AD656" t="s">
        <v>121</v>
      </c>
      <c r="AE656">
        <v>50</v>
      </c>
      <c r="AF656" t="s">
        <v>27</v>
      </c>
      <c r="AG656" t="s">
        <v>26</v>
      </c>
      <c r="AH656" t="s">
        <v>4402</v>
      </c>
      <c r="AI656" t="str">
        <f t="shared" si="50"/>
        <v>NO</v>
      </c>
      <c r="AJ656" t="str">
        <f t="shared" si="51"/>
        <v>NORTH CHINA PHARMACEUTICAL CO</v>
      </c>
      <c r="AK656" t="str">
        <f>IF(ISNUMBER(SEARCH("FABRICANTE",AC656)),"FABRICANTE",IF(ISNUMBER(SEARCH("IMPORTADOR",AC656)),"IMPORTADOR","OTRO"))</f>
        <v>IMPORTADOR</v>
      </c>
      <c r="AL656" t="str">
        <f>IF(LEFT(Y656,1)="A","Sistema digestivo",IF(LEFT(Y656,1)="B","Sangre",IF(LEFT(Y656,1)="C","Cardiovascular",IF(LEFT(Y656,1)="D","Dermatológico",IF(LEFT(Y656,1)="G","Genitourinario",IF(LEFT(Y656,1)="H","Hormonal",IF(LEFT(Y656,1)="J","Antiinfecciosos",IF(LEFT(Y656,1)="L","Oncológicos",IF(LEFT(Y656,1)="M","Musculoesquelético",IF(LEFT(Y656,1)="N","Sistema nervioso",IF(LEFT(Y656,1)="R","Respiratorio",IF(LEFT(Y656,1)="S","Oftálmico",IF(LEFT(Y656,1)="V","Varios","OTRO")))))))))))))</f>
        <v>Antiinfecciosos</v>
      </c>
      <c r="AM656" t="str">
        <f>IF(AG656="Vigente","ACTIVO",IF(ISNUMBER(SEARCH("Inactivo",J656)),"INACTIVO","REVISAR"))</f>
        <v>ACTIVO</v>
      </c>
      <c r="AN656" t="str">
        <f ca="1">IF(OR(AF656="",AF656="null"),"",ROUND((AF656-TODAY())/365.25,2))</f>
        <v/>
      </c>
      <c r="AO656" t="str">
        <f ca="1">IF(AND(AG656="Vigente",OR(AF656="",AF656="null",AF656&gt;TODAY())),"SI",IF(AND(NOT(OR(AF656="",AF656="null")),AF656&lt;=TODAY()),"NO",IF(AG656="Vigente","SI","DESCONOCIDO")))</f>
        <v>SI</v>
      </c>
      <c r="AP656" t="str">
        <f>IF(AND(ISNUMBER(SEARCH("IMPORTAR",AA656)),ISNUMBER(SEARCH("FABRICAR",AA656))),"MIXTO",IF(ISNUMBER(SEARCH("IMPORTAR",AA656)),"IMPORTADO",IF(ISNUMBER(SEARCH("FABRICAR",AA656)),"LOCAL","OTRO")))</f>
        <v>IMPORTADO</v>
      </c>
      <c r="AQ656" t="str">
        <f>IF(AD656="Si","SI",IF(AD656="No","NO",""))</f>
        <v>NO</v>
      </c>
      <c r="AR656" t="str">
        <f>IF(ISNUMBER(SEARCH("®",N656)),"MARCA/INNOVADOR","GENERICO")</f>
        <v>GENERICO</v>
      </c>
      <c r="AS656">
        <f ca="1">IF(AE656&gt;100,RANDBETWEEN(500,5000),IF(AND(AE656&gt;=10,AE656&lt;=100),RANDBETWEEN(100,1000),RANDBETWEEN(10,200)))</f>
        <v>214</v>
      </c>
      <c r="AT656">
        <f t="shared" ca="1" si="52"/>
        <v>29</v>
      </c>
      <c r="AU656">
        <f ca="1">INT(AS656*RANDBETWEEN(120,200)/100)</f>
        <v>389</v>
      </c>
      <c r="AV656" s="2">
        <f ca="1">IF(LEFT(Y656,1)="L",RANDBETWEEN(500000,5000000),IF(LEFT(Y656,1)="C",RANDBETWEEN(5000,50000),IF(LEFT(Y656,1)="N",RANDBETWEEN(10000,150000),IF(LEFT(Y656,1)="J",RANDBETWEEN(8000,200000),RANDBETWEEN(5000,100000)))))</f>
        <v>176752</v>
      </c>
      <c r="AW656" s="2">
        <f ca="1">INT(AV656*RANDBETWEEN(30,60)/100)</f>
        <v>54793</v>
      </c>
      <c r="AX656">
        <f ca="1">IF(Z656="ORAL",RANDBETWEEN(1000,10000),IF(OR(Z656="INTRAVENOSA",Z656="INTRAMUSCULAR"),RANDBETWEEN(100,2000),IF(OR(Z656="OFTÁLMICA",Z656="TOPICA (EXTERNA)"),RANDBETWEEN(200,3000),RANDBETWEEN(100,1500))))</f>
        <v>1771</v>
      </c>
      <c r="AY656" s="2">
        <f ca="1">INT(AV656*RANDBETWEEN(90,130)/100)</f>
        <v>219172</v>
      </c>
      <c r="AZ656" t="str">
        <f t="shared" ca="1" si="53"/>
        <v>5.3%</v>
      </c>
      <c r="BA656" t="str">
        <f t="shared" ca="1" si="54"/>
        <v>ALTO</v>
      </c>
    </row>
    <row r="657" spans="4:53" x14ac:dyDescent="0.35">
      <c r="D657" t="s">
        <v>4404</v>
      </c>
      <c r="E657" s="1">
        <v>42307</v>
      </c>
      <c r="F657" t="s">
        <v>1918</v>
      </c>
      <c r="G657" t="s">
        <v>108</v>
      </c>
      <c r="H657" t="s">
        <v>1823</v>
      </c>
      <c r="I657">
        <v>20084686</v>
      </c>
      <c r="J657" t="s">
        <v>28</v>
      </c>
      <c r="K657">
        <v>3</v>
      </c>
      <c r="L657" t="s">
        <v>4405</v>
      </c>
      <c r="M657" t="s">
        <v>1920</v>
      </c>
      <c r="N657" t="s">
        <v>1921</v>
      </c>
      <c r="O657" t="s">
        <v>4406</v>
      </c>
      <c r="P657" t="s">
        <v>274</v>
      </c>
      <c r="Q657" s="1">
        <v>42261</v>
      </c>
      <c r="R657" t="s">
        <v>50</v>
      </c>
      <c r="S657" t="s">
        <v>27</v>
      </c>
      <c r="T657" t="s">
        <v>93</v>
      </c>
      <c r="U657" t="s">
        <v>115</v>
      </c>
      <c r="V657" t="s">
        <v>275</v>
      </c>
      <c r="W657">
        <v>20</v>
      </c>
      <c r="X657">
        <v>20084686</v>
      </c>
      <c r="Y657" t="s">
        <v>276</v>
      </c>
      <c r="Z657" t="s">
        <v>132</v>
      </c>
      <c r="AA657" t="s">
        <v>32</v>
      </c>
      <c r="AB657" t="s">
        <v>239</v>
      </c>
      <c r="AC657" t="s">
        <v>25</v>
      </c>
      <c r="AD657" t="s">
        <v>121</v>
      </c>
      <c r="AE657">
        <v>3</v>
      </c>
      <c r="AF657" t="s">
        <v>27</v>
      </c>
      <c r="AG657" t="s">
        <v>26</v>
      </c>
      <c r="AH657" t="s">
        <v>869</v>
      </c>
      <c r="AI657" t="str">
        <f t="shared" si="50"/>
        <v>SI</v>
      </c>
      <c r="AJ657" t="str">
        <f t="shared" si="51"/>
        <v>LABORATORIOS DELTA</v>
      </c>
      <c r="AK657" t="str">
        <f>IF(ISNUMBER(SEARCH("FABRICANTE",AC657)),"FABRICANTE",IF(ISNUMBER(SEARCH("IMPORTADOR",AC657)),"IMPORTADOR","OTRO"))</f>
        <v>FABRICANTE</v>
      </c>
      <c r="AL657" t="str">
        <f>IF(LEFT(Y657,1)="A","Sistema digestivo",IF(LEFT(Y657,1)="B","Sangre",IF(LEFT(Y657,1)="C","Cardiovascular",IF(LEFT(Y657,1)="D","Dermatológico",IF(LEFT(Y657,1)="G","Genitourinario",IF(LEFT(Y657,1)="H","Hormonal",IF(LEFT(Y657,1)="J","Antiinfecciosos",IF(LEFT(Y657,1)="L","Oncológicos",IF(LEFT(Y657,1)="M","Musculoesquelético",IF(LEFT(Y657,1)="N","Sistema nervioso",IF(LEFT(Y657,1)="R","Respiratorio",IF(LEFT(Y657,1)="S","Oftálmico",IF(LEFT(Y657,1)="V","Varios","OTRO")))))))))))))</f>
        <v>Sangre</v>
      </c>
      <c r="AM657" t="str">
        <f>IF(AG657="Vigente","ACTIVO",IF(ISNUMBER(SEARCH("Inactivo",J657)),"INACTIVO","REVISAR"))</f>
        <v>ACTIVO</v>
      </c>
      <c r="AN657" t="str">
        <f ca="1">IF(OR(AF657="",AF657="null"),"",ROUND((AF657-TODAY())/365.25,2))</f>
        <v/>
      </c>
      <c r="AO657" t="str">
        <f ca="1">IF(AND(AG657="Vigente",OR(AF657="",AF657="null",AF657&gt;TODAY())),"SI",IF(AND(NOT(OR(AF657="",AF657="null")),AF657&lt;=TODAY()),"NO",IF(AG657="Vigente","SI","DESCONOCIDO")))</f>
        <v>SI</v>
      </c>
      <c r="AP657" t="str">
        <f>IF(AND(ISNUMBER(SEARCH("IMPORTAR",AA657)),ISNUMBER(SEARCH("FABRICAR",AA657))),"MIXTO",IF(ISNUMBER(SEARCH("IMPORTAR",AA657)),"IMPORTADO",IF(ISNUMBER(SEARCH("FABRICAR",AA657)),"LOCAL","OTRO")))</f>
        <v>IMPORTADO</v>
      </c>
      <c r="AQ657" t="str">
        <f>IF(AD657="Si","SI",IF(AD657="No","NO",""))</f>
        <v>NO</v>
      </c>
      <c r="AR657" t="str">
        <f>IF(ISNUMBER(SEARCH("®",N657)),"MARCA/INNOVADOR","GENERICO")</f>
        <v>GENERICO</v>
      </c>
      <c r="AS657">
        <f ca="1">IF(AE657&gt;100,RANDBETWEEN(500,5000),IF(AND(AE657&gt;=10,AE657&lt;=100),RANDBETWEEN(100,1000),RANDBETWEEN(10,200)))</f>
        <v>184</v>
      </c>
      <c r="AT657">
        <f t="shared" ca="1" si="52"/>
        <v>34</v>
      </c>
      <c r="AU657">
        <f ca="1">INT(AS657*RANDBETWEEN(120,200)/100)</f>
        <v>263</v>
      </c>
      <c r="AV657" s="2">
        <f ca="1">IF(LEFT(Y657,1)="L",RANDBETWEEN(500000,5000000),IF(LEFT(Y657,1)="C",RANDBETWEEN(5000,50000),IF(LEFT(Y657,1)="N",RANDBETWEEN(10000,150000),IF(LEFT(Y657,1)="J",RANDBETWEEN(8000,200000),RANDBETWEEN(5000,100000)))))</f>
        <v>12395</v>
      </c>
      <c r="AW657" s="2">
        <f ca="1">INT(AV657*RANDBETWEEN(30,60)/100)</f>
        <v>4710</v>
      </c>
      <c r="AX657">
        <f ca="1">IF(Z657="ORAL",RANDBETWEEN(1000,10000),IF(OR(Z657="INTRAVENOSA",Z657="INTRAMUSCULAR"),RANDBETWEEN(100,2000),IF(OR(Z657="OFTÁLMICA",Z657="TOPICA (EXTERNA)"),RANDBETWEEN(200,3000),RANDBETWEEN(100,1500))))</f>
        <v>1231</v>
      </c>
      <c r="AY657" s="2">
        <f ca="1">INT(AV657*RANDBETWEEN(90,130)/100)</f>
        <v>16113</v>
      </c>
      <c r="AZ657" t="str">
        <f t="shared" ca="1" si="53"/>
        <v>8.5%</v>
      </c>
      <c r="BA657" t="str">
        <f t="shared" ca="1" si="54"/>
        <v>BAJO</v>
      </c>
    </row>
    <row r="658" spans="4:53" x14ac:dyDescent="0.35">
      <c r="D658" t="s">
        <v>4407</v>
      </c>
      <c r="E658" s="1">
        <v>42296</v>
      </c>
      <c r="F658" t="s">
        <v>4408</v>
      </c>
      <c r="G658" t="s">
        <v>108</v>
      </c>
      <c r="H658" t="s">
        <v>1426</v>
      </c>
      <c r="I658">
        <v>20088011</v>
      </c>
      <c r="J658" t="s">
        <v>28</v>
      </c>
      <c r="K658">
        <v>6</v>
      </c>
      <c r="L658" t="s">
        <v>27</v>
      </c>
      <c r="M658" t="s">
        <v>4409</v>
      </c>
      <c r="N658" t="s">
        <v>4410</v>
      </c>
      <c r="O658" t="s">
        <v>4411</v>
      </c>
      <c r="P658" t="s">
        <v>37</v>
      </c>
      <c r="Q658" s="1">
        <v>43727</v>
      </c>
      <c r="R658" t="s">
        <v>37</v>
      </c>
      <c r="S658" s="1">
        <v>44287</v>
      </c>
      <c r="T658" t="s">
        <v>428</v>
      </c>
      <c r="U658" t="s">
        <v>115</v>
      </c>
      <c r="V658" t="s">
        <v>4408</v>
      </c>
      <c r="W658">
        <v>500</v>
      </c>
      <c r="X658">
        <v>20088011</v>
      </c>
      <c r="Y658" t="s">
        <v>4412</v>
      </c>
      <c r="Z658" t="s">
        <v>119</v>
      </c>
      <c r="AA658" t="s">
        <v>24</v>
      </c>
      <c r="AB658" t="s">
        <v>120</v>
      </c>
      <c r="AC658" t="s">
        <v>25</v>
      </c>
      <c r="AD658" t="s">
        <v>155</v>
      </c>
      <c r="AE658">
        <v>10</v>
      </c>
      <c r="AF658" t="s">
        <v>27</v>
      </c>
      <c r="AG658" t="s">
        <v>26</v>
      </c>
      <c r="AH658" t="s">
        <v>4408</v>
      </c>
      <c r="AI658" t="str">
        <f t="shared" si="50"/>
        <v>NO</v>
      </c>
      <c r="AJ658" t="str">
        <f t="shared" si="51"/>
        <v>LABORATORIOS SIEGFRIED</v>
      </c>
      <c r="AK658" t="str">
        <f>IF(ISNUMBER(SEARCH("FABRICANTE",AC658)),"FABRICANTE",IF(ISNUMBER(SEARCH("IMPORTADOR",AC658)),"IMPORTADOR","OTRO"))</f>
        <v>FABRICANTE</v>
      </c>
      <c r="AL658" t="str">
        <f>IF(LEFT(Y658,1)="A","Sistema digestivo",IF(LEFT(Y658,1)="B","Sangre",IF(LEFT(Y658,1)="C","Cardiovascular",IF(LEFT(Y658,1)="D","Dermatológico",IF(LEFT(Y658,1)="G","Genitourinario",IF(LEFT(Y658,1)="H","Hormonal",IF(LEFT(Y658,1)="J","Antiinfecciosos",IF(LEFT(Y658,1)="L","Oncológicos",IF(LEFT(Y658,1)="M","Musculoesquelético",IF(LEFT(Y658,1)="N","Sistema nervioso",IF(LEFT(Y658,1)="R","Respiratorio",IF(LEFT(Y658,1)="S","Oftálmico",IF(LEFT(Y658,1)="V","Varios","OTRO")))))))))))))</f>
        <v>Antiinfecciosos</v>
      </c>
      <c r="AM658" t="str">
        <f>IF(AG658="Vigente","ACTIVO",IF(ISNUMBER(SEARCH("Inactivo",J658)),"INACTIVO","REVISAR"))</f>
        <v>ACTIVO</v>
      </c>
      <c r="AN658" t="str">
        <f ca="1">IF(OR(AF658="",AF658="null"),"",ROUND((AF658-TODAY())/365.25,2))</f>
        <v/>
      </c>
      <c r="AO658" t="str">
        <f ca="1">IF(AND(AG658="Vigente",OR(AF658="",AF658="null",AF658&gt;TODAY())),"SI",IF(AND(NOT(OR(AF658="",AF658="null")),AF658&lt;=TODAY()),"NO",IF(AG658="Vigente","SI","DESCONOCIDO")))</f>
        <v>SI</v>
      </c>
      <c r="AP658" t="str">
        <f>IF(AND(ISNUMBER(SEARCH("IMPORTAR",AA658)),ISNUMBER(SEARCH("FABRICAR",AA658))),"MIXTO",IF(ISNUMBER(SEARCH("IMPORTAR",AA658)),"IMPORTADO",IF(ISNUMBER(SEARCH("FABRICAR",AA658)),"LOCAL","OTRO")))</f>
        <v>LOCAL</v>
      </c>
      <c r="AQ658" t="str">
        <f>IF(AD658="Si","SI",IF(AD658="No","NO",""))</f>
        <v>SI</v>
      </c>
      <c r="AR658" t="str">
        <f>IF(ISNUMBER(SEARCH("®",N658)),"MARCA/INNOVADOR","GENERICO")</f>
        <v>MARCA/INNOVADOR</v>
      </c>
      <c r="AS658">
        <f ca="1">IF(AE658&gt;100,RANDBETWEEN(500,5000),IF(AND(AE658&gt;=10,AE658&lt;=100),RANDBETWEEN(100,1000),RANDBETWEEN(10,200)))</f>
        <v>386</v>
      </c>
      <c r="AT658">
        <f t="shared" ca="1" si="52"/>
        <v>84</v>
      </c>
      <c r="AU658">
        <f ca="1">INT(AS658*RANDBETWEEN(120,200)/100)</f>
        <v>494</v>
      </c>
      <c r="AV658" s="2">
        <f ca="1">IF(LEFT(Y658,1)="L",RANDBETWEEN(500000,5000000),IF(LEFT(Y658,1)="C",RANDBETWEEN(5000,50000),IF(LEFT(Y658,1)="N",RANDBETWEEN(10000,150000),IF(LEFT(Y658,1)="J",RANDBETWEEN(8000,200000),RANDBETWEEN(5000,100000)))))</f>
        <v>62057</v>
      </c>
      <c r="AW658" s="2">
        <f ca="1">INT(AV658*RANDBETWEEN(30,60)/100)</f>
        <v>34131</v>
      </c>
      <c r="AX658">
        <f ca="1">IF(Z658="ORAL",RANDBETWEEN(1000,10000),IF(OR(Z658="INTRAVENOSA",Z658="INTRAMUSCULAR"),RANDBETWEEN(100,2000),IF(OR(Z658="OFTÁLMICA",Z658="TOPICA (EXTERNA)"),RANDBETWEEN(200,3000),RANDBETWEEN(100,1500))))</f>
        <v>6100</v>
      </c>
      <c r="AY658" s="2">
        <f ca="1">INT(AV658*RANDBETWEEN(90,130)/100)</f>
        <v>57713</v>
      </c>
      <c r="AZ658" t="str">
        <f t="shared" ca="1" si="53"/>
        <v>19.3%</v>
      </c>
      <c r="BA658" t="str">
        <f t="shared" ca="1" si="54"/>
        <v>BAJO</v>
      </c>
    </row>
    <row r="659" spans="4:53" x14ac:dyDescent="0.35">
      <c r="D659" t="s">
        <v>4413</v>
      </c>
      <c r="E659" s="1">
        <v>35546</v>
      </c>
      <c r="F659" t="s">
        <v>3405</v>
      </c>
      <c r="G659" t="s">
        <v>108</v>
      </c>
      <c r="H659" t="s">
        <v>4414</v>
      </c>
      <c r="I659">
        <v>29373</v>
      </c>
      <c r="J659" t="s">
        <v>28</v>
      </c>
      <c r="K659">
        <v>4</v>
      </c>
      <c r="L659" t="s">
        <v>27</v>
      </c>
      <c r="M659" t="s">
        <v>4415</v>
      </c>
      <c r="N659" t="s">
        <v>4416</v>
      </c>
      <c r="O659" t="s">
        <v>4417</v>
      </c>
      <c r="P659" t="s">
        <v>1534</v>
      </c>
      <c r="Q659" s="1">
        <v>39031</v>
      </c>
      <c r="R659" t="s">
        <v>50</v>
      </c>
      <c r="S659" t="s">
        <v>27</v>
      </c>
      <c r="T659" t="s">
        <v>2523</v>
      </c>
      <c r="U659" t="s">
        <v>115</v>
      </c>
      <c r="V659" t="s">
        <v>1596</v>
      </c>
      <c r="W659">
        <v>20</v>
      </c>
      <c r="X659">
        <v>29373</v>
      </c>
      <c r="Y659" t="s">
        <v>1597</v>
      </c>
      <c r="Z659" t="s">
        <v>260</v>
      </c>
      <c r="AA659" t="s">
        <v>32</v>
      </c>
      <c r="AB659" t="s">
        <v>120</v>
      </c>
      <c r="AC659" t="s">
        <v>38</v>
      </c>
      <c r="AD659" t="s">
        <v>121</v>
      </c>
      <c r="AE659">
        <v>6</v>
      </c>
      <c r="AF659" t="s">
        <v>27</v>
      </c>
      <c r="AG659" t="s">
        <v>26</v>
      </c>
      <c r="AH659" t="s">
        <v>6807</v>
      </c>
      <c r="AI659" t="str">
        <f t="shared" si="50"/>
        <v>NO</v>
      </c>
      <c r="AJ659" t="str">
        <f t="shared" si="51"/>
        <v>OPELLA HEALTHCARE COLOMBIA</v>
      </c>
      <c r="AK659" t="str">
        <f>IF(ISNUMBER(SEARCH("FABRICANTE",AC659)),"FABRICANTE",IF(ISNUMBER(SEARCH("IMPORTADOR",AC659)),"IMPORTADOR","OTRO"))</f>
        <v>IMPORTADOR</v>
      </c>
      <c r="AL659" t="str">
        <f>IF(LEFT(Y659,1)="A","Sistema digestivo",IF(LEFT(Y659,1)="B","Sangre",IF(LEFT(Y659,1)="C","Cardiovascular",IF(LEFT(Y659,1)="D","Dermatológico",IF(LEFT(Y659,1)="G","Genitourinario",IF(LEFT(Y659,1)="H","Hormonal",IF(LEFT(Y659,1)="J","Antiinfecciosos",IF(LEFT(Y659,1)="L","Oncológicos",IF(LEFT(Y659,1)="M","Musculoesquelético",IF(LEFT(Y659,1)="N","Sistema nervioso",IF(LEFT(Y659,1)="R","Respiratorio",IF(LEFT(Y659,1)="S","Oftálmico",IF(LEFT(Y659,1)="V","Varios","OTRO")))))))))))))</f>
        <v>Sistema digestivo</v>
      </c>
      <c r="AM659" t="str">
        <f>IF(AG659="Vigente","ACTIVO",IF(ISNUMBER(SEARCH("Inactivo",J659)),"INACTIVO","REVISAR"))</f>
        <v>ACTIVO</v>
      </c>
      <c r="AN659" t="str">
        <f ca="1">IF(OR(AF659="",AF659="null"),"",ROUND((AF659-TODAY())/365.25,2))</f>
        <v/>
      </c>
      <c r="AO659" t="str">
        <f ca="1">IF(AND(AG659="Vigente",OR(AF659="",AF659="null",AF659&gt;TODAY())),"SI",IF(AND(NOT(OR(AF659="",AF659="null")),AF659&lt;=TODAY()),"NO",IF(AG659="Vigente","SI","DESCONOCIDO")))</f>
        <v>SI</v>
      </c>
      <c r="AP659" t="str">
        <f>IF(AND(ISNUMBER(SEARCH("IMPORTAR",AA659)),ISNUMBER(SEARCH("FABRICAR",AA659))),"MIXTO",IF(ISNUMBER(SEARCH("IMPORTAR",AA659)),"IMPORTADO",IF(ISNUMBER(SEARCH("FABRICAR",AA659)),"LOCAL","OTRO")))</f>
        <v>IMPORTADO</v>
      </c>
      <c r="AQ659" t="str">
        <f>IF(AD659="Si","SI",IF(AD659="No","NO",""))</f>
        <v>NO</v>
      </c>
      <c r="AR659" t="str">
        <f>IF(ISNUMBER(SEARCH("®",N659)),"MARCA/INNOVADOR","GENERICO")</f>
        <v>MARCA/INNOVADOR</v>
      </c>
      <c r="AS659">
        <f ca="1">IF(AE659&gt;100,RANDBETWEEN(500,5000),IF(AND(AE659&gt;=10,AE659&lt;=100),RANDBETWEEN(100,1000),RANDBETWEEN(10,200)))</f>
        <v>153</v>
      </c>
      <c r="AT659">
        <f t="shared" ca="1" si="52"/>
        <v>42</v>
      </c>
      <c r="AU659">
        <f ca="1">INT(AS659*RANDBETWEEN(120,200)/100)</f>
        <v>203</v>
      </c>
      <c r="AV659" s="2">
        <f ca="1">IF(LEFT(Y659,1)="L",RANDBETWEEN(500000,5000000),IF(LEFT(Y659,1)="C",RANDBETWEEN(5000,50000),IF(LEFT(Y659,1)="N",RANDBETWEEN(10000,150000),IF(LEFT(Y659,1)="J",RANDBETWEEN(8000,200000),RANDBETWEEN(5000,100000)))))</f>
        <v>61449</v>
      </c>
      <c r="AW659" s="2">
        <f ca="1">INT(AV659*RANDBETWEEN(30,60)/100)</f>
        <v>32567</v>
      </c>
      <c r="AX659">
        <f ca="1">IF(Z659="ORAL",RANDBETWEEN(1000,10000),IF(OR(Z659="INTRAVENOSA",Z659="INTRAMUSCULAR"),RANDBETWEEN(100,2000),IF(OR(Z659="OFTÁLMICA",Z659="TOPICA (EXTERNA)"),RANDBETWEEN(200,3000),RANDBETWEEN(100,1500))))</f>
        <v>1043</v>
      </c>
      <c r="AY659" s="2">
        <f ca="1">INT(AV659*RANDBETWEEN(90,130)/100)</f>
        <v>70051</v>
      </c>
      <c r="AZ659" t="str">
        <f t="shared" ca="1" si="53"/>
        <v>1.8%</v>
      </c>
      <c r="BA659" t="str">
        <f t="shared" ca="1" si="54"/>
        <v>BAJO</v>
      </c>
    </row>
    <row r="660" spans="4:53" x14ac:dyDescent="0.35">
      <c r="D660" t="s">
        <v>4418</v>
      </c>
      <c r="E660" s="1">
        <v>41087</v>
      </c>
      <c r="F660" t="s">
        <v>70</v>
      </c>
      <c r="G660" t="s">
        <v>108</v>
      </c>
      <c r="H660" t="s">
        <v>146</v>
      </c>
      <c r="I660">
        <v>20039588</v>
      </c>
      <c r="J660" t="s">
        <v>28</v>
      </c>
      <c r="K660">
        <v>15</v>
      </c>
      <c r="L660" t="s">
        <v>27</v>
      </c>
      <c r="M660" t="s">
        <v>474</v>
      </c>
      <c r="N660" t="s">
        <v>475</v>
      </c>
      <c r="O660" t="s">
        <v>4419</v>
      </c>
      <c r="P660" t="s">
        <v>477</v>
      </c>
      <c r="Q660" s="1">
        <v>42669</v>
      </c>
      <c r="R660" t="s">
        <v>67</v>
      </c>
      <c r="S660" t="s">
        <v>27</v>
      </c>
      <c r="T660" t="s">
        <v>80</v>
      </c>
      <c r="U660" t="s">
        <v>247</v>
      </c>
      <c r="V660" t="s">
        <v>248</v>
      </c>
      <c r="W660" t="s">
        <v>1778</v>
      </c>
      <c r="X660">
        <v>20039588</v>
      </c>
      <c r="Y660" t="s">
        <v>249</v>
      </c>
      <c r="Z660" t="s">
        <v>119</v>
      </c>
      <c r="AA660" t="s">
        <v>24</v>
      </c>
      <c r="AB660" t="s">
        <v>120</v>
      </c>
      <c r="AC660" t="s">
        <v>25</v>
      </c>
      <c r="AD660" t="s">
        <v>121</v>
      </c>
      <c r="AE660">
        <v>3</v>
      </c>
      <c r="AF660" t="s">
        <v>27</v>
      </c>
      <c r="AG660" t="s">
        <v>26</v>
      </c>
      <c r="AH660" t="s">
        <v>6735</v>
      </c>
      <c r="AI660" t="str">
        <f t="shared" si="50"/>
        <v>NO</v>
      </c>
      <c r="AJ660" t="str">
        <f t="shared" si="51"/>
        <v>TECNOQUIMICAS</v>
      </c>
      <c r="AK660" t="str">
        <f>IF(ISNUMBER(SEARCH("FABRICANTE",AC660)),"FABRICANTE",IF(ISNUMBER(SEARCH("IMPORTADOR",AC660)),"IMPORTADOR","OTRO"))</f>
        <v>FABRICANTE</v>
      </c>
      <c r="AL660" t="str">
        <f>IF(LEFT(Y660,1)="A","Sistema digestivo",IF(LEFT(Y660,1)="B","Sangre",IF(LEFT(Y660,1)="C","Cardiovascular",IF(LEFT(Y660,1)="D","Dermatológico",IF(LEFT(Y660,1)="G","Genitourinario",IF(LEFT(Y660,1)="H","Hormonal",IF(LEFT(Y660,1)="J","Antiinfecciosos",IF(LEFT(Y660,1)="L","Oncológicos",IF(LEFT(Y660,1)="M","Musculoesquelético",IF(LEFT(Y660,1)="N","Sistema nervioso",IF(LEFT(Y660,1)="R","Respiratorio",IF(LEFT(Y660,1)="S","Oftálmico",IF(LEFT(Y660,1)="V","Varios","OTRO")))))))))))))</f>
        <v>Sistema digestivo</v>
      </c>
      <c r="AM660" t="str">
        <f>IF(AG660="Vigente","ACTIVO",IF(ISNUMBER(SEARCH("Inactivo",J660)),"INACTIVO","REVISAR"))</f>
        <v>ACTIVO</v>
      </c>
      <c r="AN660" t="str">
        <f ca="1">IF(OR(AF660="",AF660="null"),"",ROUND((AF660-TODAY())/365.25,2))</f>
        <v/>
      </c>
      <c r="AO660" t="str">
        <f ca="1">IF(AND(AG660="Vigente",OR(AF660="",AF660="null",AF660&gt;TODAY())),"SI",IF(AND(NOT(OR(AF660="",AF660="null")),AF660&lt;=TODAY()),"NO",IF(AG660="Vigente","SI","DESCONOCIDO")))</f>
        <v>SI</v>
      </c>
      <c r="AP660" t="str">
        <f>IF(AND(ISNUMBER(SEARCH("IMPORTAR",AA660)),ISNUMBER(SEARCH("FABRICAR",AA660))),"MIXTO",IF(ISNUMBER(SEARCH("IMPORTAR",AA660)),"IMPORTADO",IF(ISNUMBER(SEARCH("FABRICAR",AA660)),"LOCAL","OTRO")))</f>
        <v>LOCAL</v>
      </c>
      <c r="AQ660" t="str">
        <f>IF(AD660="Si","SI",IF(AD660="No","NO",""))</f>
        <v>NO</v>
      </c>
      <c r="AR660" t="str">
        <f>IF(ISNUMBER(SEARCH("®",N660)),"MARCA/INNOVADOR","GENERICO")</f>
        <v>MARCA/INNOVADOR</v>
      </c>
      <c r="AS660">
        <f ca="1">IF(AE660&gt;100,RANDBETWEEN(500,5000),IF(AND(AE660&gt;=10,AE660&lt;=100),RANDBETWEEN(100,1000),RANDBETWEEN(10,200)))</f>
        <v>175</v>
      </c>
      <c r="AT660">
        <f t="shared" ca="1" si="52"/>
        <v>49</v>
      </c>
      <c r="AU660">
        <f ca="1">INT(AS660*RANDBETWEEN(120,200)/100)</f>
        <v>330</v>
      </c>
      <c r="AV660" s="2">
        <f ca="1">IF(LEFT(Y660,1)="L",RANDBETWEEN(500000,5000000),IF(LEFT(Y660,1)="C",RANDBETWEEN(5000,50000),IF(LEFT(Y660,1)="N",RANDBETWEEN(10000,150000),IF(LEFT(Y660,1)="J",RANDBETWEEN(8000,200000),RANDBETWEEN(5000,100000)))))</f>
        <v>52659</v>
      </c>
      <c r="AW660" s="2">
        <f ca="1">INT(AV660*RANDBETWEEN(30,60)/100)</f>
        <v>23169</v>
      </c>
      <c r="AX660">
        <f ca="1">IF(Z660="ORAL",RANDBETWEEN(1000,10000),IF(OR(Z660="INTRAVENOSA",Z660="INTRAMUSCULAR"),RANDBETWEEN(100,2000),IF(OR(Z660="OFTÁLMICA",Z660="TOPICA (EXTERNA)"),RANDBETWEEN(200,3000),RANDBETWEEN(100,1500))))</f>
        <v>7518</v>
      </c>
      <c r="AY660" s="2">
        <f ca="1">INT(AV660*RANDBETWEEN(90,130)/100)</f>
        <v>60031</v>
      </c>
      <c r="AZ660" t="str">
        <f t="shared" ca="1" si="53"/>
        <v>18%</v>
      </c>
      <c r="BA660" t="str">
        <f t="shared" ca="1" si="54"/>
        <v>BAJO</v>
      </c>
    </row>
    <row r="661" spans="4:53" x14ac:dyDescent="0.35">
      <c r="D661" t="s">
        <v>4420</v>
      </c>
      <c r="E661" s="1">
        <v>40350</v>
      </c>
      <c r="F661" t="s">
        <v>2859</v>
      </c>
      <c r="G661" t="s">
        <v>108</v>
      </c>
      <c r="H661" t="s">
        <v>177</v>
      </c>
      <c r="I661">
        <v>20015216</v>
      </c>
      <c r="J661" t="s">
        <v>110</v>
      </c>
      <c r="K661">
        <v>4</v>
      </c>
      <c r="L661" t="s">
        <v>27</v>
      </c>
      <c r="M661" t="s">
        <v>4421</v>
      </c>
      <c r="N661" t="s">
        <v>4422</v>
      </c>
      <c r="O661" t="s">
        <v>4423</v>
      </c>
      <c r="P661" t="s">
        <v>2286</v>
      </c>
      <c r="Q661" s="1">
        <v>42185</v>
      </c>
      <c r="R661" t="s">
        <v>29</v>
      </c>
      <c r="S661" s="1">
        <v>42187</v>
      </c>
      <c r="T661" t="s">
        <v>4424</v>
      </c>
      <c r="U661" t="s">
        <v>115</v>
      </c>
      <c r="V661" t="s">
        <v>2859</v>
      </c>
      <c r="W661">
        <v>5</v>
      </c>
      <c r="X661">
        <v>20015216</v>
      </c>
      <c r="Y661" t="s">
        <v>2863</v>
      </c>
      <c r="Z661" t="s">
        <v>119</v>
      </c>
      <c r="AA661" t="s">
        <v>32</v>
      </c>
      <c r="AB661" t="s">
        <v>120</v>
      </c>
      <c r="AC661" t="s">
        <v>38</v>
      </c>
      <c r="AD661" t="s">
        <v>121</v>
      </c>
      <c r="AE661">
        <v>30</v>
      </c>
      <c r="AF661" t="s">
        <v>27</v>
      </c>
      <c r="AG661" t="s">
        <v>26</v>
      </c>
      <c r="AH661" t="s">
        <v>2859</v>
      </c>
      <c r="AI661" t="str">
        <f t="shared" si="50"/>
        <v>NO</v>
      </c>
      <c r="AJ661" t="str">
        <f t="shared" si="51"/>
        <v>NOVARTISPHARMAA.G.</v>
      </c>
      <c r="AK661" t="str">
        <f>IF(ISNUMBER(SEARCH("FABRICANTE",AC661)),"FABRICANTE",IF(ISNUMBER(SEARCH("IMPORTADOR",AC661)),"IMPORTADOR","OTRO"))</f>
        <v>IMPORTADOR</v>
      </c>
      <c r="AL661" t="str">
        <f>IF(LEFT(Y661,1)="A","Sistema digestivo",IF(LEFT(Y661,1)="B","Sangre",IF(LEFT(Y661,1)="C","Cardiovascular",IF(LEFT(Y661,1)="D","Dermatológico",IF(LEFT(Y661,1)="G","Genitourinario",IF(LEFT(Y661,1)="H","Hormonal",IF(LEFT(Y661,1)="J","Antiinfecciosos",IF(LEFT(Y661,1)="L","Oncológicos",IF(LEFT(Y661,1)="M","Musculoesquelético",IF(LEFT(Y661,1)="N","Sistema nervioso",IF(LEFT(Y661,1)="R","Respiratorio",IF(LEFT(Y661,1)="S","Oftálmico",IF(LEFT(Y661,1)="V","Varios","OTRO")))))))))))))</f>
        <v>Oncológicos</v>
      </c>
      <c r="AM661" t="str">
        <f>IF(AG661="Vigente","ACTIVO",IF(ISNUMBER(SEARCH("Inactivo",J661)),"INACTIVO","REVISAR"))</f>
        <v>ACTIVO</v>
      </c>
      <c r="AN661" t="str">
        <f ca="1">IF(OR(AF661="",AF661="null"),"",ROUND((AF661-TODAY())/365.25,2))</f>
        <v/>
      </c>
      <c r="AO661" t="str">
        <f ca="1">IF(AND(AG661="Vigente",OR(AF661="",AF661="null",AF661&gt;TODAY())),"SI",IF(AND(NOT(OR(AF661="",AF661="null")),AF661&lt;=TODAY()),"NO",IF(AG661="Vigente","SI","DESCONOCIDO")))</f>
        <v>SI</v>
      </c>
      <c r="AP661" t="str">
        <f>IF(AND(ISNUMBER(SEARCH("IMPORTAR",AA661)),ISNUMBER(SEARCH("FABRICAR",AA661))),"MIXTO",IF(ISNUMBER(SEARCH("IMPORTAR",AA661)),"IMPORTADO",IF(ISNUMBER(SEARCH("FABRICAR",AA661)),"LOCAL","OTRO")))</f>
        <v>IMPORTADO</v>
      </c>
      <c r="AQ661" t="str">
        <f>IF(AD661="Si","SI",IF(AD661="No","NO",""))</f>
        <v>NO</v>
      </c>
      <c r="AR661" t="str">
        <f>IF(ISNUMBER(SEARCH("®",N661)),"MARCA/INNOVADOR","GENERICO")</f>
        <v>MARCA/INNOVADOR</v>
      </c>
      <c r="AS661">
        <f ca="1">IF(AE661&gt;100,RANDBETWEEN(500,5000),IF(AND(AE661&gt;=10,AE661&lt;=100),RANDBETWEEN(100,1000),RANDBETWEEN(10,200)))</f>
        <v>146</v>
      </c>
      <c r="AT661">
        <f t="shared" ca="1" si="52"/>
        <v>32</v>
      </c>
      <c r="AU661">
        <f ca="1">INT(AS661*RANDBETWEEN(120,200)/100)</f>
        <v>235</v>
      </c>
      <c r="AV661" s="2">
        <f ca="1">IF(LEFT(Y661,1)="L",RANDBETWEEN(500000,5000000),IF(LEFT(Y661,1)="C",RANDBETWEEN(5000,50000),IF(LEFT(Y661,1)="N",RANDBETWEEN(10000,150000),IF(LEFT(Y661,1)="J",RANDBETWEEN(8000,200000),RANDBETWEEN(5000,100000)))))</f>
        <v>2607789</v>
      </c>
      <c r="AW661" s="2">
        <f ca="1">INT(AV661*RANDBETWEEN(30,60)/100)</f>
        <v>1121349</v>
      </c>
      <c r="AX661">
        <f ca="1">IF(Z661="ORAL",RANDBETWEEN(1000,10000),IF(OR(Z661="INTRAVENOSA",Z661="INTRAMUSCULAR"),RANDBETWEEN(100,2000),IF(OR(Z661="OFTÁLMICA",Z661="TOPICA (EXTERNA)"),RANDBETWEEN(200,3000),RANDBETWEEN(100,1500))))</f>
        <v>4086</v>
      </c>
      <c r="AY661" s="2">
        <f ca="1">INT(AV661*RANDBETWEEN(90,130)/100)</f>
        <v>3155424</v>
      </c>
      <c r="AZ661" t="str">
        <f t="shared" ca="1" si="53"/>
        <v>7.6%</v>
      </c>
      <c r="BA661" t="str">
        <f t="shared" ca="1" si="54"/>
        <v>ALTO</v>
      </c>
    </row>
    <row r="662" spans="4:53" x14ac:dyDescent="0.35">
      <c r="D662" t="s">
        <v>4425</v>
      </c>
      <c r="E662" s="1">
        <v>42410</v>
      </c>
      <c r="F662" t="s">
        <v>4426</v>
      </c>
      <c r="G662" t="s">
        <v>108</v>
      </c>
      <c r="H662" t="s">
        <v>2205</v>
      </c>
      <c r="I662">
        <v>20082416</v>
      </c>
      <c r="J662" t="s">
        <v>28</v>
      </c>
      <c r="K662">
        <v>3</v>
      </c>
      <c r="L662" t="s">
        <v>27</v>
      </c>
      <c r="M662" t="s">
        <v>4427</v>
      </c>
      <c r="N662" t="s">
        <v>4428</v>
      </c>
      <c r="O662" t="s">
        <v>4429</v>
      </c>
      <c r="P662" t="s">
        <v>4430</v>
      </c>
      <c r="Q662" s="1">
        <v>42409</v>
      </c>
      <c r="R662" t="s">
        <v>33</v>
      </c>
      <c r="S662" t="s">
        <v>27</v>
      </c>
      <c r="T662" t="s">
        <v>3118</v>
      </c>
      <c r="U662" t="s">
        <v>115</v>
      </c>
      <c r="V662" t="s">
        <v>1933</v>
      </c>
      <c r="W662">
        <v>10</v>
      </c>
      <c r="X662">
        <v>20082416</v>
      </c>
      <c r="Y662" t="s">
        <v>1934</v>
      </c>
      <c r="Z662" t="s">
        <v>119</v>
      </c>
      <c r="AA662" t="s">
        <v>32</v>
      </c>
      <c r="AB662" t="s">
        <v>120</v>
      </c>
      <c r="AC662" t="s">
        <v>38</v>
      </c>
      <c r="AD662" t="s">
        <v>121</v>
      </c>
      <c r="AE662">
        <v>60</v>
      </c>
      <c r="AF662" t="s">
        <v>27</v>
      </c>
      <c r="AG662" t="s">
        <v>26</v>
      </c>
      <c r="AH662" t="s">
        <v>4426</v>
      </c>
      <c r="AI662" t="str">
        <f t="shared" si="50"/>
        <v>NO</v>
      </c>
      <c r="AJ662" t="str">
        <f t="shared" si="51"/>
        <v>LES LABORATOIRES SERVIER</v>
      </c>
      <c r="AK662" t="str">
        <f>IF(ISNUMBER(SEARCH("FABRICANTE",AC662)),"FABRICANTE",IF(ISNUMBER(SEARCH("IMPORTADOR",AC662)),"IMPORTADOR","OTRO"))</f>
        <v>IMPORTADOR</v>
      </c>
      <c r="AL662" t="str">
        <f>IF(LEFT(Y662,1)="A","Sistema digestivo",IF(LEFT(Y662,1)="B","Sangre",IF(LEFT(Y662,1)="C","Cardiovascular",IF(LEFT(Y662,1)="D","Dermatológico",IF(LEFT(Y662,1)="G","Genitourinario",IF(LEFT(Y662,1)="H","Hormonal",IF(LEFT(Y662,1)="J","Antiinfecciosos",IF(LEFT(Y662,1)="L","Oncológicos",IF(LEFT(Y662,1)="M","Musculoesquelético",IF(LEFT(Y662,1)="N","Sistema nervioso",IF(LEFT(Y662,1)="R","Respiratorio",IF(LEFT(Y662,1)="S","Oftálmico",IF(LEFT(Y662,1)="V","Varios","OTRO")))))))))))))</f>
        <v>Cardiovascular</v>
      </c>
      <c r="AM662" t="str">
        <f>IF(AG662="Vigente","ACTIVO",IF(ISNUMBER(SEARCH("Inactivo",J662)),"INACTIVO","REVISAR"))</f>
        <v>ACTIVO</v>
      </c>
      <c r="AN662" t="str">
        <f ca="1">IF(OR(AF662="",AF662="null"),"",ROUND((AF662-TODAY())/365.25,2))</f>
        <v/>
      </c>
      <c r="AO662" t="str">
        <f ca="1">IF(AND(AG662="Vigente",OR(AF662="",AF662="null",AF662&gt;TODAY())),"SI",IF(AND(NOT(OR(AF662="",AF662="null")),AF662&lt;=TODAY()),"NO",IF(AG662="Vigente","SI","DESCONOCIDO")))</f>
        <v>SI</v>
      </c>
      <c r="AP662" t="str">
        <f>IF(AND(ISNUMBER(SEARCH("IMPORTAR",AA662)),ISNUMBER(SEARCH("FABRICAR",AA662))),"MIXTO",IF(ISNUMBER(SEARCH("IMPORTAR",AA662)),"IMPORTADO",IF(ISNUMBER(SEARCH("FABRICAR",AA662)),"LOCAL","OTRO")))</f>
        <v>IMPORTADO</v>
      </c>
      <c r="AQ662" t="str">
        <f>IF(AD662="Si","SI",IF(AD662="No","NO",""))</f>
        <v>NO</v>
      </c>
      <c r="AR662" t="str">
        <f>IF(ISNUMBER(SEARCH("®",N662)),"MARCA/INNOVADOR","GENERICO")</f>
        <v>MARCA/INNOVADOR</v>
      </c>
      <c r="AS662">
        <f ca="1">IF(AE662&gt;100,RANDBETWEEN(500,5000),IF(AND(AE662&gt;=10,AE662&lt;=100),RANDBETWEEN(100,1000),RANDBETWEEN(10,200)))</f>
        <v>867</v>
      </c>
      <c r="AT662">
        <f t="shared" ca="1" si="52"/>
        <v>138</v>
      </c>
      <c r="AU662">
        <f ca="1">INT(AS662*RANDBETWEEN(120,200)/100)</f>
        <v>1109</v>
      </c>
      <c r="AV662" s="2">
        <f ca="1">IF(LEFT(Y662,1)="L",RANDBETWEEN(500000,5000000),IF(LEFT(Y662,1)="C",RANDBETWEEN(5000,50000),IF(LEFT(Y662,1)="N",RANDBETWEEN(10000,150000),IF(LEFT(Y662,1)="J",RANDBETWEEN(8000,200000),RANDBETWEEN(5000,100000)))))</f>
        <v>35224</v>
      </c>
      <c r="AW662" s="2">
        <f ca="1">INT(AV662*RANDBETWEEN(30,60)/100)</f>
        <v>12328</v>
      </c>
      <c r="AX662">
        <f ca="1">IF(Z662="ORAL",RANDBETWEEN(1000,10000),IF(OR(Z662="INTRAVENOSA",Z662="INTRAMUSCULAR"),RANDBETWEEN(100,2000),IF(OR(Z662="OFTÁLMICA",Z662="TOPICA (EXTERNA)"),RANDBETWEEN(200,3000),RANDBETWEEN(100,1500))))</f>
        <v>6171</v>
      </c>
      <c r="AY662" s="2">
        <f ca="1">INT(AV662*RANDBETWEEN(90,130)/100)</f>
        <v>39098</v>
      </c>
      <c r="AZ662" t="str">
        <f t="shared" ca="1" si="53"/>
        <v>20.8%</v>
      </c>
      <c r="BA662" t="str">
        <f t="shared" ca="1" si="54"/>
        <v>BAJO</v>
      </c>
    </row>
    <row r="663" spans="4:53" x14ac:dyDescent="0.35">
      <c r="D663" t="s">
        <v>4431</v>
      </c>
      <c r="E663" s="1">
        <v>41508</v>
      </c>
      <c r="F663" t="s">
        <v>4432</v>
      </c>
      <c r="G663" t="s">
        <v>108</v>
      </c>
      <c r="H663" t="s">
        <v>4433</v>
      </c>
      <c r="I663">
        <v>20049946</v>
      </c>
      <c r="J663" t="s">
        <v>28</v>
      </c>
      <c r="K663">
        <v>5</v>
      </c>
      <c r="L663" t="s">
        <v>27</v>
      </c>
      <c r="M663" t="s">
        <v>4434</v>
      </c>
      <c r="N663" t="s">
        <v>4435</v>
      </c>
      <c r="O663" t="s">
        <v>4436</v>
      </c>
      <c r="P663" t="s">
        <v>4437</v>
      </c>
      <c r="Q663" s="1">
        <v>41491</v>
      </c>
      <c r="R663" t="s">
        <v>33</v>
      </c>
      <c r="S663" t="s">
        <v>27</v>
      </c>
      <c r="T663" t="s">
        <v>227</v>
      </c>
      <c r="U663" t="s">
        <v>115</v>
      </c>
      <c r="V663" t="s">
        <v>4438</v>
      </c>
      <c r="W663">
        <v>50</v>
      </c>
      <c r="X663">
        <v>20049946</v>
      </c>
      <c r="Y663" t="s">
        <v>4439</v>
      </c>
      <c r="Z663" t="s">
        <v>119</v>
      </c>
      <c r="AA663" t="s">
        <v>32</v>
      </c>
      <c r="AB663" t="s">
        <v>120</v>
      </c>
      <c r="AC663" t="s">
        <v>25</v>
      </c>
      <c r="AD663" t="s">
        <v>121</v>
      </c>
      <c r="AE663">
        <v>28</v>
      </c>
      <c r="AF663" t="s">
        <v>27</v>
      </c>
      <c r="AG663" t="s">
        <v>26</v>
      </c>
      <c r="AH663" t="s">
        <v>4438</v>
      </c>
      <c r="AI663" t="str">
        <f t="shared" si="50"/>
        <v>SI</v>
      </c>
      <c r="AJ663" t="str">
        <f t="shared" si="51"/>
        <v>GRUNENTHAL</v>
      </c>
      <c r="AK663" t="str">
        <f>IF(ISNUMBER(SEARCH("FABRICANTE",AC663)),"FABRICANTE",IF(ISNUMBER(SEARCH("IMPORTADOR",AC663)),"IMPORTADOR","OTRO"))</f>
        <v>FABRICANTE</v>
      </c>
      <c r="AL663" t="str">
        <f>IF(LEFT(Y663,1)="A","Sistema digestivo",IF(LEFT(Y663,1)="B","Sangre",IF(LEFT(Y663,1)="C","Cardiovascular",IF(LEFT(Y663,1)="D","Dermatológico",IF(LEFT(Y663,1)="G","Genitourinario",IF(LEFT(Y663,1)="H","Hormonal",IF(LEFT(Y663,1)="J","Antiinfecciosos",IF(LEFT(Y663,1)="L","Oncológicos",IF(LEFT(Y663,1)="M","Musculoesquelético",IF(LEFT(Y663,1)="N","Sistema nervioso",IF(LEFT(Y663,1)="R","Respiratorio",IF(LEFT(Y663,1)="S","Oftálmico",IF(LEFT(Y663,1)="V","Varios","OTRO")))))))))))))</f>
        <v>Sistema nervioso</v>
      </c>
      <c r="AM663" t="str">
        <f>IF(AG663="Vigente","ACTIVO",IF(ISNUMBER(SEARCH("Inactivo",J663)),"INACTIVO","REVISAR"))</f>
        <v>ACTIVO</v>
      </c>
      <c r="AN663" t="str">
        <f ca="1">IF(OR(AF663="",AF663="null"),"",ROUND((AF663-TODAY())/365.25,2))</f>
        <v/>
      </c>
      <c r="AO663" t="str">
        <f ca="1">IF(AND(AG663="Vigente",OR(AF663="",AF663="null",AF663&gt;TODAY())),"SI",IF(AND(NOT(OR(AF663="",AF663="null")),AF663&lt;=TODAY()),"NO",IF(AG663="Vigente","SI","DESCONOCIDO")))</f>
        <v>SI</v>
      </c>
      <c r="AP663" t="str">
        <f>IF(AND(ISNUMBER(SEARCH("IMPORTAR",AA663)),ISNUMBER(SEARCH("FABRICAR",AA663))),"MIXTO",IF(ISNUMBER(SEARCH("IMPORTAR",AA663)),"IMPORTADO",IF(ISNUMBER(SEARCH("FABRICAR",AA663)),"LOCAL","OTRO")))</f>
        <v>IMPORTADO</v>
      </c>
      <c r="AQ663" t="str">
        <f>IF(AD663="Si","SI",IF(AD663="No","NO",""))</f>
        <v>NO</v>
      </c>
      <c r="AR663" t="str">
        <f>IF(ISNUMBER(SEARCH("®",N663)),"MARCA/INNOVADOR","GENERICO")</f>
        <v>MARCA/INNOVADOR</v>
      </c>
      <c r="AS663">
        <f ca="1">IF(AE663&gt;100,RANDBETWEEN(500,5000),IF(AND(AE663&gt;=10,AE663&lt;=100),RANDBETWEEN(100,1000),RANDBETWEEN(10,200)))</f>
        <v>151</v>
      </c>
      <c r="AT663">
        <f t="shared" ca="1" si="52"/>
        <v>31</v>
      </c>
      <c r="AU663">
        <f ca="1">INT(AS663*RANDBETWEEN(120,200)/100)</f>
        <v>231</v>
      </c>
      <c r="AV663" s="2">
        <f ca="1">IF(LEFT(Y663,1)="L",RANDBETWEEN(500000,5000000),IF(LEFT(Y663,1)="C",RANDBETWEEN(5000,50000),IF(LEFT(Y663,1)="N",RANDBETWEEN(10000,150000),IF(LEFT(Y663,1)="J",RANDBETWEEN(8000,200000),RANDBETWEEN(5000,100000)))))</f>
        <v>129348</v>
      </c>
      <c r="AW663" s="2">
        <f ca="1">INT(AV663*RANDBETWEEN(30,60)/100)</f>
        <v>76315</v>
      </c>
      <c r="AX663">
        <f ca="1">IF(Z663="ORAL",RANDBETWEEN(1000,10000),IF(OR(Z663="INTRAVENOSA",Z663="INTRAMUSCULAR"),RANDBETWEEN(100,2000),IF(OR(Z663="OFTÁLMICA",Z663="TOPICA (EXTERNA)"),RANDBETWEEN(200,3000),RANDBETWEEN(100,1500))))</f>
        <v>5715</v>
      </c>
      <c r="AY663" s="2">
        <f ca="1">INT(AV663*RANDBETWEEN(90,130)/100)</f>
        <v>125467</v>
      </c>
      <c r="AZ663" t="str">
        <f t="shared" ca="1" si="53"/>
        <v>18.8%</v>
      </c>
      <c r="BA663" t="str">
        <f t="shared" ca="1" si="54"/>
        <v>BAJO</v>
      </c>
    </row>
    <row r="664" spans="4:53" x14ac:dyDescent="0.35">
      <c r="D664" t="s">
        <v>4440</v>
      </c>
      <c r="E664" s="1">
        <v>42065</v>
      </c>
      <c r="F664" t="s">
        <v>548</v>
      </c>
      <c r="G664" t="s">
        <v>108</v>
      </c>
      <c r="H664" t="s">
        <v>1325</v>
      </c>
      <c r="I664">
        <v>20061748</v>
      </c>
      <c r="J664" t="s">
        <v>28</v>
      </c>
      <c r="K664">
        <v>5</v>
      </c>
      <c r="L664" t="s">
        <v>27</v>
      </c>
      <c r="M664" t="s">
        <v>2235</v>
      </c>
      <c r="N664" t="s">
        <v>2236</v>
      </c>
      <c r="O664" t="s">
        <v>4441</v>
      </c>
      <c r="P664" t="s">
        <v>2238</v>
      </c>
      <c r="Q664" s="1">
        <v>41569</v>
      </c>
      <c r="R664" t="s">
        <v>258</v>
      </c>
      <c r="S664" s="1">
        <v>44105</v>
      </c>
      <c r="T664" t="s">
        <v>1329</v>
      </c>
      <c r="U664" t="s">
        <v>247</v>
      </c>
      <c r="V664" t="s">
        <v>64</v>
      </c>
      <c r="W664" t="s">
        <v>2386</v>
      </c>
      <c r="X664">
        <v>20061748</v>
      </c>
      <c r="Y664" t="s">
        <v>259</v>
      </c>
      <c r="Z664" t="s">
        <v>2240</v>
      </c>
      <c r="AA664" t="s">
        <v>32</v>
      </c>
      <c r="AB664" t="s">
        <v>133</v>
      </c>
      <c r="AC664" t="s">
        <v>38</v>
      </c>
      <c r="AD664" t="s">
        <v>121</v>
      </c>
      <c r="AE664">
        <v>4</v>
      </c>
      <c r="AF664" s="1">
        <v>401769</v>
      </c>
      <c r="AG664" t="s">
        <v>26</v>
      </c>
      <c r="AH664" t="s">
        <v>6616</v>
      </c>
      <c r="AI664" t="str">
        <f t="shared" si="50"/>
        <v>NO</v>
      </c>
      <c r="AJ664" t="str">
        <f t="shared" si="51"/>
        <v>FRESENIUS KABI AB</v>
      </c>
      <c r="AK664" t="str">
        <f>IF(ISNUMBER(SEARCH("FABRICANTE",AC664)),"FABRICANTE",IF(ISNUMBER(SEARCH("IMPORTADOR",AC664)),"IMPORTADOR","OTRO"))</f>
        <v>IMPORTADOR</v>
      </c>
      <c r="AL664" t="str">
        <f>IF(LEFT(Y664,1)="A","Sistema digestivo",IF(LEFT(Y664,1)="B","Sangre",IF(LEFT(Y664,1)="C","Cardiovascular",IF(LEFT(Y664,1)="D","Dermatológico",IF(LEFT(Y664,1)="G","Genitourinario",IF(LEFT(Y664,1)="H","Hormonal",IF(LEFT(Y664,1)="J","Antiinfecciosos",IF(LEFT(Y664,1)="L","Oncológicos",IF(LEFT(Y664,1)="M","Musculoesquelético",IF(LEFT(Y664,1)="N","Sistema nervioso",IF(LEFT(Y664,1)="R","Respiratorio",IF(LEFT(Y664,1)="S","Oftálmico",IF(LEFT(Y664,1)="V","Varios","OTRO")))))))))))))</f>
        <v>Sangre</v>
      </c>
      <c r="AM664" t="str">
        <f>IF(AG664="Vigente","ACTIVO",IF(ISNUMBER(SEARCH("Inactivo",J664)),"INACTIVO","REVISAR"))</f>
        <v>ACTIVO</v>
      </c>
      <c r="AN664">
        <f ca="1">IF(OR(AF664="",AF664="null"),"",ROUND((AF664-TODAY())/365.25,2))</f>
        <v>973.58</v>
      </c>
      <c r="AO664" t="str">
        <f ca="1">IF(AND(AG664="Vigente",OR(AF664="",AF664="null",AF664&gt;TODAY())),"SI",IF(AND(NOT(OR(AF664="",AF664="null")),AF664&lt;=TODAY()),"NO",IF(AG664="Vigente","SI","DESCONOCIDO")))</f>
        <v>SI</v>
      </c>
      <c r="AP664" t="str">
        <f>IF(AND(ISNUMBER(SEARCH("IMPORTAR",AA664)),ISNUMBER(SEARCH("FABRICAR",AA664))),"MIXTO",IF(ISNUMBER(SEARCH("IMPORTAR",AA664)),"IMPORTADO",IF(ISNUMBER(SEARCH("FABRICAR",AA664)),"LOCAL","OTRO")))</f>
        <v>IMPORTADO</v>
      </c>
      <c r="AQ664" t="str">
        <f>IF(AD664="Si","SI",IF(AD664="No","NO",""))</f>
        <v>NO</v>
      </c>
      <c r="AR664" t="str">
        <f>IF(ISNUMBER(SEARCH("®",N664)),"MARCA/INNOVADOR","GENERICO")</f>
        <v>MARCA/INNOVADOR</v>
      </c>
      <c r="AS664">
        <f ca="1">IF(AE664&gt;100,RANDBETWEEN(500,5000),IF(AND(AE664&gt;=10,AE664&lt;=100),RANDBETWEEN(100,1000),RANDBETWEEN(10,200)))</f>
        <v>190</v>
      </c>
      <c r="AT664">
        <f t="shared" ca="1" si="52"/>
        <v>26</v>
      </c>
      <c r="AU664">
        <f ca="1">INT(AS664*RANDBETWEEN(120,200)/100)</f>
        <v>370</v>
      </c>
      <c r="AV664" s="2">
        <f ca="1">IF(LEFT(Y664,1)="L",RANDBETWEEN(500000,5000000),IF(LEFT(Y664,1)="C",RANDBETWEEN(5000,50000),IF(LEFT(Y664,1)="N",RANDBETWEEN(10000,150000),IF(LEFT(Y664,1)="J",RANDBETWEEN(8000,200000),RANDBETWEEN(5000,100000)))))</f>
        <v>59705</v>
      </c>
      <c r="AW664" s="2">
        <f ca="1">INT(AV664*RANDBETWEEN(30,60)/100)</f>
        <v>29852</v>
      </c>
      <c r="AX664">
        <f ca="1">IF(Z664="ORAL",RANDBETWEEN(1000,10000),IF(OR(Z664="INTRAVENOSA",Z664="INTRAMUSCULAR"),RANDBETWEEN(100,2000),IF(OR(Z664="OFTÁLMICA",Z664="TOPICA (EXTERNA)"),RANDBETWEEN(200,3000),RANDBETWEEN(100,1500))))</f>
        <v>1189</v>
      </c>
      <c r="AY664" s="2">
        <f ca="1">INT(AV664*RANDBETWEEN(90,130)/100)</f>
        <v>55525</v>
      </c>
      <c r="AZ664" t="str">
        <f t="shared" ca="1" si="53"/>
        <v>2.4%</v>
      </c>
      <c r="BA664" t="str">
        <f t="shared" ca="1" si="54"/>
        <v>BAJO</v>
      </c>
    </row>
    <row r="665" spans="4:53" x14ac:dyDescent="0.35">
      <c r="D665" t="s">
        <v>4442</v>
      </c>
      <c r="E665" s="1">
        <v>40844</v>
      </c>
      <c r="F665" t="s">
        <v>1992</v>
      </c>
      <c r="G665" t="s">
        <v>108</v>
      </c>
      <c r="H665" t="s">
        <v>168</v>
      </c>
      <c r="I665">
        <v>20030114</v>
      </c>
      <c r="J665" t="s">
        <v>28</v>
      </c>
      <c r="K665">
        <v>36</v>
      </c>
      <c r="L665" t="s">
        <v>27</v>
      </c>
      <c r="M665" t="s">
        <v>2311</v>
      </c>
      <c r="N665" t="s">
        <v>2312</v>
      </c>
      <c r="O665" t="s">
        <v>4443</v>
      </c>
      <c r="P665" t="s">
        <v>659</v>
      </c>
      <c r="Q665" s="1">
        <v>41220</v>
      </c>
      <c r="R665" t="s">
        <v>37</v>
      </c>
      <c r="S665" t="s">
        <v>27</v>
      </c>
      <c r="T665" t="s">
        <v>172</v>
      </c>
      <c r="U665" t="s">
        <v>115</v>
      </c>
      <c r="V665" t="s">
        <v>585</v>
      </c>
      <c r="W665">
        <v>40</v>
      </c>
      <c r="X665">
        <v>20030114</v>
      </c>
      <c r="Y665" t="s">
        <v>586</v>
      </c>
      <c r="Z665" t="s">
        <v>119</v>
      </c>
      <c r="AA665" t="s">
        <v>24</v>
      </c>
      <c r="AB665" t="s">
        <v>120</v>
      </c>
      <c r="AC665" t="s">
        <v>25</v>
      </c>
      <c r="AD665" t="s">
        <v>121</v>
      </c>
      <c r="AE665">
        <v>900</v>
      </c>
      <c r="AF665" t="s">
        <v>27</v>
      </c>
      <c r="AG665" t="s">
        <v>26</v>
      </c>
      <c r="AH665" t="s">
        <v>585</v>
      </c>
      <c r="AI665" t="str">
        <f t="shared" si="50"/>
        <v>NO</v>
      </c>
      <c r="AJ665" t="str">
        <f t="shared" si="51"/>
        <v>NOVAMED</v>
      </c>
      <c r="AK665" t="str">
        <f>IF(ISNUMBER(SEARCH("FABRICANTE",AC665)),"FABRICANTE",IF(ISNUMBER(SEARCH("IMPORTADOR",AC665)),"IMPORTADOR","OTRO"))</f>
        <v>FABRICANTE</v>
      </c>
      <c r="AL665" t="str">
        <f>IF(LEFT(Y665,1)="A","Sistema digestivo",IF(LEFT(Y665,1)="B","Sangre",IF(LEFT(Y665,1)="C","Cardiovascular",IF(LEFT(Y665,1)="D","Dermatológico",IF(LEFT(Y665,1)="G","Genitourinario",IF(LEFT(Y665,1)="H","Hormonal",IF(LEFT(Y665,1)="J","Antiinfecciosos",IF(LEFT(Y665,1)="L","Oncológicos",IF(LEFT(Y665,1)="M","Musculoesquelético",IF(LEFT(Y665,1)="N","Sistema nervioso",IF(LEFT(Y665,1)="R","Respiratorio",IF(LEFT(Y665,1)="S","Oftálmico",IF(LEFT(Y665,1)="V","Varios","OTRO")))))))))))))</f>
        <v>Sistema digestivo</v>
      </c>
      <c r="AM665" t="str">
        <f>IF(AG665="Vigente","ACTIVO",IF(ISNUMBER(SEARCH("Inactivo",J665)),"INACTIVO","REVISAR"))</f>
        <v>ACTIVO</v>
      </c>
      <c r="AN665" t="str">
        <f ca="1">IF(OR(AF665="",AF665="null"),"",ROUND((AF665-TODAY())/365.25,2))</f>
        <v/>
      </c>
      <c r="AO665" t="str">
        <f ca="1">IF(AND(AG665="Vigente",OR(AF665="",AF665="null",AF665&gt;TODAY())),"SI",IF(AND(NOT(OR(AF665="",AF665="null")),AF665&lt;=TODAY()),"NO",IF(AG665="Vigente","SI","DESCONOCIDO")))</f>
        <v>SI</v>
      </c>
      <c r="AP665" t="str">
        <f>IF(AND(ISNUMBER(SEARCH("IMPORTAR",AA665)),ISNUMBER(SEARCH("FABRICAR",AA665))),"MIXTO",IF(ISNUMBER(SEARCH("IMPORTAR",AA665)),"IMPORTADO",IF(ISNUMBER(SEARCH("FABRICAR",AA665)),"LOCAL","OTRO")))</f>
        <v>LOCAL</v>
      </c>
      <c r="AQ665" t="str">
        <f>IF(AD665="Si","SI",IF(AD665="No","NO",""))</f>
        <v>NO</v>
      </c>
      <c r="AR665" t="str">
        <f>IF(ISNUMBER(SEARCH("®",N665)),"MARCA/INNOVADOR","GENERICO")</f>
        <v>GENERICO</v>
      </c>
      <c r="AS665">
        <f ca="1">IF(AE665&gt;100,RANDBETWEEN(500,5000),IF(AND(AE665&gt;=10,AE665&lt;=100),RANDBETWEEN(100,1000),RANDBETWEEN(10,200)))</f>
        <v>2251</v>
      </c>
      <c r="AT665">
        <f t="shared" ca="1" si="52"/>
        <v>270</v>
      </c>
      <c r="AU665">
        <f ca="1">INT(AS665*RANDBETWEEN(120,200)/100)</f>
        <v>3376</v>
      </c>
      <c r="AV665" s="2">
        <f ca="1">IF(LEFT(Y665,1)="L",RANDBETWEEN(500000,5000000),IF(LEFT(Y665,1)="C",RANDBETWEEN(5000,50000),IF(LEFT(Y665,1)="N",RANDBETWEEN(10000,150000),IF(LEFT(Y665,1)="J",RANDBETWEEN(8000,200000),RANDBETWEEN(5000,100000)))))</f>
        <v>29200</v>
      </c>
      <c r="AW665" s="2">
        <f ca="1">INT(AV665*RANDBETWEEN(30,60)/100)</f>
        <v>16936</v>
      </c>
      <c r="AX665">
        <f ca="1">IF(Z665="ORAL",RANDBETWEEN(1000,10000),IF(OR(Z665="INTRAVENOSA",Z665="INTRAMUSCULAR"),RANDBETWEEN(100,2000),IF(OR(Z665="OFTÁLMICA",Z665="TOPICA (EXTERNA)"),RANDBETWEEN(200,3000),RANDBETWEEN(100,1500))))</f>
        <v>3303</v>
      </c>
      <c r="AY665" s="2">
        <f ca="1">INT(AV665*RANDBETWEEN(90,130)/100)</f>
        <v>32704</v>
      </c>
      <c r="AZ665" t="str">
        <f t="shared" ca="1" si="53"/>
        <v>17.7%</v>
      </c>
      <c r="BA665" t="str">
        <f t="shared" ca="1" si="54"/>
        <v>BAJO</v>
      </c>
    </row>
    <row r="666" spans="4:53" x14ac:dyDescent="0.35">
      <c r="D666" t="s">
        <v>4444</v>
      </c>
      <c r="E666" s="1">
        <v>41410</v>
      </c>
      <c r="F666" t="s">
        <v>4445</v>
      </c>
      <c r="G666" t="s">
        <v>108</v>
      </c>
      <c r="H666" t="s">
        <v>4446</v>
      </c>
      <c r="I666">
        <v>20051017</v>
      </c>
      <c r="J666" t="s">
        <v>110</v>
      </c>
      <c r="K666">
        <v>4</v>
      </c>
      <c r="L666" t="s">
        <v>27</v>
      </c>
      <c r="M666" t="s">
        <v>4447</v>
      </c>
      <c r="N666" t="s">
        <v>4448</v>
      </c>
      <c r="O666" t="s">
        <v>4449</v>
      </c>
      <c r="P666" t="s">
        <v>4450</v>
      </c>
      <c r="Q666" s="1">
        <v>42853</v>
      </c>
      <c r="R666" t="s">
        <v>73</v>
      </c>
      <c r="S666" t="s">
        <v>27</v>
      </c>
      <c r="T666" t="s">
        <v>532</v>
      </c>
      <c r="U666" t="s">
        <v>247</v>
      </c>
      <c r="V666" t="s">
        <v>4451</v>
      </c>
      <c r="W666">
        <v>5</v>
      </c>
      <c r="X666">
        <v>20051017</v>
      </c>
      <c r="Y666" t="s">
        <v>4452</v>
      </c>
      <c r="Z666" t="s">
        <v>119</v>
      </c>
      <c r="AA666" t="s">
        <v>24</v>
      </c>
      <c r="AB666" t="s">
        <v>1095</v>
      </c>
      <c r="AC666" t="s">
        <v>25</v>
      </c>
      <c r="AD666" t="s">
        <v>121</v>
      </c>
      <c r="AE666">
        <v>1</v>
      </c>
      <c r="AF666" t="s">
        <v>27</v>
      </c>
      <c r="AG666" t="s">
        <v>26</v>
      </c>
      <c r="AH666" t="s">
        <v>6686</v>
      </c>
      <c r="AI666" t="str">
        <f t="shared" si="50"/>
        <v>SI</v>
      </c>
      <c r="AJ666" t="str">
        <f t="shared" si="51"/>
        <v>FAES FARMA COLOMBIA</v>
      </c>
      <c r="AK666" t="str">
        <f>IF(ISNUMBER(SEARCH("FABRICANTE",AC666)),"FABRICANTE",IF(ISNUMBER(SEARCH("IMPORTADOR",AC666)),"IMPORTADOR","OTRO"))</f>
        <v>FABRICANTE</v>
      </c>
      <c r="AL666" t="str">
        <f>IF(LEFT(Y666,1)="A","Sistema digestivo",IF(LEFT(Y666,1)="B","Sangre",IF(LEFT(Y666,1)="C","Cardiovascular",IF(LEFT(Y666,1)="D","Dermatológico",IF(LEFT(Y666,1)="G","Genitourinario",IF(LEFT(Y666,1)="H","Hormonal",IF(LEFT(Y666,1)="J","Antiinfecciosos",IF(LEFT(Y666,1)="L","Oncológicos",IF(LEFT(Y666,1)="M","Musculoesquelético",IF(LEFT(Y666,1)="N","Sistema nervioso",IF(LEFT(Y666,1)="R","Respiratorio",IF(LEFT(Y666,1)="S","Oftálmico",IF(LEFT(Y666,1)="V","Varios","OTRO")))))))))))))</f>
        <v>Antiinfecciosos</v>
      </c>
      <c r="AM666" t="str">
        <f>IF(AG666="Vigente","ACTIVO",IF(ISNUMBER(SEARCH("Inactivo",J666)),"INACTIVO","REVISAR"))</f>
        <v>ACTIVO</v>
      </c>
      <c r="AN666" t="str">
        <f ca="1">IF(OR(AF666="",AF666="null"),"",ROUND((AF666-TODAY())/365.25,2))</f>
        <v/>
      </c>
      <c r="AO666" t="str">
        <f ca="1">IF(AND(AG666="Vigente",OR(AF666="",AF666="null",AF666&gt;TODAY())),"SI",IF(AND(NOT(OR(AF666="",AF666="null")),AF666&lt;=TODAY()),"NO",IF(AG666="Vigente","SI","DESCONOCIDO")))</f>
        <v>SI</v>
      </c>
      <c r="AP666" t="str">
        <f>IF(AND(ISNUMBER(SEARCH("IMPORTAR",AA666)),ISNUMBER(SEARCH("FABRICAR",AA666))),"MIXTO",IF(ISNUMBER(SEARCH("IMPORTAR",AA666)),"IMPORTADO",IF(ISNUMBER(SEARCH("FABRICAR",AA666)),"LOCAL","OTRO")))</f>
        <v>LOCAL</v>
      </c>
      <c r="AQ666" t="str">
        <f>IF(AD666="Si","SI",IF(AD666="No","NO",""))</f>
        <v>NO</v>
      </c>
      <c r="AR666" t="str">
        <f>IF(ISNUMBER(SEARCH("®",N666)),"MARCA/INNOVADOR","GENERICO")</f>
        <v>MARCA/INNOVADOR</v>
      </c>
      <c r="AS666">
        <f ca="1">IF(AE666&gt;100,RANDBETWEEN(500,5000),IF(AND(AE666&gt;=10,AE666&lt;=100),RANDBETWEEN(100,1000),RANDBETWEEN(10,200)))</f>
        <v>164</v>
      </c>
      <c r="AT666">
        <f t="shared" ca="1" si="52"/>
        <v>37</v>
      </c>
      <c r="AU666">
        <f ca="1">INT(AS666*RANDBETWEEN(120,200)/100)</f>
        <v>326</v>
      </c>
      <c r="AV666" s="2">
        <f ca="1">IF(LEFT(Y666,1)="L",RANDBETWEEN(500000,5000000),IF(LEFT(Y666,1)="C",RANDBETWEEN(5000,50000),IF(LEFT(Y666,1)="N",RANDBETWEEN(10000,150000),IF(LEFT(Y666,1)="J",RANDBETWEEN(8000,200000),RANDBETWEEN(5000,100000)))))</f>
        <v>63622</v>
      </c>
      <c r="AW666" s="2">
        <f ca="1">INT(AV666*RANDBETWEEN(30,60)/100)</f>
        <v>23540</v>
      </c>
      <c r="AX666">
        <f ca="1">IF(Z666="ORAL",RANDBETWEEN(1000,10000),IF(OR(Z666="INTRAVENOSA",Z666="INTRAMUSCULAR"),RANDBETWEEN(100,2000),IF(OR(Z666="OFTÁLMICA",Z666="TOPICA (EXTERNA)"),RANDBETWEEN(200,3000),RANDBETWEEN(100,1500))))</f>
        <v>4775</v>
      </c>
      <c r="AY666" s="2">
        <f ca="1">INT(AV666*RANDBETWEEN(90,130)/100)</f>
        <v>61713</v>
      </c>
      <c r="AZ666" t="str">
        <f t="shared" ca="1" si="53"/>
        <v>20.8%</v>
      </c>
      <c r="BA666" t="str">
        <f t="shared" ca="1" si="54"/>
        <v>ALTO</v>
      </c>
    </row>
    <row r="667" spans="4:53" x14ac:dyDescent="0.35">
      <c r="D667" t="s">
        <v>4453</v>
      </c>
      <c r="E667" s="1">
        <v>42132</v>
      </c>
      <c r="F667" t="s">
        <v>45</v>
      </c>
      <c r="G667" t="s">
        <v>108</v>
      </c>
      <c r="H667" t="s">
        <v>454</v>
      </c>
      <c r="I667">
        <v>20082257</v>
      </c>
      <c r="J667" t="s">
        <v>28</v>
      </c>
      <c r="K667">
        <v>10</v>
      </c>
      <c r="L667" t="s">
        <v>27</v>
      </c>
      <c r="M667" t="s">
        <v>4454</v>
      </c>
      <c r="N667" t="s">
        <v>4455</v>
      </c>
      <c r="O667" t="s">
        <v>4456</v>
      </c>
      <c r="P667" t="s">
        <v>33</v>
      </c>
      <c r="Q667" s="1">
        <v>42119</v>
      </c>
      <c r="R667" t="s">
        <v>33</v>
      </c>
      <c r="S667" t="s">
        <v>27</v>
      </c>
      <c r="T667" t="s">
        <v>454</v>
      </c>
      <c r="U667" t="s">
        <v>115</v>
      </c>
      <c r="V667" t="s">
        <v>49</v>
      </c>
      <c r="W667">
        <v>1000</v>
      </c>
      <c r="X667">
        <v>20082257</v>
      </c>
      <c r="Y667" t="s">
        <v>46</v>
      </c>
      <c r="Z667" t="s">
        <v>119</v>
      </c>
      <c r="AA667" t="s">
        <v>24</v>
      </c>
      <c r="AB667" t="s">
        <v>120</v>
      </c>
      <c r="AC667" t="s">
        <v>25</v>
      </c>
      <c r="AD667" t="s">
        <v>155</v>
      </c>
      <c r="AE667">
        <v>10</v>
      </c>
      <c r="AF667" s="1">
        <v>401769</v>
      </c>
      <c r="AG667" t="s">
        <v>26</v>
      </c>
      <c r="AH667" t="s">
        <v>45</v>
      </c>
      <c r="AI667" t="str">
        <f t="shared" si="50"/>
        <v>NO</v>
      </c>
      <c r="AJ667" t="str">
        <f t="shared" si="51"/>
        <v>PROCAPS</v>
      </c>
      <c r="AK667" t="str">
        <f>IF(ISNUMBER(SEARCH("FABRICANTE",AC667)),"FABRICANTE",IF(ISNUMBER(SEARCH("IMPORTADOR",AC667)),"IMPORTADOR","OTRO"))</f>
        <v>FABRICANTE</v>
      </c>
      <c r="AL667" t="str">
        <f>IF(LEFT(Y667,1)="A","Sistema digestivo",IF(LEFT(Y667,1)="B","Sangre",IF(LEFT(Y667,1)="C","Cardiovascular",IF(LEFT(Y667,1)="D","Dermatológico",IF(LEFT(Y667,1)="G","Genitourinario",IF(LEFT(Y667,1)="H","Hormonal",IF(LEFT(Y667,1)="J","Antiinfecciosos",IF(LEFT(Y667,1)="L","Oncológicos",IF(LEFT(Y667,1)="M","Musculoesquelético",IF(LEFT(Y667,1)="N","Sistema nervioso",IF(LEFT(Y667,1)="R","Respiratorio",IF(LEFT(Y667,1)="S","Oftálmico",IF(LEFT(Y667,1)="V","Varios","OTRO")))))))))))))</f>
        <v>Sistema digestivo</v>
      </c>
      <c r="AM667" t="str">
        <f>IF(AG667="Vigente","ACTIVO",IF(ISNUMBER(SEARCH("Inactivo",J667)),"INACTIVO","REVISAR"))</f>
        <v>ACTIVO</v>
      </c>
      <c r="AN667">
        <f ca="1">IF(OR(AF667="",AF667="null"),"",ROUND((AF667-TODAY())/365.25,2))</f>
        <v>973.58</v>
      </c>
      <c r="AO667" t="str">
        <f ca="1">IF(AND(AG667="Vigente",OR(AF667="",AF667="null",AF667&gt;TODAY())),"SI",IF(AND(NOT(OR(AF667="",AF667="null")),AF667&lt;=TODAY()),"NO",IF(AG667="Vigente","SI","DESCONOCIDO")))</f>
        <v>SI</v>
      </c>
      <c r="AP667" t="str">
        <f>IF(AND(ISNUMBER(SEARCH("IMPORTAR",AA667)),ISNUMBER(SEARCH("FABRICAR",AA667))),"MIXTO",IF(ISNUMBER(SEARCH("IMPORTAR",AA667)),"IMPORTADO",IF(ISNUMBER(SEARCH("FABRICAR",AA667)),"LOCAL","OTRO")))</f>
        <v>LOCAL</v>
      </c>
      <c r="AQ667" t="str">
        <f>IF(AD667="Si","SI",IF(AD667="No","NO",""))</f>
        <v>SI</v>
      </c>
      <c r="AR667" t="str">
        <f>IF(ISNUMBER(SEARCH("®",N667)),"MARCA/INNOVADOR","GENERICO")</f>
        <v>MARCA/INNOVADOR</v>
      </c>
      <c r="AS667">
        <f ca="1">IF(AE667&gt;100,RANDBETWEEN(500,5000),IF(AND(AE667&gt;=10,AE667&lt;=100),RANDBETWEEN(100,1000),RANDBETWEEN(10,200)))</f>
        <v>461</v>
      </c>
      <c r="AT667">
        <f t="shared" ca="1" si="52"/>
        <v>87</v>
      </c>
      <c r="AU667">
        <f ca="1">INT(AS667*RANDBETWEEN(120,200)/100)</f>
        <v>871</v>
      </c>
      <c r="AV667" s="2">
        <f ca="1">IF(LEFT(Y667,1)="L",RANDBETWEEN(500000,5000000),IF(LEFT(Y667,1)="C",RANDBETWEEN(5000,50000),IF(LEFT(Y667,1)="N",RANDBETWEEN(10000,150000),IF(LEFT(Y667,1)="J",RANDBETWEEN(8000,200000),RANDBETWEEN(5000,100000)))))</f>
        <v>30842</v>
      </c>
      <c r="AW667" s="2">
        <f ca="1">INT(AV667*RANDBETWEEN(30,60)/100)</f>
        <v>11411</v>
      </c>
      <c r="AX667">
        <f ca="1">IF(Z667="ORAL",RANDBETWEEN(1000,10000),IF(OR(Z667="INTRAVENOSA",Z667="INTRAMUSCULAR"),RANDBETWEEN(100,2000),IF(OR(Z667="OFTÁLMICA",Z667="TOPICA (EXTERNA)"),RANDBETWEEN(200,3000),RANDBETWEEN(100,1500))))</f>
        <v>9973</v>
      </c>
      <c r="AY667" s="2">
        <f ca="1">INT(AV667*RANDBETWEEN(90,130)/100)</f>
        <v>29608</v>
      </c>
      <c r="AZ667" t="str">
        <f t="shared" ca="1" si="53"/>
        <v>21.3%</v>
      </c>
      <c r="BA667" t="str">
        <f t="shared" ca="1" si="54"/>
        <v>BAJO</v>
      </c>
    </row>
    <row r="668" spans="4:53" x14ac:dyDescent="0.35">
      <c r="D668" t="s">
        <v>4457</v>
      </c>
      <c r="E668" s="1">
        <v>36013</v>
      </c>
      <c r="F668" t="s">
        <v>1267</v>
      </c>
      <c r="G668" t="s">
        <v>108</v>
      </c>
      <c r="H668" t="s">
        <v>736</v>
      </c>
      <c r="I668">
        <v>209154</v>
      </c>
      <c r="J668" t="s">
        <v>28</v>
      </c>
      <c r="K668">
        <v>25</v>
      </c>
      <c r="L668" t="s">
        <v>4458</v>
      </c>
      <c r="M668" t="s">
        <v>1268</v>
      </c>
      <c r="N668" t="s">
        <v>1269</v>
      </c>
      <c r="O668" t="s">
        <v>4459</v>
      </c>
      <c r="P668" t="s">
        <v>1271</v>
      </c>
      <c r="Q668" s="1">
        <v>43760</v>
      </c>
      <c r="R668" t="s">
        <v>200</v>
      </c>
      <c r="S668" t="s">
        <v>27</v>
      </c>
      <c r="T668" t="s">
        <v>736</v>
      </c>
      <c r="U668" t="s">
        <v>115</v>
      </c>
      <c r="V668" t="s">
        <v>1272</v>
      </c>
      <c r="W668">
        <v>100</v>
      </c>
      <c r="X668">
        <v>209154</v>
      </c>
      <c r="Y668" t="s">
        <v>1273</v>
      </c>
      <c r="Z668" t="s">
        <v>119</v>
      </c>
      <c r="AA668" t="s">
        <v>32</v>
      </c>
      <c r="AB668" t="s">
        <v>120</v>
      </c>
      <c r="AC668" t="s">
        <v>38</v>
      </c>
      <c r="AD668" t="s">
        <v>155</v>
      </c>
      <c r="AE668">
        <v>1</v>
      </c>
      <c r="AF668" t="s">
        <v>27</v>
      </c>
      <c r="AG668" t="s">
        <v>26</v>
      </c>
      <c r="AH668" t="s">
        <v>6748</v>
      </c>
      <c r="AI668" t="str">
        <f t="shared" si="50"/>
        <v>NO</v>
      </c>
      <c r="AJ668" t="str">
        <f t="shared" si="51"/>
        <v>LABORATORIO FRANCO COLOMBIANO LAFRANCOL</v>
      </c>
      <c r="AK668" t="str">
        <f>IF(ISNUMBER(SEARCH("FABRICANTE",AC668)),"FABRICANTE",IF(ISNUMBER(SEARCH("IMPORTADOR",AC668)),"IMPORTADOR","OTRO"))</f>
        <v>IMPORTADOR</v>
      </c>
      <c r="AL668" t="str">
        <f>IF(LEFT(Y668,1)="A","Sistema digestivo",IF(LEFT(Y668,1)="B","Sangre",IF(LEFT(Y668,1)="C","Cardiovascular",IF(LEFT(Y668,1)="D","Dermatológico",IF(LEFT(Y668,1)="G","Genitourinario",IF(LEFT(Y668,1)="H","Hormonal",IF(LEFT(Y668,1)="J","Antiinfecciosos",IF(LEFT(Y668,1)="L","Oncológicos",IF(LEFT(Y668,1)="M","Musculoesquelético",IF(LEFT(Y668,1)="N","Sistema nervioso",IF(LEFT(Y668,1)="R","Respiratorio",IF(LEFT(Y668,1)="S","Oftálmico",IF(LEFT(Y668,1)="V","Varios","OTRO")))))))))))))</f>
        <v>Sistema digestivo</v>
      </c>
      <c r="AM668" t="str">
        <f>IF(AG668="Vigente","ACTIVO",IF(ISNUMBER(SEARCH("Inactivo",J668)),"INACTIVO","REVISAR"))</f>
        <v>ACTIVO</v>
      </c>
      <c r="AN668" t="str">
        <f ca="1">IF(OR(AF668="",AF668="null"),"",ROUND((AF668-TODAY())/365.25,2))</f>
        <v/>
      </c>
      <c r="AO668" t="str">
        <f ca="1">IF(AND(AG668="Vigente",OR(AF668="",AF668="null",AF668&gt;TODAY())),"SI",IF(AND(NOT(OR(AF668="",AF668="null")),AF668&lt;=TODAY()),"NO",IF(AG668="Vigente","SI","DESCONOCIDO")))</f>
        <v>SI</v>
      </c>
      <c r="AP668" t="str">
        <f>IF(AND(ISNUMBER(SEARCH("IMPORTAR",AA668)),ISNUMBER(SEARCH("FABRICAR",AA668))),"MIXTO",IF(ISNUMBER(SEARCH("IMPORTAR",AA668)),"IMPORTADO",IF(ISNUMBER(SEARCH("FABRICAR",AA668)),"LOCAL","OTRO")))</f>
        <v>IMPORTADO</v>
      </c>
      <c r="AQ668" t="str">
        <f>IF(AD668="Si","SI",IF(AD668="No","NO",""))</f>
        <v>SI</v>
      </c>
      <c r="AR668" t="str">
        <f>IF(ISNUMBER(SEARCH("®",N668)),"MARCA/INNOVADOR","GENERICO")</f>
        <v>MARCA/INNOVADOR</v>
      </c>
      <c r="AS668">
        <f ca="1">IF(AE668&gt;100,RANDBETWEEN(500,5000),IF(AND(AE668&gt;=10,AE668&lt;=100),RANDBETWEEN(100,1000),RANDBETWEEN(10,200)))</f>
        <v>23</v>
      </c>
      <c r="AT668">
        <f t="shared" ca="1" si="52"/>
        <v>2</v>
      </c>
      <c r="AU668">
        <f ca="1">INT(AS668*RANDBETWEEN(120,200)/100)</f>
        <v>30</v>
      </c>
      <c r="AV668" s="2">
        <f ca="1">IF(LEFT(Y668,1)="L",RANDBETWEEN(500000,5000000),IF(LEFT(Y668,1)="C",RANDBETWEEN(5000,50000),IF(LEFT(Y668,1)="N",RANDBETWEEN(10000,150000),IF(LEFT(Y668,1)="J",RANDBETWEEN(8000,200000),RANDBETWEEN(5000,100000)))))</f>
        <v>21832</v>
      </c>
      <c r="AW668" s="2">
        <f ca="1">INT(AV668*RANDBETWEEN(30,60)/100)</f>
        <v>8077</v>
      </c>
      <c r="AX668">
        <f ca="1">IF(Z668="ORAL",RANDBETWEEN(1000,10000),IF(OR(Z668="INTRAVENOSA",Z668="INTRAMUSCULAR"),RANDBETWEEN(100,2000),IF(OR(Z668="OFTÁLMICA",Z668="TOPICA (EXTERNA)"),RANDBETWEEN(200,3000),RANDBETWEEN(100,1500))))</f>
        <v>2225</v>
      </c>
      <c r="AY668" s="2">
        <f ca="1">INT(AV668*RANDBETWEEN(90,130)/100)</f>
        <v>20958</v>
      </c>
      <c r="AZ668" t="str">
        <f t="shared" ca="1" si="53"/>
        <v>5%</v>
      </c>
      <c r="BA668" t="str">
        <f t="shared" ca="1" si="54"/>
        <v>BAJO</v>
      </c>
    </row>
    <row r="669" spans="4:53" x14ac:dyDescent="0.35">
      <c r="D669" t="s">
        <v>4460</v>
      </c>
      <c r="E669" s="1">
        <v>39372</v>
      </c>
      <c r="F669" t="s">
        <v>602</v>
      </c>
      <c r="G669" t="s">
        <v>108</v>
      </c>
      <c r="H669" t="s">
        <v>44</v>
      </c>
      <c r="I669">
        <v>19976372</v>
      </c>
      <c r="J669" t="s">
        <v>28</v>
      </c>
      <c r="K669">
        <v>1</v>
      </c>
      <c r="L669" t="s">
        <v>27</v>
      </c>
      <c r="M669" t="s">
        <v>4461</v>
      </c>
      <c r="N669" t="s">
        <v>4462</v>
      </c>
      <c r="O669" t="s">
        <v>4463</v>
      </c>
      <c r="P669" t="s">
        <v>4464</v>
      </c>
      <c r="Q669" s="1">
        <v>39169</v>
      </c>
      <c r="R669" t="s">
        <v>62</v>
      </c>
      <c r="S669" t="s">
        <v>27</v>
      </c>
      <c r="T669" t="s">
        <v>4164</v>
      </c>
      <c r="U669" t="s">
        <v>247</v>
      </c>
      <c r="V669" t="s">
        <v>602</v>
      </c>
      <c r="W669">
        <v>1</v>
      </c>
      <c r="X669">
        <v>19976372</v>
      </c>
      <c r="Y669" t="s">
        <v>837</v>
      </c>
      <c r="Z669" t="s">
        <v>566</v>
      </c>
      <c r="AA669" t="s">
        <v>24</v>
      </c>
      <c r="AB669" t="s">
        <v>653</v>
      </c>
      <c r="AC669" t="s">
        <v>25</v>
      </c>
      <c r="AD669" t="s">
        <v>121</v>
      </c>
      <c r="AE669">
        <v>1</v>
      </c>
      <c r="AF669" t="s">
        <v>27</v>
      </c>
      <c r="AG669" t="s">
        <v>26</v>
      </c>
      <c r="AH669" t="s">
        <v>602</v>
      </c>
      <c r="AI669" t="str">
        <f t="shared" si="50"/>
        <v>NO</v>
      </c>
      <c r="AJ669" t="str">
        <f t="shared" si="51"/>
        <v>PENTACOOP</v>
      </c>
      <c r="AK669" t="str">
        <f>IF(ISNUMBER(SEARCH("FABRICANTE",AC669)),"FABRICANTE",IF(ISNUMBER(SEARCH("IMPORTADOR",AC669)),"IMPORTADOR","OTRO"))</f>
        <v>FABRICANTE</v>
      </c>
      <c r="AL669" t="str">
        <f>IF(LEFT(Y669,1)="A","Sistema digestivo",IF(LEFT(Y669,1)="B","Sangre",IF(LEFT(Y669,1)="C","Cardiovascular",IF(LEFT(Y669,1)="D","Dermatológico",IF(LEFT(Y669,1)="G","Genitourinario",IF(LEFT(Y669,1)="H","Hormonal",IF(LEFT(Y669,1)="J","Antiinfecciosos",IF(LEFT(Y669,1)="L","Oncológicos",IF(LEFT(Y669,1)="M","Musculoesquelético",IF(LEFT(Y669,1)="N","Sistema nervioso",IF(LEFT(Y669,1)="R","Respiratorio",IF(LEFT(Y669,1)="S","Oftálmico",IF(LEFT(Y669,1)="V","Varios","OTRO")))))))))))))</f>
        <v>Dermatológico</v>
      </c>
      <c r="AM669" t="str">
        <f>IF(AG669="Vigente","ACTIVO",IF(ISNUMBER(SEARCH("Inactivo",J669)),"INACTIVO","REVISAR"))</f>
        <v>ACTIVO</v>
      </c>
      <c r="AN669" t="str">
        <f ca="1">IF(OR(AF669="",AF669="null"),"",ROUND((AF669-TODAY())/365.25,2))</f>
        <v/>
      </c>
      <c r="AO669" t="str">
        <f ca="1">IF(AND(AG669="Vigente",OR(AF669="",AF669="null",AF669&gt;TODAY())),"SI",IF(AND(NOT(OR(AF669="",AF669="null")),AF669&lt;=TODAY()),"NO",IF(AG669="Vigente","SI","DESCONOCIDO")))</f>
        <v>SI</v>
      </c>
      <c r="AP669" t="str">
        <f>IF(AND(ISNUMBER(SEARCH("IMPORTAR",AA669)),ISNUMBER(SEARCH("FABRICAR",AA669))),"MIXTO",IF(ISNUMBER(SEARCH("IMPORTAR",AA669)),"IMPORTADO",IF(ISNUMBER(SEARCH("FABRICAR",AA669)),"LOCAL","OTRO")))</f>
        <v>LOCAL</v>
      </c>
      <c r="AQ669" t="str">
        <f>IF(AD669="Si","SI",IF(AD669="No","NO",""))</f>
        <v>NO</v>
      </c>
      <c r="AR669" t="str">
        <f>IF(ISNUMBER(SEARCH("®",N669)),"MARCA/INNOVADOR","GENERICO")</f>
        <v>GENERICO</v>
      </c>
      <c r="AS669">
        <f ca="1">IF(AE669&gt;100,RANDBETWEEN(500,5000),IF(AND(AE669&gt;=10,AE669&lt;=100),RANDBETWEEN(100,1000),RANDBETWEEN(10,200)))</f>
        <v>55</v>
      </c>
      <c r="AT669">
        <f t="shared" ca="1" si="52"/>
        <v>11</v>
      </c>
      <c r="AU669">
        <f ca="1">INT(AS669*RANDBETWEEN(120,200)/100)</f>
        <v>101</v>
      </c>
      <c r="AV669" s="2">
        <f ca="1">IF(LEFT(Y669,1)="L",RANDBETWEEN(500000,5000000),IF(LEFT(Y669,1)="C",RANDBETWEEN(5000,50000),IF(LEFT(Y669,1)="N",RANDBETWEEN(10000,150000),IF(LEFT(Y669,1)="J",RANDBETWEEN(8000,200000),RANDBETWEEN(5000,100000)))))</f>
        <v>57109</v>
      </c>
      <c r="AW669" s="2">
        <f ca="1">INT(AV669*RANDBETWEEN(30,60)/100)</f>
        <v>21130</v>
      </c>
      <c r="AX669">
        <f ca="1">IF(Z669="ORAL",RANDBETWEEN(1000,10000),IF(OR(Z669="INTRAVENOSA",Z669="INTRAMUSCULAR"),RANDBETWEEN(100,2000),IF(OR(Z669="OFTÁLMICA",Z669="TOPICA (EXTERNA)"),RANDBETWEEN(200,3000),RANDBETWEEN(100,1500))))</f>
        <v>1887</v>
      </c>
      <c r="AY669" s="2">
        <f ca="1">INT(AV669*RANDBETWEEN(90,130)/100)</f>
        <v>51398</v>
      </c>
      <c r="AZ669" t="str">
        <f t="shared" ca="1" si="53"/>
        <v>10.5%</v>
      </c>
      <c r="BA669" t="str">
        <f t="shared" ca="1" si="54"/>
        <v>BAJO</v>
      </c>
    </row>
    <row r="670" spans="4:53" x14ac:dyDescent="0.35">
      <c r="D670" t="s">
        <v>4465</v>
      </c>
      <c r="E670" s="1">
        <v>38139</v>
      </c>
      <c r="F670" t="s">
        <v>194</v>
      </c>
      <c r="G670" t="s">
        <v>108</v>
      </c>
      <c r="H670" t="s">
        <v>195</v>
      </c>
      <c r="I670">
        <v>19942618</v>
      </c>
      <c r="J670" t="s">
        <v>110</v>
      </c>
      <c r="K670">
        <v>28</v>
      </c>
      <c r="L670" t="s">
        <v>27</v>
      </c>
      <c r="M670" t="s">
        <v>196</v>
      </c>
      <c r="N670" t="s">
        <v>197</v>
      </c>
      <c r="O670" t="s">
        <v>4466</v>
      </c>
      <c r="P670" t="s">
        <v>199</v>
      </c>
      <c r="Q670" s="1">
        <v>39031</v>
      </c>
      <c r="R670" t="s">
        <v>200</v>
      </c>
      <c r="S670" s="1">
        <v>42061</v>
      </c>
      <c r="T670" t="s">
        <v>201</v>
      </c>
      <c r="U670" t="s">
        <v>115</v>
      </c>
      <c r="V670" t="s">
        <v>202</v>
      </c>
      <c r="W670">
        <v>100</v>
      </c>
      <c r="X670">
        <v>19942618</v>
      </c>
      <c r="Y670" t="s">
        <v>203</v>
      </c>
      <c r="Z670" t="s">
        <v>119</v>
      </c>
      <c r="AA670" t="s">
        <v>32</v>
      </c>
      <c r="AB670" t="s">
        <v>120</v>
      </c>
      <c r="AC670" t="s">
        <v>38</v>
      </c>
      <c r="AD670" t="s">
        <v>121</v>
      </c>
      <c r="AE670">
        <v>5</v>
      </c>
      <c r="AF670" s="1">
        <v>401769</v>
      </c>
      <c r="AG670" t="s">
        <v>26</v>
      </c>
      <c r="AH670" t="s">
        <v>194</v>
      </c>
      <c r="AI670" t="str">
        <f t="shared" si="50"/>
        <v>NO</v>
      </c>
      <c r="AJ670" t="str">
        <f t="shared" si="51"/>
        <v>MONTE VERDE</v>
      </c>
      <c r="AK670" t="str">
        <f>IF(ISNUMBER(SEARCH("FABRICANTE",AC670)),"FABRICANTE",IF(ISNUMBER(SEARCH("IMPORTADOR",AC670)),"IMPORTADOR","OTRO"))</f>
        <v>IMPORTADOR</v>
      </c>
      <c r="AL670" t="str">
        <f>IF(LEFT(Y670,1)="A","Sistema digestivo",IF(LEFT(Y670,1)="B","Sangre",IF(LEFT(Y670,1)="C","Cardiovascular",IF(LEFT(Y670,1)="D","Dermatológico",IF(LEFT(Y670,1)="G","Genitourinario",IF(LEFT(Y670,1)="H","Hormonal",IF(LEFT(Y670,1)="J","Antiinfecciosos",IF(LEFT(Y670,1)="L","Oncológicos",IF(LEFT(Y670,1)="M","Musculoesquelético",IF(LEFT(Y670,1)="N","Sistema nervioso",IF(LEFT(Y670,1)="R","Respiratorio",IF(LEFT(Y670,1)="S","Oftálmico",IF(LEFT(Y670,1)="V","Varios","OTRO")))))))))))))</f>
        <v>Oncológicos</v>
      </c>
      <c r="AM670" t="str">
        <f>IF(AG670="Vigente","ACTIVO",IF(ISNUMBER(SEARCH("Inactivo",J670)),"INACTIVO","REVISAR"))</f>
        <v>ACTIVO</v>
      </c>
      <c r="AN670">
        <f ca="1">IF(OR(AF670="",AF670="null"),"",ROUND((AF670-TODAY())/365.25,2))</f>
        <v>973.58</v>
      </c>
      <c r="AO670" t="str">
        <f ca="1">IF(AND(AG670="Vigente",OR(AF670="",AF670="null",AF670&gt;TODAY())),"SI",IF(AND(NOT(OR(AF670="",AF670="null")),AF670&lt;=TODAY()),"NO",IF(AG670="Vigente","SI","DESCONOCIDO")))</f>
        <v>SI</v>
      </c>
      <c r="AP670" t="str">
        <f>IF(AND(ISNUMBER(SEARCH("IMPORTAR",AA670)),ISNUMBER(SEARCH("FABRICAR",AA670))),"MIXTO",IF(ISNUMBER(SEARCH("IMPORTAR",AA670)),"IMPORTADO",IF(ISNUMBER(SEARCH("FABRICAR",AA670)),"LOCAL","OTRO")))</f>
        <v>IMPORTADO</v>
      </c>
      <c r="AQ670" t="str">
        <f>IF(AD670="Si","SI",IF(AD670="No","NO",""))</f>
        <v>NO</v>
      </c>
      <c r="AR670" t="str">
        <f>IF(ISNUMBER(SEARCH("®",N670)),"MARCA/INNOVADOR","GENERICO")</f>
        <v>MARCA/INNOVADOR</v>
      </c>
      <c r="AS670">
        <f ca="1">IF(AE670&gt;100,RANDBETWEEN(500,5000),IF(AND(AE670&gt;=10,AE670&lt;=100),RANDBETWEEN(100,1000),RANDBETWEEN(10,200)))</f>
        <v>13</v>
      </c>
      <c r="AT670">
        <f t="shared" ca="1" si="52"/>
        <v>2</v>
      </c>
      <c r="AU670">
        <f ca="1">INT(AS670*RANDBETWEEN(120,200)/100)</f>
        <v>23</v>
      </c>
      <c r="AV670" s="2">
        <f ca="1">IF(LEFT(Y670,1)="L",RANDBETWEEN(500000,5000000),IF(LEFT(Y670,1)="C",RANDBETWEEN(5000,50000),IF(LEFT(Y670,1)="N",RANDBETWEEN(10000,150000),IF(LEFT(Y670,1)="J",RANDBETWEEN(8000,200000),RANDBETWEEN(5000,100000)))))</f>
        <v>3194340</v>
      </c>
      <c r="AW670" s="2">
        <f ca="1">INT(AV670*RANDBETWEEN(30,60)/100)</f>
        <v>1341622</v>
      </c>
      <c r="AX670">
        <f ca="1">IF(Z670="ORAL",RANDBETWEEN(1000,10000),IF(OR(Z670="INTRAVENOSA",Z670="INTRAMUSCULAR"),RANDBETWEEN(100,2000),IF(OR(Z670="OFTÁLMICA",Z670="TOPICA (EXTERNA)"),RANDBETWEEN(200,3000),RANDBETWEEN(100,1500))))</f>
        <v>6183</v>
      </c>
      <c r="AY670" s="2">
        <f ca="1">INT(AV670*RANDBETWEEN(90,130)/100)</f>
        <v>3609604</v>
      </c>
      <c r="AZ670" t="str">
        <f t="shared" ca="1" si="53"/>
        <v>12.9%</v>
      </c>
      <c r="BA670" t="str">
        <f t="shared" ca="1" si="54"/>
        <v>MEDIO</v>
      </c>
    </row>
    <row r="671" spans="4:53" x14ac:dyDescent="0.35">
      <c r="D671" t="s">
        <v>4467</v>
      </c>
      <c r="E671" s="1">
        <v>38653</v>
      </c>
      <c r="F671" t="s">
        <v>4351</v>
      </c>
      <c r="G671" t="s">
        <v>108</v>
      </c>
      <c r="H671" t="s">
        <v>4130</v>
      </c>
      <c r="I671">
        <v>19959902</v>
      </c>
      <c r="J671" t="s">
        <v>28</v>
      </c>
      <c r="K671">
        <v>2</v>
      </c>
      <c r="L671" t="s">
        <v>27</v>
      </c>
      <c r="M671" t="s">
        <v>4468</v>
      </c>
      <c r="N671" t="s">
        <v>4469</v>
      </c>
      <c r="O671" t="s">
        <v>4470</v>
      </c>
      <c r="P671" t="s">
        <v>29</v>
      </c>
      <c r="Q671" s="1">
        <v>39031</v>
      </c>
      <c r="R671" t="s">
        <v>29</v>
      </c>
      <c r="S671" s="1">
        <v>44545</v>
      </c>
      <c r="T671" t="s">
        <v>4130</v>
      </c>
      <c r="U671" t="s">
        <v>115</v>
      </c>
      <c r="V671" t="s">
        <v>4351</v>
      </c>
      <c r="W671">
        <v>500</v>
      </c>
      <c r="X671">
        <v>19959902</v>
      </c>
      <c r="Y671" t="s">
        <v>4352</v>
      </c>
      <c r="Z671" t="s">
        <v>119</v>
      </c>
      <c r="AA671" t="s">
        <v>24</v>
      </c>
      <c r="AB671" t="s">
        <v>120</v>
      </c>
      <c r="AC671" t="s">
        <v>25</v>
      </c>
      <c r="AD671" t="s">
        <v>121</v>
      </c>
      <c r="AE671">
        <v>1</v>
      </c>
      <c r="AF671" t="s">
        <v>27</v>
      </c>
      <c r="AG671" t="s">
        <v>26</v>
      </c>
      <c r="AH671" t="s">
        <v>4351</v>
      </c>
      <c r="AI671" t="str">
        <f t="shared" si="50"/>
        <v>NO</v>
      </c>
      <c r="AJ671" t="str">
        <f t="shared" si="51"/>
        <v>QUIMICA PATRIC</v>
      </c>
      <c r="AK671" t="str">
        <f>IF(ISNUMBER(SEARCH("FABRICANTE",AC671)),"FABRICANTE",IF(ISNUMBER(SEARCH("IMPORTADOR",AC671)),"IMPORTADOR","OTRO"))</f>
        <v>FABRICANTE</v>
      </c>
      <c r="AL671" t="str">
        <f>IF(LEFT(Y671,1)="A","Sistema digestivo",IF(LEFT(Y671,1)="B","Sangre",IF(LEFT(Y671,1)="C","Cardiovascular",IF(LEFT(Y671,1)="D","Dermatológico",IF(LEFT(Y671,1)="G","Genitourinario",IF(LEFT(Y671,1)="H","Hormonal",IF(LEFT(Y671,1)="J","Antiinfecciosos",IF(LEFT(Y671,1)="L","Oncológicos",IF(LEFT(Y671,1)="M","Musculoesquelético",IF(LEFT(Y671,1)="N","Sistema nervioso",IF(LEFT(Y671,1)="R","Respiratorio",IF(LEFT(Y671,1)="S","Oftálmico",IF(LEFT(Y671,1)="V","Varios","OTRO")))))))))))))</f>
        <v>OTRO</v>
      </c>
      <c r="AM671" t="str">
        <f>IF(AG671="Vigente","ACTIVO",IF(ISNUMBER(SEARCH("Inactivo",J671)),"INACTIVO","REVISAR"))</f>
        <v>ACTIVO</v>
      </c>
      <c r="AN671" t="str">
        <f ca="1">IF(OR(AF671="",AF671="null"),"",ROUND((AF671-TODAY())/365.25,2))</f>
        <v/>
      </c>
      <c r="AO671" t="str">
        <f ca="1">IF(AND(AG671="Vigente",OR(AF671="",AF671="null",AF671&gt;TODAY())),"SI",IF(AND(NOT(OR(AF671="",AF671="null")),AF671&lt;=TODAY()),"NO",IF(AG671="Vigente","SI","DESCONOCIDO")))</f>
        <v>SI</v>
      </c>
      <c r="AP671" t="str">
        <f>IF(AND(ISNUMBER(SEARCH("IMPORTAR",AA671)),ISNUMBER(SEARCH("FABRICAR",AA671))),"MIXTO",IF(ISNUMBER(SEARCH("IMPORTAR",AA671)),"IMPORTADO",IF(ISNUMBER(SEARCH("FABRICAR",AA671)),"LOCAL","OTRO")))</f>
        <v>LOCAL</v>
      </c>
      <c r="AQ671" t="str">
        <f>IF(AD671="Si","SI",IF(AD671="No","NO",""))</f>
        <v>NO</v>
      </c>
      <c r="AR671" t="str">
        <f>IF(ISNUMBER(SEARCH("®",N671)),"MARCA/INNOVADOR","GENERICO")</f>
        <v>MARCA/INNOVADOR</v>
      </c>
      <c r="AS671">
        <f ca="1">IF(AE671&gt;100,RANDBETWEEN(500,5000),IF(AND(AE671&gt;=10,AE671&lt;=100),RANDBETWEEN(100,1000),RANDBETWEEN(10,200)))</f>
        <v>132</v>
      </c>
      <c r="AT671">
        <f t="shared" ca="1" si="52"/>
        <v>13</v>
      </c>
      <c r="AU671">
        <f ca="1">INT(AS671*RANDBETWEEN(120,200)/100)</f>
        <v>207</v>
      </c>
      <c r="AV671" s="2">
        <f ca="1">IF(LEFT(Y671,1)="L",RANDBETWEEN(500000,5000000),IF(LEFT(Y671,1)="C",RANDBETWEEN(5000,50000),IF(LEFT(Y671,1)="N",RANDBETWEEN(10000,150000),IF(LEFT(Y671,1)="J",RANDBETWEEN(8000,200000),RANDBETWEEN(5000,100000)))))</f>
        <v>77150</v>
      </c>
      <c r="AW671" s="2">
        <f ca="1">INT(AV671*RANDBETWEEN(30,60)/100)</f>
        <v>31631</v>
      </c>
      <c r="AX671">
        <f ca="1">IF(Z671="ORAL",RANDBETWEEN(1000,10000),IF(OR(Z671="INTRAVENOSA",Z671="INTRAMUSCULAR"),RANDBETWEEN(100,2000),IF(OR(Z671="OFTÁLMICA",Z671="TOPICA (EXTERNA)"),RANDBETWEEN(200,3000),RANDBETWEEN(100,1500))))</f>
        <v>1179</v>
      </c>
      <c r="AY671" s="2">
        <f ca="1">INT(AV671*RANDBETWEEN(90,130)/100)</f>
        <v>95666</v>
      </c>
      <c r="AZ671" t="str">
        <f t="shared" ca="1" si="53"/>
        <v>8.5%</v>
      </c>
      <c r="BA671" t="str">
        <f t="shared" ca="1" si="54"/>
        <v>BAJO</v>
      </c>
    </row>
    <row r="672" spans="4:53" x14ac:dyDescent="0.35">
      <c r="D672" t="s">
        <v>4471</v>
      </c>
      <c r="E672" s="1">
        <v>37701</v>
      </c>
      <c r="F672" t="s">
        <v>4472</v>
      </c>
      <c r="G672" t="s">
        <v>108</v>
      </c>
      <c r="H672" t="s">
        <v>44</v>
      </c>
      <c r="I672">
        <v>19935334</v>
      </c>
      <c r="J672" t="s">
        <v>28</v>
      </c>
      <c r="K672">
        <v>4</v>
      </c>
      <c r="L672" t="s">
        <v>27</v>
      </c>
      <c r="M672" t="s">
        <v>4473</v>
      </c>
      <c r="N672" t="s">
        <v>4474</v>
      </c>
      <c r="O672" t="s">
        <v>4475</v>
      </c>
      <c r="P672" t="s">
        <v>932</v>
      </c>
      <c r="Q672" s="1">
        <v>40368</v>
      </c>
      <c r="R672" t="s">
        <v>932</v>
      </c>
      <c r="S672" t="s">
        <v>27</v>
      </c>
      <c r="T672" t="s">
        <v>972</v>
      </c>
      <c r="U672" t="s">
        <v>115</v>
      </c>
      <c r="V672" t="s">
        <v>1575</v>
      </c>
      <c r="W672">
        <v>5</v>
      </c>
      <c r="X672">
        <v>19935334</v>
      </c>
      <c r="Y672" t="s">
        <v>1576</v>
      </c>
      <c r="Z672" t="s">
        <v>119</v>
      </c>
      <c r="AA672" t="s">
        <v>24</v>
      </c>
      <c r="AB672" t="s">
        <v>120</v>
      </c>
      <c r="AC672" t="s">
        <v>25</v>
      </c>
      <c r="AD672" t="s">
        <v>155</v>
      </c>
      <c r="AE672">
        <v>4</v>
      </c>
      <c r="AF672" t="s">
        <v>27</v>
      </c>
      <c r="AG672" t="s">
        <v>26</v>
      </c>
      <c r="AH672" t="s">
        <v>1575</v>
      </c>
      <c r="AI672" t="str">
        <f t="shared" si="50"/>
        <v>NO</v>
      </c>
      <c r="AJ672" t="str">
        <f t="shared" si="51"/>
        <v>PATMAR</v>
      </c>
      <c r="AK672" t="str">
        <f>IF(ISNUMBER(SEARCH("FABRICANTE",AC672)),"FABRICANTE",IF(ISNUMBER(SEARCH("IMPORTADOR",AC672)),"IMPORTADOR","OTRO"))</f>
        <v>FABRICANTE</v>
      </c>
      <c r="AL672" t="str">
        <f>IF(LEFT(Y672,1)="A","Sistema digestivo",IF(LEFT(Y672,1)="B","Sangre",IF(LEFT(Y672,1)="C","Cardiovascular",IF(LEFT(Y672,1)="D","Dermatológico",IF(LEFT(Y672,1)="G","Genitourinario",IF(LEFT(Y672,1)="H","Hormonal",IF(LEFT(Y672,1)="J","Antiinfecciosos",IF(LEFT(Y672,1)="L","Oncológicos",IF(LEFT(Y672,1)="M","Musculoesquelético",IF(LEFT(Y672,1)="N","Sistema nervioso",IF(LEFT(Y672,1)="R","Respiratorio",IF(LEFT(Y672,1)="S","Oftálmico",IF(LEFT(Y672,1)="V","Varios","OTRO")))))))))))))</f>
        <v>Respiratorio</v>
      </c>
      <c r="AM672" t="str">
        <f>IF(AG672="Vigente","ACTIVO",IF(ISNUMBER(SEARCH("Inactivo",J672)),"INACTIVO","REVISAR"))</f>
        <v>ACTIVO</v>
      </c>
      <c r="AN672" t="str">
        <f ca="1">IF(OR(AF672="",AF672="null"),"",ROUND((AF672-TODAY())/365.25,2))</f>
        <v/>
      </c>
      <c r="AO672" t="str">
        <f ca="1">IF(AND(AG672="Vigente",OR(AF672="",AF672="null",AF672&gt;TODAY())),"SI",IF(AND(NOT(OR(AF672="",AF672="null")),AF672&lt;=TODAY()),"NO",IF(AG672="Vigente","SI","DESCONOCIDO")))</f>
        <v>SI</v>
      </c>
      <c r="AP672" t="str">
        <f>IF(AND(ISNUMBER(SEARCH("IMPORTAR",AA672)),ISNUMBER(SEARCH("FABRICAR",AA672))),"MIXTO",IF(ISNUMBER(SEARCH("IMPORTAR",AA672)),"IMPORTADO",IF(ISNUMBER(SEARCH("FABRICAR",AA672)),"LOCAL","OTRO")))</f>
        <v>LOCAL</v>
      </c>
      <c r="AQ672" t="str">
        <f>IF(AD672="Si","SI",IF(AD672="No","NO",""))</f>
        <v>SI</v>
      </c>
      <c r="AR672" t="str">
        <f>IF(ISNUMBER(SEARCH("®",N672)),"MARCA/INNOVADOR","GENERICO")</f>
        <v>MARCA/INNOVADOR</v>
      </c>
      <c r="AS672">
        <f ca="1">IF(AE672&gt;100,RANDBETWEEN(500,5000),IF(AND(AE672&gt;=10,AE672&lt;=100),RANDBETWEEN(100,1000),RANDBETWEEN(10,200)))</f>
        <v>112</v>
      </c>
      <c r="AT672">
        <f t="shared" ca="1" si="52"/>
        <v>29</v>
      </c>
      <c r="AU672">
        <f ca="1">INT(AS672*RANDBETWEEN(120,200)/100)</f>
        <v>210</v>
      </c>
      <c r="AV672" s="2">
        <f ca="1">IF(LEFT(Y672,1)="L",RANDBETWEEN(500000,5000000),IF(LEFT(Y672,1)="C",RANDBETWEEN(5000,50000),IF(LEFT(Y672,1)="N",RANDBETWEEN(10000,150000),IF(LEFT(Y672,1)="J",RANDBETWEEN(8000,200000),RANDBETWEEN(5000,100000)))))</f>
        <v>89507</v>
      </c>
      <c r="AW672" s="2">
        <f ca="1">INT(AV672*RANDBETWEEN(30,60)/100)</f>
        <v>38488</v>
      </c>
      <c r="AX672">
        <f ca="1">IF(Z672="ORAL",RANDBETWEEN(1000,10000),IF(OR(Z672="INTRAVENOSA",Z672="INTRAMUSCULAR"),RANDBETWEEN(100,2000),IF(OR(Z672="OFTÁLMICA",Z672="TOPICA (EXTERNA)"),RANDBETWEEN(200,3000),RANDBETWEEN(100,1500))))</f>
        <v>2389</v>
      </c>
      <c r="AY672" s="2">
        <f ca="1">INT(AV672*RANDBETWEEN(90,130)/100)</f>
        <v>99352</v>
      </c>
      <c r="AZ672" t="str">
        <f t="shared" ca="1" si="53"/>
        <v>17.7%</v>
      </c>
      <c r="BA672" t="str">
        <f t="shared" ca="1" si="54"/>
        <v>BAJO</v>
      </c>
    </row>
    <row r="673" spans="4:53" x14ac:dyDescent="0.35">
      <c r="D673" t="s">
        <v>4476</v>
      </c>
      <c r="E673" s="1">
        <v>43572</v>
      </c>
      <c r="F673" t="s">
        <v>2070</v>
      </c>
      <c r="G673" t="s">
        <v>108</v>
      </c>
      <c r="H673" t="s">
        <v>2071</v>
      </c>
      <c r="I673">
        <v>20143308</v>
      </c>
      <c r="J673" t="s">
        <v>28</v>
      </c>
      <c r="K673">
        <v>5</v>
      </c>
      <c r="L673" t="s">
        <v>4477</v>
      </c>
      <c r="M673" t="s">
        <v>2073</v>
      </c>
      <c r="N673" t="s">
        <v>2074</v>
      </c>
      <c r="O673" t="s">
        <v>4478</v>
      </c>
      <c r="P673" t="s">
        <v>358</v>
      </c>
      <c r="Q673" s="1">
        <v>43570</v>
      </c>
      <c r="R673" t="s">
        <v>37</v>
      </c>
      <c r="S673" t="s">
        <v>27</v>
      </c>
      <c r="T673" t="s">
        <v>172</v>
      </c>
      <c r="U673" t="s">
        <v>115</v>
      </c>
      <c r="V673" t="s">
        <v>321</v>
      </c>
      <c r="W673">
        <v>20</v>
      </c>
      <c r="X673">
        <v>20143308</v>
      </c>
      <c r="Y673" t="s">
        <v>322</v>
      </c>
      <c r="Z673" t="s">
        <v>119</v>
      </c>
      <c r="AA673" t="s">
        <v>24</v>
      </c>
      <c r="AB673" t="s">
        <v>120</v>
      </c>
      <c r="AC673" t="s">
        <v>25</v>
      </c>
      <c r="AD673" t="s">
        <v>155</v>
      </c>
      <c r="AE673">
        <v>1</v>
      </c>
      <c r="AF673" t="s">
        <v>27</v>
      </c>
      <c r="AG673" t="s">
        <v>26</v>
      </c>
      <c r="AH673" t="s">
        <v>966</v>
      </c>
      <c r="AI673" t="str">
        <f t="shared" si="50"/>
        <v>NO</v>
      </c>
      <c r="AJ673" t="str">
        <f t="shared" si="51"/>
        <v>NOVAMED</v>
      </c>
      <c r="AK673" t="str">
        <f>IF(ISNUMBER(SEARCH("FABRICANTE",AC673)),"FABRICANTE",IF(ISNUMBER(SEARCH("IMPORTADOR",AC673)),"IMPORTADOR","OTRO"))</f>
        <v>FABRICANTE</v>
      </c>
      <c r="AL673" t="str">
        <f>IF(LEFT(Y673,1)="A","Sistema digestivo",IF(LEFT(Y673,1)="B","Sangre",IF(LEFT(Y673,1)="C","Cardiovascular",IF(LEFT(Y673,1)="D","Dermatológico",IF(LEFT(Y673,1)="G","Genitourinario",IF(LEFT(Y673,1)="H","Hormonal",IF(LEFT(Y673,1)="J","Antiinfecciosos",IF(LEFT(Y673,1)="L","Oncológicos",IF(LEFT(Y673,1)="M","Musculoesquelético",IF(LEFT(Y673,1)="N","Sistema nervioso",IF(LEFT(Y673,1)="R","Respiratorio",IF(LEFT(Y673,1)="S","Oftálmico",IF(LEFT(Y673,1)="V","Varios","OTRO")))))))))))))</f>
        <v>Sistema nervioso</v>
      </c>
      <c r="AM673" t="str">
        <f>IF(AG673="Vigente","ACTIVO",IF(ISNUMBER(SEARCH("Inactivo",J673)),"INACTIVO","REVISAR"))</f>
        <v>ACTIVO</v>
      </c>
      <c r="AN673" t="str">
        <f ca="1">IF(OR(AF673="",AF673="null"),"",ROUND((AF673-TODAY())/365.25,2))</f>
        <v/>
      </c>
      <c r="AO673" t="str">
        <f ca="1">IF(AND(AG673="Vigente",OR(AF673="",AF673="null",AF673&gt;TODAY())),"SI",IF(AND(NOT(OR(AF673="",AF673="null")),AF673&lt;=TODAY()),"NO",IF(AG673="Vigente","SI","DESCONOCIDO")))</f>
        <v>SI</v>
      </c>
      <c r="AP673" t="str">
        <f>IF(AND(ISNUMBER(SEARCH("IMPORTAR",AA673)),ISNUMBER(SEARCH("FABRICAR",AA673))),"MIXTO",IF(ISNUMBER(SEARCH("IMPORTAR",AA673)),"IMPORTADO",IF(ISNUMBER(SEARCH("FABRICAR",AA673)),"LOCAL","OTRO")))</f>
        <v>LOCAL</v>
      </c>
      <c r="AQ673" t="str">
        <f>IF(AD673="Si","SI",IF(AD673="No","NO",""))</f>
        <v>SI</v>
      </c>
      <c r="AR673" t="str">
        <f>IF(ISNUMBER(SEARCH("®",N673)),"MARCA/INNOVADOR","GENERICO")</f>
        <v>MARCA/INNOVADOR</v>
      </c>
      <c r="AS673">
        <f ca="1">IF(AE673&gt;100,RANDBETWEEN(500,5000),IF(AND(AE673&gt;=10,AE673&lt;=100),RANDBETWEEN(100,1000),RANDBETWEEN(10,200)))</f>
        <v>82</v>
      </c>
      <c r="AT673">
        <f t="shared" ca="1" si="52"/>
        <v>12</v>
      </c>
      <c r="AU673">
        <f ca="1">INT(AS673*RANDBETWEEN(120,200)/100)</f>
        <v>100</v>
      </c>
      <c r="AV673" s="2">
        <f ca="1">IF(LEFT(Y673,1)="L",RANDBETWEEN(500000,5000000),IF(LEFT(Y673,1)="C",RANDBETWEEN(5000,50000),IF(LEFT(Y673,1)="N",RANDBETWEEN(10000,150000),IF(LEFT(Y673,1)="J",RANDBETWEEN(8000,200000),RANDBETWEEN(5000,100000)))))</f>
        <v>14829</v>
      </c>
      <c r="AW673" s="2">
        <f ca="1">INT(AV673*RANDBETWEEN(30,60)/100)</f>
        <v>8452</v>
      </c>
      <c r="AX673">
        <f ca="1">IF(Z673="ORAL",RANDBETWEEN(1000,10000),IF(OR(Z673="INTRAVENOSA",Z673="INTRAMUSCULAR"),RANDBETWEEN(100,2000),IF(OR(Z673="OFTÁLMICA",Z673="TOPICA (EXTERNA)"),RANDBETWEEN(200,3000),RANDBETWEEN(100,1500))))</f>
        <v>3715</v>
      </c>
      <c r="AY673" s="2">
        <f ca="1">INT(AV673*RANDBETWEEN(90,130)/100)</f>
        <v>13939</v>
      </c>
      <c r="AZ673" t="str">
        <f t="shared" ca="1" si="53"/>
        <v>20.9%</v>
      </c>
      <c r="BA673" t="str">
        <f t="shared" ca="1" si="54"/>
        <v>BAJO</v>
      </c>
    </row>
    <row r="674" spans="4:53" x14ac:dyDescent="0.35">
      <c r="D674" t="s">
        <v>4479</v>
      </c>
      <c r="E674" s="1">
        <v>36033</v>
      </c>
      <c r="F674" t="s">
        <v>4480</v>
      </c>
      <c r="G674" t="s">
        <v>108</v>
      </c>
      <c r="H674" t="s">
        <v>821</v>
      </c>
      <c r="I674">
        <v>227757</v>
      </c>
      <c r="J674" t="s">
        <v>28</v>
      </c>
      <c r="K674">
        <v>8</v>
      </c>
      <c r="L674" t="s">
        <v>27</v>
      </c>
      <c r="M674" t="s">
        <v>4481</v>
      </c>
      <c r="N674" t="s">
        <v>4482</v>
      </c>
      <c r="O674" t="s">
        <v>4483</v>
      </c>
      <c r="P674" t="s">
        <v>29</v>
      </c>
      <c r="Q674" s="1">
        <v>39749</v>
      </c>
      <c r="R674" t="s">
        <v>29</v>
      </c>
      <c r="S674" t="s">
        <v>27</v>
      </c>
      <c r="T674" t="s">
        <v>227</v>
      </c>
      <c r="U674" t="s">
        <v>115</v>
      </c>
      <c r="V674" t="s">
        <v>4484</v>
      </c>
      <c r="W674">
        <v>8</v>
      </c>
      <c r="X674">
        <v>227757</v>
      </c>
      <c r="Y674" t="s">
        <v>4485</v>
      </c>
      <c r="Z674" t="s">
        <v>119</v>
      </c>
      <c r="AA674" t="s">
        <v>32</v>
      </c>
      <c r="AB674" t="s">
        <v>120</v>
      </c>
      <c r="AC674" t="s">
        <v>38</v>
      </c>
      <c r="AD674" t="s">
        <v>155</v>
      </c>
      <c r="AE674">
        <v>30</v>
      </c>
      <c r="AF674" s="1">
        <v>401769</v>
      </c>
      <c r="AG674" t="s">
        <v>26</v>
      </c>
      <c r="AH674" t="s">
        <v>4480</v>
      </c>
      <c r="AI674" t="str">
        <f t="shared" si="50"/>
        <v>NO</v>
      </c>
      <c r="AJ674" t="str">
        <f t="shared" si="51"/>
        <v>GRUNENTHAL</v>
      </c>
      <c r="AK674" t="str">
        <f>IF(ISNUMBER(SEARCH("FABRICANTE",AC674)),"FABRICANTE",IF(ISNUMBER(SEARCH("IMPORTADOR",AC674)),"IMPORTADOR","OTRO"))</f>
        <v>IMPORTADOR</v>
      </c>
      <c r="AL674" t="str">
        <f>IF(LEFT(Y674,1)="A","Sistema digestivo",IF(LEFT(Y674,1)="B","Sangre",IF(LEFT(Y674,1)="C","Cardiovascular",IF(LEFT(Y674,1)="D","Dermatológico",IF(LEFT(Y674,1)="G","Genitourinario",IF(LEFT(Y674,1)="H","Hormonal",IF(LEFT(Y674,1)="J","Antiinfecciosos",IF(LEFT(Y674,1)="L","Oncológicos",IF(LEFT(Y674,1)="M","Musculoesquelético",IF(LEFT(Y674,1)="N","Sistema nervioso",IF(LEFT(Y674,1)="R","Respiratorio",IF(LEFT(Y674,1)="S","Oftálmico",IF(LEFT(Y674,1)="V","Varios","OTRO")))))))))))))</f>
        <v>Sistema nervioso</v>
      </c>
      <c r="AM674" t="str">
        <f>IF(AG674="Vigente","ACTIVO",IF(ISNUMBER(SEARCH("Inactivo",J674)),"INACTIVO","REVISAR"))</f>
        <v>ACTIVO</v>
      </c>
      <c r="AN674">
        <f ca="1">IF(OR(AF674="",AF674="null"),"",ROUND((AF674-TODAY())/365.25,2))</f>
        <v>973.58</v>
      </c>
      <c r="AO674" t="str">
        <f ca="1">IF(AND(AG674="Vigente",OR(AF674="",AF674="null",AF674&gt;TODAY())),"SI",IF(AND(NOT(OR(AF674="",AF674="null")),AF674&lt;=TODAY()),"NO",IF(AG674="Vigente","SI","DESCONOCIDO")))</f>
        <v>SI</v>
      </c>
      <c r="AP674" t="str">
        <f>IF(AND(ISNUMBER(SEARCH("IMPORTAR",AA674)),ISNUMBER(SEARCH("FABRICAR",AA674))),"MIXTO",IF(ISNUMBER(SEARCH("IMPORTAR",AA674)),"IMPORTADO",IF(ISNUMBER(SEARCH("FABRICAR",AA674)),"LOCAL","OTRO")))</f>
        <v>IMPORTADO</v>
      </c>
      <c r="AQ674" t="str">
        <f>IF(AD674="Si","SI",IF(AD674="No","NO",""))</f>
        <v>SI</v>
      </c>
      <c r="AR674" t="str">
        <f>IF(ISNUMBER(SEARCH("®",N674)),"MARCA/INNOVADOR","GENERICO")</f>
        <v>GENERICO</v>
      </c>
      <c r="AS674">
        <f ca="1">IF(AE674&gt;100,RANDBETWEEN(500,5000),IF(AND(AE674&gt;=10,AE674&lt;=100),RANDBETWEEN(100,1000),RANDBETWEEN(10,200)))</f>
        <v>557</v>
      </c>
      <c r="AT674">
        <f t="shared" ca="1" si="52"/>
        <v>128</v>
      </c>
      <c r="AU674">
        <f ca="1">INT(AS674*RANDBETWEEN(120,200)/100)</f>
        <v>1097</v>
      </c>
      <c r="AV674" s="2">
        <f ca="1">IF(LEFT(Y674,1)="L",RANDBETWEEN(500000,5000000),IF(LEFT(Y674,1)="C",RANDBETWEEN(5000,50000),IF(LEFT(Y674,1)="N",RANDBETWEEN(10000,150000),IF(LEFT(Y674,1)="J",RANDBETWEEN(8000,200000),RANDBETWEEN(5000,100000)))))</f>
        <v>118982</v>
      </c>
      <c r="AW674" s="2">
        <f ca="1">INT(AV674*RANDBETWEEN(30,60)/100)</f>
        <v>52352</v>
      </c>
      <c r="AX674">
        <f ca="1">IF(Z674="ORAL",RANDBETWEEN(1000,10000),IF(OR(Z674="INTRAVENOSA",Z674="INTRAMUSCULAR"),RANDBETWEEN(100,2000),IF(OR(Z674="OFTÁLMICA",Z674="TOPICA (EXTERNA)"),RANDBETWEEN(200,3000),RANDBETWEEN(100,1500))))</f>
        <v>1003</v>
      </c>
      <c r="AY674" s="2">
        <f ca="1">INT(AV674*RANDBETWEEN(90,130)/100)</f>
        <v>108273</v>
      </c>
      <c r="AZ674" t="str">
        <f t="shared" ca="1" si="53"/>
        <v>9%</v>
      </c>
      <c r="BA674" t="str">
        <f t="shared" ca="1" si="54"/>
        <v>BAJO</v>
      </c>
    </row>
    <row r="675" spans="4:53" x14ac:dyDescent="0.35">
      <c r="D675" t="s">
        <v>4486</v>
      </c>
      <c r="E675" s="1">
        <v>41402</v>
      </c>
      <c r="F675" t="s">
        <v>735</v>
      </c>
      <c r="G675" t="s">
        <v>108</v>
      </c>
      <c r="H675" t="s">
        <v>454</v>
      </c>
      <c r="I675">
        <v>20039712</v>
      </c>
      <c r="J675" t="s">
        <v>110</v>
      </c>
      <c r="K675">
        <v>6</v>
      </c>
      <c r="L675" t="s">
        <v>27</v>
      </c>
      <c r="M675" t="s">
        <v>4487</v>
      </c>
      <c r="N675" t="s">
        <v>4488</v>
      </c>
      <c r="O675" t="s">
        <v>4489</v>
      </c>
      <c r="P675" t="s">
        <v>1061</v>
      </c>
      <c r="Q675" s="1">
        <v>41400</v>
      </c>
      <c r="R675" t="s">
        <v>527</v>
      </c>
      <c r="S675" s="1">
        <v>42359</v>
      </c>
      <c r="T675" t="s">
        <v>2584</v>
      </c>
      <c r="U675" t="s">
        <v>115</v>
      </c>
      <c r="V675" t="s">
        <v>1073</v>
      </c>
      <c r="W675">
        <v>275</v>
      </c>
      <c r="X675">
        <v>20039712</v>
      </c>
      <c r="Y675" t="s">
        <v>1077</v>
      </c>
      <c r="Z675" t="s">
        <v>119</v>
      </c>
      <c r="AA675" t="s">
        <v>24</v>
      </c>
      <c r="AB675" t="s">
        <v>120</v>
      </c>
      <c r="AC675" t="s">
        <v>25</v>
      </c>
      <c r="AD675" t="s">
        <v>155</v>
      </c>
      <c r="AE675">
        <v>3</v>
      </c>
      <c r="AF675" t="s">
        <v>27</v>
      </c>
      <c r="AG675" t="s">
        <v>26</v>
      </c>
      <c r="AH675" t="s">
        <v>302</v>
      </c>
      <c r="AI675" t="str">
        <f t="shared" si="50"/>
        <v>NO</v>
      </c>
      <c r="AJ675" t="str">
        <f t="shared" si="51"/>
        <v>BAYER</v>
      </c>
      <c r="AK675" t="str">
        <f>IF(ISNUMBER(SEARCH("FABRICANTE",AC675)),"FABRICANTE",IF(ISNUMBER(SEARCH("IMPORTADOR",AC675)),"IMPORTADOR","OTRO"))</f>
        <v>FABRICANTE</v>
      </c>
      <c r="AL675" t="str">
        <f>IF(LEFT(Y675,1)="A","Sistema digestivo",IF(LEFT(Y675,1)="B","Sangre",IF(LEFT(Y675,1)="C","Cardiovascular",IF(LEFT(Y675,1)="D","Dermatológico",IF(LEFT(Y675,1)="G","Genitourinario",IF(LEFT(Y675,1)="H","Hormonal",IF(LEFT(Y675,1)="J","Antiinfecciosos",IF(LEFT(Y675,1)="L","Oncológicos",IF(LEFT(Y675,1)="M","Musculoesquelético",IF(LEFT(Y675,1)="N","Sistema nervioso",IF(LEFT(Y675,1)="R","Respiratorio",IF(LEFT(Y675,1)="S","Oftálmico",IF(LEFT(Y675,1)="V","Varios","OTRO")))))))))))))</f>
        <v>Musculoesquelético</v>
      </c>
      <c r="AM675" t="str">
        <f>IF(AG675="Vigente","ACTIVO",IF(ISNUMBER(SEARCH("Inactivo",J675)),"INACTIVO","REVISAR"))</f>
        <v>ACTIVO</v>
      </c>
      <c r="AN675" t="str">
        <f ca="1">IF(OR(AF675="",AF675="null"),"",ROUND((AF675-TODAY())/365.25,2))</f>
        <v/>
      </c>
      <c r="AO675" t="str">
        <f ca="1">IF(AND(AG675="Vigente",OR(AF675="",AF675="null",AF675&gt;TODAY())),"SI",IF(AND(NOT(OR(AF675="",AF675="null")),AF675&lt;=TODAY()),"NO",IF(AG675="Vigente","SI","DESCONOCIDO")))</f>
        <v>SI</v>
      </c>
      <c r="AP675" t="str">
        <f>IF(AND(ISNUMBER(SEARCH("IMPORTAR",AA675)),ISNUMBER(SEARCH("FABRICAR",AA675))),"MIXTO",IF(ISNUMBER(SEARCH("IMPORTAR",AA675)),"IMPORTADO",IF(ISNUMBER(SEARCH("FABRICAR",AA675)),"LOCAL","OTRO")))</f>
        <v>LOCAL</v>
      </c>
      <c r="AQ675" t="str">
        <f>IF(AD675="Si","SI",IF(AD675="No","NO",""))</f>
        <v>SI</v>
      </c>
      <c r="AR675" t="str">
        <f>IF(ISNUMBER(SEARCH("®",N675)),"MARCA/INNOVADOR","GENERICO")</f>
        <v>MARCA/INNOVADOR</v>
      </c>
      <c r="AS675">
        <f ca="1">IF(AE675&gt;100,RANDBETWEEN(500,5000),IF(AND(AE675&gt;=10,AE675&lt;=100),RANDBETWEEN(100,1000),RANDBETWEEN(10,200)))</f>
        <v>156</v>
      </c>
      <c r="AT675">
        <f t="shared" ca="1" si="52"/>
        <v>32</v>
      </c>
      <c r="AU675">
        <f ca="1">INT(AS675*RANDBETWEEN(120,200)/100)</f>
        <v>199</v>
      </c>
      <c r="AV675" s="2">
        <f ca="1">IF(LEFT(Y675,1)="L",RANDBETWEEN(500000,5000000),IF(LEFT(Y675,1)="C",RANDBETWEEN(5000,50000),IF(LEFT(Y675,1)="N",RANDBETWEEN(10000,150000),IF(LEFT(Y675,1)="J",RANDBETWEEN(8000,200000),RANDBETWEEN(5000,100000)))))</f>
        <v>37141</v>
      </c>
      <c r="AW675" s="2">
        <f ca="1">INT(AV675*RANDBETWEEN(30,60)/100)</f>
        <v>11142</v>
      </c>
      <c r="AX675">
        <f ca="1">IF(Z675="ORAL",RANDBETWEEN(1000,10000),IF(OR(Z675="INTRAVENOSA",Z675="INTRAMUSCULAR"),RANDBETWEEN(100,2000),IF(OR(Z675="OFTÁLMICA",Z675="TOPICA (EXTERNA)"),RANDBETWEEN(200,3000),RANDBETWEEN(100,1500))))</f>
        <v>7223</v>
      </c>
      <c r="AY675" s="2">
        <f ca="1">INT(AV675*RANDBETWEEN(90,130)/100)</f>
        <v>44940</v>
      </c>
      <c r="AZ675" t="str">
        <f t="shared" ca="1" si="53"/>
        <v>24.4%</v>
      </c>
      <c r="BA675" t="str">
        <f t="shared" ca="1" si="54"/>
        <v>ALTO</v>
      </c>
    </row>
    <row r="676" spans="4:53" x14ac:dyDescent="0.35">
      <c r="D676" t="s">
        <v>4490</v>
      </c>
      <c r="E676" s="1">
        <v>38650</v>
      </c>
      <c r="F676" t="s">
        <v>3363</v>
      </c>
      <c r="G676" t="s">
        <v>108</v>
      </c>
      <c r="H676" t="s">
        <v>4491</v>
      </c>
      <c r="I676">
        <v>19954204</v>
      </c>
      <c r="J676" t="s">
        <v>28</v>
      </c>
      <c r="K676">
        <v>6</v>
      </c>
      <c r="L676" t="s">
        <v>27</v>
      </c>
      <c r="M676" t="s">
        <v>4492</v>
      </c>
      <c r="N676" t="s">
        <v>4493</v>
      </c>
      <c r="O676" t="s">
        <v>4494</v>
      </c>
      <c r="P676" t="s">
        <v>4495</v>
      </c>
      <c r="Q676" s="1">
        <v>42479</v>
      </c>
      <c r="R676" t="s">
        <v>33</v>
      </c>
      <c r="S676" t="s">
        <v>27</v>
      </c>
      <c r="T676" t="s">
        <v>769</v>
      </c>
      <c r="U676" t="s">
        <v>115</v>
      </c>
      <c r="V676" t="s">
        <v>3363</v>
      </c>
      <c r="W676">
        <v>500</v>
      </c>
      <c r="X676">
        <v>19954204</v>
      </c>
      <c r="Y676" t="s">
        <v>3369</v>
      </c>
      <c r="Z676" t="s">
        <v>119</v>
      </c>
      <c r="AA676" t="s">
        <v>24</v>
      </c>
      <c r="AB676" t="s">
        <v>120</v>
      </c>
      <c r="AC676" t="s">
        <v>25</v>
      </c>
      <c r="AD676" t="s">
        <v>121</v>
      </c>
      <c r="AE676">
        <v>3</v>
      </c>
      <c r="AF676" t="s">
        <v>27</v>
      </c>
      <c r="AG676" t="s">
        <v>26</v>
      </c>
      <c r="AH676" t="s">
        <v>3363</v>
      </c>
      <c r="AI676" t="str">
        <f t="shared" si="50"/>
        <v>NO</v>
      </c>
      <c r="AJ676" t="str">
        <f t="shared" si="51"/>
        <v>LABORATORIOS BUSSIÉ</v>
      </c>
      <c r="AK676" t="str">
        <f>IF(ISNUMBER(SEARCH("FABRICANTE",AC676)),"FABRICANTE",IF(ISNUMBER(SEARCH("IMPORTADOR",AC676)),"IMPORTADOR","OTRO"))</f>
        <v>FABRICANTE</v>
      </c>
      <c r="AL676" t="str">
        <f>IF(LEFT(Y676,1)="A","Sistema digestivo",IF(LEFT(Y676,1)="B","Sangre",IF(LEFT(Y676,1)="C","Cardiovascular",IF(LEFT(Y676,1)="D","Dermatológico",IF(LEFT(Y676,1)="G","Genitourinario",IF(LEFT(Y676,1)="H","Hormonal",IF(LEFT(Y676,1)="J","Antiinfecciosos",IF(LEFT(Y676,1)="L","Oncológicos",IF(LEFT(Y676,1)="M","Musculoesquelético",IF(LEFT(Y676,1)="N","Sistema nervioso",IF(LEFT(Y676,1)="R","Respiratorio",IF(LEFT(Y676,1)="S","Oftálmico",IF(LEFT(Y676,1)="V","Varios","OTRO")))))))))))))</f>
        <v>OTRO</v>
      </c>
      <c r="AM676" t="str">
        <f>IF(AG676="Vigente","ACTIVO",IF(ISNUMBER(SEARCH("Inactivo",J676)),"INACTIVO","REVISAR"))</f>
        <v>ACTIVO</v>
      </c>
      <c r="AN676" t="str">
        <f ca="1">IF(OR(AF676="",AF676="null"),"",ROUND((AF676-TODAY())/365.25,2))</f>
        <v/>
      </c>
      <c r="AO676" t="str">
        <f ca="1">IF(AND(AG676="Vigente",OR(AF676="",AF676="null",AF676&gt;TODAY())),"SI",IF(AND(NOT(OR(AF676="",AF676="null")),AF676&lt;=TODAY()),"NO",IF(AG676="Vigente","SI","DESCONOCIDO")))</f>
        <v>SI</v>
      </c>
      <c r="AP676" t="str">
        <f>IF(AND(ISNUMBER(SEARCH("IMPORTAR",AA676)),ISNUMBER(SEARCH("FABRICAR",AA676))),"MIXTO",IF(ISNUMBER(SEARCH("IMPORTAR",AA676)),"IMPORTADO",IF(ISNUMBER(SEARCH("FABRICAR",AA676)),"LOCAL","OTRO")))</f>
        <v>LOCAL</v>
      </c>
      <c r="AQ676" t="str">
        <f>IF(AD676="Si","SI",IF(AD676="No","NO",""))</f>
        <v>NO</v>
      </c>
      <c r="AR676" t="str">
        <f>IF(ISNUMBER(SEARCH("®",N676)),"MARCA/INNOVADOR","GENERICO")</f>
        <v>MARCA/INNOVADOR</v>
      </c>
      <c r="AS676">
        <f ca="1">IF(AE676&gt;100,RANDBETWEEN(500,5000),IF(AND(AE676&gt;=10,AE676&lt;=100),RANDBETWEEN(100,1000),RANDBETWEEN(10,200)))</f>
        <v>132</v>
      </c>
      <c r="AT676">
        <f t="shared" ca="1" si="52"/>
        <v>30</v>
      </c>
      <c r="AU676">
        <f ca="1">INT(AS676*RANDBETWEEN(120,200)/100)</f>
        <v>220</v>
      </c>
      <c r="AV676" s="2">
        <f ca="1">IF(LEFT(Y676,1)="L",RANDBETWEEN(500000,5000000),IF(LEFT(Y676,1)="C",RANDBETWEEN(5000,50000),IF(LEFT(Y676,1)="N",RANDBETWEEN(10000,150000),IF(LEFT(Y676,1)="J",RANDBETWEEN(8000,200000),RANDBETWEEN(5000,100000)))))</f>
        <v>93914</v>
      </c>
      <c r="AW676" s="2">
        <f ca="1">INT(AV676*RANDBETWEEN(30,60)/100)</f>
        <v>32869</v>
      </c>
      <c r="AX676">
        <f ca="1">IF(Z676="ORAL",RANDBETWEEN(1000,10000),IF(OR(Z676="INTRAVENOSA",Z676="INTRAMUSCULAR"),RANDBETWEEN(100,2000),IF(OR(Z676="OFTÁLMICA",Z676="TOPICA (EXTERNA)"),RANDBETWEEN(200,3000),RANDBETWEEN(100,1500))))</f>
        <v>4528</v>
      </c>
      <c r="AY676" s="2">
        <f ca="1">INT(AV676*RANDBETWEEN(90,130)/100)</f>
        <v>86400</v>
      </c>
      <c r="AZ676" t="str">
        <f t="shared" ca="1" si="53"/>
        <v>11.5%</v>
      </c>
      <c r="BA676" t="str">
        <f t="shared" ca="1" si="54"/>
        <v>BAJO</v>
      </c>
    </row>
    <row r="677" spans="4:53" x14ac:dyDescent="0.35">
      <c r="D677" t="s">
        <v>4496</v>
      </c>
      <c r="E677" s="1">
        <v>36161</v>
      </c>
      <c r="F677" t="s">
        <v>4497</v>
      </c>
      <c r="G677" t="s">
        <v>108</v>
      </c>
      <c r="H677" t="s">
        <v>1205</v>
      </c>
      <c r="I677">
        <v>39681</v>
      </c>
      <c r="J677" t="s">
        <v>28</v>
      </c>
      <c r="K677">
        <v>22</v>
      </c>
      <c r="L677" t="s">
        <v>27</v>
      </c>
      <c r="M677" t="s">
        <v>4498</v>
      </c>
      <c r="N677" t="s">
        <v>4499</v>
      </c>
      <c r="O677" t="s">
        <v>4500</v>
      </c>
      <c r="P677" t="s">
        <v>33</v>
      </c>
      <c r="Q677" s="1">
        <v>44314</v>
      </c>
      <c r="R677" t="s">
        <v>33</v>
      </c>
      <c r="S677" t="s">
        <v>27</v>
      </c>
      <c r="T677" t="s">
        <v>464</v>
      </c>
      <c r="U677" t="s">
        <v>115</v>
      </c>
      <c r="V677" t="s">
        <v>515</v>
      </c>
      <c r="W677">
        <v>400</v>
      </c>
      <c r="X677">
        <v>39681</v>
      </c>
      <c r="Y677" t="s">
        <v>1567</v>
      </c>
      <c r="Z677" t="s">
        <v>119</v>
      </c>
      <c r="AA677" t="s">
        <v>24</v>
      </c>
      <c r="AB677" t="s">
        <v>120</v>
      </c>
      <c r="AC677" t="s">
        <v>25</v>
      </c>
      <c r="AD677" t="s">
        <v>155</v>
      </c>
      <c r="AE677">
        <v>30</v>
      </c>
      <c r="AF677" t="s">
        <v>27</v>
      </c>
      <c r="AG677" t="s">
        <v>26</v>
      </c>
      <c r="AH677" t="s">
        <v>4497</v>
      </c>
      <c r="AI677" t="str">
        <f t="shared" si="50"/>
        <v>NO</v>
      </c>
      <c r="AJ677" t="str">
        <f t="shared" si="51"/>
        <v>MEGALABS COLOMBIA</v>
      </c>
      <c r="AK677" t="str">
        <f>IF(ISNUMBER(SEARCH("FABRICANTE",AC677)),"FABRICANTE",IF(ISNUMBER(SEARCH("IMPORTADOR",AC677)),"IMPORTADOR","OTRO"))</f>
        <v>FABRICANTE</v>
      </c>
      <c r="AL677" t="str">
        <f>IF(LEFT(Y677,1)="A","Sistema digestivo",IF(LEFT(Y677,1)="B","Sangre",IF(LEFT(Y677,1)="C","Cardiovascular",IF(LEFT(Y677,1)="D","Dermatológico",IF(LEFT(Y677,1)="G","Genitourinario",IF(LEFT(Y677,1)="H","Hormonal",IF(LEFT(Y677,1)="J","Antiinfecciosos",IF(LEFT(Y677,1)="L","Oncológicos",IF(LEFT(Y677,1)="M","Musculoesquelético",IF(LEFT(Y677,1)="N","Sistema nervioso",IF(LEFT(Y677,1)="R","Respiratorio",IF(LEFT(Y677,1)="S","Oftálmico",IF(LEFT(Y677,1)="V","Varios","OTRO")))))))))))))</f>
        <v>Musculoesquelético</v>
      </c>
      <c r="AM677" t="str">
        <f>IF(AG677="Vigente","ACTIVO",IF(ISNUMBER(SEARCH("Inactivo",J677)),"INACTIVO","REVISAR"))</f>
        <v>ACTIVO</v>
      </c>
      <c r="AN677" t="str">
        <f ca="1">IF(OR(AF677="",AF677="null"),"",ROUND((AF677-TODAY())/365.25,2))</f>
        <v/>
      </c>
      <c r="AO677" t="str">
        <f ca="1">IF(AND(AG677="Vigente",OR(AF677="",AF677="null",AF677&gt;TODAY())),"SI",IF(AND(NOT(OR(AF677="",AF677="null")),AF677&lt;=TODAY()),"NO",IF(AG677="Vigente","SI","DESCONOCIDO")))</f>
        <v>SI</v>
      </c>
      <c r="AP677" t="str">
        <f>IF(AND(ISNUMBER(SEARCH("IMPORTAR",AA677)),ISNUMBER(SEARCH("FABRICAR",AA677))),"MIXTO",IF(ISNUMBER(SEARCH("IMPORTAR",AA677)),"IMPORTADO",IF(ISNUMBER(SEARCH("FABRICAR",AA677)),"LOCAL","OTRO")))</f>
        <v>LOCAL</v>
      </c>
      <c r="AQ677" t="str">
        <f>IF(AD677="Si","SI",IF(AD677="No","NO",""))</f>
        <v>SI</v>
      </c>
      <c r="AR677" t="str">
        <f>IF(ISNUMBER(SEARCH("®",N677)),"MARCA/INNOVADOR","GENERICO")</f>
        <v>GENERICO</v>
      </c>
      <c r="AS677">
        <f ca="1">IF(AE677&gt;100,RANDBETWEEN(500,5000),IF(AND(AE677&gt;=10,AE677&lt;=100),RANDBETWEEN(100,1000),RANDBETWEEN(10,200)))</f>
        <v>639</v>
      </c>
      <c r="AT677">
        <f t="shared" ca="1" si="52"/>
        <v>178</v>
      </c>
      <c r="AU677">
        <f ca="1">INT(AS677*RANDBETWEEN(120,200)/100)</f>
        <v>766</v>
      </c>
      <c r="AV677" s="2">
        <f ca="1">IF(LEFT(Y677,1)="L",RANDBETWEEN(500000,5000000),IF(LEFT(Y677,1)="C",RANDBETWEEN(5000,50000),IF(LEFT(Y677,1)="N",RANDBETWEEN(10000,150000),IF(LEFT(Y677,1)="J",RANDBETWEEN(8000,200000),RANDBETWEEN(5000,100000)))))</f>
        <v>14047</v>
      </c>
      <c r="AW677" s="2">
        <f ca="1">INT(AV677*RANDBETWEEN(30,60)/100)</f>
        <v>8428</v>
      </c>
      <c r="AX677">
        <f ca="1">IF(Z677="ORAL",RANDBETWEEN(1000,10000),IF(OR(Z677="INTRAVENOSA",Z677="INTRAMUSCULAR"),RANDBETWEEN(100,2000),IF(OR(Z677="OFTÁLMICA",Z677="TOPICA (EXTERNA)"),RANDBETWEEN(200,3000),RANDBETWEEN(100,1500))))</f>
        <v>4429</v>
      </c>
      <c r="AY677" s="2">
        <f ca="1">INT(AV677*RANDBETWEEN(90,130)/100)</f>
        <v>16996</v>
      </c>
      <c r="AZ677" t="str">
        <f t="shared" ca="1" si="53"/>
        <v>14.4%</v>
      </c>
      <c r="BA677" t="str">
        <f t="shared" ca="1" si="54"/>
        <v>BAJO</v>
      </c>
    </row>
    <row r="678" spans="4:53" x14ac:dyDescent="0.35">
      <c r="D678" t="s">
        <v>4501</v>
      </c>
      <c r="E678" s="1">
        <v>40456</v>
      </c>
      <c r="F678" t="s">
        <v>1275</v>
      </c>
      <c r="G678" t="s">
        <v>108</v>
      </c>
      <c r="H678" t="s">
        <v>1279</v>
      </c>
      <c r="I678">
        <v>20020095</v>
      </c>
      <c r="J678" t="s">
        <v>28</v>
      </c>
      <c r="K678">
        <v>6</v>
      </c>
      <c r="L678" t="s">
        <v>4502</v>
      </c>
      <c r="M678" t="s">
        <v>1276</v>
      </c>
      <c r="N678" t="s">
        <v>1277</v>
      </c>
      <c r="O678" t="s">
        <v>4503</v>
      </c>
      <c r="P678" t="s">
        <v>33</v>
      </c>
      <c r="Q678" s="1">
        <v>40869</v>
      </c>
      <c r="R678" t="s">
        <v>33</v>
      </c>
      <c r="S678" t="s">
        <v>27</v>
      </c>
      <c r="T678" t="s">
        <v>1279</v>
      </c>
      <c r="U678" t="s">
        <v>115</v>
      </c>
      <c r="V678" t="s">
        <v>773</v>
      </c>
      <c r="W678">
        <v>500</v>
      </c>
      <c r="X678">
        <v>20020095</v>
      </c>
      <c r="Y678" t="s">
        <v>774</v>
      </c>
      <c r="Z678" t="s">
        <v>119</v>
      </c>
      <c r="AA678" t="s">
        <v>165</v>
      </c>
      <c r="AB678" t="s">
        <v>120</v>
      </c>
      <c r="AC678" t="s">
        <v>25</v>
      </c>
      <c r="AD678" t="s">
        <v>121</v>
      </c>
      <c r="AE678">
        <v>50</v>
      </c>
      <c r="AF678" s="1">
        <v>401769</v>
      </c>
      <c r="AG678" t="s">
        <v>26</v>
      </c>
      <c r="AH678" t="s">
        <v>6749</v>
      </c>
      <c r="AI678" t="str">
        <f t="shared" si="50"/>
        <v>SI</v>
      </c>
      <c r="AJ678" t="str">
        <f t="shared" si="51"/>
        <v>LABORATORIOS LA SANTE</v>
      </c>
      <c r="AK678" t="str">
        <f>IF(ISNUMBER(SEARCH("FABRICANTE",AC678)),"FABRICANTE",IF(ISNUMBER(SEARCH("IMPORTADOR",AC678)),"IMPORTADOR","OTRO"))</f>
        <v>FABRICANTE</v>
      </c>
      <c r="AL678" t="str">
        <f>IF(LEFT(Y678,1)="A","Sistema digestivo",IF(LEFT(Y678,1)="B","Sangre",IF(LEFT(Y678,1)="C","Cardiovascular",IF(LEFT(Y678,1)="D","Dermatológico",IF(LEFT(Y678,1)="G","Genitourinario",IF(LEFT(Y678,1)="H","Hormonal",IF(LEFT(Y678,1)="J","Antiinfecciosos",IF(LEFT(Y678,1)="L","Oncológicos",IF(LEFT(Y678,1)="M","Musculoesquelético",IF(LEFT(Y678,1)="N","Sistema nervioso",IF(LEFT(Y678,1)="R","Respiratorio",IF(LEFT(Y678,1)="S","Oftálmico",IF(LEFT(Y678,1)="V","Varios","OTRO")))))))))))))</f>
        <v>Antiinfecciosos</v>
      </c>
      <c r="AM678" t="str">
        <f>IF(AG678="Vigente","ACTIVO",IF(ISNUMBER(SEARCH("Inactivo",J678)),"INACTIVO","REVISAR"))</f>
        <v>ACTIVO</v>
      </c>
      <c r="AN678">
        <f ca="1">IF(OR(AF678="",AF678="null"),"",ROUND((AF678-TODAY())/365.25,2))</f>
        <v>973.58</v>
      </c>
      <c r="AO678" t="str">
        <f ca="1">IF(AND(AG678="Vigente",OR(AF678="",AF678="null",AF678&gt;TODAY())),"SI",IF(AND(NOT(OR(AF678="",AF678="null")),AF678&lt;=TODAY()),"NO",IF(AG678="Vigente","SI","DESCONOCIDO")))</f>
        <v>SI</v>
      </c>
      <c r="AP678" t="str">
        <f>IF(AND(ISNUMBER(SEARCH("IMPORTAR",AA678)),ISNUMBER(SEARCH("FABRICAR",AA678))),"MIXTO",IF(ISNUMBER(SEARCH("IMPORTAR",AA678)),"IMPORTADO",IF(ISNUMBER(SEARCH("FABRICAR",AA678)),"LOCAL","OTRO")))</f>
        <v>IMPORTADO</v>
      </c>
      <c r="AQ678" t="str">
        <f>IF(AD678="Si","SI",IF(AD678="No","NO",""))</f>
        <v>NO</v>
      </c>
      <c r="AR678" t="str">
        <f>IF(ISNUMBER(SEARCH("®",N678)),"MARCA/INNOVADOR","GENERICO")</f>
        <v>GENERICO</v>
      </c>
      <c r="AS678">
        <f ca="1">IF(AE678&gt;100,RANDBETWEEN(500,5000),IF(AND(AE678&gt;=10,AE678&lt;=100),RANDBETWEEN(100,1000),RANDBETWEEN(10,200)))</f>
        <v>949</v>
      </c>
      <c r="AT678">
        <f t="shared" ca="1" si="52"/>
        <v>113</v>
      </c>
      <c r="AU678">
        <f ca="1">INT(AS678*RANDBETWEEN(120,200)/100)</f>
        <v>1527</v>
      </c>
      <c r="AV678" s="2">
        <f ca="1">IF(LEFT(Y678,1)="L",RANDBETWEEN(500000,5000000),IF(LEFT(Y678,1)="C",RANDBETWEEN(5000,50000),IF(LEFT(Y678,1)="N",RANDBETWEEN(10000,150000),IF(LEFT(Y678,1)="J",RANDBETWEEN(8000,200000),RANDBETWEEN(5000,100000)))))</f>
        <v>56207</v>
      </c>
      <c r="AW678" s="2">
        <f ca="1">INT(AV678*RANDBETWEEN(30,60)/100)</f>
        <v>18548</v>
      </c>
      <c r="AX678">
        <f ca="1">IF(Z678="ORAL",RANDBETWEEN(1000,10000),IF(OR(Z678="INTRAVENOSA",Z678="INTRAMUSCULAR"),RANDBETWEEN(100,2000),IF(OR(Z678="OFTÁLMICA",Z678="TOPICA (EXTERNA)"),RANDBETWEEN(200,3000),RANDBETWEEN(100,1500))))</f>
        <v>4173</v>
      </c>
      <c r="AY678" s="2">
        <f ca="1">INT(AV678*RANDBETWEEN(90,130)/100)</f>
        <v>61265</v>
      </c>
      <c r="AZ678" t="str">
        <f t="shared" ca="1" si="53"/>
        <v>12.8%</v>
      </c>
      <c r="BA678" t="str">
        <f t="shared" ca="1" si="54"/>
        <v>BAJO</v>
      </c>
    </row>
    <row r="679" spans="4:53" x14ac:dyDescent="0.35">
      <c r="D679" t="s">
        <v>4504</v>
      </c>
      <c r="E679" s="1">
        <v>39906</v>
      </c>
      <c r="F679" t="s">
        <v>4505</v>
      </c>
      <c r="G679" t="s">
        <v>108</v>
      </c>
      <c r="H679" t="s">
        <v>1490</v>
      </c>
      <c r="I679">
        <v>20001058</v>
      </c>
      <c r="J679" t="s">
        <v>28</v>
      </c>
      <c r="K679">
        <v>12</v>
      </c>
      <c r="L679" t="s">
        <v>27</v>
      </c>
      <c r="M679" t="s">
        <v>4506</v>
      </c>
      <c r="N679" t="s">
        <v>4507</v>
      </c>
      <c r="O679" t="s">
        <v>4508</v>
      </c>
      <c r="P679" t="s">
        <v>33</v>
      </c>
      <c r="Q679" s="1">
        <v>43402</v>
      </c>
      <c r="R679" t="s">
        <v>200</v>
      </c>
      <c r="S679" t="s">
        <v>27</v>
      </c>
      <c r="T679" t="s">
        <v>1490</v>
      </c>
      <c r="U679" t="s">
        <v>115</v>
      </c>
      <c r="V679" t="s">
        <v>4509</v>
      </c>
      <c r="W679" t="s">
        <v>1101</v>
      </c>
      <c r="X679">
        <v>20001058</v>
      </c>
      <c r="Y679" t="s">
        <v>4510</v>
      </c>
      <c r="Z679" t="s">
        <v>119</v>
      </c>
      <c r="AA679" t="s">
        <v>24</v>
      </c>
      <c r="AB679" t="s">
        <v>120</v>
      </c>
      <c r="AC679" t="s">
        <v>25</v>
      </c>
      <c r="AD679" t="s">
        <v>155</v>
      </c>
      <c r="AE679">
        <v>56</v>
      </c>
      <c r="AF679" t="s">
        <v>27</v>
      </c>
      <c r="AG679" t="s">
        <v>26</v>
      </c>
      <c r="AH679" t="s">
        <v>4505</v>
      </c>
      <c r="AI679" t="str">
        <f t="shared" si="50"/>
        <v>NO</v>
      </c>
      <c r="AJ679" t="str">
        <f t="shared" si="51"/>
        <v>LABORATORIO FRANCO COLOMBIANO - LAFRANCOL</v>
      </c>
      <c r="AK679" t="str">
        <f>IF(ISNUMBER(SEARCH("FABRICANTE",AC679)),"FABRICANTE",IF(ISNUMBER(SEARCH("IMPORTADOR",AC679)),"IMPORTADOR","OTRO"))</f>
        <v>FABRICANTE</v>
      </c>
      <c r="AL679" t="str">
        <f>IF(LEFT(Y679,1)="A","Sistema digestivo",IF(LEFT(Y679,1)="B","Sangre",IF(LEFT(Y679,1)="C","Cardiovascular",IF(LEFT(Y679,1)="D","Dermatológico",IF(LEFT(Y679,1)="G","Genitourinario",IF(LEFT(Y679,1)="H","Hormonal",IF(LEFT(Y679,1)="J","Antiinfecciosos",IF(LEFT(Y679,1)="L","Oncológicos",IF(LEFT(Y679,1)="M","Musculoesquelético",IF(LEFT(Y679,1)="N","Sistema nervioso",IF(LEFT(Y679,1)="R","Respiratorio",IF(LEFT(Y679,1)="S","Oftálmico",IF(LEFT(Y679,1)="V","Varios","OTRO")))))))))))))</f>
        <v>Genitourinario</v>
      </c>
      <c r="AM679" t="str">
        <f>IF(AG679="Vigente","ACTIVO",IF(ISNUMBER(SEARCH("Inactivo",J679)),"INACTIVO","REVISAR"))</f>
        <v>ACTIVO</v>
      </c>
      <c r="AN679" t="str">
        <f ca="1">IF(OR(AF679="",AF679="null"),"",ROUND((AF679-TODAY())/365.25,2))</f>
        <v/>
      </c>
      <c r="AO679" t="str">
        <f ca="1">IF(AND(AG679="Vigente",OR(AF679="",AF679="null",AF679&gt;TODAY())),"SI",IF(AND(NOT(OR(AF679="",AF679="null")),AF679&lt;=TODAY()),"NO",IF(AG679="Vigente","SI","DESCONOCIDO")))</f>
        <v>SI</v>
      </c>
      <c r="AP679" t="str">
        <f>IF(AND(ISNUMBER(SEARCH("IMPORTAR",AA679)),ISNUMBER(SEARCH("FABRICAR",AA679))),"MIXTO",IF(ISNUMBER(SEARCH("IMPORTAR",AA679)),"IMPORTADO",IF(ISNUMBER(SEARCH("FABRICAR",AA679)),"LOCAL","OTRO")))</f>
        <v>LOCAL</v>
      </c>
      <c r="AQ679" t="str">
        <f>IF(AD679="Si","SI",IF(AD679="No","NO",""))</f>
        <v>SI</v>
      </c>
      <c r="AR679" t="str">
        <f>IF(ISNUMBER(SEARCH("®",N679)),"MARCA/INNOVADOR","GENERICO")</f>
        <v>MARCA/INNOVADOR</v>
      </c>
      <c r="AS679">
        <f ca="1">IF(AE679&gt;100,RANDBETWEEN(500,5000),IF(AND(AE679&gt;=10,AE679&lt;=100),RANDBETWEEN(100,1000),RANDBETWEEN(10,200)))</f>
        <v>765</v>
      </c>
      <c r="AT679">
        <f t="shared" ca="1" si="52"/>
        <v>153</v>
      </c>
      <c r="AU679">
        <f ca="1">INT(AS679*RANDBETWEEN(120,200)/100)</f>
        <v>1384</v>
      </c>
      <c r="AV679" s="2">
        <f ca="1">IF(LEFT(Y679,1)="L",RANDBETWEEN(500000,5000000),IF(LEFT(Y679,1)="C",RANDBETWEEN(5000,50000),IF(LEFT(Y679,1)="N",RANDBETWEEN(10000,150000),IF(LEFT(Y679,1)="J",RANDBETWEEN(8000,200000),RANDBETWEEN(5000,100000)))))</f>
        <v>63852</v>
      </c>
      <c r="AW679" s="2">
        <f ca="1">INT(AV679*RANDBETWEEN(30,60)/100)</f>
        <v>21071</v>
      </c>
      <c r="AX679">
        <f ca="1">IF(Z679="ORAL",RANDBETWEEN(1000,10000),IF(OR(Z679="INTRAVENOSA",Z679="INTRAMUSCULAR"),RANDBETWEEN(100,2000),IF(OR(Z679="OFTÁLMICA",Z679="TOPICA (EXTERNA)"),RANDBETWEEN(200,3000),RANDBETWEEN(100,1500))))</f>
        <v>6894</v>
      </c>
      <c r="AY679" s="2">
        <f ca="1">INT(AV679*RANDBETWEEN(90,130)/100)</f>
        <v>77260</v>
      </c>
      <c r="AZ679" t="str">
        <f t="shared" ca="1" si="53"/>
        <v>10%</v>
      </c>
      <c r="BA679" t="str">
        <f t="shared" ca="1" si="54"/>
        <v>BAJO</v>
      </c>
    </row>
    <row r="680" spans="4:53" x14ac:dyDescent="0.35">
      <c r="D680" t="s">
        <v>4511</v>
      </c>
      <c r="E680" s="1">
        <v>42586</v>
      </c>
      <c r="F680" t="s">
        <v>4512</v>
      </c>
      <c r="G680" t="s">
        <v>108</v>
      </c>
      <c r="H680" t="s">
        <v>4513</v>
      </c>
      <c r="I680">
        <v>20093958</v>
      </c>
      <c r="J680" t="s">
        <v>28</v>
      </c>
      <c r="K680">
        <v>6</v>
      </c>
      <c r="L680" t="s">
        <v>27</v>
      </c>
      <c r="M680" t="s">
        <v>4514</v>
      </c>
      <c r="N680" t="s">
        <v>4515</v>
      </c>
      <c r="O680" t="s">
        <v>4516</v>
      </c>
      <c r="P680" t="s">
        <v>1931</v>
      </c>
      <c r="Q680" s="1">
        <v>42352</v>
      </c>
      <c r="R680" t="s">
        <v>200</v>
      </c>
      <c r="S680" t="s">
        <v>27</v>
      </c>
      <c r="T680" t="s">
        <v>4517</v>
      </c>
      <c r="U680" t="s">
        <v>115</v>
      </c>
      <c r="V680" t="s">
        <v>4509</v>
      </c>
      <c r="W680" t="s">
        <v>1101</v>
      </c>
      <c r="X680">
        <v>20093958</v>
      </c>
      <c r="Y680" t="s">
        <v>4510</v>
      </c>
      <c r="Z680" t="s">
        <v>119</v>
      </c>
      <c r="AA680" t="s">
        <v>32</v>
      </c>
      <c r="AB680" t="s">
        <v>120</v>
      </c>
      <c r="AC680" t="s">
        <v>38</v>
      </c>
      <c r="AD680" t="s">
        <v>121</v>
      </c>
      <c r="AE680">
        <v>126</v>
      </c>
      <c r="AF680" t="s">
        <v>27</v>
      </c>
      <c r="AG680" t="s">
        <v>26</v>
      </c>
      <c r="AH680" t="s">
        <v>4512</v>
      </c>
      <c r="AI680" t="str">
        <f t="shared" si="50"/>
        <v>NO</v>
      </c>
      <c r="AJ680" t="str">
        <f t="shared" si="51"/>
        <v>GEDEON RICHTER PLC</v>
      </c>
      <c r="AK680" t="str">
        <f>IF(ISNUMBER(SEARCH("FABRICANTE",AC680)),"FABRICANTE",IF(ISNUMBER(SEARCH("IMPORTADOR",AC680)),"IMPORTADOR","OTRO"))</f>
        <v>IMPORTADOR</v>
      </c>
      <c r="AL680" t="str">
        <f>IF(LEFT(Y680,1)="A","Sistema digestivo",IF(LEFT(Y680,1)="B","Sangre",IF(LEFT(Y680,1)="C","Cardiovascular",IF(LEFT(Y680,1)="D","Dermatológico",IF(LEFT(Y680,1)="G","Genitourinario",IF(LEFT(Y680,1)="H","Hormonal",IF(LEFT(Y680,1)="J","Antiinfecciosos",IF(LEFT(Y680,1)="L","Oncológicos",IF(LEFT(Y680,1)="M","Musculoesquelético",IF(LEFT(Y680,1)="N","Sistema nervioso",IF(LEFT(Y680,1)="R","Respiratorio",IF(LEFT(Y680,1)="S","Oftálmico",IF(LEFT(Y680,1)="V","Varios","OTRO")))))))))))))</f>
        <v>Genitourinario</v>
      </c>
      <c r="AM680" t="str">
        <f>IF(AG680="Vigente","ACTIVO",IF(ISNUMBER(SEARCH("Inactivo",J680)),"INACTIVO","REVISAR"))</f>
        <v>ACTIVO</v>
      </c>
      <c r="AN680" t="str">
        <f ca="1">IF(OR(AF680="",AF680="null"),"",ROUND((AF680-TODAY())/365.25,2))</f>
        <v/>
      </c>
      <c r="AO680" t="str">
        <f ca="1">IF(AND(AG680="Vigente",OR(AF680="",AF680="null",AF680&gt;TODAY())),"SI",IF(AND(NOT(OR(AF680="",AF680="null")),AF680&lt;=TODAY()),"NO",IF(AG680="Vigente","SI","DESCONOCIDO")))</f>
        <v>SI</v>
      </c>
      <c r="AP680" t="str">
        <f>IF(AND(ISNUMBER(SEARCH("IMPORTAR",AA680)),ISNUMBER(SEARCH("FABRICAR",AA680))),"MIXTO",IF(ISNUMBER(SEARCH("IMPORTAR",AA680)),"IMPORTADO",IF(ISNUMBER(SEARCH("FABRICAR",AA680)),"LOCAL","OTRO")))</f>
        <v>IMPORTADO</v>
      </c>
      <c r="AQ680" t="str">
        <f>IF(AD680="Si","SI",IF(AD680="No","NO",""))</f>
        <v>NO</v>
      </c>
      <c r="AR680" t="str">
        <f>IF(ISNUMBER(SEARCH("®",N680)),"MARCA/INNOVADOR","GENERICO")</f>
        <v>MARCA/INNOVADOR</v>
      </c>
      <c r="AS680">
        <f ca="1">IF(AE680&gt;100,RANDBETWEEN(500,5000),IF(AND(AE680&gt;=10,AE680&lt;=100),RANDBETWEEN(100,1000),RANDBETWEEN(10,200)))</f>
        <v>4166</v>
      </c>
      <c r="AT680">
        <f t="shared" ca="1" si="52"/>
        <v>1208</v>
      </c>
      <c r="AU680">
        <f ca="1">INT(AS680*RANDBETWEEN(120,200)/100)</f>
        <v>7582</v>
      </c>
      <c r="AV680" s="2">
        <f ca="1">IF(LEFT(Y680,1)="L",RANDBETWEEN(500000,5000000),IF(LEFT(Y680,1)="C",RANDBETWEEN(5000,50000),IF(LEFT(Y680,1)="N",RANDBETWEEN(10000,150000),IF(LEFT(Y680,1)="J",RANDBETWEEN(8000,200000),RANDBETWEEN(5000,100000)))))</f>
        <v>71827</v>
      </c>
      <c r="AW680" s="2">
        <f ca="1">INT(AV680*RANDBETWEEN(30,60)/100)</f>
        <v>22266</v>
      </c>
      <c r="AX680">
        <f ca="1">IF(Z680="ORAL",RANDBETWEEN(1000,10000),IF(OR(Z680="INTRAVENOSA",Z680="INTRAMUSCULAR"),RANDBETWEEN(100,2000),IF(OR(Z680="OFTÁLMICA",Z680="TOPICA (EXTERNA)"),RANDBETWEEN(200,3000),RANDBETWEEN(100,1500))))</f>
        <v>5730</v>
      </c>
      <c r="AY680" s="2">
        <f ca="1">INT(AV680*RANDBETWEEN(90,130)/100)</f>
        <v>67517</v>
      </c>
      <c r="AZ680" t="str">
        <f t="shared" ca="1" si="53"/>
        <v>16.7%</v>
      </c>
      <c r="BA680" t="str">
        <f t="shared" ca="1" si="54"/>
        <v>BAJO</v>
      </c>
    </row>
    <row r="681" spans="4:53" x14ac:dyDescent="0.35">
      <c r="D681" t="s">
        <v>4518</v>
      </c>
      <c r="E681" s="1">
        <v>42303</v>
      </c>
      <c r="F681" t="s">
        <v>4519</v>
      </c>
      <c r="G681" t="s">
        <v>108</v>
      </c>
      <c r="H681" t="s">
        <v>769</v>
      </c>
      <c r="I681">
        <v>20086885</v>
      </c>
      <c r="J681" t="s">
        <v>28</v>
      </c>
      <c r="K681">
        <v>2</v>
      </c>
      <c r="L681" t="s">
        <v>27</v>
      </c>
      <c r="M681" t="s">
        <v>4520</v>
      </c>
      <c r="N681" t="s">
        <v>4521</v>
      </c>
      <c r="O681" t="s">
        <v>4522</v>
      </c>
      <c r="P681" t="s">
        <v>29</v>
      </c>
      <c r="Q681" s="1">
        <v>42144</v>
      </c>
      <c r="R681" t="s">
        <v>33</v>
      </c>
      <c r="S681" t="s">
        <v>27</v>
      </c>
      <c r="T681" t="s">
        <v>769</v>
      </c>
      <c r="U681" t="s">
        <v>115</v>
      </c>
      <c r="V681" t="s">
        <v>4523</v>
      </c>
      <c r="W681">
        <v>8</v>
      </c>
      <c r="X681">
        <v>20086885</v>
      </c>
      <c r="Y681" t="s">
        <v>4524</v>
      </c>
      <c r="Z681" t="s">
        <v>119</v>
      </c>
      <c r="AA681" t="s">
        <v>165</v>
      </c>
      <c r="AB681" t="s">
        <v>120</v>
      </c>
      <c r="AC681" t="s">
        <v>38</v>
      </c>
      <c r="AD681" t="s">
        <v>121</v>
      </c>
      <c r="AE681">
        <v>15</v>
      </c>
      <c r="AF681" s="1">
        <v>401769</v>
      </c>
      <c r="AG681" t="s">
        <v>26</v>
      </c>
      <c r="AH681" t="s">
        <v>4519</v>
      </c>
      <c r="AI681" t="str">
        <f t="shared" si="50"/>
        <v>NO</v>
      </c>
      <c r="AJ681" t="str">
        <f t="shared" si="51"/>
        <v>LABORATORIOS BUSSIÉ</v>
      </c>
      <c r="AK681" t="str">
        <f>IF(ISNUMBER(SEARCH("FABRICANTE",AC681)),"FABRICANTE",IF(ISNUMBER(SEARCH("IMPORTADOR",AC681)),"IMPORTADOR","OTRO"))</f>
        <v>IMPORTADOR</v>
      </c>
      <c r="AL681" t="str">
        <f>IF(LEFT(Y681,1)="A","Sistema digestivo",IF(LEFT(Y681,1)="B","Sangre",IF(LEFT(Y681,1)="C","Cardiovascular",IF(LEFT(Y681,1)="D","Dermatológico",IF(LEFT(Y681,1)="G","Genitourinario",IF(LEFT(Y681,1)="H","Hormonal",IF(LEFT(Y681,1)="J","Antiinfecciosos",IF(LEFT(Y681,1)="L","Oncológicos",IF(LEFT(Y681,1)="M","Musculoesquelético",IF(LEFT(Y681,1)="N","Sistema nervioso",IF(LEFT(Y681,1)="R","Respiratorio",IF(LEFT(Y681,1)="S","Oftálmico",IF(LEFT(Y681,1)="V","Varios","OTRO")))))))))))))</f>
        <v>Musculoesquelético</v>
      </c>
      <c r="AM681" t="str">
        <f>IF(AG681="Vigente","ACTIVO",IF(ISNUMBER(SEARCH("Inactivo",J681)),"INACTIVO","REVISAR"))</f>
        <v>ACTIVO</v>
      </c>
      <c r="AN681">
        <f ca="1">IF(OR(AF681="",AF681="null"),"",ROUND((AF681-TODAY())/365.25,2))</f>
        <v>973.58</v>
      </c>
      <c r="AO681" t="str">
        <f ca="1">IF(AND(AG681="Vigente",OR(AF681="",AF681="null",AF681&gt;TODAY())),"SI",IF(AND(NOT(OR(AF681="",AF681="null")),AF681&lt;=TODAY()),"NO",IF(AG681="Vigente","SI","DESCONOCIDO")))</f>
        <v>SI</v>
      </c>
      <c r="AP681" t="str">
        <f>IF(AND(ISNUMBER(SEARCH("IMPORTAR",AA681)),ISNUMBER(SEARCH("FABRICAR",AA681))),"MIXTO",IF(ISNUMBER(SEARCH("IMPORTAR",AA681)),"IMPORTADO",IF(ISNUMBER(SEARCH("FABRICAR",AA681)),"LOCAL","OTRO")))</f>
        <v>IMPORTADO</v>
      </c>
      <c r="AQ681" t="str">
        <f>IF(AD681="Si","SI",IF(AD681="No","NO",""))</f>
        <v>NO</v>
      </c>
      <c r="AR681" t="str">
        <f>IF(ISNUMBER(SEARCH("®",N681)),"MARCA/INNOVADOR","GENERICO")</f>
        <v>MARCA/INNOVADOR</v>
      </c>
      <c r="AS681">
        <f ca="1">IF(AE681&gt;100,RANDBETWEEN(500,5000),IF(AND(AE681&gt;=10,AE681&lt;=100),RANDBETWEEN(100,1000),RANDBETWEEN(10,200)))</f>
        <v>650</v>
      </c>
      <c r="AT681">
        <f t="shared" ca="1" si="52"/>
        <v>104</v>
      </c>
      <c r="AU681">
        <f ca="1">INT(AS681*RANDBETWEEN(120,200)/100)</f>
        <v>838</v>
      </c>
      <c r="AV681" s="2">
        <f ca="1">IF(LEFT(Y681,1)="L",RANDBETWEEN(500000,5000000),IF(LEFT(Y681,1)="C",RANDBETWEEN(5000,50000),IF(LEFT(Y681,1)="N",RANDBETWEEN(10000,150000),IF(LEFT(Y681,1)="J",RANDBETWEEN(8000,200000),RANDBETWEEN(5000,100000)))))</f>
        <v>6725</v>
      </c>
      <c r="AW681" s="2">
        <f ca="1">INT(AV681*RANDBETWEEN(30,60)/100)</f>
        <v>2959</v>
      </c>
      <c r="AX681">
        <f ca="1">IF(Z681="ORAL",RANDBETWEEN(1000,10000),IF(OR(Z681="INTRAVENOSA",Z681="INTRAMUSCULAR"),RANDBETWEEN(100,2000),IF(OR(Z681="OFTÁLMICA",Z681="TOPICA (EXTERNA)"),RANDBETWEEN(200,3000),RANDBETWEEN(100,1500))))</f>
        <v>2404</v>
      </c>
      <c r="AY681" s="2">
        <f ca="1">INT(AV681*RANDBETWEEN(90,130)/100)</f>
        <v>7868</v>
      </c>
      <c r="AZ681" t="str">
        <f t="shared" ca="1" si="53"/>
        <v>22.7%</v>
      </c>
      <c r="BA681" t="str">
        <f t="shared" ca="1" si="54"/>
        <v>BAJO</v>
      </c>
    </row>
    <row r="682" spans="4:53" x14ac:dyDescent="0.35">
      <c r="D682" t="s">
        <v>4525</v>
      </c>
      <c r="E682" s="1">
        <v>37460</v>
      </c>
      <c r="F682" t="s">
        <v>4526</v>
      </c>
      <c r="G682" t="s">
        <v>108</v>
      </c>
      <c r="H682" t="s">
        <v>1205</v>
      </c>
      <c r="I682">
        <v>19925167</v>
      </c>
      <c r="J682" t="s">
        <v>110</v>
      </c>
      <c r="K682">
        <v>9</v>
      </c>
      <c r="L682" t="s">
        <v>27</v>
      </c>
      <c r="M682" t="s">
        <v>2526</v>
      </c>
      <c r="N682" t="s">
        <v>2527</v>
      </c>
      <c r="O682" t="s">
        <v>4527</v>
      </c>
      <c r="P682" t="s">
        <v>4528</v>
      </c>
      <c r="Q682" s="1">
        <v>41236</v>
      </c>
      <c r="R682" t="s">
        <v>78</v>
      </c>
      <c r="S682" t="s">
        <v>27</v>
      </c>
      <c r="T682" t="s">
        <v>991</v>
      </c>
      <c r="U682" t="s">
        <v>247</v>
      </c>
      <c r="V682" t="s">
        <v>1362</v>
      </c>
      <c r="W682" t="s">
        <v>4529</v>
      </c>
      <c r="X682">
        <v>19925167</v>
      </c>
      <c r="Y682" t="s">
        <v>1363</v>
      </c>
      <c r="Z682" t="s">
        <v>119</v>
      </c>
      <c r="AA682" t="s">
        <v>24</v>
      </c>
      <c r="AB682" t="s">
        <v>250</v>
      </c>
      <c r="AC682" t="s">
        <v>25</v>
      </c>
      <c r="AD682" t="s">
        <v>121</v>
      </c>
      <c r="AE682">
        <v>1</v>
      </c>
      <c r="AF682" t="s">
        <v>27</v>
      </c>
      <c r="AG682" t="s">
        <v>26</v>
      </c>
      <c r="AH682" t="s">
        <v>6824</v>
      </c>
      <c r="AI682" t="str">
        <f t="shared" si="50"/>
        <v>SI</v>
      </c>
      <c r="AJ682" t="str">
        <f t="shared" si="51"/>
        <v>FARMA DE COLOMBIA</v>
      </c>
      <c r="AK682" t="str">
        <f>IF(ISNUMBER(SEARCH("FABRICANTE",AC682)),"FABRICANTE",IF(ISNUMBER(SEARCH("IMPORTADOR",AC682)),"IMPORTADOR","OTRO"))</f>
        <v>FABRICANTE</v>
      </c>
      <c r="AL682" t="str">
        <f>IF(LEFT(Y682,1)="A","Sistema digestivo",IF(LEFT(Y682,1)="B","Sangre",IF(LEFT(Y682,1)="C","Cardiovascular",IF(LEFT(Y682,1)="D","Dermatológico",IF(LEFT(Y682,1)="G","Genitourinario",IF(LEFT(Y682,1)="H","Hormonal",IF(LEFT(Y682,1)="J","Antiinfecciosos",IF(LEFT(Y682,1)="L","Oncológicos",IF(LEFT(Y682,1)="M","Musculoesquelético",IF(LEFT(Y682,1)="N","Sistema nervioso",IF(LEFT(Y682,1)="R","Respiratorio",IF(LEFT(Y682,1)="S","Oftálmico",IF(LEFT(Y682,1)="V","Varios","OTRO")))))))))))))</f>
        <v>Sistema digestivo</v>
      </c>
      <c r="AM682" t="str">
        <f>IF(AG682="Vigente","ACTIVO",IF(ISNUMBER(SEARCH("Inactivo",J682)),"INACTIVO","REVISAR"))</f>
        <v>ACTIVO</v>
      </c>
      <c r="AN682" t="str">
        <f ca="1">IF(OR(AF682="",AF682="null"),"",ROUND((AF682-TODAY())/365.25,2))</f>
        <v/>
      </c>
      <c r="AO682" t="str">
        <f ca="1">IF(AND(AG682="Vigente",OR(AF682="",AF682="null",AF682&gt;TODAY())),"SI",IF(AND(NOT(OR(AF682="",AF682="null")),AF682&lt;=TODAY()),"NO",IF(AG682="Vigente","SI","DESCONOCIDO")))</f>
        <v>SI</v>
      </c>
      <c r="AP682" t="str">
        <f>IF(AND(ISNUMBER(SEARCH("IMPORTAR",AA682)),ISNUMBER(SEARCH("FABRICAR",AA682))),"MIXTO",IF(ISNUMBER(SEARCH("IMPORTAR",AA682)),"IMPORTADO",IF(ISNUMBER(SEARCH("FABRICAR",AA682)),"LOCAL","OTRO")))</f>
        <v>LOCAL</v>
      </c>
      <c r="AQ682" t="str">
        <f>IF(AD682="Si","SI",IF(AD682="No","NO",""))</f>
        <v>NO</v>
      </c>
      <c r="AR682" t="str">
        <f>IF(ISNUMBER(SEARCH("®",N682)),"MARCA/INNOVADOR","GENERICO")</f>
        <v>MARCA/INNOVADOR</v>
      </c>
      <c r="AS682">
        <f ca="1">IF(AE682&gt;100,RANDBETWEEN(500,5000),IF(AND(AE682&gt;=10,AE682&lt;=100),RANDBETWEEN(100,1000),RANDBETWEEN(10,200)))</f>
        <v>19</v>
      </c>
      <c r="AT682">
        <f t="shared" ca="1" si="52"/>
        <v>3</v>
      </c>
      <c r="AU682">
        <f ca="1">INT(AS682*RANDBETWEEN(120,200)/100)</f>
        <v>35</v>
      </c>
      <c r="AV682" s="2">
        <f ca="1">IF(LEFT(Y682,1)="L",RANDBETWEEN(500000,5000000),IF(LEFT(Y682,1)="C",RANDBETWEEN(5000,50000),IF(LEFT(Y682,1)="N",RANDBETWEEN(10000,150000),IF(LEFT(Y682,1)="J",RANDBETWEEN(8000,200000),RANDBETWEEN(5000,100000)))))</f>
        <v>31418</v>
      </c>
      <c r="AW682" s="2">
        <f ca="1">INT(AV682*RANDBETWEEN(30,60)/100)</f>
        <v>14138</v>
      </c>
      <c r="AX682">
        <f ca="1">IF(Z682="ORAL",RANDBETWEEN(1000,10000),IF(OR(Z682="INTRAVENOSA",Z682="INTRAMUSCULAR"),RANDBETWEEN(100,2000),IF(OR(Z682="OFTÁLMICA",Z682="TOPICA (EXTERNA)"),RANDBETWEEN(200,3000),RANDBETWEEN(100,1500))))</f>
        <v>2344</v>
      </c>
      <c r="AY682" s="2">
        <f ca="1">INT(AV682*RANDBETWEEN(90,130)/100)</f>
        <v>30475</v>
      </c>
      <c r="AZ682" t="str">
        <f t="shared" ca="1" si="53"/>
        <v>24.4%</v>
      </c>
      <c r="BA682" t="str">
        <f t="shared" ca="1" si="54"/>
        <v>ALTO</v>
      </c>
    </row>
    <row r="683" spans="4:53" x14ac:dyDescent="0.35">
      <c r="D683" t="s">
        <v>4530</v>
      </c>
      <c r="E683" s="1">
        <v>36161</v>
      </c>
      <c r="F683" t="s">
        <v>3246</v>
      </c>
      <c r="G683" t="s">
        <v>108</v>
      </c>
      <c r="H683" t="s">
        <v>2071</v>
      </c>
      <c r="I683">
        <v>38369</v>
      </c>
      <c r="J683" t="s">
        <v>28</v>
      </c>
      <c r="K683">
        <v>32</v>
      </c>
      <c r="L683" t="s">
        <v>27</v>
      </c>
      <c r="M683" t="s">
        <v>3247</v>
      </c>
      <c r="N683" t="s">
        <v>3248</v>
      </c>
      <c r="O683" t="s">
        <v>4531</v>
      </c>
      <c r="P683" t="s">
        <v>659</v>
      </c>
      <c r="Q683" s="1">
        <v>42800</v>
      </c>
      <c r="R683" t="s">
        <v>37</v>
      </c>
      <c r="S683" t="s">
        <v>27</v>
      </c>
      <c r="T683" t="s">
        <v>172</v>
      </c>
      <c r="U683" t="s">
        <v>115</v>
      </c>
      <c r="V683" t="s">
        <v>3250</v>
      </c>
      <c r="W683">
        <v>20</v>
      </c>
      <c r="X683">
        <v>38369</v>
      </c>
      <c r="Y683" t="s">
        <v>3251</v>
      </c>
      <c r="Z683" t="s">
        <v>119</v>
      </c>
      <c r="AA683" t="s">
        <v>24</v>
      </c>
      <c r="AB683" t="s">
        <v>120</v>
      </c>
      <c r="AC683" t="s">
        <v>25</v>
      </c>
      <c r="AD683" t="s">
        <v>121</v>
      </c>
      <c r="AE683">
        <v>100</v>
      </c>
      <c r="AF683" t="s">
        <v>27</v>
      </c>
      <c r="AG683" t="s">
        <v>26</v>
      </c>
      <c r="AH683" t="s">
        <v>3250</v>
      </c>
      <c r="AI683" t="str">
        <f t="shared" si="50"/>
        <v>NO</v>
      </c>
      <c r="AJ683" t="str">
        <f t="shared" si="51"/>
        <v>NOVAMED</v>
      </c>
      <c r="AK683" t="str">
        <f>IF(ISNUMBER(SEARCH("FABRICANTE",AC683)),"FABRICANTE",IF(ISNUMBER(SEARCH("IMPORTADOR",AC683)),"IMPORTADOR","OTRO"))</f>
        <v>FABRICANTE</v>
      </c>
      <c r="AL683" t="str">
        <f>IF(LEFT(Y683,1)="A","Sistema digestivo",IF(LEFT(Y683,1)="B","Sangre",IF(LEFT(Y683,1)="C","Cardiovascular",IF(LEFT(Y683,1)="D","Dermatológico",IF(LEFT(Y683,1)="G","Genitourinario",IF(LEFT(Y683,1)="H","Hormonal",IF(LEFT(Y683,1)="J","Antiinfecciosos",IF(LEFT(Y683,1)="L","Oncológicos",IF(LEFT(Y683,1)="M","Musculoesquelético",IF(LEFT(Y683,1)="N","Sistema nervioso",IF(LEFT(Y683,1)="R","Respiratorio",IF(LEFT(Y683,1)="S","Oftálmico",IF(LEFT(Y683,1)="V","Varios","OTRO")))))))))))))</f>
        <v>Sistema nervioso</v>
      </c>
      <c r="AM683" t="str">
        <f>IF(AG683="Vigente","ACTIVO",IF(ISNUMBER(SEARCH("Inactivo",J683)),"INACTIVO","REVISAR"))</f>
        <v>ACTIVO</v>
      </c>
      <c r="AN683" t="str">
        <f ca="1">IF(OR(AF683="",AF683="null"),"",ROUND((AF683-TODAY())/365.25,2))</f>
        <v/>
      </c>
      <c r="AO683" t="str">
        <f ca="1">IF(AND(AG683="Vigente",OR(AF683="",AF683="null",AF683&gt;TODAY())),"SI",IF(AND(NOT(OR(AF683="",AF683="null")),AF683&lt;=TODAY()),"NO",IF(AG683="Vigente","SI","DESCONOCIDO")))</f>
        <v>SI</v>
      </c>
      <c r="AP683" t="str">
        <f>IF(AND(ISNUMBER(SEARCH("IMPORTAR",AA683)),ISNUMBER(SEARCH("FABRICAR",AA683))),"MIXTO",IF(ISNUMBER(SEARCH("IMPORTAR",AA683)),"IMPORTADO",IF(ISNUMBER(SEARCH("FABRICAR",AA683)),"LOCAL","OTRO")))</f>
        <v>LOCAL</v>
      </c>
      <c r="AQ683" t="str">
        <f>IF(AD683="Si","SI",IF(AD683="No","NO",""))</f>
        <v>NO</v>
      </c>
      <c r="AR683" t="str">
        <f>IF(ISNUMBER(SEARCH("®",N683)),"MARCA/INNOVADOR","GENERICO")</f>
        <v>MARCA/INNOVADOR</v>
      </c>
      <c r="AS683">
        <f ca="1">IF(AE683&gt;100,RANDBETWEEN(500,5000),IF(AND(AE683&gt;=10,AE683&lt;=100),RANDBETWEEN(100,1000),RANDBETWEEN(10,200)))</f>
        <v>337</v>
      </c>
      <c r="AT683">
        <f t="shared" ca="1" si="52"/>
        <v>74</v>
      </c>
      <c r="AU683">
        <f ca="1">INT(AS683*RANDBETWEEN(120,200)/100)</f>
        <v>559</v>
      </c>
      <c r="AV683" s="2">
        <f ca="1">IF(LEFT(Y683,1)="L",RANDBETWEEN(500000,5000000),IF(LEFT(Y683,1)="C",RANDBETWEEN(5000,50000),IF(LEFT(Y683,1)="N",RANDBETWEEN(10000,150000),IF(LEFT(Y683,1)="J",RANDBETWEEN(8000,200000),RANDBETWEEN(5000,100000)))))</f>
        <v>122139</v>
      </c>
      <c r="AW683" s="2">
        <f ca="1">INT(AV683*RANDBETWEEN(30,60)/100)</f>
        <v>40305</v>
      </c>
      <c r="AX683">
        <f ca="1">IF(Z683="ORAL",RANDBETWEEN(1000,10000),IF(OR(Z683="INTRAVENOSA",Z683="INTRAMUSCULAR"),RANDBETWEEN(100,2000),IF(OR(Z683="OFTÁLMICA",Z683="TOPICA (EXTERNA)"),RANDBETWEEN(200,3000),RANDBETWEEN(100,1500))))</f>
        <v>3154</v>
      </c>
      <c r="AY683" s="2">
        <f ca="1">INT(AV683*RANDBETWEEN(90,130)/100)</f>
        <v>147788</v>
      </c>
      <c r="AZ683" t="str">
        <f t="shared" ca="1" si="53"/>
        <v>22.1%</v>
      </c>
      <c r="BA683" t="str">
        <f t="shared" ca="1" si="54"/>
        <v>BAJO</v>
      </c>
    </row>
    <row r="684" spans="4:53" x14ac:dyDescent="0.35">
      <c r="D684" t="s">
        <v>4532</v>
      </c>
      <c r="E684" s="1">
        <v>43473</v>
      </c>
      <c r="F684" t="s">
        <v>4533</v>
      </c>
      <c r="G684" t="s">
        <v>108</v>
      </c>
      <c r="H684" t="s">
        <v>2296</v>
      </c>
      <c r="I684">
        <v>20117351</v>
      </c>
      <c r="J684" t="s">
        <v>28</v>
      </c>
      <c r="K684">
        <v>9</v>
      </c>
      <c r="L684" t="s">
        <v>4534</v>
      </c>
      <c r="M684" t="s">
        <v>4535</v>
      </c>
      <c r="N684" t="s">
        <v>4536</v>
      </c>
      <c r="O684" t="s">
        <v>4537</v>
      </c>
      <c r="P684" t="s">
        <v>4538</v>
      </c>
      <c r="Q684" s="1">
        <v>43452</v>
      </c>
      <c r="R684" t="s">
        <v>151</v>
      </c>
      <c r="S684" t="s">
        <v>27</v>
      </c>
      <c r="T684" t="s">
        <v>650</v>
      </c>
      <c r="U684" t="s">
        <v>115</v>
      </c>
      <c r="V684" t="s">
        <v>4539</v>
      </c>
      <c r="W684" t="s">
        <v>4094</v>
      </c>
      <c r="X684">
        <v>20117351</v>
      </c>
      <c r="Y684" t="s">
        <v>4540</v>
      </c>
      <c r="Z684" t="s">
        <v>154</v>
      </c>
      <c r="AA684" t="s">
        <v>24</v>
      </c>
      <c r="AB684" t="s">
        <v>133</v>
      </c>
      <c r="AC684" t="s">
        <v>25</v>
      </c>
      <c r="AD684" t="s">
        <v>121</v>
      </c>
      <c r="AE684">
        <v>1</v>
      </c>
      <c r="AF684" t="s">
        <v>27</v>
      </c>
      <c r="AG684" t="s">
        <v>26</v>
      </c>
      <c r="AH684" t="s">
        <v>4533</v>
      </c>
      <c r="AI684" t="str">
        <f t="shared" si="50"/>
        <v>NO</v>
      </c>
      <c r="AJ684" t="str">
        <f t="shared" si="51"/>
        <v>QUIRUPOS</v>
      </c>
      <c r="AK684" t="str">
        <f>IF(ISNUMBER(SEARCH("FABRICANTE",AC684)),"FABRICANTE",IF(ISNUMBER(SEARCH("IMPORTADOR",AC684)),"IMPORTADOR","OTRO"))</f>
        <v>FABRICANTE</v>
      </c>
      <c r="AL684" t="str">
        <f>IF(LEFT(Y684,1)="A","Sistema digestivo",IF(LEFT(Y684,1)="B","Sangre",IF(LEFT(Y684,1)="C","Cardiovascular",IF(LEFT(Y684,1)="D","Dermatológico",IF(LEFT(Y684,1)="G","Genitourinario",IF(LEFT(Y684,1)="H","Hormonal",IF(LEFT(Y684,1)="J","Antiinfecciosos",IF(LEFT(Y684,1)="L","Oncológicos",IF(LEFT(Y684,1)="M","Musculoesquelético",IF(LEFT(Y684,1)="N","Sistema nervioso",IF(LEFT(Y684,1)="R","Respiratorio",IF(LEFT(Y684,1)="S","Oftálmico",IF(LEFT(Y684,1)="V","Varios","OTRO")))))))))))))</f>
        <v>Oftálmico</v>
      </c>
      <c r="AM684" t="str">
        <f>IF(AG684="Vigente","ACTIVO",IF(ISNUMBER(SEARCH("Inactivo",J684)),"INACTIVO","REVISAR"))</f>
        <v>ACTIVO</v>
      </c>
      <c r="AN684" t="str">
        <f ca="1">IF(OR(AF684="",AF684="null"),"",ROUND((AF684-TODAY())/365.25,2))</f>
        <v/>
      </c>
      <c r="AO684" t="str">
        <f ca="1">IF(AND(AG684="Vigente",OR(AF684="",AF684="null",AF684&gt;TODAY())),"SI",IF(AND(NOT(OR(AF684="",AF684="null")),AF684&lt;=TODAY()),"NO",IF(AG684="Vigente","SI","DESCONOCIDO")))</f>
        <v>SI</v>
      </c>
      <c r="AP684" t="str">
        <f>IF(AND(ISNUMBER(SEARCH("IMPORTAR",AA684)),ISNUMBER(SEARCH("FABRICAR",AA684))),"MIXTO",IF(ISNUMBER(SEARCH("IMPORTAR",AA684)),"IMPORTADO",IF(ISNUMBER(SEARCH("FABRICAR",AA684)),"LOCAL","OTRO")))</f>
        <v>LOCAL</v>
      </c>
      <c r="AQ684" t="str">
        <f>IF(AD684="Si","SI",IF(AD684="No","NO",""))</f>
        <v>NO</v>
      </c>
      <c r="AR684" t="str">
        <f>IF(ISNUMBER(SEARCH("®",N684)),"MARCA/INNOVADOR","GENERICO")</f>
        <v>GENERICO</v>
      </c>
      <c r="AS684">
        <f ca="1">IF(AE684&gt;100,RANDBETWEEN(500,5000),IF(AND(AE684&gt;=10,AE684&lt;=100),RANDBETWEEN(100,1000),RANDBETWEEN(10,200)))</f>
        <v>43</v>
      </c>
      <c r="AT684">
        <f t="shared" ca="1" si="52"/>
        <v>10</v>
      </c>
      <c r="AU684">
        <f ca="1">INT(AS684*RANDBETWEEN(120,200)/100)</f>
        <v>55</v>
      </c>
      <c r="AV684" s="2">
        <f ca="1">IF(LEFT(Y684,1)="L",RANDBETWEEN(500000,5000000),IF(LEFT(Y684,1)="C",RANDBETWEEN(5000,50000),IF(LEFT(Y684,1)="N",RANDBETWEEN(10000,150000),IF(LEFT(Y684,1)="J",RANDBETWEEN(8000,200000),RANDBETWEEN(5000,100000)))))</f>
        <v>13276</v>
      </c>
      <c r="AW684" s="2">
        <f ca="1">INT(AV684*RANDBETWEEN(30,60)/100)</f>
        <v>7169</v>
      </c>
      <c r="AX684">
        <f ca="1">IF(Z684="ORAL",RANDBETWEEN(1000,10000),IF(OR(Z684="INTRAVENOSA",Z684="INTRAMUSCULAR"),RANDBETWEEN(100,2000),IF(OR(Z684="OFTÁLMICA",Z684="TOPICA (EXTERNA)"),RANDBETWEEN(200,3000),RANDBETWEEN(100,1500))))</f>
        <v>784</v>
      </c>
      <c r="AY684" s="2">
        <f ca="1">INT(AV684*RANDBETWEEN(90,130)/100)</f>
        <v>11948</v>
      </c>
      <c r="AZ684" t="str">
        <f t="shared" ca="1" si="53"/>
        <v>13.1%</v>
      </c>
      <c r="BA684" t="str">
        <f t="shared" ca="1" si="54"/>
        <v>BAJO</v>
      </c>
    </row>
    <row r="685" spans="4:53" x14ac:dyDescent="0.35">
      <c r="D685" t="s">
        <v>4541</v>
      </c>
      <c r="E685" s="1">
        <v>40106</v>
      </c>
      <c r="F685" t="s">
        <v>4542</v>
      </c>
      <c r="G685" t="s">
        <v>108</v>
      </c>
      <c r="H685" t="s">
        <v>4543</v>
      </c>
      <c r="I685">
        <v>20007638</v>
      </c>
      <c r="J685" t="s">
        <v>28</v>
      </c>
      <c r="K685">
        <v>9</v>
      </c>
      <c r="L685" t="s">
        <v>27</v>
      </c>
      <c r="M685" t="s">
        <v>4544</v>
      </c>
      <c r="N685" t="s">
        <v>4545</v>
      </c>
      <c r="O685" t="s">
        <v>4546</v>
      </c>
      <c r="P685" t="s">
        <v>29</v>
      </c>
      <c r="Q685" s="1">
        <v>44042</v>
      </c>
      <c r="R685" t="s">
        <v>29</v>
      </c>
      <c r="S685" t="s">
        <v>27</v>
      </c>
      <c r="T685" t="s">
        <v>464</v>
      </c>
      <c r="U685" t="s">
        <v>115</v>
      </c>
      <c r="V685" t="s">
        <v>4542</v>
      </c>
      <c r="W685">
        <v>25</v>
      </c>
      <c r="X685">
        <v>20007638</v>
      </c>
      <c r="Y685" t="s">
        <v>4547</v>
      </c>
      <c r="Z685" t="s">
        <v>119</v>
      </c>
      <c r="AA685" t="s">
        <v>32</v>
      </c>
      <c r="AB685" t="s">
        <v>120</v>
      </c>
      <c r="AC685" t="s">
        <v>25</v>
      </c>
      <c r="AD685" t="s">
        <v>155</v>
      </c>
      <c r="AE685">
        <v>10</v>
      </c>
      <c r="AF685" t="s">
        <v>27</v>
      </c>
      <c r="AG685" t="s">
        <v>26</v>
      </c>
      <c r="AH685" t="s">
        <v>4542</v>
      </c>
      <c r="AI685" t="str">
        <f t="shared" si="50"/>
        <v>NO</v>
      </c>
      <c r="AJ685" t="str">
        <f t="shared" si="51"/>
        <v>MEGALABS COLOMBIA</v>
      </c>
      <c r="AK685" t="str">
        <f>IF(ISNUMBER(SEARCH("FABRICANTE",AC685)),"FABRICANTE",IF(ISNUMBER(SEARCH("IMPORTADOR",AC685)),"IMPORTADOR","OTRO"))</f>
        <v>FABRICANTE</v>
      </c>
      <c r="AL685" t="str">
        <f>IF(LEFT(Y685,1)="A","Sistema digestivo",IF(LEFT(Y685,1)="B","Sangre",IF(LEFT(Y685,1)="C","Cardiovascular",IF(LEFT(Y685,1)="D","Dermatológico",IF(LEFT(Y685,1)="G","Genitourinario",IF(LEFT(Y685,1)="H","Hormonal",IF(LEFT(Y685,1)="J","Antiinfecciosos",IF(LEFT(Y685,1)="L","Oncológicos",IF(LEFT(Y685,1)="M","Musculoesquelético",IF(LEFT(Y685,1)="N","Sistema nervioso",IF(LEFT(Y685,1)="R","Respiratorio",IF(LEFT(Y685,1)="S","Oftálmico",IF(LEFT(Y685,1)="V","Varios","OTRO")))))))))))))</f>
        <v>Sistema nervioso</v>
      </c>
      <c r="AM685" t="str">
        <f>IF(AG685="Vigente","ACTIVO",IF(ISNUMBER(SEARCH("Inactivo",J685)),"INACTIVO","REVISAR"))</f>
        <v>ACTIVO</v>
      </c>
      <c r="AN685" t="str">
        <f ca="1">IF(OR(AF685="",AF685="null"),"",ROUND((AF685-TODAY())/365.25,2))</f>
        <v/>
      </c>
      <c r="AO685" t="str">
        <f ca="1">IF(AND(AG685="Vigente",OR(AF685="",AF685="null",AF685&gt;TODAY())),"SI",IF(AND(NOT(OR(AF685="",AF685="null")),AF685&lt;=TODAY()),"NO",IF(AG685="Vigente","SI","DESCONOCIDO")))</f>
        <v>SI</v>
      </c>
      <c r="AP685" t="str">
        <f>IF(AND(ISNUMBER(SEARCH("IMPORTAR",AA685)),ISNUMBER(SEARCH("FABRICAR",AA685))),"MIXTO",IF(ISNUMBER(SEARCH("IMPORTAR",AA685)),"IMPORTADO",IF(ISNUMBER(SEARCH("FABRICAR",AA685)),"LOCAL","OTRO")))</f>
        <v>IMPORTADO</v>
      </c>
      <c r="AQ685" t="str">
        <f>IF(AD685="Si","SI",IF(AD685="No","NO",""))</f>
        <v>SI</v>
      </c>
      <c r="AR685" t="str">
        <f>IF(ISNUMBER(SEARCH("®",N685)),"MARCA/INNOVADOR","GENERICO")</f>
        <v>GENERICO</v>
      </c>
      <c r="AS685">
        <f ca="1">IF(AE685&gt;100,RANDBETWEEN(500,5000),IF(AND(AE685&gt;=10,AE685&lt;=100),RANDBETWEEN(100,1000),RANDBETWEEN(10,200)))</f>
        <v>108</v>
      </c>
      <c r="AT685">
        <f t="shared" ca="1" si="52"/>
        <v>31</v>
      </c>
      <c r="AU685">
        <f ca="1">INT(AS685*RANDBETWEEN(120,200)/100)</f>
        <v>194</v>
      </c>
      <c r="AV685" s="2">
        <f ca="1">IF(LEFT(Y685,1)="L",RANDBETWEEN(500000,5000000),IF(LEFT(Y685,1)="C",RANDBETWEEN(5000,50000),IF(LEFT(Y685,1)="N",RANDBETWEEN(10000,150000),IF(LEFT(Y685,1)="J",RANDBETWEEN(8000,200000),RANDBETWEEN(5000,100000)))))</f>
        <v>117388</v>
      </c>
      <c r="AW685" s="2">
        <f ca="1">INT(AV685*RANDBETWEEN(30,60)/100)</f>
        <v>63389</v>
      </c>
      <c r="AX685">
        <f ca="1">IF(Z685="ORAL",RANDBETWEEN(1000,10000),IF(OR(Z685="INTRAVENOSA",Z685="INTRAMUSCULAR"),RANDBETWEEN(100,2000),IF(OR(Z685="OFTÁLMICA",Z685="TOPICA (EXTERNA)"),RANDBETWEEN(200,3000),RANDBETWEEN(100,1500))))</f>
        <v>9571</v>
      </c>
      <c r="AY685" s="2">
        <f ca="1">INT(AV685*RANDBETWEEN(90,130)/100)</f>
        <v>126779</v>
      </c>
      <c r="AZ685" t="str">
        <f t="shared" ca="1" si="53"/>
        <v>14%</v>
      </c>
      <c r="BA685" t="str">
        <f t="shared" ca="1" si="54"/>
        <v>BAJO</v>
      </c>
    </row>
    <row r="686" spans="4:53" x14ac:dyDescent="0.35">
      <c r="D686" t="s">
        <v>4548</v>
      </c>
      <c r="E686" s="1">
        <v>40318</v>
      </c>
      <c r="F686" t="s">
        <v>1303</v>
      </c>
      <c r="G686" t="s">
        <v>247</v>
      </c>
      <c r="H686" t="s">
        <v>710</v>
      </c>
      <c r="I686">
        <v>20014120</v>
      </c>
      <c r="J686" t="s">
        <v>110</v>
      </c>
      <c r="K686">
        <v>5</v>
      </c>
      <c r="L686" t="s">
        <v>27</v>
      </c>
      <c r="M686" t="s">
        <v>3013</v>
      </c>
      <c r="N686" t="s">
        <v>3014</v>
      </c>
      <c r="O686" t="s">
        <v>4549</v>
      </c>
      <c r="P686" t="s">
        <v>97</v>
      </c>
      <c r="Q686" s="1">
        <v>43642</v>
      </c>
      <c r="R686" t="s">
        <v>2301</v>
      </c>
      <c r="S686" s="1">
        <v>43810</v>
      </c>
      <c r="T686" t="s">
        <v>3016</v>
      </c>
      <c r="U686" t="s">
        <v>247</v>
      </c>
      <c r="V686" t="s">
        <v>1303</v>
      </c>
      <c r="W686">
        <v>2</v>
      </c>
      <c r="X686">
        <v>20014120</v>
      </c>
      <c r="Y686" t="s">
        <v>1785</v>
      </c>
      <c r="Z686" t="s">
        <v>1305</v>
      </c>
      <c r="AA686" t="s">
        <v>24</v>
      </c>
      <c r="AB686" t="s">
        <v>653</v>
      </c>
      <c r="AC686" t="s">
        <v>25</v>
      </c>
      <c r="AD686" t="s">
        <v>121</v>
      </c>
      <c r="AE686">
        <v>40</v>
      </c>
      <c r="AF686" t="s">
        <v>27</v>
      </c>
      <c r="AG686" t="s">
        <v>26</v>
      </c>
      <c r="AH686" t="s">
        <v>1303</v>
      </c>
      <c r="AI686" t="str">
        <f t="shared" si="50"/>
        <v>NO</v>
      </c>
      <c r="AJ686" t="str">
        <f t="shared" si="51"/>
        <v>NATURALMENTE NF</v>
      </c>
      <c r="AK686" t="str">
        <f>IF(ISNUMBER(SEARCH("FABRICANTE",AC686)),"FABRICANTE",IF(ISNUMBER(SEARCH("IMPORTADOR",AC686)),"IMPORTADOR","OTRO"))</f>
        <v>FABRICANTE</v>
      </c>
      <c r="AL686" t="str">
        <f>IF(LEFT(Y686,1)="A","Sistema digestivo",IF(LEFT(Y686,1)="B","Sangre",IF(LEFT(Y686,1)="C","Cardiovascular",IF(LEFT(Y686,1)="D","Dermatológico",IF(LEFT(Y686,1)="G","Genitourinario",IF(LEFT(Y686,1)="H","Hormonal",IF(LEFT(Y686,1)="J","Antiinfecciosos",IF(LEFT(Y686,1)="L","Oncológicos",IF(LEFT(Y686,1)="M","Musculoesquelético",IF(LEFT(Y686,1)="N","Sistema nervioso",IF(LEFT(Y686,1)="R","Respiratorio",IF(LEFT(Y686,1)="S","Oftálmico",IF(LEFT(Y686,1)="V","Varios","OTRO")))))))))))))</f>
        <v>Sistema digestivo</v>
      </c>
      <c r="AM686" t="str">
        <f>IF(AG686="Vigente","ACTIVO",IF(ISNUMBER(SEARCH("Inactivo",J686)),"INACTIVO","REVISAR"))</f>
        <v>ACTIVO</v>
      </c>
      <c r="AN686" t="str">
        <f ca="1">IF(OR(AF686="",AF686="null"),"",ROUND((AF686-TODAY())/365.25,2))</f>
        <v/>
      </c>
      <c r="AO686" t="str">
        <f ca="1">IF(AND(AG686="Vigente",OR(AF686="",AF686="null",AF686&gt;TODAY())),"SI",IF(AND(NOT(OR(AF686="",AF686="null")),AF686&lt;=TODAY()),"NO",IF(AG686="Vigente","SI","DESCONOCIDO")))</f>
        <v>SI</v>
      </c>
      <c r="AP686" t="str">
        <f>IF(AND(ISNUMBER(SEARCH("IMPORTAR",AA686)),ISNUMBER(SEARCH("FABRICAR",AA686))),"MIXTO",IF(ISNUMBER(SEARCH("IMPORTAR",AA686)),"IMPORTADO",IF(ISNUMBER(SEARCH("FABRICAR",AA686)),"LOCAL","OTRO")))</f>
        <v>LOCAL</v>
      </c>
      <c r="AQ686" t="str">
        <f>IF(AD686="Si","SI",IF(AD686="No","NO",""))</f>
        <v>NO</v>
      </c>
      <c r="AR686" t="str">
        <f>IF(ISNUMBER(SEARCH("®",N686)),"MARCA/INNOVADOR","GENERICO")</f>
        <v>GENERICO</v>
      </c>
      <c r="AS686">
        <f ca="1">IF(AE686&gt;100,RANDBETWEEN(500,5000),IF(AND(AE686&gt;=10,AE686&lt;=100),RANDBETWEEN(100,1000),RANDBETWEEN(10,200)))</f>
        <v>791</v>
      </c>
      <c r="AT686">
        <f t="shared" ca="1" si="52"/>
        <v>118</v>
      </c>
      <c r="AU686">
        <f ca="1">INT(AS686*RANDBETWEEN(120,200)/100)</f>
        <v>972</v>
      </c>
      <c r="AV686" s="2">
        <f ca="1">IF(LEFT(Y686,1)="L",RANDBETWEEN(500000,5000000),IF(LEFT(Y686,1)="C",RANDBETWEEN(5000,50000),IF(LEFT(Y686,1)="N",RANDBETWEEN(10000,150000),IF(LEFT(Y686,1)="J",RANDBETWEEN(8000,200000),RANDBETWEEN(5000,100000)))))</f>
        <v>62850</v>
      </c>
      <c r="AW686" s="2">
        <f ca="1">INT(AV686*RANDBETWEEN(30,60)/100)</f>
        <v>18855</v>
      </c>
      <c r="AX686">
        <f ca="1">IF(Z686="ORAL",RANDBETWEEN(1000,10000),IF(OR(Z686="INTRAVENOSA",Z686="INTRAMUSCULAR"),RANDBETWEEN(100,2000),IF(OR(Z686="OFTÁLMICA",Z686="TOPICA (EXTERNA)"),RANDBETWEEN(200,3000),RANDBETWEEN(100,1500))))</f>
        <v>110</v>
      </c>
      <c r="AY686" s="2">
        <f ca="1">INT(AV686*RANDBETWEEN(90,130)/100)</f>
        <v>67878</v>
      </c>
      <c r="AZ686" t="str">
        <f t="shared" ca="1" si="53"/>
        <v>7.3%</v>
      </c>
      <c r="BA686" t="str">
        <f t="shared" ca="1" si="54"/>
        <v>ALTO</v>
      </c>
    </row>
    <row r="687" spans="4:53" x14ac:dyDescent="0.35">
      <c r="D687" t="s">
        <v>4550</v>
      </c>
      <c r="E687" s="1">
        <v>34701</v>
      </c>
      <c r="F687" t="s">
        <v>2274</v>
      </c>
      <c r="G687" t="s">
        <v>108</v>
      </c>
      <c r="H687" t="s">
        <v>4551</v>
      </c>
      <c r="I687">
        <v>50476</v>
      </c>
      <c r="J687" t="s">
        <v>28</v>
      </c>
      <c r="K687">
        <v>5</v>
      </c>
      <c r="L687" t="s">
        <v>27</v>
      </c>
      <c r="M687" t="s">
        <v>4233</v>
      </c>
      <c r="N687" t="s">
        <v>4234</v>
      </c>
      <c r="O687" t="s">
        <v>4552</v>
      </c>
      <c r="P687" t="s">
        <v>4236</v>
      </c>
      <c r="Q687" s="1">
        <v>39031</v>
      </c>
      <c r="R687" t="s">
        <v>867</v>
      </c>
      <c r="S687" s="1">
        <v>44048</v>
      </c>
      <c r="T687" t="s">
        <v>3083</v>
      </c>
      <c r="U687" t="s">
        <v>247</v>
      </c>
      <c r="V687" t="s">
        <v>4237</v>
      </c>
      <c r="W687">
        <v>105</v>
      </c>
      <c r="X687">
        <v>50476</v>
      </c>
      <c r="Y687" t="s">
        <v>4239</v>
      </c>
      <c r="Z687" t="s">
        <v>119</v>
      </c>
      <c r="AA687" t="s">
        <v>32</v>
      </c>
      <c r="AB687" t="s">
        <v>120</v>
      </c>
      <c r="AC687" t="s">
        <v>25</v>
      </c>
      <c r="AD687" t="s">
        <v>121</v>
      </c>
      <c r="AE687">
        <v>4</v>
      </c>
      <c r="AF687" t="s">
        <v>27</v>
      </c>
      <c r="AG687" t="s">
        <v>26</v>
      </c>
      <c r="AH687" t="s">
        <v>6647</v>
      </c>
      <c r="AI687" t="str">
        <f t="shared" si="50"/>
        <v>NO</v>
      </c>
      <c r="AJ687" t="str">
        <f t="shared" si="51"/>
        <v>ASOFARMA DE MEXICO</v>
      </c>
      <c r="AK687" t="str">
        <f>IF(ISNUMBER(SEARCH("FABRICANTE",AC687)),"FABRICANTE",IF(ISNUMBER(SEARCH("IMPORTADOR",AC687)),"IMPORTADOR","OTRO"))</f>
        <v>FABRICANTE</v>
      </c>
      <c r="AL687" t="str">
        <f>IF(LEFT(Y687,1)="A","Sistema digestivo",IF(LEFT(Y687,1)="B","Sangre",IF(LEFT(Y687,1)="C","Cardiovascular",IF(LEFT(Y687,1)="D","Dermatológico",IF(LEFT(Y687,1)="G","Genitourinario",IF(LEFT(Y687,1)="H","Hormonal",IF(LEFT(Y687,1)="J","Antiinfecciosos",IF(LEFT(Y687,1)="L","Oncológicos",IF(LEFT(Y687,1)="M","Musculoesquelético",IF(LEFT(Y687,1)="N","Sistema nervioso",IF(LEFT(Y687,1)="R","Respiratorio",IF(LEFT(Y687,1)="S","Oftálmico",IF(LEFT(Y687,1)="V","Varios","OTRO")))))))))))))</f>
        <v>Sistema digestivo</v>
      </c>
      <c r="AM687" t="str">
        <f>IF(AG687="Vigente","ACTIVO",IF(ISNUMBER(SEARCH("Inactivo",J687)),"INACTIVO","REVISAR"))</f>
        <v>ACTIVO</v>
      </c>
      <c r="AN687" t="str">
        <f ca="1">IF(OR(AF687="",AF687="null"),"",ROUND((AF687-TODAY())/365.25,2))</f>
        <v/>
      </c>
      <c r="AO687" t="str">
        <f ca="1">IF(AND(AG687="Vigente",OR(AF687="",AF687="null",AF687&gt;TODAY())),"SI",IF(AND(NOT(OR(AF687="",AF687="null")),AF687&lt;=TODAY()),"NO",IF(AG687="Vigente","SI","DESCONOCIDO")))</f>
        <v>SI</v>
      </c>
      <c r="AP687" t="str">
        <f>IF(AND(ISNUMBER(SEARCH("IMPORTAR",AA687)),ISNUMBER(SEARCH("FABRICAR",AA687))),"MIXTO",IF(ISNUMBER(SEARCH("IMPORTAR",AA687)),"IMPORTADO",IF(ISNUMBER(SEARCH("FABRICAR",AA687)),"LOCAL","OTRO")))</f>
        <v>IMPORTADO</v>
      </c>
      <c r="AQ687" t="str">
        <f>IF(AD687="Si","SI",IF(AD687="No","NO",""))</f>
        <v>NO</v>
      </c>
      <c r="AR687" t="str">
        <f>IF(ISNUMBER(SEARCH("®",N687)),"MARCA/INNOVADOR","GENERICO")</f>
        <v>GENERICO</v>
      </c>
      <c r="AS687">
        <f ca="1">IF(AE687&gt;100,RANDBETWEEN(500,5000),IF(AND(AE687&gt;=10,AE687&lt;=100),RANDBETWEEN(100,1000),RANDBETWEEN(10,200)))</f>
        <v>188</v>
      </c>
      <c r="AT687">
        <f t="shared" ca="1" si="52"/>
        <v>33</v>
      </c>
      <c r="AU687">
        <f ca="1">INT(AS687*RANDBETWEEN(120,200)/100)</f>
        <v>332</v>
      </c>
      <c r="AV687" s="2">
        <f ca="1">IF(LEFT(Y687,1)="L",RANDBETWEEN(500000,5000000),IF(LEFT(Y687,1)="C",RANDBETWEEN(5000,50000),IF(LEFT(Y687,1)="N",RANDBETWEEN(10000,150000),IF(LEFT(Y687,1)="J",RANDBETWEEN(8000,200000),RANDBETWEEN(5000,100000)))))</f>
        <v>9648</v>
      </c>
      <c r="AW687" s="2">
        <f ca="1">INT(AV687*RANDBETWEEN(30,60)/100)</f>
        <v>3666</v>
      </c>
      <c r="AX687">
        <f ca="1">IF(Z687="ORAL",RANDBETWEEN(1000,10000),IF(OR(Z687="INTRAVENOSA",Z687="INTRAMUSCULAR"),RANDBETWEEN(100,2000),IF(OR(Z687="OFTÁLMICA",Z687="TOPICA (EXTERNA)"),RANDBETWEEN(200,3000),RANDBETWEEN(100,1500))))</f>
        <v>9457</v>
      </c>
      <c r="AY687" s="2">
        <f ca="1">INT(AV687*RANDBETWEEN(90,130)/100)</f>
        <v>10130</v>
      </c>
      <c r="AZ687" t="str">
        <f t="shared" ca="1" si="53"/>
        <v>19%</v>
      </c>
      <c r="BA687" t="str">
        <f t="shared" ca="1" si="54"/>
        <v>BAJO</v>
      </c>
    </row>
    <row r="688" spans="4:53" x14ac:dyDescent="0.35">
      <c r="D688" t="s">
        <v>4553</v>
      </c>
      <c r="E688" s="1">
        <v>36161</v>
      </c>
      <c r="F688" t="s">
        <v>4554</v>
      </c>
      <c r="G688" t="s">
        <v>108</v>
      </c>
      <c r="H688" t="s">
        <v>503</v>
      </c>
      <c r="I688">
        <v>19900981</v>
      </c>
      <c r="J688" t="s">
        <v>28</v>
      </c>
      <c r="K688">
        <v>2</v>
      </c>
      <c r="L688" t="s">
        <v>27</v>
      </c>
      <c r="M688" t="s">
        <v>4555</v>
      </c>
      <c r="N688" t="s">
        <v>4556</v>
      </c>
      <c r="O688" t="s">
        <v>4557</v>
      </c>
      <c r="P688" t="s">
        <v>754</v>
      </c>
      <c r="Q688" s="1">
        <v>39967</v>
      </c>
      <c r="R688" t="s">
        <v>4558</v>
      </c>
      <c r="S688" t="s">
        <v>27</v>
      </c>
      <c r="T688" t="s">
        <v>428</v>
      </c>
      <c r="U688" t="s">
        <v>781</v>
      </c>
      <c r="V688" t="s">
        <v>773</v>
      </c>
      <c r="W688">
        <v>3</v>
      </c>
      <c r="X688">
        <v>19900981</v>
      </c>
      <c r="Y688" t="s">
        <v>4559</v>
      </c>
      <c r="Z688" t="s">
        <v>4560</v>
      </c>
      <c r="AA688" t="s">
        <v>24</v>
      </c>
      <c r="AB688" t="s">
        <v>133</v>
      </c>
      <c r="AC688" t="s">
        <v>25</v>
      </c>
      <c r="AD688" t="s">
        <v>155</v>
      </c>
      <c r="AE688">
        <v>1</v>
      </c>
      <c r="AF688" t="s">
        <v>27</v>
      </c>
      <c r="AG688" t="s">
        <v>26</v>
      </c>
      <c r="AH688" t="s">
        <v>4554</v>
      </c>
      <c r="AI688" t="str">
        <f t="shared" si="50"/>
        <v>NO</v>
      </c>
      <c r="AJ688" t="str">
        <f t="shared" si="51"/>
        <v>LABORATORIOS SIEGFRIED</v>
      </c>
      <c r="AK688" t="str">
        <f>IF(ISNUMBER(SEARCH("FABRICANTE",AC688)),"FABRICANTE",IF(ISNUMBER(SEARCH("IMPORTADOR",AC688)),"IMPORTADOR","OTRO"))</f>
        <v>FABRICANTE</v>
      </c>
      <c r="AL688" t="str">
        <f>IF(LEFT(Y688,1)="A","Sistema digestivo",IF(LEFT(Y688,1)="B","Sangre",IF(LEFT(Y688,1)="C","Cardiovascular",IF(LEFT(Y688,1)="D","Dermatológico",IF(LEFT(Y688,1)="G","Genitourinario",IF(LEFT(Y688,1)="H","Hormonal",IF(LEFT(Y688,1)="J","Antiinfecciosos",IF(LEFT(Y688,1)="L","Oncológicos",IF(LEFT(Y688,1)="M","Musculoesquelético",IF(LEFT(Y688,1)="N","Sistema nervioso",IF(LEFT(Y688,1)="R","Respiratorio",IF(LEFT(Y688,1)="S","Oftálmico",IF(LEFT(Y688,1)="V","Varios","OTRO")))))))))))))</f>
        <v>Oftálmico</v>
      </c>
      <c r="AM688" t="str">
        <f>IF(AG688="Vigente","ACTIVO",IF(ISNUMBER(SEARCH("Inactivo",J688)),"INACTIVO","REVISAR"))</f>
        <v>ACTIVO</v>
      </c>
      <c r="AN688" t="str">
        <f ca="1">IF(OR(AF688="",AF688="null"),"",ROUND((AF688-TODAY())/365.25,2))</f>
        <v/>
      </c>
      <c r="AO688" t="str">
        <f ca="1">IF(AND(AG688="Vigente",OR(AF688="",AF688="null",AF688&gt;TODAY())),"SI",IF(AND(NOT(OR(AF688="",AF688="null")),AF688&lt;=TODAY()),"NO",IF(AG688="Vigente","SI","DESCONOCIDO")))</f>
        <v>SI</v>
      </c>
      <c r="AP688" t="str">
        <f>IF(AND(ISNUMBER(SEARCH("IMPORTAR",AA688)),ISNUMBER(SEARCH("FABRICAR",AA688))),"MIXTO",IF(ISNUMBER(SEARCH("IMPORTAR",AA688)),"IMPORTADO",IF(ISNUMBER(SEARCH("FABRICAR",AA688)),"LOCAL","OTRO")))</f>
        <v>LOCAL</v>
      </c>
      <c r="AQ688" t="str">
        <f>IF(AD688="Si","SI",IF(AD688="No","NO",""))</f>
        <v>SI</v>
      </c>
      <c r="AR688" t="str">
        <f>IF(ISNUMBER(SEARCH("®",N688)),"MARCA/INNOVADOR","GENERICO")</f>
        <v>GENERICO</v>
      </c>
      <c r="AS688">
        <f ca="1">IF(AE688&gt;100,RANDBETWEEN(500,5000),IF(AND(AE688&gt;=10,AE688&lt;=100),RANDBETWEEN(100,1000),RANDBETWEEN(10,200)))</f>
        <v>72</v>
      </c>
      <c r="AT688">
        <f t="shared" ca="1" si="52"/>
        <v>21</v>
      </c>
      <c r="AU688">
        <f ca="1">INT(AS688*RANDBETWEEN(120,200)/100)</f>
        <v>88</v>
      </c>
      <c r="AV688" s="2">
        <f ca="1">IF(LEFT(Y688,1)="L",RANDBETWEEN(500000,5000000),IF(LEFT(Y688,1)="C",RANDBETWEEN(5000,50000),IF(LEFT(Y688,1)="N",RANDBETWEEN(10000,150000),IF(LEFT(Y688,1)="J",RANDBETWEEN(8000,200000),RANDBETWEEN(5000,100000)))))</f>
        <v>28715</v>
      </c>
      <c r="AW688" s="2">
        <f ca="1">INT(AV688*RANDBETWEEN(30,60)/100)</f>
        <v>16080</v>
      </c>
      <c r="AX688">
        <f ca="1">IF(Z688="ORAL",RANDBETWEEN(1000,10000),IF(OR(Z688="INTRAVENOSA",Z688="INTRAMUSCULAR"),RANDBETWEEN(100,2000),IF(OR(Z688="OFTÁLMICA",Z688="TOPICA (EXTERNA)"),RANDBETWEEN(200,3000),RANDBETWEEN(100,1500))))</f>
        <v>1081</v>
      </c>
      <c r="AY688" s="2">
        <f ca="1">INT(AV688*RANDBETWEEN(90,130)/100)</f>
        <v>30725</v>
      </c>
      <c r="AZ688" t="str">
        <f t="shared" ca="1" si="53"/>
        <v>5.4%</v>
      </c>
      <c r="BA688" t="str">
        <f t="shared" ca="1" si="54"/>
        <v>BAJO</v>
      </c>
    </row>
    <row r="689" spans="4:53" x14ac:dyDescent="0.35">
      <c r="D689" t="s">
        <v>4561</v>
      </c>
      <c r="E689" s="1">
        <v>45555</v>
      </c>
      <c r="F689" t="s">
        <v>4562</v>
      </c>
      <c r="G689" t="s">
        <v>108</v>
      </c>
      <c r="H689" t="s">
        <v>2584</v>
      </c>
      <c r="I689">
        <v>20202924</v>
      </c>
      <c r="J689" t="s">
        <v>28</v>
      </c>
      <c r="K689">
        <v>2</v>
      </c>
      <c r="L689" t="s">
        <v>4563</v>
      </c>
      <c r="M689" t="s">
        <v>4564</v>
      </c>
      <c r="N689" t="s">
        <v>4565</v>
      </c>
      <c r="O689" t="s">
        <v>4566</v>
      </c>
      <c r="P689" t="s">
        <v>33</v>
      </c>
      <c r="Q689" s="1">
        <v>45371</v>
      </c>
      <c r="R689" t="s">
        <v>33</v>
      </c>
      <c r="S689" s="1">
        <v>45553</v>
      </c>
      <c r="T689" t="s">
        <v>1546</v>
      </c>
      <c r="U689" t="s">
        <v>115</v>
      </c>
      <c r="V689" t="s">
        <v>1551</v>
      </c>
      <c r="W689">
        <v>20</v>
      </c>
      <c r="X689">
        <v>20202924</v>
      </c>
      <c r="Y689" t="s">
        <v>1552</v>
      </c>
      <c r="Z689" t="s">
        <v>119</v>
      </c>
      <c r="AA689" t="s">
        <v>32</v>
      </c>
      <c r="AB689" t="s">
        <v>120</v>
      </c>
      <c r="AC689" t="s">
        <v>38</v>
      </c>
      <c r="AD689" t="s">
        <v>155</v>
      </c>
      <c r="AE689">
        <v>14</v>
      </c>
      <c r="AF689" s="1">
        <v>47395</v>
      </c>
      <c r="AG689" t="s">
        <v>26</v>
      </c>
      <c r="AH689" t="s">
        <v>1551</v>
      </c>
      <c r="AI689" t="str">
        <f t="shared" si="50"/>
        <v>NO</v>
      </c>
      <c r="AJ689" t="str">
        <f t="shared" si="51"/>
        <v>BAYER</v>
      </c>
      <c r="AK689" t="str">
        <f>IF(ISNUMBER(SEARCH("FABRICANTE",AC689)),"FABRICANTE",IF(ISNUMBER(SEARCH("IMPORTADOR",AC689)),"IMPORTADOR","OTRO"))</f>
        <v>IMPORTADOR</v>
      </c>
      <c r="AL689" t="str">
        <f>IF(LEFT(Y689,1)="A","Sistema digestivo",IF(LEFT(Y689,1)="B","Sangre",IF(LEFT(Y689,1)="C","Cardiovascular",IF(LEFT(Y689,1)="D","Dermatológico",IF(LEFT(Y689,1)="G","Genitourinario",IF(LEFT(Y689,1)="H","Hormonal",IF(LEFT(Y689,1)="J","Antiinfecciosos",IF(LEFT(Y689,1)="L","Oncológicos",IF(LEFT(Y689,1)="M","Musculoesquelético",IF(LEFT(Y689,1)="N","Sistema nervioso",IF(LEFT(Y689,1)="R","Respiratorio",IF(LEFT(Y689,1)="S","Oftálmico",IF(LEFT(Y689,1)="V","Varios","OTRO")))))))))))))</f>
        <v>Cardiovascular</v>
      </c>
      <c r="AM689" t="str">
        <f>IF(AG689="Vigente","ACTIVO",IF(ISNUMBER(SEARCH("Inactivo",J689)),"INACTIVO","REVISAR"))</f>
        <v>ACTIVO</v>
      </c>
      <c r="AN689">
        <f ca="1">IF(OR(AF689="",AF689="null"),"",ROUND((AF689-TODAY())/365.25,2))</f>
        <v>3.36</v>
      </c>
      <c r="AO689" t="str">
        <f ca="1">IF(AND(AG689="Vigente",OR(AF689="",AF689="null",AF689&gt;TODAY())),"SI",IF(AND(NOT(OR(AF689="",AF689="null")),AF689&lt;=TODAY()),"NO",IF(AG689="Vigente","SI","DESCONOCIDO")))</f>
        <v>SI</v>
      </c>
      <c r="AP689" t="str">
        <f>IF(AND(ISNUMBER(SEARCH("IMPORTAR",AA689)),ISNUMBER(SEARCH("FABRICAR",AA689))),"MIXTO",IF(ISNUMBER(SEARCH("IMPORTAR",AA689)),"IMPORTADO",IF(ISNUMBER(SEARCH("FABRICAR",AA689)),"LOCAL","OTRO")))</f>
        <v>IMPORTADO</v>
      </c>
      <c r="AQ689" t="str">
        <f>IF(AD689="Si","SI",IF(AD689="No","NO",""))</f>
        <v>SI</v>
      </c>
      <c r="AR689" t="str">
        <f>IF(ISNUMBER(SEARCH("®",N689)),"MARCA/INNOVADOR","GENERICO")</f>
        <v>MARCA/INNOVADOR</v>
      </c>
      <c r="AS689">
        <f ca="1">IF(AE689&gt;100,RANDBETWEEN(500,5000),IF(AND(AE689&gt;=10,AE689&lt;=100),RANDBETWEEN(100,1000),RANDBETWEEN(10,200)))</f>
        <v>711</v>
      </c>
      <c r="AT689">
        <f t="shared" ca="1" si="52"/>
        <v>120</v>
      </c>
      <c r="AU689">
        <f ca="1">INT(AS689*RANDBETWEEN(120,200)/100)</f>
        <v>1422</v>
      </c>
      <c r="AV689" s="2">
        <f ca="1">IF(LEFT(Y689,1)="L",RANDBETWEEN(500000,5000000),IF(LEFT(Y689,1)="C",RANDBETWEEN(5000,50000),IF(LEFT(Y689,1)="N",RANDBETWEEN(10000,150000),IF(LEFT(Y689,1)="J",RANDBETWEEN(8000,200000),RANDBETWEEN(5000,100000)))))</f>
        <v>15387</v>
      </c>
      <c r="AW689" s="2">
        <f ca="1">INT(AV689*RANDBETWEEN(30,60)/100)</f>
        <v>6924</v>
      </c>
      <c r="AX689">
        <f ca="1">IF(Z689="ORAL",RANDBETWEEN(1000,10000),IF(OR(Z689="INTRAVENOSA",Z689="INTRAMUSCULAR"),RANDBETWEEN(100,2000),IF(OR(Z689="OFTÁLMICA",Z689="TOPICA (EXTERNA)"),RANDBETWEEN(200,3000),RANDBETWEEN(100,1500))))</f>
        <v>2144</v>
      </c>
      <c r="AY689" s="2">
        <f ca="1">INT(AV689*RANDBETWEEN(90,130)/100)</f>
        <v>17848</v>
      </c>
      <c r="AZ689" t="str">
        <f t="shared" ca="1" si="53"/>
        <v>6.2%</v>
      </c>
      <c r="BA689" t="str">
        <f t="shared" ca="1" si="54"/>
        <v>MEDIO</v>
      </c>
    </row>
    <row r="690" spans="4:53" x14ac:dyDescent="0.35">
      <c r="D690" t="s">
        <v>4567</v>
      </c>
      <c r="E690" s="1">
        <v>45680</v>
      </c>
      <c r="F690" t="s">
        <v>4568</v>
      </c>
      <c r="G690" t="s">
        <v>108</v>
      </c>
      <c r="H690" t="s">
        <v>4569</v>
      </c>
      <c r="I690">
        <v>20261957</v>
      </c>
      <c r="J690" t="s">
        <v>28</v>
      </c>
      <c r="K690">
        <v>14</v>
      </c>
      <c r="L690" t="s">
        <v>27</v>
      </c>
      <c r="M690" t="s">
        <v>4570</v>
      </c>
      <c r="N690" t="s">
        <v>1975</v>
      </c>
      <c r="O690" t="s">
        <v>4571</v>
      </c>
      <c r="P690" t="s">
        <v>4572</v>
      </c>
      <c r="Q690" s="1">
        <v>45624</v>
      </c>
      <c r="R690" t="s">
        <v>1818</v>
      </c>
      <c r="S690" t="s">
        <v>27</v>
      </c>
      <c r="T690" t="s">
        <v>4569</v>
      </c>
      <c r="U690" t="s">
        <v>1982</v>
      </c>
      <c r="V690" t="s">
        <v>1819</v>
      </c>
      <c r="W690">
        <v>93</v>
      </c>
      <c r="X690">
        <v>20261957</v>
      </c>
      <c r="Y690" t="s">
        <v>1820</v>
      </c>
      <c r="Z690" t="s">
        <v>1168</v>
      </c>
      <c r="AA690" t="s">
        <v>24</v>
      </c>
      <c r="AB690" t="s">
        <v>1983</v>
      </c>
      <c r="AC690" t="s">
        <v>25</v>
      </c>
      <c r="AD690" t="s">
        <v>121</v>
      </c>
      <c r="AE690">
        <v>1</v>
      </c>
      <c r="AF690" s="1">
        <v>47520</v>
      </c>
      <c r="AG690" t="s">
        <v>26</v>
      </c>
      <c r="AH690" t="s">
        <v>1819</v>
      </c>
      <c r="AI690" t="str">
        <f t="shared" si="50"/>
        <v>NO</v>
      </c>
      <c r="AJ690" t="str">
        <f t="shared" si="51"/>
        <v>OXYGENAMOS</v>
      </c>
      <c r="AK690" t="str">
        <f>IF(ISNUMBER(SEARCH("FABRICANTE",AC690)),"FABRICANTE",IF(ISNUMBER(SEARCH("IMPORTADOR",AC690)),"IMPORTADOR","OTRO"))</f>
        <v>FABRICANTE</v>
      </c>
      <c r="AL690" t="str">
        <f>IF(LEFT(Y690,1)="A","Sistema digestivo",IF(LEFT(Y690,1)="B","Sangre",IF(LEFT(Y690,1)="C","Cardiovascular",IF(LEFT(Y690,1)="D","Dermatológico",IF(LEFT(Y690,1)="G","Genitourinario",IF(LEFT(Y690,1)="H","Hormonal",IF(LEFT(Y690,1)="J","Antiinfecciosos",IF(LEFT(Y690,1)="L","Oncológicos",IF(LEFT(Y690,1)="M","Musculoesquelético",IF(LEFT(Y690,1)="N","Sistema nervioso",IF(LEFT(Y690,1)="R","Respiratorio",IF(LEFT(Y690,1)="S","Oftálmico",IF(LEFT(Y690,1)="V","Varios","OTRO")))))))))))))</f>
        <v>Varios</v>
      </c>
      <c r="AM690" t="str">
        <f>IF(AG690="Vigente","ACTIVO",IF(ISNUMBER(SEARCH("Inactivo",J690)),"INACTIVO","REVISAR"))</f>
        <v>ACTIVO</v>
      </c>
      <c r="AN690">
        <f ca="1">IF(OR(AF690="",AF690="null"),"",ROUND((AF690-TODAY())/365.25,2))</f>
        <v>3.7</v>
      </c>
      <c r="AO690" t="str">
        <f ca="1">IF(AND(AG690="Vigente",OR(AF690="",AF690="null",AF690&gt;TODAY())),"SI",IF(AND(NOT(OR(AF690="",AF690="null")),AF690&lt;=TODAY()),"NO",IF(AG690="Vigente","SI","DESCONOCIDO")))</f>
        <v>SI</v>
      </c>
      <c r="AP690" t="str">
        <f>IF(AND(ISNUMBER(SEARCH("IMPORTAR",AA690)),ISNUMBER(SEARCH("FABRICAR",AA690))),"MIXTO",IF(ISNUMBER(SEARCH("IMPORTAR",AA690)),"IMPORTADO",IF(ISNUMBER(SEARCH("FABRICAR",AA690)),"LOCAL","OTRO")))</f>
        <v>LOCAL</v>
      </c>
      <c r="AQ690" t="str">
        <f>IF(AD690="Si","SI",IF(AD690="No","NO",""))</f>
        <v>NO</v>
      </c>
      <c r="AR690" t="str">
        <f>IF(ISNUMBER(SEARCH("®",N690)),"MARCA/INNOVADOR","GENERICO")</f>
        <v>GENERICO</v>
      </c>
      <c r="AS690">
        <f ca="1">IF(AE690&gt;100,RANDBETWEEN(500,5000),IF(AND(AE690&gt;=10,AE690&lt;=100),RANDBETWEEN(100,1000),RANDBETWEEN(10,200)))</f>
        <v>193</v>
      </c>
      <c r="AT690">
        <f t="shared" ca="1" si="52"/>
        <v>36</v>
      </c>
      <c r="AU690">
        <f ca="1">INT(AS690*RANDBETWEEN(120,200)/100)</f>
        <v>252</v>
      </c>
      <c r="AV690" s="2">
        <f ca="1">IF(LEFT(Y690,1)="L",RANDBETWEEN(500000,5000000),IF(LEFT(Y690,1)="C",RANDBETWEEN(5000,50000),IF(LEFT(Y690,1)="N",RANDBETWEEN(10000,150000),IF(LEFT(Y690,1)="J",RANDBETWEEN(8000,200000),RANDBETWEEN(5000,100000)))))</f>
        <v>72465</v>
      </c>
      <c r="AW690" s="2">
        <f ca="1">INT(AV690*RANDBETWEEN(30,60)/100)</f>
        <v>39855</v>
      </c>
      <c r="AX690">
        <f ca="1">IF(Z690="ORAL",RANDBETWEEN(1000,10000),IF(OR(Z690="INTRAVENOSA",Z690="INTRAMUSCULAR"),RANDBETWEEN(100,2000),IF(OR(Z690="OFTÁLMICA",Z690="TOPICA (EXTERNA)"),RANDBETWEEN(200,3000),RANDBETWEEN(100,1500))))</f>
        <v>721</v>
      </c>
      <c r="AY690" s="2">
        <f ca="1">INT(AV690*RANDBETWEEN(90,130)/100)</f>
        <v>92755</v>
      </c>
      <c r="AZ690" t="str">
        <f t="shared" ca="1" si="53"/>
        <v>6%</v>
      </c>
      <c r="BA690" t="str">
        <f t="shared" ca="1" si="54"/>
        <v>MEDIO</v>
      </c>
    </row>
    <row r="691" spans="4:53" x14ac:dyDescent="0.35">
      <c r="D691" t="s">
        <v>4573</v>
      </c>
      <c r="E691" s="1">
        <v>40948</v>
      </c>
      <c r="F691" t="s">
        <v>4574</v>
      </c>
      <c r="G691" t="s">
        <v>108</v>
      </c>
      <c r="H691" t="s">
        <v>549</v>
      </c>
      <c r="I691">
        <v>20033258</v>
      </c>
      <c r="J691" t="s">
        <v>28</v>
      </c>
      <c r="K691">
        <v>1</v>
      </c>
      <c r="L691" t="s">
        <v>27</v>
      </c>
      <c r="M691" t="s">
        <v>2034</v>
      </c>
      <c r="N691" t="s">
        <v>2035</v>
      </c>
      <c r="O691" t="s">
        <v>3129</v>
      </c>
      <c r="P691" t="s">
        <v>2037</v>
      </c>
      <c r="Q691" s="1">
        <v>40760</v>
      </c>
      <c r="R691" t="s">
        <v>258</v>
      </c>
      <c r="S691" t="s">
        <v>27</v>
      </c>
      <c r="T691" t="s">
        <v>549</v>
      </c>
      <c r="U691" t="s">
        <v>247</v>
      </c>
      <c r="V691" t="s">
        <v>64</v>
      </c>
      <c r="W691" t="s">
        <v>4575</v>
      </c>
      <c r="X691">
        <v>20033258</v>
      </c>
      <c r="Y691" t="s">
        <v>259</v>
      </c>
      <c r="Z691" t="s">
        <v>260</v>
      </c>
      <c r="AA691" t="s">
        <v>32</v>
      </c>
      <c r="AB691" t="s">
        <v>133</v>
      </c>
      <c r="AC691" t="s">
        <v>38</v>
      </c>
      <c r="AD691" t="s">
        <v>121</v>
      </c>
      <c r="AE691">
        <v>1</v>
      </c>
      <c r="AF691" t="s">
        <v>27</v>
      </c>
      <c r="AG691" t="s">
        <v>26</v>
      </c>
      <c r="AH691" t="s">
        <v>6781</v>
      </c>
      <c r="AI691" t="str">
        <f t="shared" si="50"/>
        <v>SI</v>
      </c>
      <c r="AJ691" t="str">
        <f t="shared" si="51"/>
        <v>LABORATORIOS BAXTER</v>
      </c>
      <c r="AK691" t="str">
        <f>IF(ISNUMBER(SEARCH("FABRICANTE",AC691)),"FABRICANTE",IF(ISNUMBER(SEARCH("IMPORTADOR",AC691)),"IMPORTADOR","OTRO"))</f>
        <v>IMPORTADOR</v>
      </c>
      <c r="AL691" t="str">
        <f>IF(LEFT(Y691,1)="A","Sistema digestivo",IF(LEFT(Y691,1)="B","Sangre",IF(LEFT(Y691,1)="C","Cardiovascular",IF(LEFT(Y691,1)="D","Dermatológico",IF(LEFT(Y691,1)="G","Genitourinario",IF(LEFT(Y691,1)="H","Hormonal",IF(LEFT(Y691,1)="J","Antiinfecciosos",IF(LEFT(Y691,1)="L","Oncológicos",IF(LEFT(Y691,1)="M","Musculoesquelético",IF(LEFT(Y691,1)="N","Sistema nervioso",IF(LEFT(Y691,1)="R","Respiratorio",IF(LEFT(Y691,1)="S","Oftálmico",IF(LEFT(Y691,1)="V","Varios","OTRO")))))))))))))</f>
        <v>Sangre</v>
      </c>
      <c r="AM691" t="str">
        <f>IF(AG691="Vigente","ACTIVO",IF(ISNUMBER(SEARCH("Inactivo",J691)),"INACTIVO","REVISAR"))</f>
        <v>ACTIVO</v>
      </c>
      <c r="AN691" t="str">
        <f ca="1">IF(OR(AF691="",AF691="null"),"",ROUND((AF691-TODAY())/365.25,2))</f>
        <v/>
      </c>
      <c r="AO691" t="str">
        <f ca="1">IF(AND(AG691="Vigente",OR(AF691="",AF691="null",AF691&gt;TODAY())),"SI",IF(AND(NOT(OR(AF691="",AF691="null")),AF691&lt;=TODAY()),"NO",IF(AG691="Vigente","SI","DESCONOCIDO")))</f>
        <v>SI</v>
      </c>
      <c r="AP691" t="str">
        <f>IF(AND(ISNUMBER(SEARCH("IMPORTAR",AA691)),ISNUMBER(SEARCH("FABRICAR",AA691))),"MIXTO",IF(ISNUMBER(SEARCH("IMPORTAR",AA691)),"IMPORTADO",IF(ISNUMBER(SEARCH("FABRICAR",AA691)),"LOCAL","OTRO")))</f>
        <v>IMPORTADO</v>
      </c>
      <c r="AQ691" t="str">
        <f>IF(AD691="Si","SI",IF(AD691="No","NO",""))</f>
        <v>NO</v>
      </c>
      <c r="AR691" t="str">
        <f>IF(ISNUMBER(SEARCH("®",N691)),"MARCA/INNOVADOR","GENERICO")</f>
        <v>GENERICO</v>
      </c>
      <c r="AS691">
        <f ca="1">IF(AE691&gt;100,RANDBETWEEN(500,5000),IF(AND(AE691&gt;=10,AE691&lt;=100),RANDBETWEEN(100,1000),RANDBETWEEN(10,200)))</f>
        <v>153</v>
      </c>
      <c r="AT691">
        <f t="shared" ca="1" si="52"/>
        <v>35</v>
      </c>
      <c r="AU691">
        <f ca="1">INT(AS691*RANDBETWEEN(120,200)/100)</f>
        <v>286</v>
      </c>
      <c r="AV691" s="2">
        <f ca="1">IF(LEFT(Y691,1)="L",RANDBETWEEN(500000,5000000),IF(LEFT(Y691,1)="C",RANDBETWEEN(5000,50000),IF(LEFT(Y691,1)="N",RANDBETWEEN(10000,150000),IF(LEFT(Y691,1)="J",RANDBETWEEN(8000,200000),RANDBETWEEN(5000,100000)))))</f>
        <v>68268</v>
      </c>
      <c r="AW691" s="2">
        <f ca="1">INT(AV691*RANDBETWEEN(30,60)/100)</f>
        <v>26624</v>
      </c>
      <c r="AX691">
        <f ca="1">IF(Z691="ORAL",RANDBETWEEN(1000,10000),IF(OR(Z691="INTRAVENOSA",Z691="INTRAMUSCULAR"),RANDBETWEEN(100,2000),IF(OR(Z691="OFTÁLMICA",Z691="TOPICA (EXTERNA)"),RANDBETWEEN(200,3000),RANDBETWEEN(100,1500))))</f>
        <v>1603</v>
      </c>
      <c r="AY691" s="2">
        <f ca="1">INT(AV691*RANDBETWEEN(90,130)/100)</f>
        <v>64171</v>
      </c>
      <c r="AZ691" t="str">
        <f t="shared" ca="1" si="53"/>
        <v>4.3%</v>
      </c>
      <c r="BA691" t="str">
        <f t="shared" ca="1" si="54"/>
        <v>BAJO</v>
      </c>
    </row>
    <row r="692" spans="4:53" x14ac:dyDescent="0.35">
      <c r="D692" t="s">
        <v>4576</v>
      </c>
      <c r="E692" s="1">
        <v>41788</v>
      </c>
      <c r="F692" t="s">
        <v>4577</v>
      </c>
      <c r="G692" t="s">
        <v>108</v>
      </c>
      <c r="H692" t="s">
        <v>4578</v>
      </c>
      <c r="I692">
        <v>20062574</v>
      </c>
      <c r="J692" t="s">
        <v>28</v>
      </c>
      <c r="K692">
        <v>16</v>
      </c>
      <c r="L692" t="s">
        <v>27</v>
      </c>
      <c r="M692" t="s">
        <v>4579</v>
      </c>
      <c r="N692" t="s">
        <v>4580</v>
      </c>
      <c r="O692" t="s">
        <v>4581</v>
      </c>
      <c r="P692" t="s">
        <v>33</v>
      </c>
      <c r="Q692" s="1">
        <v>41768</v>
      </c>
      <c r="R692" t="s">
        <v>33</v>
      </c>
      <c r="S692" t="s">
        <v>27</v>
      </c>
      <c r="T692" t="s">
        <v>4582</v>
      </c>
      <c r="U692" t="s">
        <v>469</v>
      </c>
      <c r="V692" t="s">
        <v>729</v>
      </c>
      <c r="W692">
        <v>400</v>
      </c>
      <c r="X692">
        <v>20062574</v>
      </c>
      <c r="Y692" t="s">
        <v>730</v>
      </c>
      <c r="Z692" t="s">
        <v>119</v>
      </c>
      <c r="AA692" t="s">
        <v>32</v>
      </c>
      <c r="AB692" t="s">
        <v>120</v>
      </c>
      <c r="AC692" t="s">
        <v>25</v>
      </c>
      <c r="AD692" t="s">
        <v>155</v>
      </c>
      <c r="AE692">
        <v>120</v>
      </c>
      <c r="AF692" t="s">
        <v>27</v>
      </c>
      <c r="AG692" t="s">
        <v>26</v>
      </c>
      <c r="AH692" t="s">
        <v>6687</v>
      </c>
      <c r="AI692" t="str">
        <f t="shared" si="50"/>
        <v>NO</v>
      </c>
      <c r="AJ692" t="str">
        <f t="shared" si="51"/>
        <v>HALEON COLOMBIA</v>
      </c>
      <c r="AK692" t="str">
        <f>IF(ISNUMBER(SEARCH("FABRICANTE",AC692)),"FABRICANTE",IF(ISNUMBER(SEARCH("IMPORTADOR",AC692)),"IMPORTADOR","OTRO"))</f>
        <v>FABRICANTE</v>
      </c>
      <c r="AL692" t="str">
        <f>IF(LEFT(Y692,1)="A","Sistema digestivo",IF(LEFT(Y692,1)="B","Sangre",IF(LEFT(Y692,1)="C","Cardiovascular",IF(LEFT(Y692,1)="D","Dermatológico",IF(LEFT(Y692,1)="G","Genitourinario",IF(LEFT(Y692,1)="H","Hormonal",IF(LEFT(Y692,1)="J","Antiinfecciosos",IF(LEFT(Y692,1)="L","Oncológicos",IF(LEFT(Y692,1)="M","Musculoesquelético",IF(LEFT(Y692,1)="N","Sistema nervioso",IF(LEFT(Y692,1)="R","Respiratorio",IF(LEFT(Y692,1)="S","Oftálmico",IF(LEFT(Y692,1)="V","Varios","OTRO")))))))))))))</f>
        <v>Sistema digestivo</v>
      </c>
      <c r="AM692" t="str">
        <f>IF(AG692="Vigente","ACTIVO",IF(ISNUMBER(SEARCH("Inactivo",J692)),"INACTIVO","REVISAR"))</f>
        <v>ACTIVO</v>
      </c>
      <c r="AN692" t="str">
        <f ca="1">IF(OR(AF692="",AF692="null"),"",ROUND((AF692-TODAY())/365.25,2))</f>
        <v/>
      </c>
      <c r="AO692" t="str">
        <f ca="1">IF(AND(AG692="Vigente",OR(AF692="",AF692="null",AF692&gt;TODAY())),"SI",IF(AND(NOT(OR(AF692="",AF692="null")),AF692&lt;=TODAY()),"NO",IF(AG692="Vigente","SI","DESCONOCIDO")))</f>
        <v>SI</v>
      </c>
      <c r="AP692" t="str">
        <f>IF(AND(ISNUMBER(SEARCH("IMPORTAR",AA692)),ISNUMBER(SEARCH("FABRICAR",AA692))),"MIXTO",IF(ISNUMBER(SEARCH("IMPORTAR",AA692)),"IMPORTADO",IF(ISNUMBER(SEARCH("FABRICAR",AA692)),"LOCAL","OTRO")))</f>
        <v>IMPORTADO</v>
      </c>
      <c r="AQ692" t="str">
        <f>IF(AD692="Si","SI",IF(AD692="No","NO",""))</f>
        <v>SI</v>
      </c>
      <c r="AR692" t="str">
        <f>IF(ISNUMBER(SEARCH("®",N692)),"MARCA/INNOVADOR","GENERICO")</f>
        <v>MARCA/INNOVADOR</v>
      </c>
      <c r="AS692">
        <f ca="1">IF(AE692&gt;100,RANDBETWEEN(500,5000),IF(AND(AE692&gt;=10,AE692&lt;=100),RANDBETWEEN(100,1000),RANDBETWEEN(10,200)))</f>
        <v>3133</v>
      </c>
      <c r="AT692">
        <f t="shared" ca="1" si="52"/>
        <v>438</v>
      </c>
      <c r="AU692">
        <f ca="1">INT(AS692*RANDBETWEEN(120,200)/100)</f>
        <v>4918</v>
      </c>
      <c r="AV692" s="2">
        <f ca="1">IF(LEFT(Y692,1)="L",RANDBETWEEN(500000,5000000),IF(LEFT(Y692,1)="C",RANDBETWEEN(5000,50000),IF(LEFT(Y692,1)="N",RANDBETWEEN(10000,150000),IF(LEFT(Y692,1)="J",RANDBETWEEN(8000,200000),RANDBETWEEN(5000,100000)))))</f>
        <v>63550</v>
      </c>
      <c r="AW692" s="2">
        <f ca="1">INT(AV692*RANDBETWEEN(30,60)/100)</f>
        <v>29233</v>
      </c>
      <c r="AX692">
        <f ca="1">IF(Z692="ORAL",RANDBETWEEN(1000,10000),IF(OR(Z692="INTRAVENOSA",Z692="INTRAMUSCULAR"),RANDBETWEEN(100,2000),IF(OR(Z692="OFTÁLMICA",Z692="TOPICA (EXTERNA)"),RANDBETWEEN(200,3000),RANDBETWEEN(100,1500))))</f>
        <v>3858</v>
      </c>
      <c r="AY692" s="2">
        <f ca="1">INT(AV692*RANDBETWEEN(90,130)/100)</f>
        <v>58466</v>
      </c>
      <c r="AZ692" t="str">
        <f t="shared" ca="1" si="53"/>
        <v>18.1%</v>
      </c>
      <c r="BA692" t="str">
        <f t="shared" ca="1" si="54"/>
        <v>BAJO</v>
      </c>
    </row>
    <row r="693" spans="4:53" x14ac:dyDescent="0.35">
      <c r="D693" t="s">
        <v>4583</v>
      </c>
      <c r="E693" s="1">
        <v>41087</v>
      </c>
      <c r="F693" t="s">
        <v>76</v>
      </c>
      <c r="G693" t="s">
        <v>108</v>
      </c>
      <c r="H693" t="s">
        <v>146</v>
      </c>
      <c r="I693">
        <v>20039588</v>
      </c>
      <c r="J693" t="s">
        <v>28</v>
      </c>
      <c r="K693">
        <v>138</v>
      </c>
      <c r="L693" t="s">
        <v>27</v>
      </c>
      <c r="M693" t="s">
        <v>474</v>
      </c>
      <c r="N693" t="s">
        <v>475</v>
      </c>
      <c r="O693" t="s">
        <v>4584</v>
      </c>
      <c r="P693" t="s">
        <v>477</v>
      </c>
      <c r="Q693" s="1">
        <v>45502</v>
      </c>
      <c r="R693" t="s">
        <v>67</v>
      </c>
      <c r="S693" t="s">
        <v>27</v>
      </c>
      <c r="T693" t="s">
        <v>80</v>
      </c>
      <c r="U693" t="s">
        <v>247</v>
      </c>
      <c r="V693" t="s">
        <v>248</v>
      </c>
      <c r="W693" t="s">
        <v>3361</v>
      </c>
      <c r="X693">
        <v>20039588</v>
      </c>
      <c r="Y693" t="s">
        <v>249</v>
      </c>
      <c r="Z693" t="s">
        <v>119</v>
      </c>
      <c r="AA693" t="s">
        <v>24</v>
      </c>
      <c r="AB693" t="s">
        <v>120</v>
      </c>
      <c r="AC693" t="s">
        <v>25</v>
      </c>
      <c r="AD693" t="s">
        <v>121</v>
      </c>
      <c r="AE693">
        <v>1</v>
      </c>
      <c r="AF693" t="s">
        <v>27</v>
      </c>
      <c r="AG693" t="s">
        <v>26</v>
      </c>
      <c r="AH693" t="s">
        <v>6777</v>
      </c>
      <c r="AI693" t="str">
        <f t="shared" si="50"/>
        <v>NO</v>
      </c>
      <c r="AJ693" t="str">
        <f t="shared" si="51"/>
        <v>TECNOQUIMICAS</v>
      </c>
      <c r="AK693" t="str">
        <f>IF(ISNUMBER(SEARCH("FABRICANTE",AC693)),"FABRICANTE",IF(ISNUMBER(SEARCH("IMPORTADOR",AC693)),"IMPORTADOR","OTRO"))</f>
        <v>FABRICANTE</v>
      </c>
      <c r="AL693" t="str">
        <f>IF(LEFT(Y693,1)="A","Sistema digestivo",IF(LEFT(Y693,1)="B","Sangre",IF(LEFT(Y693,1)="C","Cardiovascular",IF(LEFT(Y693,1)="D","Dermatológico",IF(LEFT(Y693,1)="G","Genitourinario",IF(LEFT(Y693,1)="H","Hormonal",IF(LEFT(Y693,1)="J","Antiinfecciosos",IF(LEFT(Y693,1)="L","Oncológicos",IF(LEFT(Y693,1)="M","Musculoesquelético",IF(LEFT(Y693,1)="N","Sistema nervioso",IF(LEFT(Y693,1)="R","Respiratorio",IF(LEFT(Y693,1)="S","Oftálmico",IF(LEFT(Y693,1)="V","Varios","OTRO")))))))))))))</f>
        <v>Sistema digestivo</v>
      </c>
      <c r="AM693" t="str">
        <f>IF(AG693="Vigente","ACTIVO",IF(ISNUMBER(SEARCH("Inactivo",J693)),"INACTIVO","REVISAR"))</f>
        <v>ACTIVO</v>
      </c>
      <c r="AN693" t="str">
        <f ca="1">IF(OR(AF693="",AF693="null"),"",ROUND((AF693-TODAY())/365.25,2))</f>
        <v/>
      </c>
      <c r="AO693" t="str">
        <f ca="1">IF(AND(AG693="Vigente",OR(AF693="",AF693="null",AF693&gt;TODAY())),"SI",IF(AND(NOT(OR(AF693="",AF693="null")),AF693&lt;=TODAY()),"NO",IF(AG693="Vigente","SI","DESCONOCIDO")))</f>
        <v>SI</v>
      </c>
      <c r="AP693" t="str">
        <f>IF(AND(ISNUMBER(SEARCH("IMPORTAR",AA693)),ISNUMBER(SEARCH("FABRICAR",AA693))),"MIXTO",IF(ISNUMBER(SEARCH("IMPORTAR",AA693)),"IMPORTADO",IF(ISNUMBER(SEARCH("FABRICAR",AA693)),"LOCAL","OTRO")))</f>
        <v>LOCAL</v>
      </c>
      <c r="AQ693" t="str">
        <f>IF(AD693="Si","SI",IF(AD693="No","NO",""))</f>
        <v>NO</v>
      </c>
      <c r="AR693" t="str">
        <f>IF(ISNUMBER(SEARCH("®",N693)),"MARCA/INNOVADOR","GENERICO")</f>
        <v>MARCA/INNOVADOR</v>
      </c>
      <c r="AS693">
        <f ca="1">IF(AE693&gt;100,RANDBETWEEN(500,5000),IF(AND(AE693&gt;=10,AE693&lt;=100),RANDBETWEEN(100,1000),RANDBETWEEN(10,200)))</f>
        <v>168</v>
      </c>
      <c r="AT693">
        <f t="shared" ca="1" si="52"/>
        <v>16</v>
      </c>
      <c r="AU693">
        <f ca="1">INT(AS693*RANDBETWEEN(120,200)/100)</f>
        <v>275</v>
      </c>
      <c r="AV693" s="2">
        <f ca="1">IF(LEFT(Y693,1)="L",RANDBETWEEN(500000,5000000),IF(LEFT(Y693,1)="C",RANDBETWEEN(5000,50000),IF(LEFT(Y693,1)="N",RANDBETWEEN(10000,150000),IF(LEFT(Y693,1)="J",RANDBETWEEN(8000,200000),RANDBETWEEN(5000,100000)))))</f>
        <v>10360</v>
      </c>
      <c r="AW693" s="2">
        <f ca="1">INT(AV693*RANDBETWEEN(30,60)/100)</f>
        <v>4765</v>
      </c>
      <c r="AX693">
        <f ca="1">IF(Z693="ORAL",RANDBETWEEN(1000,10000),IF(OR(Z693="INTRAVENOSA",Z693="INTRAMUSCULAR"),RANDBETWEEN(100,2000),IF(OR(Z693="OFTÁLMICA",Z693="TOPICA (EXTERNA)"),RANDBETWEEN(200,3000),RANDBETWEEN(100,1500))))</f>
        <v>2527</v>
      </c>
      <c r="AY693" s="2">
        <f ca="1">INT(AV693*RANDBETWEEN(90,130)/100)</f>
        <v>11188</v>
      </c>
      <c r="AZ693" t="str">
        <f t="shared" ca="1" si="53"/>
        <v>17%</v>
      </c>
      <c r="BA693" t="str">
        <f t="shared" ca="1" si="54"/>
        <v>BAJO</v>
      </c>
    </row>
    <row r="694" spans="4:53" x14ac:dyDescent="0.35">
      <c r="D694" t="s">
        <v>4585</v>
      </c>
      <c r="E694" s="1">
        <v>44355</v>
      </c>
      <c r="F694" t="s">
        <v>35</v>
      </c>
      <c r="G694" t="s">
        <v>108</v>
      </c>
      <c r="H694" t="s">
        <v>639</v>
      </c>
      <c r="I694">
        <v>20171515</v>
      </c>
      <c r="J694" t="s">
        <v>28</v>
      </c>
      <c r="K694">
        <v>5</v>
      </c>
      <c r="L694" t="s">
        <v>4586</v>
      </c>
      <c r="M694" t="s">
        <v>4587</v>
      </c>
      <c r="N694" t="s">
        <v>4588</v>
      </c>
      <c r="O694" t="s">
        <v>4589</v>
      </c>
      <c r="P694" t="s">
        <v>1973</v>
      </c>
      <c r="Q694" s="1">
        <v>44132</v>
      </c>
      <c r="R694" t="s">
        <v>37</v>
      </c>
      <c r="S694" t="s">
        <v>27</v>
      </c>
      <c r="T694" t="s">
        <v>639</v>
      </c>
      <c r="U694" t="s">
        <v>115</v>
      </c>
      <c r="V694" t="s">
        <v>35</v>
      </c>
      <c r="W694">
        <v>150</v>
      </c>
      <c r="X694">
        <v>20171515</v>
      </c>
      <c r="Y694" t="s">
        <v>36</v>
      </c>
      <c r="Z694" t="s">
        <v>119</v>
      </c>
      <c r="AA694" t="s">
        <v>32</v>
      </c>
      <c r="AB694" t="s">
        <v>120</v>
      </c>
      <c r="AC694" t="s">
        <v>38</v>
      </c>
      <c r="AD694" t="s">
        <v>121</v>
      </c>
      <c r="AE694">
        <v>30</v>
      </c>
      <c r="AF694" t="s">
        <v>27</v>
      </c>
      <c r="AG694" t="s">
        <v>26</v>
      </c>
      <c r="AH694" t="s">
        <v>35</v>
      </c>
      <c r="AI694" t="str">
        <f t="shared" si="50"/>
        <v>NO</v>
      </c>
      <c r="AJ694" t="str">
        <f t="shared" si="51"/>
        <v>EXELTIS</v>
      </c>
      <c r="AK694" t="str">
        <f>IF(ISNUMBER(SEARCH("FABRICANTE",AC694)),"FABRICANTE",IF(ISNUMBER(SEARCH("IMPORTADOR",AC694)),"IMPORTADOR","OTRO"))</f>
        <v>IMPORTADOR</v>
      </c>
      <c r="AL694" t="str">
        <f>IF(LEFT(Y694,1)="A","Sistema digestivo",IF(LEFT(Y694,1)="B","Sangre",IF(LEFT(Y694,1)="C","Cardiovascular",IF(LEFT(Y694,1)="D","Dermatológico",IF(LEFT(Y694,1)="G","Genitourinario",IF(LEFT(Y694,1)="H","Hormonal",IF(LEFT(Y694,1)="J","Antiinfecciosos",IF(LEFT(Y694,1)="L","Oncológicos",IF(LEFT(Y694,1)="M","Musculoesquelético",IF(LEFT(Y694,1)="N","Sistema nervioso",IF(LEFT(Y694,1)="R","Respiratorio",IF(LEFT(Y694,1)="S","Oftálmico",IF(LEFT(Y694,1)="V","Varios","OTRO")))))))))))))</f>
        <v>Sistema nervioso</v>
      </c>
      <c r="AM694" t="str">
        <f>IF(AG694="Vigente","ACTIVO",IF(ISNUMBER(SEARCH("Inactivo",J694)),"INACTIVO","REVISAR"))</f>
        <v>ACTIVO</v>
      </c>
      <c r="AN694" t="str">
        <f ca="1">IF(OR(AF694="",AF694="null"),"",ROUND((AF694-TODAY())/365.25,2))</f>
        <v/>
      </c>
      <c r="AO694" t="str">
        <f ca="1">IF(AND(AG694="Vigente",OR(AF694="",AF694="null",AF694&gt;TODAY())),"SI",IF(AND(NOT(OR(AF694="",AF694="null")),AF694&lt;=TODAY()),"NO",IF(AG694="Vigente","SI","DESCONOCIDO")))</f>
        <v>SI</v>
      </c>
      <c r="AP694" t="str">
        <f>IF(AND(ISNUMBER(SEARCH("IMPORTAR",AA694)),ISNUMBER(SEARCH("FABRICAR",AA694))),"MIXTO",IF(ISNUMBER(SEARCH("IMPORTAR",AA694)),"IMPORTADO",IF(ISNUMBER(SEARCH("FABRICAR",AA694)),"LOCAL","OTRO")))</f>
        <v>IMPORTADO</v>
      </c>
      <c r="AQ694" t="str">
        <f>IF(AD694="Si","SI",IF(AD694="No","NO",""))</f>
        <v>NO</v>
      </c>
      <c r="AR694" t="str">
        <f>IF(ISNUMBER(SEARCH("®",N694)),"MARCA/INNOVADOR","GENERICO")</f>
        <v>GENERICO</v>
      </c>
      <c r="AS694">
        <f ca="1">IF(AE694&gt;100,RANDBETWEEN(500,5000),IF(AND(AE694&gt;=10,AE694&lt;=100),RANDBETWEEN(100,1000),RANDBETWEEN(10,200)))</f>
        <v>961</v>
      </c>
      <c r="AT694">
        <f t="shared" ca="1" si="52"/>
        <v>278</v>
      </c>
      <c r="AU694">
        <f ca="1">INT(AS694*RANDBETWEEN(120,200)/100)</f>
        <v>1182</v>
      </c>
      <c r="AV694" s="2">
        <f ca="1">IF(LEFT(Y694,1)="L",RANDBETWEEN(500000,5000000),IF(LEFT(Y694,1)="C",RANDBETWEEN(5000,50000),IF(LEFT(Y694,1)="N",RANDBETWEEN(10000,150000),IF(LEFT(Y694,1)="J",RANDBETWEEN(8000,200000),RANDBETWEEN(5000,100000)))))</f>
        <v>146862</v>
      </c>
      <c r="AW694" s="2">
        <f ca="1">INT(AV694*RANDBETWEEN(30,60)/100)</f>
        <v>74899</v>
      </c>
      <c r="AX694">
        <f ca="1">IF(Z694="ORAL",RANDBETWEEN(1000,10000),IF(OR(Z694="INTRAVENOSA",Z694="INTRAMUSCULAR"),RANDBETWEEN(100,2000),IF(OR(Z694="OFTÁLMICA",Z694="TOPICA (EXTERNA)"),RANDBETWEEN(200,3000),RANDBETWEEN(100,1500))))</f>
        <v>5583</v>
      </c>
      <c r="AY694" s="2">
        <f ca="1">INT(AV694*RANDBETWEEN(90,130)/100)</f>
        <v>133644</v>
      </c>
      <c r="AZ694" t="str">
        <f t="shared" ca="1" si="53"/>
        <v>11.9%</v>
      </c>
      <c r="BA694" t="str">
        <f t="shared" ca="1" si="54"/>
        <v>BAJO</v>
      </c>
    </row>
    <row r="695" spans="4:53" x14ac:dyDescent="0.35">
      <c r="D695" t="s">
        <v>4590</v>
      </c>
      <c r="E695" s="1">
        <v>45166</v>
      </c>
      <c r="F695" t="s">
        <v>4591</v>
      </c>
      <c r="G695" t="s">
        <v>108</v>
      </c>
      <c r="H695" t="s">
        <v>195</v>
      </c>
      <c r="I695">
        <v>20168885</v>
      </c>
      <c r="J695" t="s">
        <v>28</v>
      </c>
      <c r="K695">
        <v>1</v>
      </c>
      <c r="L695" t="s">
        <v>27</v>
      </c>
      <c r="M695" t="s">
        <v>4592</v>
      </c>
      <c r="N695" t="s">
        <v>4593</v>
      </c>
      <c r="O695" t="s">
        <v>4594</v>
      </c>
      <c r="P695" t="s">
        <v>4595</v>
      </c>
      <c r="Q695" s="1">
        <v>44321</v>
      </c>
      <c r="R695" t="s">
        <v>4328</v>
      </c>
      <c r="S695" t="s">
        <v>27</v>
      </c>
      <c r="T695" t="s">
        <v>195</v>
      </c>
      <c r="U695" t="s">
        <v>115</v>
      </c>
      <c r="V695" t="s">
        <v>4596</v>
      </c>
      <c r="W695">
        <v>11</v>
      </c>
      <c r="X695">
        <v>20168885</v>
      </c>
      <c r="Y695" t="s">
        <v>4597</v>
      </c>
      <c r="Z695" t="s">
        <v>1305</v>
      </c>
      <c r="AA695" t="s">
        <v>32</v>
      </c>
      <c r="AB695" t="s">
        <v>120</v>
      </c>
      <c r="AC695" t="s">
        <v>38</v>
      </c>
      <c r="AD695" t="s">
        <v>121</v>
      </c>
      <c r="AE695">
        <v>1</v>
      </c>
      <c r="AF695" t="s">
        <v>27</v>
      </c>
      <c r="AG695" t="s">
        <v>26</v>
      </c>
      <c r="AH695" t="s">
        <v>4591</v>
      </c>
      <c r="AI695" t="str">
        <f t="shared" si="50"/>
        <v>NO</v>
      </c>
      <c r="AJ695" t="str">
        <f t="shared" si="51"/>
        <v>ADIUM</v>
      </c>
      <c r="AK695" t="str">
        <f>IF(ISNUMBER(SEARCH("FABRICANTE",AC695)),"FABRICANTE",IF(ISNUMBER(SEARCH("IMPORTADOR",AC695)),"IMPORTADOR","OTRO"))</f>
        <v>IMPORTADOR</v>
      </c>
      <c r="AL695" t="str">
        <f>IF(LEFT(Y695,1)="A","Sistema digestivo",IF(LEFT(Y695,1)="B","Sangre",IF(LEFT(Y695,1)="C","Cardiovascular",IF(LEFT(Y695,1)="D","Dermatológico",IF(LEFT(Y695,1)="G","Genitourinario",IF(LEFT(Y695,1)="H","Hormonal",IF(LEFT(Y695,1)="J","Antiinfecciosos",IF(LEFT(Y695,1)="L","Oncológicos",IF(LEFT(Y695,1)="M","Musculoesquelético",IF(LEFT(Y695,1)="N","Sistema nervioso",IF(LEFT(Y695,1)="R","Respiratorio",IF(LEFT(Y695,1)="S","Oftálmico",IF(LEFT(Y695,1)="V","Varios","OTRO")))))))))))))</f>
        <v>Genitourinario</v>
      </c>
      <c r="AM695" t="str">
        <f>IF(AG695="Vigente","ACTIVO",IF(ISNUMBER(SEARCH("Inactivo",J695)),"INACTIVO","REVISAR"))</f>
        <v>ACTIVO</v>
      </c>
      <c r="AN695" t="str">
        <f ca="1">IF(OR(AF695="",AF695="null"),"",ROUND((AF695-TODAY())/365.25,2))</f>
        <v/>
      </c>
      <c r="AO695" t="str">
        <f ca="1">IF(AND(AG695="Vigente",OR(AF695="",AF695="null",AF695&gt;TODAY())),"SI",IF(AND(NOT(OR(AF695="",AF695="null")),AF695&lt;=TODAY()),"NO",IF(AG695="Vigente","SI","DESCONOCIDO")))</f>
        <v>SI</v>
      </c>
      <c r="AP695" t="str">
        <f>IF(AND(ISNUMBER(SEARCH("IMPORTAR",AA695)),ISNUMBER(SEARCH("FABRICAR",AA695))),"MIXTO",IF(ISNUMBER(SEARCH("IMPORTAR",AA695)),"IMPORTADO",IF(ISNUMBER(SEARCH("FABRICAR",AA695)),"LOCAL","OTRO")))</f>
        <v>IMPORTADO</v>
      </c>
      <c r="AQ695" t="str">
        <f>IF(AD695="Si","SI",IF(AD695="No","NO",""))</f>
        <v>NO</v>
      </c>
      <c r="AR695" t="str">
        <f>IF(ISNUMBER(SEARCH("®",N695)),"MARCA/INNOVADOR","GENERICO")</f>
        <v>GENERICO</v>
      </c>
      <c r="AS695">
        <f ca="1">IF(AE695&gt;100,RANDBETWEEN(500,5000),IF(AND(AE695&gt;=10,AE695&lt;=100),RANDBETWEEN(100,1000),RANDBETWEEN(10,200)))</f>
        <v>83</v>
      </c>
      <c r="AT695">
        <f t="shared" ca="1" si="52"/>
        <v>23</v>
      </c>
      <c r="AU695">
        <f ca="1">INT(AS695*RANDBETWEEN(120,200)/100)</f>
        <v>158</v>
      </c>
      <c r="AV695" s="2">
        <f ca="1">IF(LEFT(Y695,1)="L",RANDBETWEEN(500000,5000000),IF(LEFT(Y695,1)="C",RANDBETWEEN(5000,50000),IF(LEFT(Y695,1)="N",RANDBETWEEN(10000,150000),IF(LEFT(Y695,1)="J",RANDBETWEEN(8000,200000),RANDBETWEEN(5000,100000)))))</f>
        <v>52282</v>
      </c>
      <c r="AW695" s="2">
        <f ca="1">INT(AV695*RANDBETWEEN(30,60)/100)</f>
        <v>20389</v>
      </c>
      <c r="AX695">
        <f ca="1">IF(Z695="ORAL",RANDBETWEEN(1000,10000),IF(OR(Z695="INTRAVENOSA",Z695="INTRAMUSCULAR"),RANDBETWEEN(100,2000),IF(OR(Z695="OFTÁLMICA",Z695="TOPICA (EXTERNA)"),RANDBETWEEN(200,3000),RANDBETWEEN(100,1500))))</f>
        <v>333</v>
      </c>
      <c r="AY695" s="2">
        <f ca="1">INT(AV695*RANDBETWEEN(90,130)/100)</f>
        <v>48622</v>
      </c>
      <c r="AZ695" t="str">
        <f t="shared" ca="1" si="53"/>
        <v>5.3%</v>
      </c>
      <c r="BA695" t="str">
        <f t="shared" ca="1" si="54"/>
        <v>BAJO</v>
      </c>
    </row>
    <row r="696" spans="4:53" x14ac:dyDescent="0.35">
      <c r="D696" t="s">
        <v>4598</v>
      </c>
      <c r="E696" s="1">
        <v>38169</v>
      </c>
      <c r="F696" t="s">
        <v>4599</v>
      </c>
      <c r="G696" t="s">
        <v>108</v>
      </c>
      <c r="H696" t="s">
        <v>334</v>
      </c>
      <c r="I696">
        <v>19946107</v>
      </c>
      <c r="J696" t="s">
        <v>28</v>
      </c>
      <c r="K696">
        <v>13</v>
      </c>
      <c r="L696" t="s">
        <v>27</v>
      </c>
      <c r="M696" t="s">
        <v>4600</v>
      </c>
      <c r="N696" t="s">
        <v>4601</v>
      </c>
      <c r="O696" t="s">
        <v>4602</v>
      </c>
      <c r="P696" t="s">
        <v>4603</v>
      </c>
      <c r="Q696" s="1">
        <v>42159</v>
      </c>
      <c r="R696" t="s">
        <v>50</v>
      </c>
      <c r="S696" t="s">
        <v>27</v>
      </c>
      <c r="T696" t="s">
        <v>320</v>
      </c>
      <c r="U696" t="s">
        <v>115</v>
      </c>
      <c r="V696" t="s">
        <v>1248</v>
      </c>
      <c r="W696">
        <v>8</v>
      </c>
      <c r="X696">
        <v>19946107</v>
      </c>
      <c r="Y696" t="s">
        <v>2761</v>
      </c>
      <c r="Z696" t="s">
        <v>260</v>
      </c>
      <c r="AA696" t="s">
        <v>24</v>
      </c>
      <c r="AB696" t="s">
        <v>120</v>
      </c>
      <c r="AC696" t="s">
        <v>25</v>
      </c>
      <c r="AD696" t="s">
        <v>121</v>
      </c>
      <c r="AE696">
        <v>200</v>
      </c>
      <c r="AF696" t="s">
        <v>27</v>
      </c>
      <c r="AG696" t="s">
        <v>26</v>
      </c>
      <c r="AH696" t="s">
        <v>1248</v>
      </c>
      <c r="AI696" t="str">
        <f t="shared" si="50"/>
        <v>SI</v>
      </c>
      <c r="AJ696" t="str">
        <f t="shared" si="51"/>
        <v>GENFAR</v>
      </c>
      <c r="AK696" t="str">
        <f>IF(ISNUMBER(SEARCH("FABRICANTE",AC696)),"FABRICANTE",IF(ISNUMBER(SEARCH("IMPORTADOR",AC696)),"IMPORTADOR","OTRO"))</f>
        <v>FABRICANTE</v>
      </c>
      <c r="AL696" t="str">
        <f>IF(LEFT(Y696,1)="A","Sistema digestivo",IF(LEFT(Y696,1)="B","Sangre",IF(LEFT(Y696,1)="C","Cardiovascular",IF(LEFT(Y696,1)="D","Dermatológico",IF(LEFT(Y696,1)="G","Genitourinario",IF(LEFT(Y696,1)="H","Hormonal",IF(LEFT(Y696,1)="J","Antiinfecciosos",IF(LEFT(Y696,1)="L","Oncológicos",IF(LEFT(Y696,1)="M","Musculoesquelético",IF(LEFT(Y696,1)="N","Sistema nervioso",IF(LEFT(Y696,1)="R","Respiratorio",IF(LEFT(Y696,1)="S","Oftálmico",IF(LEFT(Y696,1)="V","Varios","OTRO")))))))))))))</f>
        <v>Hormonal</v>
      </c>
      <c r="AM696" t="str">
        <f>IF(AG696="Vigente","ACTIVO",IF(ISNUMBER(SEARCH("Inactivo",J696)),"INACTIVO","REVISAR"))</f>
        <v>ACTIVO</v>
      </c>
      <c r="AN696" t="str">
        <f ca="1">IF(OR(AF696="",AF696="null"),"",ROUND((AF696-TODAY())/365.25,2))</f>
        <v/>
      </c>
      <c r="AO696" t="str">
        <f ca="1">IF(AND(AG696="Vigente",OR(AF696="",AF696="null",AF696&gt;TODAY())),"SI",IF(AND(NOT(OR(AF696="",AF696="null")),AF696&lt;=TODAY()),"NO",IF(AG696="Vigente","SI","DESCONOCIDO")))</f>
        <v>SI</v>
      </c>
      <c r="AP696" t="str">
        <f>IF(AND(ISNUMBER(SEARCH("IMPORTAR",AA696)),ISNUMBER(SEARCH("FABRICAR",AA696))),"MIXTO",IF(ISNUMBER(SEARCH("IMPORTAR",AA696)),"IMPORTADO",IF(ISNUMBER(SEARCH("FABRICAR",AA696)),"LOCAL","OTRO")))</f>
        <v>LOCAL</v>
      </c>
      <c r="AQ696" t="str">
        <f>IF(AD696="Si","SI",IF(AD696="No","NO",""))</f>
        <v>NO</v>
      </c>
      <c r="AR696" t="str">
        <f>IF(ISNUMBER(SEARCH("®",N696)),"MARCA/INNOVADOR","GENERICO")</f>
        <v>GENERICO</v>
      </c>
      <c r="AS696">
        <f ca="1">IF(AE696&gt;100,RANDBETWEEN(500,5000),IF(AND(AE696&gt;=10,AE696&lt;=100),RANDBETWEEN(100,1000),RANDBETWEEN(10,200)))</f>
        <v>2080</v>
      </c>
      <c r="AT696">
        <f t="shared" ca="1" si="52"/>
        <v>312</v>
      </c>
      <c r="AU696">
        <f ca="1">INT(AS696*RANDBETWEEN(120,200)/100)</f>
        <v>3827</v>
      </c>
      <c r="AV696" s="2">
        <f ca="1">IF(LEFT(Y696,1)="L",RANDBETWEEN(500000,5000000),IF(LEFT(Y696,1)="C",RANDBETWEEN(5000,50000),IF(LEFT(Y696,1)="N",RANDBETWEEN(10000,150000),IF(LEFT(Y696,1)="J",RANDBETWEEN(8000,200000),RANDBETWEEN(5000,100000)))))</f>
        <v>31304</v>
      </c>
      <c r="AW696" s="2">
        <f ca="1">INT(AV696*RANDBETWEEN(30,60)/100)</f>
        <v>15025</v>
      </c>
      <c r="AX696">
        <f ca="1">IF(Z696="ORAL",RANDBETWEEN(1000,10000),IF(OR(Z696="INTRAVENOSA",Z696="INTRAMUSCULAR"),RANDBETWEEN(100,2000),IF(OR(Z696="OFTÁLMICA",Z696="TOPICA (EXTERNA)"),RANDBETWEEN(200,3000),RANDBETWEEN(100,1500))))</f>
        <v>1846</v>
      </c>
      <c r="AY696" s="2">
        <f ca="1">INT(AV696*RANDBETWEEN(90,130)/100)</f>
        <v>37877</v>
      </c>
      <c r="AZ696" t="str">
        <f t="shared" ca="1" si="53"/>
        <v>2.1%</v>
      </c>
      <c r="BA696" t="str">
        <f t="shared" ca="1" si="54"/>
        <v>BAJO</v>
      </c>
    </row>
    <row r="697" spans="4:53" x14ac:dyDescent="0.35">
      <c r="D697" t="s">
        <v>4604</v>
      </c>
      <c r="E697" s="1">
        <v>45588</v>
      </c>
      <c r="F697" t="s">
        <v>4605</v>
      </c>
      <c r="G697" t="s">
        <v>108</v>
      </c>
      <c r="H697" t="s">
        <v>4606</v>
      </c>
      <c r="I697">
        <v>20205851</v>
      </c>
      <c r="J697" t="s">
        <v>28</v>
      </c>
      <c r="K697">
        <v>4</v>
      </c>
      <c r="L697" t="s">
        <v>27</v>
      </c>
      <c r="M697" t="s">
        <v>4607</v>
      </c>
      <c r="N697" t="s">
        <v>4608</v>
      </c>
      <c r="O697" t="s">
        <v>4609</v>
      </c>
      <c r="P697" t="s">
        <v>4610</v>
      </c>
      <c r="Q697" s="1">
        <v>45568</v>
      </c>
      <c r="R697" t="s">
        <v>47</v>
      </c>
      <c r="S697" t="s">
        <v>27</v>
      </c>
      <c r="T697" t="s">
        <v>114</v>
      </c>
      <c r="U697" t="s">
        <v>115</v>
      </c>
      <c r="V697" t="s">
        <v>35</v>
      </c>
      <c r="W697">
        <v>165</v>
      </c>
      <c r="X697">
        <v>20205851</v>
      </c>
      <c r="Y697" t="s">
        <v>36</v>
      </c>
      <c r="Z697" t="s">
        <v>119</v>
      </c>
      <c r="AA697" t="s">
        <v>32</v>
      </c>
      <c r="AB697" t="s">
        <v>120</v>
      </c>
      <c r="AC697" t="s">
        <v>25</v>
      </c>
      <c r="AD697" t="s">
        <v>155</v>
      </c>
      <c r="AE697">
        <v>10</v>
      </c>
      <c r="AF697" s="1">
        <v>47429</v>
      </c>
      <c r="AG697" t="s">
        <v>26</v>
      </c>
      <c r="AH697" t="s">
        <v>35</v>
      </c>
      <c r="AI697" t="str">
        <f t="shared" si="50"/>
        <v>NO</v>
      </c>
      <c r="AJ697" t="str">
        <f t="shared" si="51"/>
        <v>LABORATORIOS LEGRAND</v>
      </c>
      <c r="AK697" t="str">
        <f>IF(ISNUMBER(SEARCH("FABRICANTE",AC697)),"FABRICANTE",IF(ISNUMBER(SEARCH("IMPORTADOR",AC697)),"IMPORTADOR","OTRO"))</f>
        <v>FABRICANTE</v>
      </c>
      <c r="AL697" t="str">
        <f>IF(LEFT(Y697,1)="A","Sistema digestivo",IF(LEFT(Y697,1)="B","Sangre",IF(LEFT(Y697,1)="C","Cardiovascular",IF(LEFT(Y697,1)="D","Dermatológico",IF(LEFT(Y697,1)="G","Genitourinario",IF(LEFT(Y697,1)="H","Hormonal",IF(LEFT(Y697,1)="J","Antiinfecciosos",IF(LEFT(Y697,1)="L","Oncológicos",IF(LEFT(Y697,1)="M","Musculoesquelético",IF(LEFT(Y697,1)="N","Sistema nervioso",IF(LEFT(Y697,1)="R","Respiratorio",IF(LEFT(Y697,1)="S","Oftálmico",IF(LEFT(Y697,1)="V","Varios","OTRO")))))))))))))</f>
        <v>Sistema nervioso</v>
      </c>
      <c r="AM697" t="str">
        <f>IF(AG697="Vigente","ACTIVO",IF(ISNUMBER(SEARCH("Inactivo",J697)),"INACTIVO","REVISAR"))</f>
        <v>ACTIVO</v>
      </c>
      <c r="AN697">
        <f ca="1">IF(OR(AF697="",AF697="null"),"",ROUND((AF697-TODAY())/365.25,2))</f>
        <v>3.45</v>
      </c>
      <c r="AO697" t="str">
        <f ca="1">IF(AND(AG697="Vigente",OR(AF697="",AF697="null",AF697&gt;TODAY())),"SI",IF(AND(NOT(OR(AF697="",AF697="null")),AF697&lt;=TODAY()),"NO",IF(AG697="Vigente","SI","DESCONOCIDO")))</f>
        <v>SI</v>
      </c>
      <c r="AP697" t="str">
        <f>IF(AND(ISNUMBER(SEARCH("IMPORTAR",AA697)),ISNUMBER(SEARCH("FABRICAR",AA697))),"MIXTO",IF(ISNUMBER(SEARCH("IMPORTAR",AA697)),"IMPORTADO",IF(ISNUMBER(SEARCH("FABRICAR",AA697)),"LOCAL","OTRO")))</f>
        <v>IMPORTADO</v>
      </c>
      <c r="AQ697" t="str">
        <f>IF(AD697="Si","SI",IF(AD697="No","NO",""))</f>
        <v>SI</v>
      </c>
      <c r="AR697" t="str">
        <f>IF(ISNUMBER(SEARCH("®",N697)),"MARCA/INNOVADOR","GENERICO")</f>
        <v>MARCA/INNOVADOR</v>
      </c>
      <c r="AS697">
        <f ca="1">IF(AE697&gt;100,RANDBETWEEN(500,5000),IF(AND(AE697&gt;=10,AE697&lt;=100),RANDBETWEEN(100,1000),RANDBETWEEN(10,200)))</f>
        <v>247</v>
      </c>
      <c r="AT697">
        <f t="shared" ca="1" si="52"/>
        <v>32</v>
      </c>
      <c r="AU697">
        <f ca="1">INT(AS697*RANDBETWEEN(120,200)/100)</f>
        <v>474</v>
      </c>
      <c r="AV697" s="2">
        <f ca="1">IF(LEFT(Y697,1)="L",RANDBETWEEN(500000,5000000),IF(LEFT(Y697,1)="C",RANDBETWEEN(5000,50000),IF(LEFT(Y697,1)="N",RANDBETWEEN(10000,150000),IF(LEFT(Y697,1)="J",RANDBETWEEN(8000,200000),RANDBETWEEN(5000,100000)))))</f>
        <v>103631</v>
      </c>
      <c r="AW697" s="2">
        <f ca="1">INT(AV697*RANDBETWEEN(30,60)/100)</f>
        <v>46633</v>
      </c>
      <c r="AX697">
        <f ca="1">IF(Z697="ORAL",RANDBETWEEN(1000,10000),IF(OR(Z697="INTRAVENOSA",Z697="INTRAMUSCULAR"),RANDBETWEEN(100,2000),IF(OR(Z697="OFTÁLMICA",Z697="TOPICA (EXTERNA)"),RANDBETWEEN(200,3000),RANDBETWEEN(100,1500))))</f>
        <v>4916</v>
      </c>
      <c r="AY697" s="2">
        <f ca="1">INT(AV697*RANDBETWEEN(90,130)/100)</f>
        <v>107776</v>
      </c>
      <c r="AZ697" t="str">
        <f t="shared" ca="1" si="53"/>
        <v>21.6%</v>
      </c>
      <c r="BA697" t="str">
        <f t="shared" ca="1" si="54"/>
        <v>MEDIO</v>
      </c>
    </row>
    <row r="698" spans="4:53" x14ac:dyDescent="0.35">
      <c r="D698" t="s">
        <v>4611</v>
      </c>
      <c r="E698" s="1">
        <v>38169</v>
      </c>
      <c r="F698" t="s">
        <v>4599</v>
      </c>
      <c r="G698" t="s">
        <v>108</v>
      </c>
      <c r="H698" t="s">
        <v>334</v>
      </c>
      <c r="I698">
        <v>19946107</v>
      </c>
      <c r="J698" t="s">
        <v>28</v>
      </c>
      <c r="K698">
        <v>8</v>
      </c>
      <c r="L698" t="s">
        <v>27</v>
      </c>
      <c r="M698" t="s">
        <v>4600</v>
      </c>
      <c r="N698" t="s">
        <v>4601</v>
      </c>
      <c r="O698" t="s">
        <v>4612</v>
      </c>
      <c r="P698" t="s">
        <v>4603</v>
      </c>
      <c r="Q698" s="1">
        <v>42159</v>
      </c>
      <c r="R698" t="s">
        <v>50</v>
      </c>
      <c r="S698" t="s">
        <v>27</v>
      </c>
      <c r="T698" t="s">
        <v>320</v>
      </c>
      <c r="U698" t="s">
        <v>115</v>
      </c>
      <c r="V698" t="s">
        <v>1248</v>
      </c>
      <c r="W698">
        <v>8</v>
      </c>
      <c r="X698">
        <v>19946107</v>
      </c>
      <c r="Y698" t="s">
        <v>2761</v>
      </c>
      <c r="Z698" t="s">
        <v>213</v>
      </c>
      <c r="AA698" t="s">
        <v>24</v>
      </c>
      <c r="AB698" t="s">
        <v>120</v>
      </c>
      <c r="AC698" t="s">
        <v>25</v>
      </c>
      <c r="AD698" t="s">
        <v>121</v>
      </c>
      <c r="AE698">
        <v>3</v>
      </c>
      <c r="AF698" t="s">
        <v>27</v>
      </c>
      <c r="AG698" t="s">
        <v>26</v>
      </c>
      <c r="AH698" t="s">
        <v>1248</v>
      </c>
      <c r="AI698" t="str">
        <f t="shared" si="50"/>
        <v>SI</v>
      </c>
      <c r="AJ698" t="str">
        <f t="shared" si="51"/>
        <v>GENFAR</v>
      </c>
      <c r="AK698" t="str">
        <f>IF(ISNUMBER(SEARCH("FABRICANTE",AC698)),"FABRICANTE",IF(ISNUMBER(SEARCH("IMPORTADOR",AC698)),"IMPORTADOR","OTRO"))</f>
        <v>FABRICANTE</v>
      </c>
      <c r="AL698" t="str">
        <f>IF(LEFT(Y698,1)="A","Sistema digestivo",IF(LEFT(Y698,1)="B","Sangre",IF(LEFT(Y698,1)="C","Cardiovascular",IF(LEFT(Y698,1)="D","Dermatológico",IF(LEFT(Y698,1)="G","Genitourinario",IF(LEFT(Y698,1)="H","Hormonal",IF(LEFT(Y698,1)="J","Antiinfecciosos",IF(LEFT(Y698,1)="L","Oncológicos",IF(LEFT(Y698,1)="M","Musculoesquelético",IF(LEFT(Y698,1)="N","Sistema nervioso",IF(LEFT(Y698,1)="R","Respiratorio",IF(LEFT(Y698,1)="S","Oftálmico",IF(LEFT(Y698,1)="V","Varios","OTRO")))))))))))))</f>
        <v>Hormonal</v>
      </c>
      <c r="AM698" t="str">
        <f>IF(AG698="Vigente","ACTIVO",IF(ISNUMBER(SEARCH("Inactivo",J698)),"INACTIVO","REVISAR"))</f>
        <v>ACTIVO</v>
      </c>
      <c r="AN698" t="str">
        <f ca="1">IF(OR(AF698="",AF698="null"),"",ROUND((AF698-TODAY())/365.25,2))</f>
        <v/>
      </c>
      <c r="AO698" t="str">
        <f ca="1">IF(AND(AG698="Vigente",OR(AF698="",AF698="null",AF698&gt;TODAY())),"SI",IF(AND(NOT(OR(AF698="",AF698="null")),AF698&lt;=TODAY()),"NO",IF(AG698="Vigente","SI","DESCONOCIDO")))</f>
        <v>SI</v>
      </c>
      <c r="AP698" t="str">
        <f>IF(AND(ISNUMBER(SEARCH("IMPORTAR",AA698)),ISNUMBER(SEARCH("FABRICAR",AA698))),"MIXTO",IF(ISNUMBER(SEARCH("IMPORTAR",AA698)),"IMPORTADO",IF(ISNUMBER(SEARCH("FABRICAR",AA698)),"LOCAL","OTRO")))</f>
        <v>LOCAL</v>
      </c>
      <c r="AQ698" t="str">
        <f>IF(AD698="Si","SI",IF(AD698="No","NO",""))</f>
        <v>NO</v>
      </c>
      <c r="AR698" t="str">
        <f>IF(ISNUMBER(SEARCH("®",N698)),"MARCA/INNOVADOR","GENERICO")</f>
        <v>GENERICO</v>
      </c>
      <c r="AS698">
        <f ca="1">IF(AE698&gt;100,RANDBETWEEN(500,5000),IF(AND(AE698&gt;=10,AE698&lt;=100),RANDBETWEEN(100,1000),RANDBETWEEN(10,200)))</f>
        <v>100</v>
      </c>
      <c r="AT698">
        <f t="shared" ca="1" si="52"/>
        <v>30</v>
      </c>
      <c r="AU698">
        <f ca="1">INT(AS698*RANDBETWEEN(120,200)/100)</f>
        <v>134</v>
      </c>
      <c r="AV698" s="2">
        <f ca="1">IF(LEFT(Y698,1)="L",RANDBETWEEN(500000,5000000),IF(LEFT(Y698,1)="C",RANDBETWEEN(5000,50000),IF(LEFT(Y698,1)="N",RANDBETWEEN(10000,150000),IF(LEFT(Y698,1)="J",RANDBETWEEN(8000,200000),RANDBETWEEN(5000,100000)))))</f>
        <v>54123</v>
      </c>
      <c r="AW698" s="2">
        <f ca="1">INT(AV698*RANDBETWEEN(30,60)/100)</f>
        <v>23272</v>
      </c>
      <c r="AX698">
        <f ca="1">IF(Z698="ORAL",RANDBETWEEN(1000,10000),IF(OR(Z698="INTRAVENOSA",Z698="INTRAMUSCULAR"),RANDBETWEEN(100,2000),IF(OR(Z698="OFTÁLMICA",Z698="TOPICA (EXTERNA)"),RANDBETWEEN(200,3000),RANDBETWEEN(100,1500))))</f>
        <v>609</v>
      </c>
      <c r="AY698" s="2">
        <f ca="1">INT(AV698*RANDBETWEEN(90,130)/100)</f>
        <v>56829</v>
      </c>
      <c r="AZ698" t="str">
        <f t="shared" ca="1" si="53"/>
        <v>9.4%</v>
      </c>
      <c r="BA698" t="str">
        <f t="shared" ca="1" si="54"/>
        <v>BAJO</v>
      </c>
    </row>
    <row r="699" spans="4:53" x14ac:dyDescent="0.35">
      <c r="D699" t="s">
        <v>4613</v>
      </c>
      <c r="E699" s="1">
        <v>44749</v>
      </c>
      <c r="F699" t="s">
        <v>2454</v>
      </c>
      <c r="G699" t="s">
        <v>108</v>
      </c>
      <c r="H699" t="s">
        <v>4614</v>
      </c>
      <c r="I699">
        <v>20138823</v>
      </c>
      <c r="J699" t="s">
        <v>28</v>
      </c>
      <c r="K699">
        <v>3</v>
      </c>
      <c r="L699" t="s">
        <v>4615</v>
      </c>
      <c r="M699" t="s">
        <v>4616</v>
      </c>
      <c r="N699" t="s">
        <v>4617</v>
      </c>
      <c r="O699" t="s">
        <v>4618</v>
      </c>
      <c r="P699" t="s">
        <v>1201</v>
      </c>
      <c r="Q699" s="1">
        <v>44454</v>
      </c>
      <c r="R699" t="s">
        <v>29</v>
      </c>
      <c r="S699" t="s">
        <v>27</v>
      </c>
      <c r="T699" t="s">
        <v>114</v>
      </c>
      <c r="U699" t="s">
        <v>115</v>
      </c>
      <c r="V699" t="s">
        <v>2454</v>
      </c>
      <c r="W699">
        <v>5</v>
      </c>
      <c r="X699">
        <v>20138823</v>
      </c>
      <c r="Y699" t="s">
        <v>2455</v>
      </c>
      <c r="Z699" t="s">
        <v>119</v>
      </c>
      <c r="AA699" t="s">
        <v>32</v>
      </c>
      <c r="AB699" t="s">
        <v>120</v>
      </c>
      <c r="AC699" t="s">
        <v>25</v>
      </c>
      <c r="AD699" t="s">
        <v>121</v>
      </c>
      <c r="AE699">
        <v>60</v>
      </c>
      <c r="AF699" t="s">
        <v>27</v>
      </c>
      <c r="AG699" t="s">
        <v>26</v>
      </c>
      <c r="AH699" t="s">
        <v>2454</v>
      </c>
      <c r="AI699" t="str">
        <f t="shared" si="50"/>
        <v>NO</v>
      </c>
      <c r="AJ699" t="str">
        <f t="shared" si="51"/>
        <v>LABORATORIOS LEGRAND</v>
      </c>
      <c r="AK699" t="str">
        <f>IF(ISNUMBER(SEARCH("FABRICANTE",AC699)),"FABRICANTE",IF(ISNUMBER(SEARCH("IMPORTADOR",AC699)),"IMPORTADOR","OTRO"))</f>
        <v>FABRICANTE</v>
      </c>
      <c r="AL699" t="str">
        <f>IF(LEFT(Y699,1)="A","Sistema digestivo",IF(LEFT(Y699,1)="B","Sangre",IF(LEFT(Y699,1)="C","Cardiovascular",IF(LEFT(Y699,1)="D","Dermatológico",IF(LEFT(Y699,1)="G","Genitourinario",IF(LEFT(Y699,1)="H","Hormonal",IF(LEFT(Y699,1)="J","Antiinfecciosos",IF(LEFT(Y699,1)="L","Oncológicos",IF(LEFT(Y699,1)="M","Musculoesquelético",IF(LEFT(Y699,1)="N","Sistema nervioso",IF(LEFT(Y699,1)="R","Respiratorio",IF(LEFT(Y699,1)="S","Oftálmico",IF(LEFT(Y699,1)="V","Varios","OTRO")))))))))))))</f>
        <v>Genitourinario</v>
      </c>
      <c r="AM699" t="str">
        <f>IF(AG699="Vigente","ACTIVO",IF(ISNUMBER(SEARCH("Inactivo",J699)),"INACTIVO","REVISAR"))</f>
        <v>ACTIVO</v>
      </c>
      <c r="AN699" t="str">
        <f ca="1">IF(OR(AF699="",AF699="null"),"",ROUND((AF699-TODAY())/365.25,2))</f>
        <v/>
      </c>
      <c r="AO699" t="str">
        <f ca="1">IF(AND(AG699="Vigente",OR(AF699="",AF699="null",AF699&gt;TODAY())),"SI",IF(AND(NOT(OR(AF699="",AF699="null")),AF699&lt;=TODAY()),"NO",IF(AG699="Vigente","SI","DESCONOCIDO")))</f>
        <v>SI</v>
      </c>
      <c r="AP699" t="str">
        <f>IF(AND(ISNUMBER(SEARCH("IMPORTAR",AA699)),ISNUMBER(SEARCH("FABRICAR",AA699))),"MIXTO",IF(ISNUMBER(SEARCH("IMPORTAR",AA699)),"IMPORTADO",IF(ISNUMBER(SEARCH("FABRICAR",AA699)),"LOCAL","OTRO")))</f>
        <v>IMPORTADO</v>
      </c>
      <c r="AQ699" t="str">
        <f>IF(AD699="Si","SI",IF(AD699="No","NO",""))</f>
        <v>NO</v>
      </c>
      <c r="AR699" t="str">
        <f>IF(ISNUMBER(SEARCH("®",N699)),"MARCA/INNOVADOR","GENERICO")</f>
        <v>MARCA/INNOVADOR</v>
      </c>
      <c r="AS699">
        <f ca="1">IF(AE699&gt;100,RANDBETWEEN(500,5000),IF(AND(AE699&gt;=10,AE699&lt;=100),RANDBETWEEN(100,1000),RANDBETWEEN(10,200)))</f>
        <v>959</v>
      </c>
      <c r="AT699">
        <f t="shared" ca="1" si="52"/>
        <v>172</v>
      </c>
      <c r="AU699">
        <f ca="1">INT(AS699*RANDBETWEEN(120,200)/100)</f>
        <v>1611</v>
      </c>
      <c r="AV699" s="2">
        <f ca="1">IF(LEFT(Y699,1)="L",RANDBETWEEN(500000,5000000),IF(LEFT(Y699,1)="C",RANDBETWEEN(5000,50000),IF(LEFT(Y699,1)="N",RANDBETWEEN(10000,150000),IF(LEFT(Y699,1)="J",RANDBETWEEN(8000,200000),RANDBETWEEN(5000,100000)))))</f>
        <v>39238</v>
      </c>
      <c r="AW699" s="2">
        <f ca="1">INT(AV699*RANDBETWEEN(30,60)/100)</f>
        <v>17657</v>
      </c>
      <c r="AX699">
        <f ca="1">IF(Z699="ORAL",RANDBETWEEN(1000,10000),IF(OR(Z699="INTRAVENOSA",Z699="INTRAMUSCULAR"),RANDBETWEEN(100,2000),IF(OR(Z699="OFTÁLMICA",Z699="TOPICA (EXTERNA)"),RANDBETWEEN(200,3000),RANDBETWEEN(100,1500))))</f>
        <v>9301</v>
      </c>
      <c r="AY699" s="2">
        <f ca="1">INT(AV699*RANDBETWEEN(90,130)/100)</f>
        <v>35314</v>
      </c>
      <c r="AZ699" t="str">
        <f t="shared" ca="1" si="53"/>
        <v>18.8%</v>
      </c>
      <c r="BA699" t="str">
        <f t="shared" ca="1" si="54"/>
        <v>BAJO</v>
      </c>
    </row>
    <row r="700" spans="4:53" x14ac:dyDescent="0.35">
      <c r="D700" t="s">
        <v>4619</v>
      </c>
      <c r="E700" s="1">
        <v>36915</v>
      </c>
      <c r="F700" t="s">
        <v>4620</v>
      </c>
      <c r="G700" t="s">
        <v>108</v>
      </c>
      <c r="H700" t="s">
        <v>1689</v>
      </c>
      <c r="I700">
        <v>19913481</v>
      </c>
      <c r="J700" t="s">
        <v>28</v>
      </c>
      <c r="K700">
        <v>2</v>
      </c>
      <c r="L700" t="s">
        <v>27</v>
      </c>
      <c r="M700" t="s">
        <v>4621</v>
      </c>
      <c r="N700" t="s">
        <v>4622</v>
      </c>
      <c r="O700" t="s">
        <v>4623</v>
      </c>
      <c r="P700" t="s">
        <v>4624</v>
      </c>
      <c r="Q700" s="1">
        <v>39031</v>
      </c>
      <c r="R700" t="s">
        <v>3221</v>
      </c>
      <c r="S700" t="s">
        <v>27</v>
      </c>
      <c r="T700" t="s">
        <v>1689</v>
      </c>
      <c r="U700" t="s">
        <v>4625</v>
      </c>
      <c r="V700" t="s">
        <v>4626</v>
      </c>
      <c r="W700" t="s">
        <v>4627</v>
      </c>
      <c r="X700">
        <v>19913481</v>
      </c>
      <c r="Y700" t="s">
        <v>4628</v>
      </c>
      <c r="Z700" t="s">
        <v>1168</v>
      </c>
      <c r="AA700" t="s">
        <v>32</v>
      </c>
      <c r="AB700" t="s">
        <v>1983</v>
      </c>
      <c r="AC700" t="s">
        <v>38</v>
      </c>
      <c r="AD700" t="s">
        <v>121</v>
      </c>
      <c r="AE700">
        <v>1</v>
      </c>
      <c r="AF700" t="s">
        <v>27</v>
      </c>
      <c r="AG700" t="s">
        <v>26</v>
      </c>
      <c r="AH700" t="s">
        <v>6825</v>
      </c>
      <c r="AI700" t="str">
        <f t="shared" si="50"/>
        <v>NO</v>
      </c>
      <c r="AJ700" t="str">
        <f t="shared" si="51"/>
        <v>GLAXOSMITHKLINE COLOMBIA</v>
      </c>
      <c r="AK700" t="str">
        <f>IF(ISNUMBER(SEARCH("FABRICANTE",AC700)),"FABRICANTE",IF(ISNUMBER(SEARCH("IMPORTADOR",AC700)),"IMPORTADOR","OTRO"))</f>
        <v>IMPORTADOR</v>
      </c>
      <c r="AL700" t="str">
        <f>IF(LEFT(Y700,1)="A","Sistema digestivo",IF(LEFT(Y700,1)="B","Sangre",IF(LEFT(Y700,1)="C","Cardiovascular",IF(LEFT(Y700,1)="D","Dermatológico",IF(LEFT(Y700,1)="G","Genitourinario",IF(LEFT(Y700,1)="H","Hormonal",IF(LEFT(Y700,1)="J","Antiinfecciosos",IF(LEFT(Y700,1)="L","Oncológicos",IF(LEFT(Y700,1)="M","Musculoesquelético",IF(LEFT(Y700,1)="N","Sistema nervioso",IF(LEFT(Y700,1)="R","Respiratorio",IF(LEFT(Y700,1)="S","Oftálmico",IF(LEFT(Y700,1)="V","Varios","OTRO")))))))))))))</f>
        <v>Respiratorio</v>
      </c>
      <c r="AM700" t="str">
        <f>IF(AG700="Vigente","ACTIVO",IF(ISNUMBER(SEARCH("Inactivo",J700)),"INACTIVO","REVISAR"))</f>
        <v>ACTIVO</v>
      </c>
      <c r="AN700" t="str">
        <f ca="1">IF(OR(AF700="",AF700="null"),"",ROUND((AF700-TODAY())/365.25,2))</f>
        <v/>
      </c>
      <c r="AO700" t="str">
        <f ca="1">IF(AND(AG700="Vigente",OR(AF700="",AF700="null",AF700&gt;TODAY())),"SI",IF(AND(NOT(OR(AF700="",AF700="null")),AF700&lt;=TODAY()),"NO",IF(AG700="Vigente","SI","DESCONOCIDO")))</f>
        <v>SI</v>
      </c>
      <c r="AP700" t="str">
        <f>IF(AND(ISNUMBER(SEARCH("IMPORTAR",AA700)),ISNUMBER(SEARCH("FABRICAR",AA700))),"MIXTO",IF(ISNUMBER(SEARCH("IMPORTAR",AA700)),"IMPORTADO",IF(ISNUMBER(SEARCH("FABRICAR",AA700)),"LOCAL","OTRO")))</f>
        <v>IMPORTADO</v>
      </c>
      <c r="AQ700" t="str">
        <f>IF(AD700="Si","SI",IF(AD700="No","NO",""))</f>
        <v>NO</v>
      </c>
      <c r="AR700" t="str">
        <f>IF(ISNUMBER(SEARCH("®",N700)),"MARCA/INNOVADOR","GENERICO")</f>
        <v>MARCA/INNOVADOR</v>
      </c>
      <c r="AS700">
        <f ca="1">IF(AE700&gt;100,RANDBETWEEN(500,5000),IF(AND(AE700&gt;=10,AE700&lt;=100),RANDBETWEEN(100,1000),RANDBETWEEN(10,200)))</f>
        <v>65</v>
      </c>
      <c r="AT700">
        <f t="shared" ca="1" si="52"/>
        <v>13</v>
      </c>
      <c r="AU700">
        <f ca="1">INT(AS700*RANDBETWEEN(120,200)/100)</f>
        <v>92</v>
      </c>
      <c r="AV700" s="2">
        <f ca="1">IF(LEFT(Y700,1)="L",RANDBETWEEN(500000,5000000),IF(LEFT(Y700,1)="C",RANDBETWEEN(5000,50000),IF(LEFT(Y700,1)="N",RANDBETWEEN(10000,150000),IF(LEFT(Y700,1)="J",RANDBETWEEN(8000,200000),RANDBETWEEN(5000,100000)))))</f>
        <v>55045</v>
      </c>
      <c r="AW700" s="2">
        <f ca="1">INT(AV700*RANDBETWEEN(30,60)/100)</f>
        <v>30274</v>
      </c>
      <c r="AX700">
        <f ca="1">IF(Z700="ORAL",RANDBETWEEN(1000,10000),IF(OR(Z700="INTRAVENOSA",Z700="INTRAMUSCULAR"),RANDBETWEEN(100,2000),IF(OR(Z700="OFTÁLMICA",Z700="TOPICA (EXTERNA)"),RANDBETWEEN(200,3000),RANDBETWEEN(100,1500))))</f>
        <v>1176</v>
      </c>
      <c r="AY700" s="2">
        <f ca="1">INT(AV700*RANDBETWEEN(90,130)/100)</f>
        <v>51191</v>
      </c>
      <c r="AZ700" t="str">
        <f t="shared" ca="1" si="53"/>
        <v>4.5%</v>
      </c>
      <c r="BA700" t="str">
        <f t="shared" ca="1" si="54"/>
        <v>BAJO</v>
      </c>
    </row>
    <row r="701" spans="4:53" x14ac:dyDescent="0.35">
      <c r="D701" t="s">
        <v>4629</v>
      </c>
      <c r="E701" s="1">
        <v>42226</v>
      </c>
      <c r="F701" t="s">
        <v>270</v>
      </c>
      <c r="G701" t="s">
        <v>108</v>
      </c>
      <c r="H701" t="s">
        <v>1823</v>
      </c>
      <c r="I701">
        <v>20084690</v>
      </c>
      <c r="J701" t="s">
        <v>28</v>
      </c>
      <c r="K701">
        <v>30</v>
      </c>
      <c r="L701" t="s">
        <v>27</v>
      </c>
      <c r="M701" t="s">
        <v>271</v>
      </c>
      <c r="N701" t="s">
        <v>272</v>
      </c>
      <c r="O701" t="s">
        <v>4630</v>
      </c>
      <c r="P701" t="s">
        <v>274</v>
      </c>
      <c r="Q701" s="1">
        <v>42202</v>
      </c>
      <c r="R701" t="s">
        <v>50</v>
      </c>
      <c r="S701" t="s">
        <v>27</v>
      </c>
      <c r="T701" t="s">
        <v>93</v>
      </c>
      <c r="U701" t="s">
        <v>115</v>
      </c>
      <c r="V701" t="s">
        <v>275</v>
      </c>
      <c r="W701">
        <v>80</v>
      </c>
      <c r="X701">
        <v>20084690</v>
      </c>
      <c r="Y701" t="s">
        <v>276</v>
      </c>
      <c r="Z701" t="s">
        <v>1137</v>
      </c>
      <c r="AA701" t="s">
        <v>32</v>
      </c>
      <c r="AB701" t="s">
        <v>239</v>
      </c>
      <c r="AC701" t="s">
        <v>25</v>
      </c>
      <c r="AD701" t="s">
        <v>121</v>
      </c>
      <c r="AE701">
        <v>300</v>
      </c>
      <c r="AF701" t="s">
        <v>27</v>
      </c>
      <c r="AG701" t="s">
        <v>26</v>
      </c>
      <c r="AH701" t="s">
        <v>1822</v>
      </c>
      <c r="AI701" t="str">
        <f t="shared" si="50"/>
        <v>SI</v>
      </c>
      <c r="AJ701" t="str">
        <f t="shared" si="51"/>
        <v>LABORATORIOS DELTA</v>
      </c>
      <c r="AK701" t="str">
        <f>IF(ISNUMBER(SEARCH("FABRICANTE",AC701)),"FABRICANTE",IF(ISNUMBER(SEARCH("IMPORTADOR",AC701)),"IMPORTADOR","OTRO"))</f>
        <v>FABRICANTE</v>
      </c>
      <c r="AL701" t="str">
        <f>IF(LEFT(Y701,1)="A","Sistema digestivo",IF(LEFT(Y701,1)="B","Sangre",IF(LEFT(Y701,1)="C","Cardiovascular",IF(LEFT(Y701,1)="D","Dermatológico",IF(LEFT(Y701,1)="G","Genitourinario",IF(LEFT(Y701,1)="H","Hormonal",IF(LEFT(Y701,1)="J","Antiinfecciosos",IF(LEFT(Y701,1)="L","Oncológicos",IF(LEFT(Y701,1)="M","Musculoesquelético",IF(LEFT(Y701,1)="N","Sistema nervioso",IF(LEFT(Y701,1)="R","Respiratorio",IF(LEFT(Y701,1)="S","Oftálmico",IF(LEFT(Y701,1)="V","Varios","OTRO")))))))))))))</f>
        <v>Sangre</v>
      </c>
      <c r="AM701" t="str">
        <f>IF(AG701="Vigente","ACTIVO",IF(ISNUMBER(SEARCH("Inactivo",J701)),"INACTIVO","REVISAR"))</f>
        <v>ACTIVO</v>
      </c>
      <c r="AN701" t="str">
        <f ca="1">IF(OR(AF701="",AF701="null"),"",ROUND((AF701-TODAY())/365.25,2))</f>
        <v/>
      </c>
      <c r="AO701" t="str">
        <f ca="1">IF(AND(AG701="Vigente",OR(AF701="",AF701="null",AF701&gt;TODAY())),"SI",IF(AND(NOT(OR(AF701="",AF701="null")),AF701&lt;=TODAY()),"NO",IF(AG701="Vigente","SI","DESCONOCIDO")))</f>
        <v>SI</v>
      </c>
      <c r="AP701" t="str">
        <f>IF(AND(ISNUMBER(SEARCH("IMPORTAR",AA701)),ISNUMBER(SEARCH("FABRICAR",AA701))),"MIXTO",IF(ISNUMBER(SEARCH("IMPORTAR",AA701)),"IMPORTADO",IF(ISNUMBER(SEARCH("FABRICAR",AA701)),"LOCAL","OTRO")))</f>
        <v>IMPORTADO</v>
      </c>
      <c r="AQ701" t="str">
        <f>IF(AD701="Si","SI",IF(AD701="No","NO",""))</f>
        <v>NO</v>
      </c>
      <c r="AR701" t="str">
        <f>IF(ISNUMBER(SEARCH("®",N701)),"MARCA/INNOVADOR","GENERICO")</f>
        <v>GENERICO</v>
      </c>
      <c r="AS701">
        <f ca="1">IF(AE701&gt;100,RANDBETWEEN(500,5000),IF(AND(AE701&gt;=10,AE701&lt;=100),RANDBETWEEN(100,1000),RANDBETWEEN(10,200)))</f>
        <v>1731</v>
      </c>
      <c r="AT701">
        <f t="shared" ca="1" si="52"/>
        <v>294</v>
      </c>
      <c r="AU701">
        <f ca="1">INT(AS701*RANDBETWEEN(120,200)/100)</f>
        <v>2492</v>
      </c>
      <c r="AV701" s="2">
        <f ca="1">IF(LEFT(Y701,1)="L",RANDBETWEEN(500000,5000000),IF(LEFT(Y701,1)="C",RANDBETWEEN(5000,50000),IF(LEFT(Y701,1)="N",RANDBETWEEN(10000,150000),IF(LEFT(Y701,1)="J",RANDBETWEEN(8000,200000),RANDBETWEEN(5000,100000)))))</f>
        <v>95381</v>
      </c>
      <c r="AW701" s="2">
        <f ca="1">INT(AV701*RANDBETWEEN(30,60)/100)</f>
        <v>42921</v>
      </c>
      <c r="AX701">
        <f ca="1">IF(Z701="ORAL",RANDBETWEEN(1000,10000),IF(OR(Z701="INTRAVENOSA",Z701="INTRAMUSCULAR"),RANDBETWEEN(100,2000),IF(OR(Z701="OFTÁLMICA",Z701="TOPICA (EXTERNA)"),RANDBETWEEN(200,3000),RANDBETWEEN(100,1500))))</f>
        <v>1176</v>
      </c>
      <c r="AY701" s="2">
        <f ca="1">INT(AV701*RANDBETWEEN(90,130)/100)</f>
        <v>108734</v>
      </c>
      <c r="AZ701" t="str">
        <f t="shared" ca="1" si="53"/>
        <v>2.7%</v>
      </c>
      <c r="BA701" t="str">
        <f t="shared" ca="1" si="54"/>
        <v>BAJO</v>
      </c>
    </row>
    <row r="702" spans="4:53" x14ac:dyDescent="0.35">
      <c r="D702" t="s">
        <v>4631</v>
      </c>
      <c r="E702" s="1">
        <v>42023</v>
      </c>
      <c r="F702" t="s">
        <v>1942</v>
      </c>
      <c r="G702" t="s">
        <v>108</v>
      </c>
      <c r="H702" t="s">
        <v>4632</v>
      </c>
      <c r="I702">
        <v>20066120</v>
      </c>
      <c r="J702" t="s">
        <v>28</v>
      </c>
      <c r="K702">
        <v>5</v>
      </c>
      <c r="L702" t="s">
        <v>27</v>
      </c>
      <c r="M702" t="s">
        <v>4633</v>
      </c>
      <c r="N702" t="s">
        <v>4634</v>
      </c>
      <c r="O702" t="s">
        <v>4635</v>
      </c>
      <c r="P702" t="s">
        <v>29</v>
      </c>
      <c r="Q702" s="1">
        <v>43559</v>
      </c>
      <c r="R702" t="s">
        <v>29</v>
      </c>
      <c r="S702" t="s">
        <v>27</v>
      </c>
      <c r="T702" t="s">
        <v>40</v>
      </c>
      <c r="U702" t="s">
        <v>115</v>
      </c>
      <c r="V702" t="s">
        <v>1942</v>
      </c>
      <c r="W702">
        <v>400</v>
      </c>
      <c r="X702">
        <v>20066120</v>
      </c>
      <c r="Y702" t="s">
        <v>1947</v>
      </c>
      <c r="Z702" t="s">
        <v>119</v>
      </c>
      <c r="AA702" t="s">
        <v>32</v>
      </c>
      <c r="AB702" t="s">
        <v>120</v>
      </c>
      <c r="AC702" t="s">
        <v>25</v>
      </c>
      <c r="AD702" t="s">
        <v>155</v>
      </c>
      <c r="AE702">
        <v>1</v>
      </c>
      <c r="AF702" t="s">
        <v>27</v>
      </c>
      <c r="AG702" t="s">
        <v>26</v>
      </c>
      <c r="AH702" t="s">
        <v>1942</v>
      </c>
      <c r="AI702" t="str">
        <f t="shared" si="50"/>
        <v>NO</v>
      </c>
      <c r="AJ702" t="str">
        <f t="shared" si="51"/>
        <v>HETERO LABS</v>
      </c>
      <c r="AK702" t="str">
        <f>IF(ISNUMBER(SEARCH("FABRICANTE",AC702)),"FABRICANTE",IF(ISNUMBER(SEARCH("IMPORTADOR",AC702)),"IMPORTADOR","OTRO"))</f>
        <v>FABRICANTE</v>
      </c>
      <c r="AL702" t="str">
        <f>IF(LEFT(Y702,1)="A","Sistema digestivo",IF(LEFT(Y702,1)="B","Sangre",IF(LEFT(Y702,1)="C","Cardiovascular",IF(LEFT(Y702,1)="D","Dermatológico",IF(LEFT(Y702,1)="G","Genitourinario",IF(LEFT(Y702,1)="H","Hormonal",IF(LEFT(Y702,1)="J","Antiinfecciosos",IF(LEFT(Y702,1)="L","Oncológicos",IF(LEFT(Y702,1)="M","Musculoesquelético",IF(LEFT(Y702,1)="N","Sistema nervioso",IF(LEFT(Y702,1)="R","Respiratorio",IF(LEFT(Y702,1)="S","Oftálmico",IF(LEFT(Y702,1)="V","Varios","OTRO")))))))))))))</f>
        <v>Dermatológico</v>
      </c>
      <c r="AM702" t="str">
        <f>IF(AG702="Vigente","ACTIVO",IF(ISNUMBER(SEARCH("Inactivo",J702)),"INACTIVO","REVISAR"))</f>
        <v>ACTIVO</v>
      </c>
      <c r="AN702" t="str">
        <f ca="1">IF(OR(AF702="",AF702="null"),"",ROUND((AF702-TODAY())/365.25,2))</f>
        <v/>
      </c>
      <c r="AO702" t="str">
        <f ca="1">IF(AND(AG702="Vigente",OR(AF702="",AF702="null",AF702&gt;TODAY())),"SI",IF(AND(NOT(OR(AF702="",AF702="null")),AF702&lt;=TODAY()),"NO",IF(AG702="Vigente","SI","DESCONOCIDO")))</f>
        <v>SI</v>
      </c>
      <c r="AP702" t="str">
        <f>IF(AND(ISNUMBER(SEARCH("IMPORTAR",AA702)),ISNUMBER(SEARCH("FABRICAR",AA702))),"MIXTO",IF(ISNUMBER(SEARCH("IMPORTAR",AA702)),"IMPORTADO",IF(ISNUMBER(SEARCH("FABRICAR",AA702)),"LOCAL","OTRO")))</f>
        <v>IMPORTADO</v>
      </c>
      <c r="AQ702" t="str">
        <f>IF(AD702="Si","SI",IF(AD702="No","NO",""))</f>
        <v>SI</v>
      </c>
      <c r="AR702" t="str">
        <f>IF(ISNUMBER(SEARCH("®",N702)),"MARCA/INNOVADOR","GENERICO")</f>
        <v>MARCA/INNOVADOR</v>
      </c>
      <c r="AS702">
        <f ca="1">IF(AE702&gt;100,RANDBETWEEN(500,5000),IF(AND(AE702&gt;=10,AE702&lt;=100),RANDBETWEEN(100,1000),RANDBETWEEN(10,200)))</f>
        <v>52</v>
      </c>
      <c r="AT702">
        <f t="shared" ca="1" si="52"/>
        <v>9</v>
      </c>
      <c r="AU702">
        <f ca="1">INT(AS702*RANDBETWEEN(120,200)/100)</f>
        <v>80</v>
      </c>
      <c r="AV702" s="2">
        <f ca="1">IF(LEFT(Y702,1)="L",RANDBETWEEN(500000,5000000),IF(LEFT(Y702,1)="C",RANDBETWEEN(5000,50000),IF(LEFT(Y702,1)="N",RANDBETWEEN(10000,150000),IF(LEFT(Y702,1)="J",RANDBETWEEN(8000,200000),RANDBETWEEN(5000,100000)))))</f>
        <v>45175</v>
      </c>
      <c r="AW702" s="2">
        <f ca="1">INT(AV702*RANDBETWEEN(30,60)/100)</f>
        <v>20780</v>
      </c>
      <c r="AX702">
        <f ca="1">IF(Z702="ORAL",RANDBETWEEN(1000,10000),IF(OR(Z702="INTRAVENOSA",Z702="INTRAMUSCULAR"),RANDBETWEEN(100,2000),IF(OR(Z702="OFTÁLMICA",Z702="TOPICA (EXTERNA)"),RANDBETWEEN(200,3000),RANDBETWEEN(100,1500))))</f>
        <v>5470</v>
      </c>
      <c r="AY702" s="2">
        <f ca="1">INT(AV702*RANDBETWEEN(90,130)/100)</f>
        <v>42464</v>
      </c>
      <c r="AZ702" t="str">
        <f t="shared" ca="1" si="53"/>
        <v>22.7%</v>
      </c>
      <c r="BA702" t="str">
        <f t="shared" ca="1" si="54"/>
        <v>BAJO</v>
      </c>
    </row>
    <row r="703" spans="4:53" x14ac:dyDescent="0.35">
      <c r="D703" t="s">
        <v>4636</v>
      </c>
      <c r="E703" s="1">
        <v>36292</v>
      </c>
      <c r="F703" t="s">
        <v>76</v>
      </c>
      <c r="G703" t="s">
        <v>108</v>
      </c>
      <c r="H703" t="s">
        <v>68</v>
      </c>
      <c r="I703">
        <v>27858</v>
      </c>
      <c r="J703" t="s">
        <v>28</v>
      </c>
      <c r="K703">
        <v>5</v>
      </c>
      <c r="L703" t="s">
        <v>27</v>
      </c>
      <c r="M703" t="s">
        <v>1140</v>
      </c>
      <c r="N703" t="s">
        <v>1141</v>
      </c>
      <c r="O703" t="s">
        <v>1142</v>
      </c>
      <c r="P703" t="s">
        <v>553</v>
      </c>
      <c r="Q703" s="1">
        <v>39031</v>
      </c>
      <c r="R703" t="s">
        <v>1143</v>
      </c>
      <c r="S703" s="1">
        <v>39972</v>
      </c>
      <c r="T703" t="s">
        <v>1144</v>
      </c>
      <c r="U703" t="s">
        <v>247</v>
      </c>
      <c r="V703" t="s">
        <v>64</v>
      </c>
      <c r="W703" t="s">
        <v>4637</v>
      </c>
      <c r="X703">
        <v>27858</v>
      </c>
      <c r="Y703" t="s">
        <v>1146</v>
      </c>
      <c r="Z703" t="s">
        <v>1147</v>
      </c>
      <c r="AA703" t="s">
        <v>24</v>
      </c>
      <c r="AB703" t="s">
        <v>133</v>
      </c>
      <c r="AC703" t="s">
        <v>25</v>
      </c>
      <c r="AD703" t="s">
        <v>121</v>
      </c>
      <c r="AE703">
        <v>1</v>
      </c>
      <c r="AF703" s="1">
        <v>401769</v>
      </c>
      <c r="AG703" t="s">
        <v>26</v>
      </c>
      <c r="AH703" t="s">
        <v>6777</v>
      </c>
      <c r="AI703" t="str">
        <f t="shared" si="50"/>
        <v>NO</v>
      </c>
      <c r="AJ703" t="str">
        <f t="shared" si="51"/>
        <v>OFTALMOQUIMICA</v>
      </c>
      <c r="AK703" t="str">
        <f>IF(ISNUMBER(SEARCH("FABRICANTE",AC703)),"FABRICANTE",IF(ISNUMBER(SEARCH("IMPORTADOR",AC703)),"IMPORTADOR","OTRO"))</f>
        <v>FABRICANTE</v>
      </c>
      <c r="AL703" t="str">
        <f>IF(LEFT(Y703,1)="A","Sistema digestivo",IF(LEFT(Y703,1)="B","Sangre",IF(LEFT(Y703,1)="C","Cardiovascular",IF(LEFT(Y703,1)="D","Dermatológico",IF(LEFT(Y703,1)="G","Genitourinario",IF(LEFT(Y703,1)="H","Hormonal",IF(LEFT(Y703,1)="J","Antiinfecciosos",IF(LEFT(Y703,1)="L","Oncológicos",IF(LEFT(Y703,1)="M","Musculoesquelético",IF(LEFT(Y703,1)="N","Sistema nervioso",IF(LEFT(Y703,1)="R","Respiratorio",IF(LEFT(Y703,1)="S","Oftálmico",IF(LEFT(Y703,1)="V","Varios","OTRO")))))))))))))</f>
        <v>Sangre</v>
      </c>
      <c r="AM703" t="str">
        <f>IF(AG703="Vigente","ACTIVO",IF(ISNUMBER(SEARCH("Inactivo",J703)),"INACTIVO","REVISAR"))</f>
        <v>ACTIVO</v>
      </c>
      <c r="AN703">
        <f ca="1">IF(OR(AF703="",AF703="null"),"",ROUND((AF703-TODAY())/365.25,2))</f>
        <v>973.58</v>
      </c>
      <c r="AO703" t="str">
        <f ca="1">IF(AND(AG703="Vigente",OR(AF703="",AF703="null",AF703&gt;TODAY())),"SI",IF(AND(NOT(OR(AF703="",AF703="null")),AF703&lt;=TODAY()),"NO",IF(AG703="Vigente","SI","DESCONOCIDO")))</f>
        <v>SI</v>
      </c>
      <c r="AP703" t="str">
        <f>IF(AND(ISNUMBER(SEARCH("IMPORTAR",AA703)),ISNUMBER(SEARCH("FABRICAR",AA703))),"MIXTO",IF(ISNUMBER(SEARCH("IMPORTAR",AA703)),"IMPORTADO",IF(ISNUMBER(SEARCH("FABRICAR",AA703)),"LOCAL","OTRO")))</f>
        <v>LOCAL</v>
      </c>
      <c r="AQ703" t="str">
        <f>IF(AD703="Si","SI",IF(AD703="No","NO",""))</f>
        <v>NO</v>
      </c>
      <c r="AR703" t="str">
        <f>IF(ISNUMBER(SEARCH("®",N703)),"MARCA/INNOVADOR","GENERICO")</f>
        <v>GENERICO</v>
      </c>
      <c r="AS703">
        <f ca="1">IF(AE703&gt;100,RANDBETWEEN(500,5000),IF(AND(AE703&gt;=10,AE703&lt;=100),RANDBETWEEN(100,1000),RANDBETWEEN(10,200)))</f>
        <v>130</v>
      </c>
      <c r="AT703">
        <f t="shared" ca="1" si="52"/>
        <v>24</v>
      </c>
      <c r="AU703">
        <f ca="1">INT(AS703*RANDBETWEEN(120,200)/100)</f>
        <v>200</v>
      </c>
      <c r="AV703" s="2">
        <f ca="1">IF(LEFT(Y703,1)="L",RANDBETWEEN(500000,5000000),IF(LEFT(Y703,1)="C",RANDBETWEEN(5000,50000),IF(LEFT(Y703,1)="N",RANDBETWEEN(10000,150000),IF(LEFT(Y703,1)="J",RANDBETWEEN(8000,200000),RANDBETWEEN(5000,100000)))))</f>
        <v>29694</v>
      </c>
      <c r="AW703" s="2">
        <f ca="1">INT(AV703*RANDBETWEEN(30,60)/100)</f>
        <v>16331</v>
      </c>
      <c r="AX703">
        <f ca="1">IF(Z703="ORAL",RANDBETWEEN(1000,10000),IF(OR(Z703="INTRAVENOSA",Z703="INTRAMUSCULAR"),RANDBETWEEN(100,2000),IF(OR(Z703="OFTÁLMICA",Z703="TOPICA (EXTERNA)"),RANDBETWEEN(200,3000),RANDBETWEEN(100,1500))))</f>
        <v>1002</v>
      </c>
      <c r="AY703" s="2">
        <f ca="1">INT(AV703*RANDBETWEEN(90,130)/100)</f>
        <v>36226</v>
      </c>
      <c r="AZ703" t="str">
        <f t="shared" ca="1" si="53"/>
        <v>3.3%</v>
      </c>
      <c r="BA703" t="str">
        <f t="shared" ca="1" si="54"/>
        <v>BAJO</v>
      </c>
    </row>
    <row r="704" spans="4:53" x14ac:dyDescent="0.35">
      <c r="D704" t="s">
        <v>4638</v>
      </c>
      <c r="E704" s="1">
        <v>42451</v>
      </c>
      <c r="F704" t="s">
        <v>515</v>
      </c>
      <c r="G704" t="s">
        <v>108</v>
      </c>
      <c r="H704" t="s">
        <v>1252</v>
      </c>
      <c r="I704">
        <v>20097708</v>
      </c>
      <c r="J704" t="s">
        <v>110</v>
      </c>
      <c r="K704">
        <v>3</v>
      </c>
      <c r="L704" t="s">
        <v>27</v>
      </c>
      <c r="M704" t="s">
        <v>1253</v>
      </c>
      <c r="N704" t="s">
        <v>1254</v>
      </c>
      <c r="O704" t="s">
        <v>4639</v>
      </c>
      <c r="P704" t="s">
        <v>527</v>
      </c>
      <c r="Q704" s="1">
        <v>42314</v>
      </c>
      <c r="R704" t="s">
        <v>527</v>
      </c>
      <c r="S704" s="1">
        <v>42444</v>
      </c>
      <c r="T704" t="s">
        <v>1256</v>
      </c>
      <c r="U704" t="s">
        <v>115</v>
      </c>
      <c r="V704" t="s">
        <v>162</v>
      </c>
      <c r="W704">
        <v>200</v>
      </c>
      <c r="X704">
        <v>20097708</v>
      </c>
      <c r="Y704" t="s">
        <v>164</v>
      </c>
      <c r="Z704" t="s">
        <v>119</v>
      </c>
      <c r="AA704" t="s">
        <v>848</v>
      </c>
      <c r="AB704" t="s">
        <v>120</v>
      </c>
      <c r="AC704" t="s">
        <v>25</v>
      </c>
      <c r="AD704" t="s">
        <v>121</v>
      </c>
      <c r="AE704">
        <v>5</v>
      </c>
      <c r="AF704" t="s">
        <v>27</v>
      </c>
      <c r="AG704" t="s">
        <v>26</v>
      </c>
      <c r="AH704" t="s">
        <v>515</v>
      </c>
      <c r="AI704" t="str">
        <f t="shared" si="50"/>
        <v>NO</v>
      </c>
      <c r="AJ704" t="str">
        <f t="shared" si="51"/>
        <v>GENOMMA LAB COLOMBIA</v>
      </c>
      <c r="AK704" t="str">
        <f>IF(ISNUMBER(SEARCH("FABRICANTE",AC704)),"FABRICANTE",IF(ISNUMBER(SEARCH("IMPORTADOR",AC704)),"IMPORTADOR","OTRO"))</f>
        <v>FABRICANTE</v>
      </c>
      <c r="AL704" t="str">
        <f>IF(LEFT(Y704,1)="A","Sistema digestivo",IF(LEFT(Y704,1)="B","Sangre",IF(LEFT(Y704,1)="C","Cardiovascular",IF(LEFT(Y704,1)="D","Dermatológico",IF(LEFT(Y704,1)="G","Genitourinario",IF(LEFT(Y704,1)="H","Hormonal",IF(LEFT(Y704,1)="J","Antiinfecciosos",IF(LEFT(Y704,1)="L","Oncológicos",IF(LEFT(Y704,1)="M","Musculoesquelético",IF(LEFT(Y704,1)="N","Sistema nervioso",IF(LEFT(Y704,1)="R","Respiratorio",IF(LEFT(Y704,1)="S","Oftálmico",IF(LEFT(Y704,1)="V","Varios","OTRO")))))))))))))</f>
        <v>Musculoesquelético</v>
      </c>
      <c r="AM704" t="str">
        <f>IF(AG704="Vigente","ACTIVO",IF(ISNUMBER(SEARCH("Inactivo",J704)),"INACTIVO","REVISAR"))</f>
        <v>ACTIVO</v>
      </c>
      <c r="AN704" t="str">
        <f ca="1">IF(OR(AF704="",AF704="null"),"",ROUND((AF704-TODAY())/365.25,2))</f>
        <v/>
      </c>
      <c r="AO704" t="str">
        <f ca="1">IF(AND(AG704="Vigente",OR(AF704="",AF704="null",AF704&gt;TODAY())),"SI",IF(AND(NOT(OR(AF704="",AF704="null")),AF704&lt;=TODAY()),"NO",IF(AG704="Vigente","SI","DESCONOCIDO")))</f>
        <v>SI</v>
      </c>
      <c r="AP704" t="str">
        <f>IF(AND(ISNUMBER(SEARCH("IMPORTAR",AA704)),ISNUMBER(SEARCH("FABRICAR",AA704))),"MIXTO",IF(ISNUMBER(SEARCH("IMPORTAR",AA704)),"IMPORTADO",IF(ISNUMBER(SEARCH("FABRICAR",AA704)),"LOCAL","OTRO")))</f>
        <v>IMPORTADO</v>
      </c>
      <c r="AQ704" t="str">
        <f>IF(AD704="Si","SI",IF(AD704="No","NO",""))</f>
        <v>NO</v>
      </c>
      <c r="AR704" t="str">
        <f>IF(ISNUMBER(SEARCH("®",N704)),"MARCA/INNOVADOR","GENERICO")</f>
        <v>MARCA/INNOVADOR</v>
      </c>
      <c r="AS704">
        <f ca="1">IF(AE704&gt;100,RANDBETWEEN(500,5000),IF(AND(AE704&gt;=10,AE704&lt;=100),RANDBETWEEN(100,1000),RANDBETWEEN(10,200)))</f>
        <v>93</v>
      </c>
      <c r="AT704">
        <f t="shared" ca="1" si="52"/>
        <v>13</v>
      </c>
      <c r="AU704">
        <f ca="1">INT(AS704*RANDBETWEEN(120,200)/100)</f>
        <v>120</v>
      </c>
      <c r="AV704" s="2">
        <f ca="1">IF(LEFT(Y704,1)="L",RANDBETWEEN(500000,5000000),IF(LEFT(Y704,1)="C",RANDBETWEEN(5000,50000),IF(LEFT(Y704,1)="N",RANDBETWEEN(10000,150000),IF(LEFT(Y704,1)="J",RANDBETWEEN(8000,200000),RANDBETWEEN(5000,100000)))))</f>
        <v>62552</v>
      </c>
      <c r="AW704" s="2">
        <f ca="1">INT(AV704*RANDBETWEEN(30,60)/100)</f>
        <v>30024</v>
      </c>
      <c r="AX704">
        <f ca="1">IF(Z704="ORAL",RANDBETWEEN(1000,10000),IF(OR(Z704="INTRAVENOSA",Z704="INTRAMUSCULAR"),RANDBETWEEN(100,2000),IF(OR(Z704="OFTÁLMICA",Z704="TOPICA (EXTERNA)"),RANDBETWEEN(200,3000),RANDBETWEEN(100,1500))))</f>
        <v>8478</v>
      </c>
      <c r="AY704" s="2">
        <f ca="1">INT(AV704*RANDBETWEEN(90,130)/100)</f>
        <v>71934</v>
      </c>
      <c r="AZ704" t="str">
        <f t="shared" ca="1" si="53"/>
        <v>5.6%</v>
      </c>
      <c r="BA704" t="str">
        <f t="shared" ca="1" si="54"/>
        <v>ALTO</v>
      </c>
    </row>
    <row r="705" spans="4:53" x14ac:dyDescent="0.35">
      <c r="D705" t="s">
        <v>4640</v>
      </c>
      <c r="E705" s="1">
        <v>41983</v>
      </c>
      <c r="F705" t="s">
        <v>4641</v>
      </c>
      <c r="G705" t="s">
        <v>108</v>
      </c>
      <c r="H705" t="s">
        <v>146</v>
      </c>
      <c r="I705">
        <v>20063407</v>
      </c>
      <c r="J705" t="s">
        <v>28</v>
      </c>
      <c r="K705">
        <v>26</v>
      </c>
      <c r="L705" t="s">
        <v>27</v>
      </c>
      <c r="M705" t="s">
        <v>1358</v>
      </c>
      <c r="N705" t="s">
        <v>1359</v>
      </c>
      <c r="O705" t="s">
        <v>4642</v>
      </c>
      <c r="P705" t="s">
        <v>1361</v>
      </c>
      <c r="Q705" s="1">
        <v>45370</v>
      </c>
      <c r="R705" t="s">
        <v>73</v>
      </c>
      <c r="S705" t="s">
        <v>27</v>
      </c>
      <c r="T705" t="s">
        <v>80</v>
      </c>
      <c r="U705" t="s">
        <v>115</v>
      </c>
      <c r="V705" t="s">
        <v>1362</v>
      </c>
      <c r="W705" t="s">
        <v>4643</v>
      </c>
      <c r="X705">
        <v>20063407</v>
      </c>
      <c r="Y705" t="s">
        <v>1363</v>
      </c>
      <c r="Z705" t="s">
        <v>119</v>
      </c>
      <c r="AA705" t="s">
        <v>165</v>
      </c>
      <c r="AB705" t="s">
        <v>653</v>
      </c>
      <c r="AC705" t="s">
        <v>25</v>
      </c>
      <c r="AD705" t="s">
        <v>121</v>
      </c>
      <c r="AE705">
        <v>210</v>
      </c>
      <c r="AF705" t="s">
        <v>27</v>
      </c>
      <c r="AG705" t="s">
        <v>26</v>
      </c>
      <c r="AH705" t="s">
        <v>6826</v>
      </c>
      <c r="AI705" t="str">
        <f t="shared" si="50"/>
        <v>NO</v>
      </c>
      <c r="AJ705" t="str">
        <f t="shared" si="51"/>
        <v>TECNOQUIMICAS</v>
      </c>
      <c r="AK705" t="str">
        <f>IF(ISNUMBER(SEARCH("FABRICANTE",AC705)),"FABRICANTE",IF(ISNUMBER(SEARCH("IMPORTADOR",AC705)),"IMPORTADOR","OTRO"))</f>
        <v>FABRICANTE</v>
      </c>
      <c r="AL705" t="str">
        <f>IF(LEFT(Y705,1)="A","Sistema digestivo",IF(LEFT(Y705,1)="B","Sangre",IF(LEFT(Y705,1)="C","Cardiovascular",IF(LEFT(Y705,1)="D","Dermatológico",IF(LEFT(Y705,1)="G","Genitourinario",IF(LEFT(Y705,1)="H","Hormonal",IF(LEFT(Y705,1)="J","Antiinfecciosos",IF(LEFT(Y705,1)="L","Oncológicos",IF(LEFT(Y705,1)="M","Musculoesquelético",IF(LEFT(Y705,1)="N","Sistema nervioso",IF(LEFT(Y705,1)="R","Respiratorio",IF(LEFT(Y705,1)="S","Oftálmico",IF(LEFT(Y705,1)="V","Varios","OTRO")))))))))))))</f>
        <v>Sistema digestivo</v>
      </c>
      <c r="AM705" t="str">
        <f>IF(AG705="Vigente","ACTIVO",IF(ISNUMBER(SEARCH("Inactivo",J705)),"INACTIVO","REVISAR"))</f>
        <v>ACTIVO</v>
      </c>
      <c r="AN705" t="str">
        <f ca="1">IF(OR(AF705="",AF705="null"),"",ROUND((AF705-TODAY())/365.25,2))</f>
        <v/>
      </c>
      <c r="AO705" t="str">
        <f ca="1">IF(AND(AG705="Vigente",OR(AF705="",AF705="null",AF705&gt;TODAY())),"SI",IF(AND(NOT(OR(AF705="",AF705="null")),AF705&lt;=TODAY()),"NO",IF(AG705="Vigente","SI","DESCONOCIDO")))</f>
        <v>SI</v>
      </c>
      <c r="AP705" t="str">
        <f>IF(AND(ISNUMBER(SEARCH("IMPORTAR",AA705)),ISNUMBER(SEARCH("FABRICAR",AA705))),"MIXTO",IF(ISNUMBER(SEARCH("IMPORTAR",AA705)),"IMPORTADO",IF(ISNUMBER(SEARCH("FABRICAR",AA705)),"LOCAL","OTRO")))</f>
        <v>IMPORTADO</v>
      </c>
      <c r="AQ705" t="str">
        <f>IF(AD705="Si","SI",IF(AD705="No","NO",""))</f>
        <v>NO</v>
      </c>
      <c r="AR705" t="str">
        <f>IF(ISNUMBER(SEARCH("®",N705)),"MARCA/INNOVADOR","GENERICO")</f>
        <v>GENERICO</v>
      </c>
      <c r="AS705">
        <f ca="1">IF(AE705&gt;100,RANDBETWEEN(500,5000),IF(AND(AE705&gt;=10,AE705&lt;=100),RANDBETWEEN(100,1000),RANDBETWEEN(10,200)))</f>
        <v>4737</v>
      </c>
      <c r="AT705">
        <f t="shared" ca="1" si="52"/>
        <v>1042</v>
      </c>
      <c r="AU705">
        <f ca="1">INT(AS705*RANDBETWEEN(120,200)/100)</f>
        <v>5826</v>
      </c>
      <c r="AV705" s="2">
        <f ca="1">IF(LEFT(Y705,1)="L",RANDBETWEEN(500000,5000000),IF(LEFT(Y705,1)="C",RANDBETWEEN(5000,50000),IF(LEFT(Y705,1)="N",RANDBETWEEN(10000,150000),IF(LEFT(Y705,1)="J",RANDBETWEEN(8000,200000),RANDBETWEEN(5000,100000)))))</f>
        <v>22039</v>
      </c>
      <c r="AW705" s="2">
        <f ca="1">INT(AV705*RANDBETWEEN(30,60)/100)</f>
        <v>11460</v>
      </c>
      <c r="AX705">
        <f ca="1">IF(Z705="ORAL",RANDBETWEEN(1000,10000),IF(OR(Z705="INTRAVENOSA",Z705="INTRAMUSCULAR"),RANDBETWEEN(100,2000),IF(OR(Z705="OFTÁLMICA",Z705="TOPICA (EXTERNA)"),RANDBETWEEN(200,3000),RANDBETWEEN(100,1500))))</f>
        <v>8490</v>
      </c>
      <c r="AY705" s="2">
        <f ca="1">INT(AV705*RANDBETWEEN(90,130)/100)</f>
        <v>22479</v>
      </c>
      <c r="AZ705" t="str">
        <f t="shared" ca="1" si="53"/>
        <v>19.5%</v>
      </c>
      <c r="BA705" t="str">
        <f t="shared" ca="1" si="54"/>
        <v>BAJO</v>
      </c>
    </row>
    <row r="706" spans="4:53" x14ac:dyDescent="0.35">
      <c r="D706" t="s">
        <v>4644</v>
      </c>
      <c r="E706" s="1">
        <v>40235</v>
      </c>
      <c r="F706" t="s">
        <v>4319</v>
      </c>
      <c r="G706" t="s">
        <v>108</v>
      </c>
      <c r="H706" t="s">
        <v>503</v>
      </c>
      <c r="I706">
        <v>20010477</v>
      </c>
      <c r="J706" t="s">
        <v>28</v>
      </c>
      <c r="K706">
        <v>2</v>
      </c>
      <c r="L706" t="s">
        <v>27</v>
      </c>
      <c r="M706" t="s">
        <v>4320</v>
      </c>
      <c r="N706" t="s">
        <v>4321</v>
      </c>
      <c r="O706" t="s">
        <v>4645</v>
      </c>
      <c r="P706" t="s">
        <v>1195</v>
      </c>
      <c r="Q706" s="1">
        <v>40108</v>
      </c>
      <c r="R706" t="s">
        <v>211</v>
      </c>
      <c r="S706" t="s">
        <v>27</v>
      </c>
      <c r="T706" t="s">
        <v>1784</v>
      </c>
      <c r="U706" t="s">
        <v>115</v>
      </c>
      <c r="V706" t="s">
        <v>2827</v>
      </c>
      <c r="W706">
        <v>500</v>
      </c>
      <c r="X706">
        <v>20010477</v>
      </c>
      <c r="Y706" t="s">
        <v>2828</v>
      </c>
      <c r="Z706" t="s">
        <v>260</v>
      </c>
      <c r="AA706" t="s">
        <v>24</v>
      </c>
      <c r="AB706" t="s">
        <v>120</v>
      </c>
      <c r="AC706" t="s">
        <v>25</v>
      </c>
      <c r="AD706" t="s">
        <v>121</v>
      </c>
      <c r="AE706">
        <v>5</v>
      </c>
      <c r="AF706" s="1">
        <v>402133</v>
      </c>
      <c r="AG706" t="s">
        <v>26</v>
      </c>
      <c r="AH706" t="s">
        <v>2827</v>
      </c>
      <c r="AI706" t="str">
        <f t="shared" si="50"/>
        <v>NO</v>
      </c>
      <c r="AJ706" t="str">
        <f t="shared" si="51"/>
        <v>COLMED</v>
      </c>
      <c r="AK706" t="str">
        <f>IF(ISNUMBER(SEARCH("FABRICANTE",AC706)),"FABRICANTE",IF(ISNUMBER(SEARCH("IMPORTADOR",AC706)),"IMPORTADOR","OTRO"))</f>
        <v>FABRICANTE</v>
      </c>
      <c r="AL706" t="str">
        <f>IF(LEFT(Y706,1)="A","Sistema digestivo",IF(LEFT(Y706,1)="B","Sangre",IF(LEFT(Y706,1)="C","Cardiovascular",IF(LEFT(Y706,1)="D","Dermatológico",IF(LEFT(Y706,1)="G","Genitourinario",IF(LEFT(Y706,1)="H","Hormonal",IF(LEFT(Y706,1)="J","Antiinfecciosos",IF(LEFT(Y706,1)="L","Oncológicos",IF(LEFT(Y706,1)="M","Musculoesquelético",IF(LEFT(Y706,1)="N","Sistema nervioso",IF(LEFT(Y706,1)="R","Respiratorio",IF(LEFT(Y706,1)="S","Oftálmico",IF(LEFT(Y706,1)="V","Varios","OTRO")))))))))))))</f>
        <v>Antiinfecciosos</v>
      </c>
      <c r="AM706" t="str">
        <f>IF(AG706="Vigente","ACTIVO",IF(ISNUMBER(SEARCH("Inactivo",J706)),"INACTIVO","REVISAR"))</f>
        <v>ACTIVO</v>
      </c>
      <c r="AN706">
        <f ca="1">IF(OR(AF706="",AF706="null"),"",ROUND((AF706-TODAY())/365.25,2))</f>
        <v>974.58</v>
      </c>
      <c r="AO706" t="str">
        <f ca="1">IF(AND(AG706="Vigente",OR(AF706="",AF706="null",AF706&gt;TODAY())),"SI",IF(AND(NOT(OR(AF706="",AF706="null")),AF706&lt;=TODAY()),"NO",IF(AG706="Vigente","SI","DESCONOCIDO")))</f>
        <v>SI</v>
      </c>
      <c r="AP706" t="str">
        <f>IF(AND(ISNUMBER(SEARCH("IMPORTAR",AA706)),ISNUMBER(SEARCH("FABRICAR",AA706))),"MIXTO",IF(ISNUMBER(SEARCH("IMPORTAR",AA706)),"IMPORTADO",IF(ISNUMBER(SEARCH("FABRICAR",AA706)),"LOCAL","OTRO")))</f>
        <v>LOCAL</v>
      </c>
      <c r="AQ706" t="str">
        <f>IF(AD706="Si","SI",IF(AD706="No","NO",""))</f>
        <v>NO</v>
      </c>
      <c r="AR706" t="str">
        <f>IF(ISNUMBER(SEARCH("®",N706)),"MARCA/INNOVADOR","GENERICO")</f>
        <v>GENERICO</v>
      </c>
      <c r="AS706">
        <f ca="1">IF(AE706&gt;100,RANDBETWEEN(500,5000),IF(AND(AE706&gt;=10,AE706&lt;=100),RANDBETWEEN(100,1000),RANDBETWEEN(10,200)))</f>
        <v>183</v>
      </c>
      <c r="AT706">
        <f t="shared" ca="1" si="52"/>
        <v>40</v>
      </c>
      <c r="AU706">
        <f ca="1">INT(AS706*RANDBETWEEN(120,200)/100)</f>
        <v>316</v>
      </c>
      <c r="AV706" s="2">
        <f ca="1">IF(LEFT(Y706,1)="L",RANDBETWEEN(500000,5000000),IF(LEFT(Y706,1)="C",RANDBETWEEN(5000,50000),IF(LEFT(Y706,1)="N",RANDBETWEEN(10000,150000),IF(LEFT(Y706,1)="J",RANDBETWEEN(8000,200000),RANDBETWEEN(5000,100000)))))</f>
        <v>185327</v>
      </c>
      <c r="AW706" s="2">
        <f ca="1">INT(AV706*RANDBETWEEN(30,60)/100)</f>
        <v>55598</v>
      </c>
      <c r="AX706">
        <f ca="1">IF(Z706="ORAL",RANDBETWEEN(1000,10000),IF(OR(Z706="INTRAVENOSA",Z706="INTRAMUSCULAR"),RANDBETWEEN(100,2000),IF(OR(Z706="OFTÁLMICA",Z706="TOPICA (EXTERNA)"),RANDBETWEEN(200,3000),RANDBETWEEN(100,1500))))</f>
        <v>1683</v>
      </c>
      <c r="AY706" s="2">
        <f ca="1">INT(AV706*RANDBETWEEN(90,130)/100)</f>
        <v>233512</v>
      </c>
      <c r="AZ706" t="str">
        <f t="shared" ca="1" si="53"/>
        <v>2%</v>
      </c>
      <c r="BA706" t="str">
        <f t="shared" ca="1" si="54"/>
        <v>BAJO</v>
      </c>
    </row>
    <row r="707" spans="4:53" x14ac:dyDescent="0.35">
      <c r="D707" t="s">
        <v>4646</v>
      </c>
      <c r="E707" s="1">
        <v>42202</v>
      </c>
      <c r="F707" t="s">
        <v>4647</v>
      </c>
      <c r="G707" t="s">
        <v>108</v>
      </c>
      <c r="H707" t="s">
        <v>80</v>
      </c>
      <c r="I707">
        <v>20078742</v>
      </c>
      <c r="J707" t="s">
        <v>28</v>
      </c>
      <c r="K707">
        <v>20</v>
      </c>
      <c r="L707" t="s">
        <v>27</v>
      </c>
      <c r="M707" t="s">
        <v>419</v>
      </c>
      <c r="N707" t="s">
        <v>420</v>
      </c>
      <c r="O707" t="s">
        <v>4648</v>
      </c>
      <c r="P707" t="s">
        <v>422</v>
      </c>
      <c r="Q707" s="1">
        <v>42200</v>
      </c>
      <c r="R707" t="s">
        <v>423</v>
      </c>
      <c r="S707" t="s">
        <v>27</v>
      </c>
      <c r="T707" t="s">
        <v>80</v>
      </c>
      <c r="U707" t="s">
        <v>115</v>
      </c>
      <c r="V707" t="s">
        <v>424</v>
      </c>
      <c r="W707">
        <v>500</v>
      </c>
      <c r="X707">
        <v>20078742</v>
      </c>
      <c r="Y707" t="s">
        <v>425</v>
      </c>
      <c r="Z707" t="s">
        <v>119</v>
      </c>
      <c r="AA707" t="s">
        <v>165</v>
      </c>
      <c r="AB707" t="s">
        <v>120</v>
      </c>
      <c r="AC707" t="s">
        <v>38</v>
      </c>
      <c r="AD707" t="s">
        <v>121</v>
      </c>
      <c r="AE707">
        <v>36</v>
      </c>
      <c r="AF707" t="s">
        <v>27</v>
      </c>
      <c r="AG707" t="s">
        <v>26</v>
      </c>
      <c r="AH707" t="s">
        <v>522</v>
      </c>
      <c r="AI707" t="str">
        <f t="shared" ref="AI707:AI770" si="55">IF(OR(ISNUMBER(SEARCH("+",F707)),ISNUMBER(SEARCH(".",F707))),"SI","NO")</f>
        <v>NO</v>
      </c>
      <c r="AJ707" t="str">
        <f t="shared" ref="AJ707:AJ770" si="5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707)," S.A.S.",""),"S.A.S.","")," S.A.S",""),"S.A.S","")," S.A.C.I.","")," S.A.C.I","")," SAS","")," S.A.","")," S.A","")," LTDA.","")," LTDA","")," LIMITED","")," LTD.","")," LTD","")," INC.","")," INC","")," GMBH &amp; CO. KG.","")," GMBH","")," LLC","")," A.G.","")," A.G","")," A/S","")," S.R.L.","")," S.R.L","")," S.P.A.","")," DE C.V.","")," AG",""),"  "," "))</f>
        <v>TECNOQUIMICAS</v>
      </c>
      <c r="AK707" t="str">
        <f>IF(ISNUMBER(SEARCH("FABRICANTE",AC707)),"FABRICANTE",IF(ISNUMBER(SEARCH("IMPORTADOR",AC707)),"IMPORTADOR","OTRO"))</f>
        <v>IMPORTADOR</v>
      </c>
      <c r="AL707" t="str">
        <f>IF(LEFT(Y707,1)="A","Sistema digestivo",IF(LEFT(Y707,1)="B","Sangre",IF(LEFT(Y707,1)="C","Cardiovascular",IF(LEFT(Y707,1)="D","Dermatológico",IF(LEFT(Y707,1)="G","Genitourinario",IF(LEFT(Y707,1)="H","Hormonal",IF(LEFT(Y707,1)="J","Antiinfecciosos",IF(LEFT(Y707,1)="L","Oncológicos",IF(LEFT(Y707,1)="M","Musculoesquelético",IF(LEFT(Y707,1)="N","Sistema nervioso",IF(LEFT(Y707,1)="R","Respiratorio",IF(LEFT(Y707,1)="S","Oftálmico",IF(LEFT(Y707,1)="V","Varios","OTRO")))))))))))))</f>
        <v>Sistema nervioso</v>
      </c>
      <c r="AM707" t="str">
        <f>IF(AG707="Vigente","ACTIVO",IF(ISNUMBER(SEARCH("Inactivo",J707)),"INACTIVO","REVISAR"))</f>
        <v>ACTIVO</v>
      </c>
      <c r="AN707" t="str">
        <f ca="1">IF(OR(AF707="",AF707="null"),"",ROUND((AF707-TODAY())/365.25,2))</f>
        <v/>
      </c>
      <c r="AO707" t="str">
        <f ca="1">IF(AND(AG707="Vigente",OR(AF707="",AF707="null",AF707&gt;TODAY())),"SI",IF(AND(NOT(OR(AF707="",AF707="null")),AF707&lt;=TODAY()),"NO",IF(AG707="Vigente","SI","DESCONOCIDO")))</f>
        <v>SI</v>
      </c>
      <c r="AP707" t="str">
        <f>IF(AND(ISNUMBER(SEARCH("IMPORTAR",AA707)),ISNUMBER(SEARCH("FABRICAR",AA707))),"MIXTO",IF(ISNUMBER(SEARCH("IMPORTAR",AA707)),"IMPORTADO",IF(ISNUMBER(SEARCH("FABRICAR",AA707)),"LOCAL","OTRO")))</f>
        <v>IMPORTADO</v>
      </c>
      <c r="AQ707" t="str">
        <f>IF(AD707="Si","SI",IF(AD707="No","NO",""))</f>
        <v>NO</v>
      </c>
      <c r="AR707" t="str">
        <f>IF(ISNUMBER(SEARCH("®",N707)),"MARCA/INNOVADOR","GENERICO")</f>
        <v>MARCA/INNOVADOR</v>
      </c>
      <c r="AS707">
        <f ca="1">IF(AE707&gt;100,RANDBETWEEN(500,5000),IF(AND(AE707&gt;=10,AE707&lt;=100),RANDBETWEEN(100,1000),RANDBETWEEN(10,200)))</f>
        <v>707</v>
      </c>
      <c r="AT707">
        <f t="shared" ref="AT707:AT770" ca="1" si="57">INT(AS707*RANDBETWEEN(10,30)/100)</f>
        <v>190</v>
      </c>
      <c r="AU707">
        <f ca="1">INT(AS707*RANDBETWEEN(120,200)/100)</f>
        <v>1011</v>
      </c>
      <c r="AV707" s="2">
        <f ca="1">IF(LEFT(Y707,1)="L",RANDBETWEEN(500000,5000000),IF(LEFT(Y707,1)="C",RANDBETWEEN(5000,50000),IF(LEFT(Y707,1)="N",RANDBETWEEN(10000,150000),IF(LEFT(Y707,1)="J",RANDBETWEEN(8000,200000),RANDBETWEEN(5000,100000)))))</f>
        <v>126059</v>
      </c>
      <c r="AW707" s="2">
        <f ca="1">INT(AV707*RANDBETWEEN(30,60)/100)</f>
        <v>63029</v>
      </c>
      <c r="AX707">
        <f ca="1">IF(Z707="ORAL",RANDBETWEEN(1000,10000),IF(OR(Z707="INTRAVENOSA",Z707="INTRAMUSCULAR"),RANDBETWEEN(100,2000),IF(OR(Z707="OFTÁLMICA",Z707="TOPICA (EXTERNA)"),RANDBETWEEN(200,3000),RANDBETWEEN(100,1500))))</f>
        <v>5274</v>
      </c>
      <c r="AY707" s="2">
        <f ca="1">INT(AV707*RANDBETWEEN(90,130)/100)</f>
        <v>146228</v>
      </c>
      <c r="AZ707" t="str">
        <f t="shared" ref="AZ707:AZ770" ca="1" si="58">IF(Z707="ORAL",RANDBETWEEN(50,250)/10,IF(OR(Z707="TOPICA (EXTERNA)",Z707="OFTÁLMICA"),RANDBETWEEN(20,150)/10,IF(OR(Z707="SUBCUTANEA",Z707="INTRAMUSCULAR"),RANDBETWEEN(10,100)/10,IF(Z707="INTRAVENOSA",RANDBETWEEN(1,50)/10,RANDBETWEEN(5,80)/10))))&amp;"%"</f>
        <v>11.3%</v>
      </c>
      <c r="BA707" t="str">
        <f t="shared" ref="BA707:BA770" ca="1" si="59">IF(OR(AG707&lt;&gt;"Vigente",AND(ISNUMBER(AF707),AF707&lt;TODAY()),AND(J707="Inactivo",NOT(ISNUMBER(AF707)))),"ALTO",IF(OR(AND(J707="Inactivo",ISNUMBER(AF707)),AND(ISNUMBER(AF707),AF707&gt;TODAY(),AF707&lt;=TODAY()+1825)),"MEDIO","BAJO"))</f>
        <v>BAJO</v>
      </c>
    </row>
    <row r="708" spans="4:53" x14ac:dyDescent="0.35">
      <c r="D708" t="s">
        <v>4649</v>
      </c>
      <c r="E708" s="1">
        <v>36161</v>
      </c>
      <c r="F708" t="s">
        <v>660</v>
      </c>
      <c r="G708" t="s">
        <v>108</v>
      </c>
      <c r="H708" t="s">
        <v>4650</v>
      </c>
      <c r="I708">
        <v>19910346</v>
      </c>
      <c r="J708" t="s">
        <v>110</v>
      </c>
      <c r="K708">
        <v>14</v>
      </c>
      <c r="L708" t="s">
        <v>27</v>
      </c>
      <c r="M708" t="s">
        <v>4651</v>
      </c>
      <c r="N708" t="s">
        <v>4652</v>
      </c>
      <c r="O708" t="s">
        <v>4653</v>
      </c>
      <c r="P708" t="s">
        <v>33</v>
      </c>
      <c r="Q708" s="1">
        <v>39113</v>
      </c>
      <c r="R708" t="s">
        <v>33</v>
      </c>
      <c r="S708" s="1">
        <v>40529</v>
      </c>
      <c r="T708" t="s">
        <v>182</v>
      </c>
      <c r="U708" t="s">
        <v>115</v>
      </c>
      <c r="V708" t="s">
        <v>1715</v>
      </c>
      <c r="W708">
        <v>160</v>
      </c>
      <c r="X708">
        <v>19910346</v>
      </c>
      <c r="Y708" t="s">
        <v>1716</v>
      </c>
      <c r="Z708" t="s">
        <v>119</v>
      </c>
      <c r="AA708" t="s">
        <v>32</v>
      </c>
      <c r="AB708" t="s">
        <v>120</v>
      </c>
      <c r="AC708" t="s">
        <v>25</v>
      </c>
      <c r="AD708" t="s">
        <v>121</v>
      </c>
      <c r="AE708">
        <v>280</v>
      </c>
      <c r="AF708" t="s">
        <v>27</v>
      </c>
      <c r="AG708" t="s">
        <v>26</v>
      </c>
      <c r="AH708" t="s">
        <v>660</v>
      </c>
      <c r="AI708" t="str">
        <f t="shared" si="55"/>
        <v>NO</v>
      </c>
      <c r="AJ708" t="str">
        <f t="shared" si="56"/>
        <v>NOVARTIS PHARMA</v>
      </c>
      <c r="AK708" t="str">
        <f>IF(ISNUMBER(SEARCH("FABRICANTE",AC708)),"FABRICANTE",IF(ISNUMBER(SEARCH("IMPORTADOR",AC708)),"IMPORTADOR","OTRO"))</f>
        <v>FABRICANTE</v>
      </c>
      <c r="AL708" t="str">
        <f>IF(LEFT(Y708,1)="A","Sistema digestivo",IF(LEFT(Y708,1)="B","Sangre",IF(LEFT(Y708,1)="C","Cardiovascular",IF(LEFT(Y708,1)="D","Dermatológico",IF(LEFT(Y708,1)="G","Genitourinario",IF(LEFT(Y708,1)="H","Hormonal",IF(LEFT(Y708,1)="J","Antiinfecciosos",IF(LEFT(Y708,1)="L","Oncológicos",IF(LEFT(Y708,1)="M","Musculoesquelético",IF(LEFT(Y708,1)="N","Sistema nervioso",IF(LEFT(Y708,1)="R","Respiratorio",IF(LEFT(Y708,1)="S","Oftálmico",IF(LEFT(Y708,1)="V","Varios","OTRO")))))))))))))</f>
        <v>Cardiovascular</v>
      </c>
      <c r="AM708" t="str">
        <f>IF(AG708="Vigente","ACTIVO",IF(ISNUMBER(SEARCH("Inactivo",J708)),"INACTIVO","REVISAR"))</f>
        <v>ACTIVO</v>
      </c>
      <c r="AN708" t="str">
        <f ca="1">IF(OR(AF708="",AF708="null"),"",ROUND((AF708-TODAY())/365.25,2))</f>
        <v/>
      </c>
      <c r="AO708" t="str">
        <f ca="1">IF(AND(AG708="Vigente",OR(AF708="",AF708="null",AF708&gt;TODAY())),"SI",IF(AND(NOT(OR(AF708="",AF708="null")),AF708&lt;=TODAY()),"NO",IF(AG708="Vigente","SI","DESCONOCIDO")))</f>
        <v>SI</v>
      </c>
      <c r="AP708" t="str">
        <f>IF(AND(ISNUMBER(SEARCH("IMPORTAR",AA708)),ISNUMBER(SEARCH("FABRICAR",AA708))),"MIXTO",IF(ISNUMBER(SEARCH("IMPORTAR",AA708)),"IMPORTADO",IF(ISNUMBER(SEARCH("FABRICAR",AA708)),"LOCAL","OTRO")))</f>
        <v>IMPORTADO</v>
      </c>
      <c r="AQ708" t="str">
        <f>IF(AD708="Si","SI",IF(AD708="No","NO",""))</f>
        <v>NO</v>
      </c>
      <c r="AR708" t="str">
        <f>IF(ISNUMBER(SEARCH("®",N708)),"MARCA/INNOVADOR","GENERICO")</f>
        <v>MARCA/INNOVADOR</v>
      </c>
      <c r="AS708">
        <f ca="1">IF(AE708&gt;100,RANDBETWEEN(500,5000),IF(AND(AE708&gt;=10,AE708&lt;=100),RANDBETWEEN(100,1000),RANDBETWEEN(10,200)))</f>
        <v>3015</v>
      </c>
      <c r="AT708">
        <f t="shared" ca="1" si="57"/>
        <v>361</v>
      </c>
      <c r="AU708">
        <f ca="1">INT(AS708*RANDBETWEEN(120,200)/100)</f>
        <v>5276</v>
      </c>
      <c r="AV708" s="2">
        <f ca="1">IF(LEFT(Y708,1)="L",RANDBETWEEN(500000,5000000),IF(LEFT(Y708,1)="C",RANDBETWEEN(5000,50000),IF(LEFT(Y708,1)="N",RANDBETWEEN(10000,150000),IF(LEFT(Y708,1)="J",RANDBETWEEN(8000,200000),RANDBETWEEN(5000,100000)))))</f>
        <v>18791</v>
      </c>
      <c r="AW708" s="2">
        <f ca="1">INT(AV708*RANDBETWEEN(30,60)/100)</f>
        <v>7328</v>
      </c>
      <c r="AX708">
        <f ca="1">IF(Z708="ORAL",RANDBETWEEN(1000,10000),IF(OR(Z708="INTRAVENOSA",Z708="INTRAMUSCULAR"),RANDBETWEEN(100,2000),IF(OR(Z708="OFTÁLMICA",Z708="TOPICA (EXTERNA)"),RANDBETWEEN(200,3000),RANDBETWEEN(100,1500))))</f>
        <v>2076</v>
      </c>
      <c r="AY708" s="2">
        <f ca="1">INT(AV708*RANDBETWEEN(90,130)/100)</f>
        <v>23864</v>
      </c>
      <c r="AZ708" t="str">
        <f t="shared" ca="1" si="58"/>
        <v>21.8%</v>
      </c>
      <c r="BA708" t="str">
        <f t="shared" ca="1" si="59"/>
        <v>ALTO</v>
      </c>
    </row>
    <row r="709" spans="4:53" x14ac:dyDescent="0.35">
      <c r="D709" t="s">
        <v>4654</v>
      </c>
      <c r="E709" s="1">
        <v>39933</v>
      </c>
      <c r="F709" t="s">
        <v>4655</v>
      </c>
      <c r="G709" t="s">
        <v>108</v>
      </c>
      <c r="H709" t="s">
        <v>354</v>
      </c>
      <c r="I709">
        <v>20001976</v>
      </c>
      <c r="J709" t="s">
        <v>110</v>
      </c>
      <c r="K709">
        <v>51</v>
      </c>
      <c r="L709" t="s">
        <v>27</v>
      </c>
      <c r="M709" t="s">
        <v>4656</v>
      </c>
      <c r="N709" t="s">
        <v>4657</v>
      </c>
      <c r="O709" t="s">
        <v>4658</v>
      </c>
      <c r="P709" t="s">
        <v>4659</v>
      </c>
      <c r="Q709" s="1">
        <v>41253</v>
      </c>
      <c r="R709" t="s">
        <v>47</v>
      </c>
      <c r="S709" s="1">
        <v>43899</v>
      </c>
      <c r="T709" t="s">
        <v>354</v>
      </c>
      <c r="U709" t="s">
        <v>115</v>
      </c>
      <c r="V709" t="s">
        <v>4660</v>
      </c>
      <c r="W709">
        <v>100</v>
      </c>
      <c r="X709">
        <v>20001976</v>
      </c>
      <c r="Y709" t="s">
        <v>4661</v>
      </c>
      <c r="Z709" t="s">
        <v>119</v>
      </c>
      <c r="AA709" t="s">
        <v>32</v>
      </c>
      <c r="AB709" t="s">
        <v>120</v>
      </c>
      <c r="AC709" t="s">
        <v>38</v>
      </c>
      <c r="AD709" t="s">
        <v>155</v>
      </c>
      <c r="AE709">
        <v>100</v>
      </c>
      <c r="AF709" t="s">
        <v>27</v>
      </c>
      <c r="AG709" t="s">
        <v>26</v>
      </c>
      <c r="AH709" t="s">
        <v>4660</v>
      </c>
      <c r="AI709" t="str">
        <f t="shared" si="55"/>
        <v>SI</v>
      </c>
      <c r="AJ709" t="str">
        <f t="shared" si="56"/>
        <v>PFIZER</v>
      </c>
      <c r="AK709" t="str">
        <f>IF(ISNUMBER(SEARCH("FABRICANTE",AC709)),"FABRICANTE",IF(ISNUMBER(SEARCH("IMPORTADOR",AC709)),"IMPORTADOR","OTRO"))</f>
        <v>IMPORTADOR</v>
      </c>
      <c r="AL709" t="str">
        <f>IF(LEFT(Y709,1)="A","Sistema digestivo",IF(LEFT(Y709,1)="B","Sangre",IF(LEFT(Y709,1)="C","Cardiovascular",IF(LEFT(Y709,1)="D","Dermatológico",IF(LEFT(Y709,1)="G","Genitourinario",IF(LEFT(Y709,1)="H","Hormonal",IF(LEFT(Y709,1)="J","Antiinfecciosos",IF(LEFT(Y709,1)="L","Oncológicos",IF(LEFT(Y709,1)="M","Musculoesquelético",IF(LEFT(Y709,1)="N","Sistema nervioso",IF(LEFT(Y709,1)="R","Respiratorio",IF(LEFT(Y709,1)="S","Oftálmico",IF(LEFT(Y709,1)="V","Varios","OTRO")))))))))))))</f>
        <v>Sistema nervioso</v>
      </c>
      <c r="AM709" t="str">
        <f>IF(AG709="Vigente","ACTIVO",IF(ISNUMBER(SEARCH("Inactivo",J709)),"INACTIVO","REVISAR"))</f>
        <v>ACTIVO</v>
      </c>
      <c r="AN709" t="str">
        <f ca="1">IF(OR(AF709="",AF709="null"),"",ROUND((AF709-TODAY())/365.25,2))</f>
        <v/>
      </c>
      <c r="AO709" t="str">
        <f ca="1">IF(AND(AG709="Vigente",OR(AF709="",AF709="null",AF709&gt;TODAY())),"SI",IF(AND(NOT(OR(AF709="",AF709="null")),AF709&lt;=TODAY()),"NO",IF(AG709="Vigente","SI","DESCONOCIDO")))</f>
        <v>SI</v>
      </c>
      <c r="AP709" t="str">
        <f>IF(AND(ISNUMBER(SEARCH("IMPORTAR",AA709)),ISNUMBER(SEARCH("FABRICAR",AA709))),"MIXTO",IF(ISNUMBER(SEARCH("IMPORTAR",AA709)),"IMPORTADO",IF(ISNUMBER(SEARCH("FABRICAR",AA709)),"LOCAL","OTRO")))</f>
        <v>IMPORTADO</v>
      </c>
      <c r="AQ709" t="str">
        <f>IF(AD709="Si","SI",IF(AD709="No","NO",""))</f>
        <v>SI</v>
      </c>
      <c r="AR709" t="str">
        <f>IF(ISNUMBER(SEARCH("®",N709)),"MARCA/INNOVADOR","GENERICO")</f>
        <v>MARCA/INNOVADOR</v>
      </c>
      <c r="AS709">
        <f ca="1">IF(AE709&gt;100,RANDBETWEEN(500,5000),IF(AND(AE709&gt;=10,AE709&lt;=100),RANDBETWEEN(100,1000),RANDBETWEEN(10,200)))</f>
        <v>676</v>
      </c>
      <c r="AT709">
        <f t="shared" ca="1" si="57"/>
        <v>148</v>
      </c>
      <c r="AU709">
        <f ca="1">INT(AS709*RANDBETWEEN(120,200)/100)</f>
        <v>1115</v>
      </c>
      <c r="AV709" s="2">
        <f ca="1">IF(LEFT(Y709,1)="L",RANDBETWEEN(500000,5000000),IF(LEFT(Y709,1)="C",RANDBETWEEN(5000,50000),IF(LEFT(Y709,1)="N",RANDBETWEEN(10000,150000),IF(LEFT(Y709,1)="J",RANDBETWEEN(8000,200000),RANDBETWEEN(5000,100000)))))</f>
        <v>135589</v>
      </c>
      <c r="AW709" s="2">
        <f ca="1">INT(AV709*RANDBETWEEN(30,60)/100)</f>
        <v>75929</v>
      </c>
      <c r="AX709">
        <f ca="1">IF(Z709="ORAL",RANDBETWEEN(1000,10000),IF(OR(Z709="INTRAVENOSA",Z709="INTRAMUSCULAR"),RANDBETWEEN(100,2000),IF(OR(Z709="OFTÁLMICA",Z709="TOPICA (EXTERNA)"),RANDBETWEEN(200,3000),RANDBETWEEN(100,1500))))</f>
        <v>5873</v>
      </c>
      <c r="AY709" s="2">
        <f ca="1">INT(AV709*RANDBETWEEN(90,130)/100)</f>
        <v>164062</v>
      </c>
      <c r="AZ709" t="str">
        <f t="shared" ca="1" si="58"/>
        <v>23.1%</v>
      </c>
      <c r="BA709" t="str">
        <f t="shared" ca="1" si="59"/>
        <v>ALTO</v>
      </c>
    </row>
    <row r="710" spans="4:53" x14ac:dyDescent="0.35">
      <c r="D710" t="s">
        <v>4662</v>
      </c>
      <c r="E710" s="1">
        <v>37881</v>
      </c>
      <c r="F710" t="s">
        <v>922</v>
      </c>
      <c r="G710" t="s">
        <v>108</v>
      </c>
      <c r="H710" t="s">
        <v>114</v>
      </c>
      <c r="I710">
        <v>19940076</v>
      </c>
      <c r="J710" t="s">
        <v>28</v>
      </c>
      <c r="K710">
        <v>121</v>
      </c>
      <c r="L710" t="s">
        <v>27</v>
      </c>
      <c r="M710" t="s">
        <v>923</v>
      </c>
      <c r="N710" t="s">
        <v>924</v>
      </c>
      <c r="O710" t="s">
        <v>4663</v>
      </c>
      <c r="P710" t="s">
        <v>181</v>
      </c>
      <c r="Q710" s="1">
        <v>43816</v>
      </c>
      <c r="R710" t="s">
        <v>37</v>
      </c>
      <c r="S710" t="s">
        <v>27</v>
      </c>
      <c r="T710" t="s">
        <v>114</v>
      </c>
      <c r="U710" t="s">
        <v>115</v>
      </c>
      <c r="V710" t="s">
        <v>585</v>
      </c>
      <c r="W710">
        <v>40</v>
      </c>
      <c r="X710">
        <v>19940076</v>
      </c>
      <c r="Y710" t="s">
        <v>586</v>
      </c>
      <c r="Z710" t="s">
        <v>119</v>
      </c>
      <c r="AA710" t="s">
        <v>165</v>
      </c>
      <c r="AB710" t="s">
        <v>120</v>
      </c>
      <c r="AC710" t="s">
        <v>38</v>
      </c>
      <c r="AD710" t="s">
        <v>155</v>
      </c>
      <c r="AE710">
        <v>2</v>
      </c>
      <c r="AF710" t="s">
        <v>27</v>
      </c>
      <c r="AG710" t="s">
        <v>26</v>
      </c>
      <c r="AH710" t="s">
        <v>585</v>
      </c>
      <c r="AI710" t="str">
        <f t="shared" si="55"/>
        <v>SI</v>
      </c>
      <c r="AJ710" t="str">
        <f t="shared" si="56"/>
        <v>LABORATORIOS LEGRAND</v>
      </c>
      <c r="AK710" t="str">
        <f>IF(ISNUMBER(SEARCH("FABRICANTE",AC710)),"FABRICANTE",IF(ISNUMBER(SEARCH("IMPORTADOR",AC710)),"IMPORTADOR","OTRO"))</f>
        <v>IMPORTADOR</v>
      </c>
      <c r="AL710" t="str">
        <f>IF(LEFT(Y710,1)="A","Sistema digestivo",IF(LEFT(Y710,1)="B","Sangre",IF(LEFT(Y710,1)="C","Cardiovascular",IF(LEFT(Y710,1)="D","Dermatológico",IF(LEFT(Y710,1)="G","Genitourinario",IF(LEFT(Y710,1)="H","Hormonal",IF(LEFT(Y710,1)="J","Antiinfecciosos",IF(LEFT(Y710,1)="L","Oncológicos",IF(LEFT(Y710,1)="M","Musculoesquelético",IF(LEFT(Y710,1)="N","Sistema nervioso",IF(LEFT(Y710,1)="R","Respiratorio",IF(LEFT(Y710,1)="S","Oftálmico",IF(LEFT(Y710,1)="V","Varios","OTRO")))))))))))))</f>
        <v>Sistema digestivo</v>
      </c>
      <c r="AM710" t="str">
        <f>IF(AG710="Vigente","ACTIVO",IF(ISNUMBER(SEARCH("Inactivo",J710)),"INACTIVO","REVISAR"))</f>
        <v>ACTIVO</v>
      </c>
      <c r="AN710" t="str">
        <f ca="1">IF(OR(AF710="",AF710="null"),"",ROUND((AF710-TODAY())/365.25,2))</f>
        <v/>
      </c>
      <c r="AO710" t="str">
        <f ca="1">IF(AND(AG710="Vigente",OR(AF710="",AF710="null",AF710&gt;TODAY())),"SI",IF(AND(NOT(OR(AF710="",AF710="null")),AF710&lt;=TODAY()),"NO",IF(AG710="Vigente","SI","DESCONOCIDO")))</f>
        <v>SI</v>
      </c>
      <c r="AP710" t="str">
        <f>IF(AND(ISNUMBER(SEARCH("IMPORTAR",AA710)),ISNUMBER(SEARCH("FABRICAR",AA710))),"MIXTO",IF(ISNUMBER(SEARCH("IMPORTAR",AA710)),"IMPORTADO",IF(ISNUMBER(SEARCH("FABRICAR",AA710)),"LOCAL","OTRO")))</f>
        <v>IMPORTADO</v>
      </c>
      <c r="AQ710" t="str">
        <f>IF(AD710="Si","SI",IF(AD710="No","NO",""))</f>
        <v>SI</v>
      </c>
      <c r="AR710" t="str">
        <f>IF(ISNUMBER(SEARCH("®",N710)),"MARCA/INNOVADOR","GENERICO")</f>
        <v>MARCA/INNOVADOR</v>
      </c>
      <c r="AS710">
        <f ca="1">IF(AE710&gt;100,RANDBETWEEN(500,5000),IF(AND(AE710&gt;=10,AE710&lt;=100),RANDBETWEEN(100,1000),RANDBETWEEN(10,200)))</f>
        <v>160</v>
      </c>
      <c r="AT710">
        <f t="shared" ca="1" si="57"/>
        <v>35</v>
      </c>
      <c r="AU710">
        <f ca="1">INT(AS710*RANDBETWEEN(120,200)/100)</f>
        <v>270</v>
      </c>
      <c r="AV710" s="2">
        <f ca="1">IF(LEFT(Y710,1)="L",RANDBETWEEN(500000,5000000),IF(LEFT(Y710,1)="C",RANDBETWEEN(5000,50000),IF(LEFT(Y710,1)="N",RANDBETWEEN(10000,150000),IF(LEFT(Y710,1)="J",RANDBETWEEN(8000,200000),RANDBETWEEN(5000,100000)))))</f>
        <v>76355</v>
      </c>
      <c r="AW710" s="2">
        <f ca="1">INT(AV710*RANDBETWEEN(30,60)/100)</f>
        <v>28251</v>
      </c>
      <c r="AX710">
        <f ca="1">IF(Z710="ORAL",RANDBETWEEN(1000,10000),IF(OR(Z710="INTRAVENOSA",Z710="INTRAMUSCULAR"),RANDBETWEEN(100,2000),IF(OR(Z710="OFTÁLMICA",Z710="TOPICA (EXTERNA)"),RANDBETWEEN(200,3000),RANDBETWEEN(100,1500))))</f>
        <v>7777</v>
      </c>
      <c r="AY710" s="2">
        <f ca="1">INT(AV710*RANDBETWEEN(90,130)/100)</f>
        <v>85517</v>
      </c>
      <c r="AZ710" t="str">
        <f t="shared" ca="1" si="58"/>
        <v>22.3%</v>
      </c>
      <c r="BA710" t="str">
        <f t="shared" ca="1" si="59"/>
        <v>BAJO</v>
      </c>
    </row>
    <row r="711" spans="4:53" x14ac:dyDescent="0.35">
      <c r="D711" t="s">
        <v>4664</v>
      </c>
      <c r="E711" s="1">
        <v>41054</v>
      </c>
      <c r="F711" t="s">
        <v>241</v>
      </c>
      <c r="G711" t="s">
        <v>108</v>
      </c>
      <c r="H711" t="s">
        <v>242</v>
      </c>
      <c r="I711">
        <v>20042480</v>
      </c>
      <c r="J711" t="s">
        <v>28</v>
      </c>
      <c r="K711">
        <v>276</v>
      </c>
      <c r="L711" t="s">
        <v>27</v>
      </c>
      <c r="M711" t="s">
        <v>243</v>
      </c>
      <c r="N711" t="s">
        <v>244</v>
      </c>
      <c r="O711" t="s">
        <v>4665</v>
      </c>
      <c r="P711" t="s">
        <v>246</v>
      </c>
      <c r="Q711" s="1">
        <v>45218</v>
      </c>
      <c r="R711" t="s">
        <v>67</v>
      </c>
      <c r="S711" t="s">
        <v>27</v>
      </c>
      <c r="T711" t="s">
        <v>80</v>
      </c>
      <c r="U711" t="s">
        <v>247</v>
      </c>
      <c r="V711" t="s">
        <v>248</v>
      </c>
      <c r="W711" s="2">
        <v>2273</v>
      </c>
      <c r="X711">
        <v>20042480</v>
      </c>
      <c r="Y711" t="s">
        <v>249</v>
      </c>
      <c r="Z711" t="s">
        <v>119</v>
      </c>
      <c r="AA711" t="s">
        <v>24</v>
      </c>
      <c r="AB711" t="s">
        <v>250</v>
      </c>
      <c r="AC711" t="s">
        <v>25</v>
      </c>
      <c r="AD711" t="s">
        <v>121</v>
      </c>
      <c r="AE711">
        <v>1</v>
      </c>
      <c r="AF711" t="s">
        <v>27</v>
      </c>
      <c r="AG711" t="s">
        <v>26</v>
      </c>
      <c r="AH711" t="s">
        <v>6613</v>
      </c>
      <c r="AI711" t="str">
        <f t="shared" si="55"/>
        <v>NO</v>
      </c>
      <c r="AJ711" t="str">
        <f t="shared" si="56"/>
        <v>TECNOQUIMICAS</v>
      </c>
      <c r="AK711" t="str">
        <f>IF(ISNUMBER(SEARCH("FABRICANTE",AC711)),"FABRICANTE",IF(ISNUMBER(SEARCH("IMPORTADOR",AC711)),"IMPORTADOR","OTRO"))</f>
        <v>FABRICANTE</v>
      </c>
      <c r="AL711" t="str">
        <f>IF(LEFT(Y711,1)="A","Sistema digestivo",IF(LEFT(Y711,1)="B","Sangre",IF(LEFT(Y711,1)="C","Cardiovascular",IF(LEFT(Y711,1)="D","Dermatológico",IF(LEFT(Y711,1)="G","Genitourinario",IF(LEFT(Y711,1)="H","Hormonal",IF(LEFT(Y711,1)="J","Antiinfecciosos",IF(LEFT(Y711,1)="L","Oncológicos",IF(LEFT(Y711,1)="M","Musculoesquelético",IF(LEFT(Y711,1)="N","Sistema nervioso",IF(LEFT(Y711,1)="R","Respiratorio",IF(LEFT(Y711,1)="S","Oftálmico",IF(LEFT(Y711,1)="V","Varios","OTRO")))))))))))))</f>
        <v>Sistema digestivo</v>
      </c>
      <c r="AM711" t="str">
        <f>IF(AG711="Vigente","ACTIVO",IF(ISNUMBER(SEARCH("Inactivo",J711)),"INACTIVO","REVISAR"))</f>
        <v>ACTIVO</v>
      </c>
      <c r="AN711" t="str">
        <f ca="1">IF(OR(AF711="",AF711="null"),"",ROUND((AF711-TODAY())/365.25,2))</f>
        <v/>
      </c>
      <c r="AO711" t="str">
        <f ca="1">IF(AND(AG711="Vigente",OR(AF711="",AF711="null",AF711&gt;TODAY())),"SI",IF(AND(NOT(OR(AF711="",AF711="null")),AF711&lt;=TODAY()),"NO",IF(AG711="Vigente","SI","DESCONOCIDO")))</f>
        <v>SI</v>
      </c>
      <c r="AP711" t="str">
        <f>IF(AND(ISNUMBER(SEARCH("IMPORTAR",AA711)),ISNUMBER(SEARCH("FABRICAR",AA711))),"MIXTO",IF(ISNUMBER(SEARCH("IMPORTAR",AA711)),"IMPORTADO",IF(ISNUMBER(SEARCH("FABRICAR",AA711)),"LOCAL","OTRO")))</f>
        <v>LOCAL</v>
      </c>
      <c r="AQ711" t="str">
        <f>IF(AD711="Si","SI",IF(AD711="No","NO",""))</f>
        <v>NO</v>
      </c>
      <c r="AR711" t="str">
        <f>IF(ISNUMBER(SEARCH("®",N711)),"MARCA/INNOVADOR","GENERICO")</f>
        <v>MARCA/INNOVADOR</v>
      </c>
      <c r="AS711">
        <f ca="1">IF(AE711&gt;100,RANDBETWEEN(500,5000),IF(AND(AE711&gt;=10,AE711&lt;=100),RANDBETWEEN(100,1000),RANDBETWEEN(10,200)))</f>
        <v>24</v>
      </c>
      <c r="AT711">
        <f t="shared" ca="1" si="57"/>
        <v>7</v>
      </c>
      <c r="AU711">
        <f ca="1">INT(AS711*RANDBETWEEN(120,200)/100)</f>
        <v>38</v>
      </c>
      <c r="AV711" s="2">
        <f ca="1">IF(LEFT(Y711,1)="L",RANDBETWEEN(500000,5000000),IF(LEFT(Y711,1)="C",RANDBETWEEN(5000,50000),IF(LEFT(Y711,1)="N",RANDBETWEEN(10000,150000),IF(LEFT(Y711,1)="J",RANDBETWEEN(8000,200000),RANDBETWEEN(5000,100000)))))</f>
        <v>24921</v>
      </c>
      <c r="AW711" s="2">
        <f ca="1">INT(AV711*RANDBETWEEN(30,60)/100)</f>
        <v>14703</v>
      </c>
      <c r="AX711">
        <f ca="1">IF(Z711="ORAL",RANDBETWEEN(1000,10000),IF(OR(Z711="INTRAVENOSA",Z711="INTRAMUSCULAR"),RANDBETWEEN(100,2000),IF(OR(Z711="OFTÁLMICA",Z711="TOPICA (EXTERNA)"),RANDBETWEEN(200,3000),RANDBETWEEN(100,1500))))</f>
        <v>8056</v>
      </c>
      <c r="AY711" s="2">
        <f ca="1">INT(AV711*RANDBETWEEN(90,130)/100)</f>
        <v>31898</v>
      </c>
      <c r="AZ711" t="str">
        <f t="shared" ca="1" si="58"/>
        <v>7.6%</v>
      </c>
      <c r="BA711" t="str">
        <f t="shared" ca="1" si="59"/>
        <v>BAJO</v>
      </c>
    </row>
    <row r="712" spans="4:53" x14ac:dyDescent="0.35">
      <c r="D712" t="s">
        <v>4666</v>
      </c>
      <c r="E712" s="1">
        <v>42667</v>
      </c>
      <c r="F712" t="s">
        <v>1734</v>
      </c>
      <c r="G712" t="s">
        <v>108</v>
      </c>
      <c r="H712" t="s">
        <v>1205</v>
      </c>
      <c r="I712">
        <v>20098076</v>
      </c>
      <c r="J712" t="s">
        <v>28</v>
      </c>
      <c r="K712">
        <v>15</v>
      </c>
      <c r="L712" t="s">
        <v>4667</v>
      </c>
      <c r="M712" t="s">
        <v>4668</v>
      </c>
      <c r="N712" t="s">
        <v>4669</v>
      </c>
      <c r="O712" t="s">
        <v>4670</v>
      </c>
      <c r="P712" t="s">
        <v>27</v>
      </c>
      <c r="Q712" s="1">
        <v>42436</v>
      </c>
      <c r="R712" t="s">
        <v>78</v>
      </c>
      <c r="S712" s="1">
        <v>44517</v>
      </c>
      <c r="T712" t="s">
        <v>991</v>
      </c>
      <c r="U712" t="s">
        <v>247</v>
      </c>
      <c r="V712" t="s">
        <v>1015</v>
      </c>
      <c r="W712" t="s">
        <v>4671</v>
      </c>
      <c r="X712">
        <v>20098076</v>
      </c>
      <c r="Y712" t="s">
        <v>1016</v>
      </c>
      <c r="Z712" t="s">
        <v>119</v>
      </c>
      <c r="AA712" t="s">
        <v>24</v>
      </c>
      <c r="AB712" t="s">
        <v>120</v>
      </c>
      <c r="AC712" t="s">
        <v>25</v>
      </c>
      <c r="AD712" t="s">
        <v>121</v>
      </c>
      <c r="AE712">
        <v>28</v>
      </c>
      <c r="AF712" t="s">
        <v>27</v>
      </c>
      <c r="AG712" t="s">
        <v>26</v>
      </c>
      <c r="AH712" t="s">
        <v>6760</v>
      </c>
      <c r="AI712" t="str">
        <f t="shared" si="55"/>
        <v>NO</v>
      </c>
      <c r="AJ712" t="str">
        <f t="shared" si="56"/>
        <v>FARMA DE COLOMBIA</v>
      </c>
      <c r="AK712" t="str">
        <f>IF(ISNUMBER(SEARCH("FABRICANTE",AC712)),"FABRICANTE",IF(ISNUMBER(SEARCH("IMPORTADOR",AC712)),"IMPORTADOR","OTRO"))</f>
        <v>FABRICANTE</v>
      </c>
      <c r="AL712" t="str">
        <f>IF(LEFT(Y712,1)="A","Sistema digestivo",IF(LEFT(Y712,1)="B","Sangre",IF(LEFT(Y712,1)="C","Cardiovascular",IF(LEFT(Y712,1)="D","Dermatológico",IF(LEFT(Y712,1)="G","Genitourinario",IF(LEFT(Y712,1)="H","Hormonal",IF(LEFT(Y712,1)="J","Antiinfecciosos",IF(LEFT(Y712,1)="L","Oncológicos",IF(LEFT(Y712,1)="M","Musculoesquelético",IF(LEFT(Y712,1)="N","Sistema nervioso",IF(LEFT(Y712,1)="R","Respiratorio",IF(LEFT(Y712,1)="S","Oftálmico",IF(LEFT(Y712,1)="V","Varios","OTRO")))))))))))))</f>
        <v>Sistema digestivo</v>
      </c>
      <c r="AM712" t="str">
        <f>IF(AG712="Vigente","ACTIVO",IF(ISNUMBER(SEARCH("Inactivo",J712)),"INACTIVO","REVISAR"))</f>
        <v>ACTIVO</v>
      </c>
      <c r="AN712" t="str">
        <f ca="1">IF(OR(AF712="",AF712="null"),"",ROUND((AF712-TODAY())/365.25,2))</f>
        <v/>
      </c>
      <c r="AO712" t="str">
        <f ca="1">IF(AND(AG712="Vigente",OR(AF712="",AF712="null",AF712&gt;TODAY())),"SI",IF(AND(NOT(OR(AF712="",AF712="null")),AF712&lt;=TODAY()),"NO",IF(AG712="Vigente","SI","DESCONOCIDO")))</f>
        <v>SI</v>
      </c>
      <c r="AP712" t="str">
        <f>IF(AND(ISNUMBER(SEARCH("IMPORTAR",AA712)),ISNUMBER(SEARCH("FABRICAR",AA712))),"MIXTO",IF(ISNUMBER(SEARCH("IMPORTAR",AA712)),"IMPORTADO",IF(ISNUMBER(SEARCH("FABRICAR",AA712)),"LOCAL","OTRO")))</f>
        <v>LOCAL</v>
      </c>
      <c r="AQ712" t="str">
        <f>IF(AD712="Si","SI",IF(AD712="No","NO",""))</f>
        <v>NO</v>
      </c>
      <c r="AR712" t="str">
        <f>IF(ISNUMBER(SEARCH("®",N712)),"MARCA/INNOVADOR","GENERICO")</f>
        <v>MARCA/INNOVADOR</v>
      </c>
      <c r="AS712">
        <f ca="1">IF(AE712&gt;100,RANDBETWEEN(500,5000),IF(AND(AE712&gt;=10,AE712&lt;=100),RANDBETWEEN(100,1000),RANDBETWEEN(10,200)))</f>
        <v>682</v>
      </c>
      <c r="AT712">
        <f t="shared" ca="1" si="57"/>
        <v>150</v>
      </c>
      <c r="AU712">
        <f ca="1">INT(AS712*RANDBETWEEN(120,200)/100)</f>
        <v>1309</v>
      </c>
      <c r="AV712" s="2">
        <f ca="1">IF(LEFT(Y712,1)="L",RANDBETWEEN(500000,5000000),IF(LEFT(Y712,1)="C",RANDBETWEEN(5000,50000),IF(LEFT(Y712,1)="N",RANDBETWEEN(10000,150000),IF(LEFT(Y712,1)="J",RANDBETWEEN(8000,200000),RANDBETWEEN(5000,100000)))))</f>
        <v>86058</v>
      </c>
      <c r="AW712" s="2">
        <f ca="1">INT(AV712*RANDBETWEEN(30,60)/100)</f>
        <v>49053</v>
      </c>
      <c r="AX712">
        <f ca="1">IF(Z712="ORAL",RANDBETWEEN(1000,10000),IF(OR(Z712="INTRAVENOSA",Z712="INTRAMUSCULAR"),RANDBETWEEN(100,2000),IF(OR(Z712="OFTÁLMICA",Z712="TOPICA (EXTERNA)"),RANDBETWEEN(200,3000),RANDBETWEEN(100,1500))))</f>
        <v>5252</v>
      </c>
      <c r="AY712" s="2">
        <f ca="1">INT(AV712*RANDBETWEEN(90,130)/100)</f>
        <v>92082</v>
      </c>
      <c r="AZ712" t="str">
        <f t="shared" ca="1" si="58"/>
        <v>23.8%</v>
      </c>
      <c r="BA712" t="str">
        <f t="shared" ca="1" si="59"/>
        <v>BAJO</v>
      </c>
    </row>
    <row r="713" spans="4:53" x14ac:dyDescent="0.35">
      <c r="D713" t="s">
        <v>4672</v>
      </c>
      <c r="E713" s="1">
        <v>41975</v>
      </c>
      <c r="F713" t="s">
        <v>4673</v>
      </c>
      <c r="G713" t="s">
        <v>108</v>
      </c>
      <c r="H713" t="s">
        <v>958</v>
      </c>
      <c r="I713">
        <v>20068914</v>
      </c>
      <c r="J713" t="s">
        <v>28</v>
      </c>
      <c r="K713">
        <v>7</v>
      </c>
      <c r="L713" t="s">
        <v>27</v>
      </c>
      <c r="M713" t="s">
        <v>4674</v>
      </c>
      <c r="N713" t="s">
        <v>4675</v>
      </c>
      <c r="O713" t="s">
        <v>4676</v>
      </c>
      <c r="P713" t="s">
        <v>29</v>
      </c>
      <c r="Q713" s="1">
        <v>41942</v>
      </c>
      <c r="R713" t="s">
        <v>29</v>
      </c>
      <c r="S713" t="s">
        <v>27</v>
      </c>
      <c r="T713" t="s">
        <v>958</v>
      </c>
      <c r="U713" t="s">
        <v>115</v>
      </c>
      <c r="V713" t="s">
        <v>4484</v>
      </c>
      <c r="W713">
        <v>24</v>
      </c>
      <c r="X713">
        <v>20068914</v>
      </c>
      <c r="Y713" t="s">
        <v>4485</v>
      </c>
      <c r="Z713" t="s">
        <v>119</v>
      </c>
      <c r="AA713" t="s">
        <v>32</v>
      </c>
      <c r="AB713" t="s">
        <v>120</v>
      </c>
      <c r="AC713" t="s">
        <v>38</v>
      </c>
      <c r="AD713" t="s">
        <v>155</v>
      </c>
      <c r="AE713">
        <v>15</v>
      </c>
      <c r="AF713" t="s">
        <v>27</v>
      </c>
      <c r="AG713" t="s">
        <v>26</v>
      </c>
      <c r="AH713" t="s">
        <v>4673</v>
      </c>
      <c r="AI713" t="str">
        <f t="shared" si="55"/>
        <v>NO</v>
      </c>
      <c r="AJ713" t="str">
        <f t="shared" si="56"/>
        <v>EUROFARMA COLOMBIA</v>
      </c>
      <c r="AK713" t="str">
        <f>IF(ISNUMBER(SEARCH("FABRICANTE",AC713)),"FABRICANTE",IF(ISNUMBER(SEARCH("IMPORTADOR",AC713)),"IMPORTADOR","OTRO"))</f>
        <v>IMPORTADOR</v>
      </c>
      <c r="AL713" t="str">
        <f>IF(LEFT(Y713,1)="A","Sistema digestivo",IF(LEFT(Y713,1)="B","Sangre",IF(LEFT(Y713,1)="C","Cardiovascular",IF(LEFT(Y713,1)="D","Dermatológico",IF(LEFT(Y713,1)="G","Genitourinario",IF(LEFT(Y713,1)="H","Hormonal",IF(LEFT(Y713,1)="J","Antiinfecciosos",IF(LEFT(Y713,1)="L","Oncológicos",IF(LEFT(Y713,1)="M","Musculoesquelético",IF(LEFT(Y713,1)="N","Sistema nervioso",IF(LEFT(Y713,1)="R","Respiratorio",IF(LEFT(Y713,1)="S","Oftálmico",IF(LEFT(Y713,1)="V","Varios","OTRO")))))))))))))</f>
        <v>Sistema nervioso</v>
      </c>
      <c r="AM713" t="str">
        <f>IF(AG713="Vigente","ACTIVO",IF(ISNUMBER(SEARCH("Inactivo",J713)),"INACTIVO","REVISAR"))</f>
        <v>ACTIVO</v>
      </c>
      <c r="AN713" t="str">
        <f ca="1">IF(OR(AF713="",AF713="null"),"",ROUND((AF713-TODAY())/365.25,2))</f>
        <v/>
      </c>
      <c r="AO713" t="str">
        <f ca="1">IF(AND(AG713="Vigente",OR(AF713="",AF713="null",AF713&gt;TODAY())),"SI",IF(AND(NOT(OR(AF713="",AF713="null")),AF713&lt;=TODAY()),"NO",IF(AG713="Vigente","SI","DESCONOCIDO")))</f>
        <v>SI</v>
      </c>
      <c r="AP713" t="str">
        <f>IF(AND(ISNUMBER(SEARCH("IMPORTAR",AA713)),ISNUMBER(SEARCH("FABRICAR",AA713))),"MIXTO",IF(ISNUMBER(SEARCH("IMPORTAR",AA713)),"IMPORTADO",IF(ISNUMBER(SEARCH("FABRICAR",AA713)),"LOCAL","OTRO")))</f>
        <v>IMPORTADO</v>
      </c>
      <c r="AQ713" t="str">
        <f>IF(AD713="Si","SI",IF(AD713="No","NO",""))</f>
        <v>SI</v>
      </c>
      <c r="AR713" t="str">
        <f>IF(ISNUMBER(SEARCH("®",N713)),"MARCA/INNOVADOR","GENERICO")</f>
        <v>MARCA/INNOVADOR</v>
      </c>
      <c r="AS713">
        <f ca="1">IF(AE713&gt;100,RANDBETWEEN(500,5000),IF(AND(AE713&gt;=10,AE713&lt;=100),RANDBETWEEN(100,1000),RANDBETWEEN(10,200)))</f>
        <v>739</v>
      </c>
      <c r="AT713">
        <f t="shared" ca="1" si="57"/>
        <v>199</v>
      </c>
      <c r="AU713">
        <f ca="1">INT(AS713*RANDBETWEEN(120,200)/100)</f>
        <v>1064</v>
      </c>
      <c r="AV713" s="2">
        <f ca="1">IF(LEFT(Y713,1)="L",RANDBETWEEN(500000,5000000),IF(LEFT(Y713,1)="C",RANDBETWEEN(5000,50000),IF(LEFT(Y713,1)="N",RANDBETWEEN(10000,150000),IF(LEFT(Y713,1)="J",RANDBETWEEN(8000,200000),RANDBETWEEN(5000,100000)))))</f>
        <v>86448</v>
      </c>
      <c r="AW713" s="2">
        <f ca="1">INT(AV713*RANDBETWEEN(30,60)/100)</f>
        <v>40630</v>
      </c>
      <c r="AX713">
        <f ca="1">IF(Z713="ORAL",RANDBETWEEN(1000,10000),IF(OR(Z713="INTRAVENOSA",Z713="INTRAMUSCULAR"),RANDBETWEEN(100,2000),IF(OR(Z713="OFTÁLMICA",Z713="TOPICA (EXTERNA)"),RANDBETWEEN(200,3000),RANDBETWEEN(100,1500))))</f>
        <v>9423</v>
      </c>
      <c r="AY713" s="2">
        <f ca="1">INT(AV713*RANDBETWEEN(90,130)/100)</f>
        <v>109788</v>
      </c>
      <c r="AZ713" t="str">
        <f t="shared" ca="1" si="58"/>
        <v>5.7%</v>
      </c>
      <c r="BA713" t="str">
        <f t="shared" ca="1" si="59"/>
        <v>BAJO</v>
      </c>
    </row>
    <row r="714" spans="4:53" x14ac:dyDescent="0.35">
      <c r="D714" t="s">
        <v>4677</v>
      </c>
      <c r="E714" s="1">
        <v>42262</v>
      </c>
      <c r="F714" t="s">
        <v>339</v>
      </c>
      <c r="G714" t="s">
        <v>108</v>
      </c>
      <c r="H714" t="s">
        <v>710</v>
      </c>
      <c r="I714">
        <v>20088786</v>
      </c>
      <c r="J714" t="s">
        <v>28</v>
      </c>
      <c r="K714">
        <v>2</v>
      </c>
      <c r="L714" t="s">
        <v>27</v>
      </c>
      <c r="M714" t="s">
        <v>4678</v>
      </c>
      <c r="N714" t="s">
        <v>4679</v>
      </c>
      <c r="O714" t="s">
        <v>4680</v>
      </c>
      <c r="P714" t="s">
        <v>845</v>
      </c>
      <c r="Q714" s="1">
        <v>42256</v>
      </c>
      <c r="R714" t="s">
        <v>29</v>
      </c>
      <c r="S714" t="s">
        <v>27</v>
      </c>
      <c r="T714" t="s">
        <v>4681</v>
      </c>
      <c r="U714" t="s">
        <v>115</v>
      </c>
      <c r="V714" t="s">
        <v>339</v>
      </c>
      <c r="W714">
        <v>4</v>
      </c>
      <c r="X714">
        <v>20088786</v>
      </c>
      <c r="Y714" t="s">
        <v>340</v>
      </c>
      <c r="Z714" t="s">
        <v>119</v>
      </c>
      <c r="AA714" t="s">
        <v>24</v>
      </c>
      <c r="AB714" t="s">
        <v>120</v>
      </c>
      <c r="AC714" t="s">
        <v>25</v>
      </c>
      <c r="AD714" t="s">
        <v>121</v>
      </c>
      <c r="AE714">
        <v>20</v>
      </c>
      <c r="AF714" t="s">
        <v>27</v>
      </c>
      <c r="AG714" t="s">
        <v>26</v>
      </c>
      <c r="AH714" t="s">
        <v>339</v>
      </c>
      <c r="AI714" t="str">
        <f t="shared" si="55"/>
        <v>NO</v>
      </c>
      <c r="AJ714" t="str">
        <f t="shared" si="56"/>
        <v>GENYX</v>
      </c>
      <c r="AK714" t="str">
        <f>IF(ISNUMBER(SEARCH("FABRICANTE",AC714)),"FABRICANTE",IF(ISNUMBER(SEARCH("IMPORTADOR",AC714)),"IMPORTADOR","OTRO"))</f>
        <v>FABRICANTE</v>
      </c>
      <c r="AL714" t="str">
        <f>IF(LEFT(Y714,1)="A","Sistema digestivo",IF(LEFT(Y714,1)="B","Sangre",IF(LEFT(Y714,1)="C","Cardiovascular",IF(LEFT(Y714,1)="D","Dermatológico",IF(LEFT(Y714,1)="G","Genitourinario",IF(LEFT(Y714,1)="H","Hormonal",IF(LEFT(Y714,1)="J","Antiinfecciosos",IF(LEFT(Y714,1)="L","Oncológicos",IF(LEFT(Y714,1)="M","Musculoesquelético",IF(LEFT(Y714,1)="N","Sistema nervioso",IF(LEFT(Y714,1)="R","Respiratorio",IF(LEFT(Y714,1)="S","Oftálmico",IF(LEFT(Y714,1)="V","Varios","OTRO")))))))))))))</f>
        <v>Hormonal</v>
      </c>
      <c r="AM714" t="str">
        <f>IF(AG714="Vigente","ACTIVO",IF(ISNUMBER(SEARCH("Inactivo",J714)),"INACTIVO","REVISAR"))</f>
        <v>ACTIVO</v>
      </c>
      <c r="AN714" t="str">
        <f ca="1">IF(OR(AF714="",AF714="null"),"",ROUND((AF714-TODAY())/365.25,2))</f>
        <v/>
      </c>
      <c r="AO714" t="str">
        <f ca="1">IF(AND(AG714="Vigente",OR(AF714="",AF714="null",AF714&gt;TODAY())),"SI",IF(AND(NOT(OR(AF714="",AF714="null")),AF714&lt;=TODAY()),"NO",IF(AG714="Vigente","SI","DESCONOCIDO")))</f>
        <v>SI</v>
      </c>
      <c r="AP714" t="str">
        <f>IF(AND(ISNUMBER(SEARCH("IMPORTAR",AA714)),ISNUMBER(SEARCH("FABRICAR",AA714))),"MIXTO",IF(ISNUMBER(SEARCH("IMPORTAR",AA714)),"IMPORTADO",IF(ISNUMBER(SEARCH("FABRICAR",AA714)),"LOCAL","OTRO")))</f>
        <v>LOCAL</v>
      </c>
      <c r="AQ714" t="str">
        <f>IF(AD714="Si","SI",IF(AD714="No","NO",""))</f>
        <v>NO</v>
      </c>
      <c r="AR714" t="str">
        <f>IF(ISNUMBER(SEARCH("®",N714)),"MARCA/INNOVADOR","GENERICO")</f>
        <v>GENERICO</v>
      </c>
      <c r="AS714">
        <f ca="1">IF(AE714&gt;100,RANDBETWEEN(500,5000),IF(AND(AE714&gt;=10,AE714&lt;=100),RANDBETWEEN(100,1000),RANDBETWEEN(10,200)))</f>
        <v>156</v>
      </c>
      <c r="AT714">
        <f t="shared" ca="1" si="57"/>
        <v>42</v>
      </c>
      <c r="AU714">
        <f ca="1">INT(AS714*RANDBETWEEN(120,200)/100)</f>
        <v>223</v>
      </c>
      <c r="AV714" s="2">
        <f ca="1">IF(LEFT(Y714,1)="L",RANDBETWEEN(500000,5000000),IF(LEFT(Y714,1)="C",RANDBETWEEN(5000,50000),IF(LEFT(Y714,1)="N",RANDBETWEEN(10000,150000),IF(LEFT(Y714,1)="J",RANDBETWEEN(8000,200000),RANDBETWEEN(5000,100000)))))</f>
        <v>8807</v>
      </c>
      <c r="AW714" s="2">
        <f ca="1">INT(AV714*RANDBETWEEN(30,60)/100)</f>
        <v>3963</v>
      </c>
      <c r="AX714">
        <f ca="1">IF(Z714="ORAL",RANDBETWEEN(1000,10000),IF(OR(Z714="INTRAVENOSA",Z714="INTRAMUSCULAR"),RANDBETWEEN(100,2000),IF(OR(Z714="OFTÁLMICA",Z714="TOPICA (EXTERNA)"),RANDBETWEEN(200,3000),RANDBETWEEN(100,1500))))</f>
        <v>8674</v>
      </c>
      <c r="AY714" s="2">
        <f ca="1">INT(AV714*RANDBETWEEN(90,130)/100)</f>
        <v>8895</v>
      </c>
      <c r="AZ714" t="str">
        <f t="shared" ca="1" si="58"/>
        <v>8.1%</v>
      </c>
      <c r="BA714" t="str">
        <f t="shared" ca="1" si="59"/>
        <v>BAJO</v>
      </c>
    </row>
    <row r="715" spans="4:53" x14ac:dyDescent="0.35">
      <c r="D715" t="s">
        <v>4682</v>
      </c>
      <c r="E715" s="1">
        <v>42100</v>
      </c>
      <c r="F715" t="s">
        <v>1510</v>
      </c>
      <c r="G715" t="s">
        <v>108</v>
      </c>
      <c r="H715" t="s">
        <v>1317</v>
      </c>
      <c r="I715">
        <v>20081078</v>
      </c>
      <c r="J715" t="s">
        <v>28</v>
      </c>
      <c r="K715">
        <v>23</v>
      </c>
      <c r="L715" t="s">
        <v>27</v>
      </c>
      <c r="M715" t="s">
        <v>4683</v>
      </c>
      <c r="N715" t="s">
        <v>4684</v>
      </c>
      <c r="O715" t="s">
        <v>4685</v>
      </c>
      <c r="P715" t="s">
        <v>266</v>
      </c>
      <c r="Q715" s="1">
        <v>42087</v>
      </c>
      <c r="R715" t="s">
        <v>33</v>
      </c>
      <c r="S715" t="s">
        <v>27</v>
      </c>
      <c r="T715" t="s">
        <v>80</v>
      </c>
      <c r="U715" t="s">
        <v>115</v>
      </c>
      <c r="V715" t="s">
        <v>1514</v>
      </c>
      <c r="W715">
        <v>120</v>
      </c>
      <c r="X715">
        <v>20081078</v>
      </c>
      <c r="Y715" t="s">
        <v>1515</v>
      </c>
      <c r="Z715" t="s">
        <v>119</v>
      </c>
      <c r="AA715" t="s">
        <v>24</v>
      </c>
      <c r="AB715" t="s">
        <v>120</v>
      </c>
      <c r="AC715" t="s">
        <v>25</v>
      </c>
      <c r="AD715" t="s">
        <v>121</v>
      </c>
      <c r="AE715">
        <v>40</v>
      </c>
      <c r="AF715" t="s">
        <v>27</v>
      </c>
      <c r="AG715" t="s">
        <v>26</v>
      </c>
      <c r="AH715" t="s">
        <v>1510</v>
      </c>
      <c r="AI715" t="str">
        <f t="shared" si="55"/>
        <v>NO</v>
      </c>
      <c r="AJ715" t="str">
        <f t="shared" si="56"/>
        <v>TECNOQUIMICAS</v>
      </c>
      <c r="AK715" t="str">
        <f>IF(ISNUMBER(SEARCH("FABRICANTE",AC715)),"FABRICANTE",IF(ISNUMBER(SEARCH("IMPORTADOR",AC715)),"IMPORTADOR","OTRO"))</f>
        <v>FABRICANTE</v>
      </c>
      <c r="AL715" t="str">
        <f>IF(LEFT(Y715,1)="A","Sistema digestivo",IF(LEFT(Y715,1)="B","Sangre",IF(LEFT(Y715,1)="C","Cardiovascular",IF(LEFT(Y715,1)="D","Dermatológico",IF(LEFT(Y715,1)="G","Genitourinario",IF(LEFT(Y715,1)="H","Hormonal",IF(LEFT(Y715,1)="J","Antiinfecciosos",IF(LEFT(Y715,1)="L","Oncológicos",IF(LEFT(Y715,1)="M","Musculoesquelético",IF(LEFT(Y715,1)="N","Sistema nervioso",IF(LEFT(Y715,1)="R","Respiratorio",IF(LEFT(Y715,1)="S","Oftálmico",IF(LEFT(Y715,1)="V","Varios","OTRO")))))))))))))</f>
        <v>Respiratorio</v>
      </c>
      <c r="AM715" t="str">
        <f>IF(AG715="Vigente","ACTIVO",IF(ISNUMBER(SEARCH("Inactivo",J715)),"INACTIVO","REVISAR"))</f>
        <v>ACTIVO</v>
      </c>
      <c r="AN715" t="str">
        <f ca="1">IF(OR(AF715="",AF715="null"),"",ROUND((AF715-TODAY())/365.25,2))</f>
        <v/>
      </c>
      <c r="AO715" t="str">
        <f ca="1">IF(AND(AG715="Vigente",OR(AF715="",AF715="null",AF715&gt;TODAY())),"SI",IF(AND(NOT(OR(AF715="",AF715="null")),AF715&lt;=TODAY()),"NO",IF(AG715="Vigente","SI","DESCONOCIDO")))</f>
        <v>SI</v>
      </c>
      <c r="AP715" t="str">
        <f>IF(AND(ISNUMBER(SEARCH("IMPORTAR",AA715)),ISNUMBER(SEARCH("FABRICAR",AA715))),"MIXTO",IF(ISNUMBER(SEARCH("IMPORTAR",AA715)),"IMPORTADO",IF(ISNUMBER(SEARCH("FABRICAR",AA715)),"LOCAL","OTRO")))</f>
        <v>LOCAL</v>
      </c>
      <c r="AQ715" t="str">
        <f>IF(AD715="Si","SI",IF(AD715="No","NO",""))</f>
        <v>NO</v>
      </c>
      <c r="AR715" t="str">
        <f>IF(ISNUMBER(SEARCH("®",N715)),"MARCA/INNOVADOR","GENERICO")</f>
        <v>GENERICO</v>
      </c>
      <c r="AS715">
        <f ca="1">IF(AE715&gt;100,RANDBETWEEN(500,5000),IF(AND(AE715&gt;=10,AE715&lt;=100),RANDBETWEEN(100,1000),RANDBETWEEN(10,200)))</f>
        <v>539</v>
      </c>
      <c r="AT715">
        <f t="shared" ca="1" si="57"/>
        <v>129</v>
      </c>
      <c r="AU715">
        <f ca="1">INT(AS715*RANDBETWEEN(120,200)/100)</f>
        <v>1056</v>
      </c>
      <c r="AV715" s="2">
        <f ca="1">IF(LEFT(Y715,1)="L",RANDBETWEEN(500000,5000000),IF(LEFT(Y715,1)="C",RANDBETWEEN(5000,50000),IF(LEFT(Y715,1)="N",RANDBETWEEN(10000,150000),IF(LEFT(Y715,1)="J",RANDBETWEEN(8000,200000),RANDBETWEEN(5000,100000)))))</f>
        <v>50904</v>
      </c>
      <c r="AW715" s="2">
        <f ca="1">INT(AV715*RANDBETWEEN(30,60)/100)</f>
        <v>15780</v>
      </c>
      <c r="AX715">
        <f ca="1">IF(Z715="ORAL",RANDBETWEEN(1000,10000),IF(OR(Z715="INTRAVENOSA",Z715="INTRAMUSCULAR"),RANDBETWEEN(100,2000),IF(OR(Z715="OFTÁLMICA",Z715="TOPICA (EXTERNA)"),RANDBETWEEN(200,3000),RANDBETWEEN(100,1500))))</f>
        <v>8180</v>
      </c>
      <c r="AY715" s="2">
        <f ca="1">INT(AV715*RANDBETWEEN(90,130)/100)</f>
        <v>60575</v>
      </c>
      <c r="AZ715" t="str">
        <f t="shared" ca="1" si="58"/>
        <v>18.9%</v>
      </c>
      <c r="BA715" t="str">
        <f t="shared" ca="1" si="59"/>
        <v>BAJO</v>
      </c>
    </row>
    <row r="716" spans="4:53" x14ac:dyDescent="0.35">
      <c r="D716" t="s">
        <v>4686</v>
      </c>
      <c r="E716" s="1">
        <v>44210</v>
      </c>
      <c r="F716" t="s">
        <v>2901</v>
      </c>
      <c r="G716" t="s">
        <v>108</v>
      </c>
      <c r="H716" t="s">
        <v>187</v>
      </c>
      <c r="I716">
        <v>20169709</v>
      </c>
      <c r="J716" t="s">
        <v>28</v>
      </c>
      <c r="K716">
        <v>4</v>
      </c>
      <c r="L716" t="s">
        <v>27</v>
      </c>
      <c r="M716" t="s">
        <v>4687</v>
      </c>
      <c r="N716" t="s">
        <v>4688</v>
      </c>
      <c r="O716" t="s">
        <v>4689</v>
      </c>
      <c r="P716" t="s">
        <v>33</v>
      </c>
      <c r="Q716" s="1">
        <v>44005</v>
      </c>
      <c r="R716" t="s">
        <v>33</v>
      </c>
      <c r="S716" t="s">
        <v>27</v>
      </c>
      <c r="T716" t="s">
        <v>406</v>
      </c>
      <c r="U716" t="s">
        <v>115</v>
      </c>
      <c r="V716" t="s">
        <v>4264</v>
      </c>
      <c r="W716">
        <v>5</v>
      </c>
      <c r="X716">
        <v>20169709</v>
      </c>
      <c r="Y716" t="s">
        <v>4265</v>
      </c>
      <c r="Z716" t="s">
        <v>119</v>
      </c>
      <c r="AA716" t="s">
        <v>24</v>
      </c>
      <c r="AB716" t="s">
        <v>120</v>
      </c>
      <c r="AC716" t="s">
        <v>25</v>
      </c>
      <c r="AD716" t="s">
        <v>155</v>
      </c>
      <c r="AE716">
        <v>10</v>
      </c>
      <c r="AF716" t="s">
        <v>27</v>
      </c>
      <c r="AG716" t="s">
        <v>26</v>
      </c>
      <c r="AH716" t="s">
        <v>2901</v>
      </c>
      <c r="AI716" t="str">
        <f t="shared" si="55"/>
        <v>NO</v>
      </c>
      <c r="AJ716" t="str">
        <f t="shared" si="56"/>
        <v>LABORATORIOS MK</v>
      </c>
      <c r="AK716" t="str">
        <f>IF(ISNUMBER(SEARCH("FABRICANTE",AC716)),"FABRICANTE",IF(ISNUMBER(SEARCH("IMPORTADOR",AC716)),"IMPORTADOR","OTRO"))</f>
        <v>FABRICANTE</v>
      </c>
      <c r="AL716" t="str">
        <f>IF(LEFT(Y716,1)="A","Sistema digestivo",IF(LEFT(Y716,1)="B","Sangre",IF(LEFT(Y716,1)="C","Cardiovascular",IF(LEFT(Y716,1)="D","Dermatológico",IF(LEFT(Y716,1)="G","Genitourinario",IF(LEFT(Y716,1)="H","Hormonal",IF(LEFT(Y716,1)="J","Antiinfecciosos",IF(LEFT(Y716,1)="L","Oncológicos",IF(LEFT(Y716,1)="M","Musculoesquelético",IF(LEFT(Y716,1)="N","Sistema nervioso",IF(LEFT(Y716,1)="R","Respiratorio",IF(LEFT(Y716,1)="S","Oftálmico",IF(LEFT(Y716,1)="V","Varios","OTRO")))))))))))))</f>
        <v>Respiratorio</v>
      </c>
      <c r="AM716" t="str">
        <f>IF(AG716="Vigente","ACTIVO",IF(ISNUMBER(SEARCH("Inactivo",J716)),"INACTIVO","REVISAR"))</f>
        <v>ACTIVO</v>
      </c>
      <c r="AN716" t="str">
        <f ca="1">IF(OR(AF716="",AF716="null"),"",ROUND((AF716-TODAY())/365.25,2))</f>
        <v/>
      </c>
      <c r="AO716" t="str">
        <f ca="1">IF(AND(AG716="Vigente",OR(AF716="",AF716="null",AF716&gt;TODAY())),"SI",IF(AND(NOT(OR(AF716="",AF716="null")),AF716&lt;=TODAY()),"NO",IF(AG716="Vigente","SI","DESCONOCIDO")))</f>
        <v>SI</v>
      </c>
      <c r="AP716" t="str">
        <f>IF(AND(ISNUMBER(SEARCH("IMPORTAR",AA716)),ISNUMBER(SEARCH("FABRICAR",AA716))),"MIXTO",IF(ISNUMBER(SEARCH("IMPORTAR",AA716)),"IMPORTADO",IF(ISNUMBER(SEARCH("FABRICAR",AA716)),"LOCAL","OTRO")))</f>
        <v>LOCAL</v>
      </c>
      <c r="AQ716" t="str">
        <f>IF(AD716="Si","SI",IF(AD716="No","NO",""))</f>
        <v>SI</v>
      </c>
      <c r="AR716" t="str">
        <f>IF(ISNUMBER(SEARCH("®",N716)),"MARCA/INNOVADOR","GENERICO")</f>
        <v>GENERICO</v>
      </c>
      <c r="AS716">
        <f ca="1">IF(AE716&gt;100,RANDBETWEEN(500,5000),IF(AND(AE716&gt;=10,AE716&lt;=100),RANDBETWEEN(100,1000),RANDBETWEEN(10,200)))</f>
        <v>424</v>
      </c>
      <c r="AT716">
        <f t="shared" ca="1" si="57"/>
        <v>80</v>
      </c>
      <c r="AU716">
        <f ca="1">INT(AS716*RANDBETWEEN(120,200)/100)</f>
        <v>669</v>
      </c>
      <c r="AV716" s="2">
        <f ca="1">IF(LEFT(Y716,1)="L",RANDBETWEEN(500000,5000000),IF(LEFT(Y716,1)="C",RANDBETWEEN(5000,50000),IF(LEFT(Y716,1)="N",RANDBETWEEN(10000,150000),IF(LEFT(Y716,1)="J",RANDBETWEEN(8000,200000),RANDBETWEEN(5000,100000)))))</f>
        <v>87086</v>
      </c>
      <c r="AW716" s="2">
        <f ca="1">INT(AV716*RANDBETWEEN(30,60)/100)</f>
        <v>40930</v>
      </c>
      <c r="AX716">
        <f ca="1">IF(Z716="ORAL",RANDBETWEEN(1000,10000),IF(OR(Z716="INTRAVENOSA",Z716="INTRAMUSCULAR"),RANDBETWEEN(100,2000),IF(OR(Z716="OFTÁLMICA",Z716="TOPICA (EXTERNA)"),RANDBETWEEN(200,3000),RANDBETWEEN(100,1500))))</f>
        <v>3273</v>
      </c>
      <c r="AY716" s="2">
        <f ca="1">INT(AV716*RANDBETWEEN(90,130)/100)</f>
        <v>94923</v>
      </c>
      <c r="AZ716" t="str">
        <f t="shared" ca="1" si="58"/>
        <v>18.5%</v>
      </c>
      <c r="BA716" t="str">
        <f t="shared" ca="1" si="59"/>
        <v>BAJO</v>
      </c>
    </row>
    <row r="717" spans="4:53" x14ac:dyDescent="0.35">
      <c r="D717" t="s">
        <v>4690</v>
      </c>
      <c r="E717" s="1">
        <v>40742</v>
      </c>
      <c r="F717" t="s">
        <v>692</v>
      </c>
      <c r="G717" t="s">
        <v>108</v>
      </c>
      <c r="H717" t="s">
        <v>454</v>
      </c>
      <c r="I717">
        <v>20025213</v>
      </c>
      <c r="J717" t="s">
        <v>110</v>
      </c>
      <c r="K717">
        <v>1</v>
      </c>
      <c r="L717" t="s">
        <v>27</v>
      </c>
      <c r="M717" t="s">
        <v>4691</v>
      </c>
      <c r="N717" t="s">
        <v>4692</v>
      </c>
      <c r="O717" t="s">
        <v>4693</v>
      </c>
      <c r="P717" t="s">
        <v>37</v>
      </c>
      <c r="Q717" s="1">
        <v>40513</v>
      </c>
      <c r="R717" t="s">
        <v>37</v>
      </c>
      <c r="S717" s="1">
        <v>42808</v>
      </c>
      <c r="T717" t="s">
        <v>454</v>
      </c>
      <c r="U717" t="s">
        <v>115</v>
      </c>
      <c r="V717" t="s">
        <v>692</v>
      </c>
      <c r="W717">
        <v>150</v>
      </c>
      <c r="X717">
        <v>20025213</v>
      </c>
      <c r="Y717" t="s">
        <v>699</v>
      </c>
      <c r="Z717" t="s">
        <v>119</v>
      </c>
      <c r="AA717" t="s">
        <v>24</v>
      </c>
      <c r="AB717" t="s">
        <v>120</v>
      </c>
      <c r="AC717" t="s">
        <v>25</v>
      </c>
      <c r="AD717" t="s">
        <v>121</v>
      </c>
      <c r="AE717">
        <v>1</v>
      </c>
      <c r="AF717" t="s">
        <v>27</v>
      </c>
      <c r="AG717" t="s">
        <v>26</v>
      </c>
      <c r="AH717" t="s">
        <v>692</v>
      </c>
      <c r="AI717" t="str">
        <f t="shared" si="55"/>
        <v>NO</v>
      </c>
      <c r="AJ717" t="str">
        <f t="shared" si="56"/>
        <v>PROCAPS</v>
      </c>
      <c r="AK717" t="str">
        <f>IF(ISNUMBER(SEARCH("FABRICANTE",AC717)),"FABRICANTE",IF(ISNUMBER(SEARCH("IMPORTADOR",AC717)),"IMPORTADOR","OTRO"))</f>
        <v>FABRICANTE</v>
      </c>
      <c r="AL717" t="str">
        <f>IF(LEFT(Y717,1)="A","Sistema digestivo",IF(LEFT(Y717,1)="B","Sangre",IF(LEFT(Y717,1)="C","Cardiovascular",IF(LEFT(Y717,1)="D","Dermatológico",IF(LEFT(Y717,1)="G","Genitourinario",IF(LEFT(Y717,1)="H","Hormonal",IF(LEFT(Y717,1)="J","Antiinfecciosos",IF(LEFT(Y717,1)="L","Oncológicos",IF(LEFT(Y717,1)="M","Musculoesquelético",IF(LEFT(Y717,1)="N","Sistema nervioso",IF(LEFT(Y717,1)="R","Respiratorio",IF(LEFT(Y717,1)="S","Oftálmico",IF(LEFT(Y717,1)="V","Varios","OTRO")))))))))))))</f>
        <v>Antiinfecciosos</v>
      </c>
      <c r="AM717" t="str">
        <f>IF(AG717="Vigente","ACTIVO",IF(ISNUMBER(SEARCH("Inactivo",J717)),"INACTIVO","REVISAR"))</f>
        <v>ACTIVO</v>
      </c>
      <c r="AN717" t="str">
        <f ca="1">IF(OR(AF717="",AF717="null"),"",ROUND((AF717-TODAY())/365.25,2))</f>
        <v/>
      </c>
      <c r="AO717" t="str">
        <f ca="1">IF(AND(AG717="Vigente",OR(AF717="",AF717="null",AF717&gt;TODAY())),"SI",IF(AND(NOT(OR(AF717="",AF717="null")),AF717&lt;=TODAY()),"NO",IF(AG717="Vigente","SI","DESCONOCIDO")))</f>
        <v>SI</v>
      </c>
      <c r="AP717" t="str">
        <f>IF(AND(ISNUMBER(SEARCH("IMPORTAR",AA717)),ISNUMBER(SEARCH("FABRICAR",AA717))),"MIXTO",IF(ISNUMBER(SEARCH("IMPORTAR",AA717)),"IMPORTADO",IF(ISNUMBER(SEARCH("FABRICAR",AA717)),"LOCAL","OTRO")))</f>
        <v>LOCAL</v>
      </c>
      <c r="AQ717" t="str">
        <f>IF(AD717="Si","SI",IF(AD717="No","NO",""))</f>
        <v>NO</v>
      </c>
      <c r="AR717" t="str">
        <f>IF(ISNUMBER(SEARCH("®",N717)),"MARCA/INNOVADOR","GENERICO")</f>
        <v>GENERICO</v>
      </c>
      <c r="AS717">
        <f ca="1">IF(AE717&gt;100,RANDBETWEEN(500,5000),IF(AND(AE717&gt;=10,AE717&lt;=100),RANDBETWEEN(100,1000),RANDBETWEEN(10,200)))</f>
        <v>181</v>
      </c>
      <c r="AT717">
        <f t="shared" ca="1" si="57"/>
        <v>32</v>
      </c>
      <c r="AU717">
        <f ca="1">INT(AS717*RANDBETWEEN(120,200)/100)</f>
        <v>338</v>
      </c>
      <c r="AV717" s="2">
        <f ca="1">IF(LEFT(Y717,1)="L",RANDBETWEEN(500000,5000000),IF(LEFT(Y717,1)="C",RANDBETWEEN(5000,50000),IF(LEFT(Y717,1)="N",RANDBETWEEN(10000,150000),IF(LEFT(Y717,1)="J",RANDBETWEEN(8000,200000),RANDBETWEEN(5000,100000)))))</f>
        <v>62282</v>
      </c>
      <c r="AW717" s="2">
        <f ca="1">INT(AV717*RANDBETWEEN(30,60)/100)</f>
        <v>34877</v>
      </c>
      <c r="AX717">
        <f ca="1">IF(Z717="ORAL",RANDBETWEEN(1000,10000),IF(OR(Z717="INTRAVENOSA",Z717="INTRAMUSCULAR"),RANDBETWEEN(100,2000),IF(OR(Z717="OFTÁLMICA",Z717="TOPICA (EXTERNA)"),RANDBETWEEN(200,3000),RANDBETWEEN(100,1500))))</f>
        <v>5616</v>
      </c>
      <c r="AY717" s="2">
        <f ca="1">INT(AV717*RANDBETWEEN(90,130)/100)</f>
        <v>77852</v>
      </c>
      <c r="AZ717" t="str">
        <f t="shared" ca="1" si="58"/>
        <v>19.4%</v>
      </c>
      <c r="BA717" t="str">
        <f t="shared" ca="1" si="59"/>
        <v>ALTO</v>
      </c>
    </row>
    <row r="718" spans="4:53" x14ac:dyDescent="0.35">
      <c r="D718" t="s">
        <v>4694</v>
      </c>
      <c r="E718" s="1">
        <v>42451</v>
      </c>
      <c r="F718" t="s">
        <v>453</v>
      </c>
      <c r="G718" t="s">
        <v>108</v>
      </c>
      <c r="H718" t="s">
        <v>1252</v>
      </c>
      <c r="I718">
        <v>20097708</v>
      </c>
      <c r="J718" t="s">
        <v>110</v>
      </c>
      <c r="K718">
        <v>14</v>
      </c>
      <c r="L718" t="s">
        <v>27</v>
      </c>
      <c r="M718" t="s">
        <v>1253</v>
      </c>
      <c r="N718" t="s">
        <v>1254</v>
      </c>
      <c r="O718" t="s">
        <v>4695</v>
      </c>
      <c r="P718" t="s">
        <v>527</v>
      </c>
      <c r="Q718" s="1">
        <v>42314</v>
      </c>
      <c r="R718" t="s">
        <v>527</v>
      </c>
      <c r="S718" s="1">
        <v>42444</v>
      </c>
      <c r="T718" t="s">
        <v>1256</v>
      </c>
      <c r="U718" t="s">
        <v>115</v>
      </c>
      <c r="V718" t="s">
        <v>162</v>
      </c>
      <c r="W718">
        <v>5</v>
      </c>
      <c r="X718">
        <v>20097708</v>
      </c>
      <c r="Y718" t="s">
        <v>164</v>
      </c>
      <c r="Z718" t="s">
        <v>119</v>
      </c>
      <c r="AA718" t="s">
        <v>848</v>
      </c>
      <c r="AB718" t="s">
        <v>120</v>
      </c>
      <c r="AC718" t="s">
        <v>25</v>
      </c>
      <c r="AD718" t="s">
        <v>121</v>
      </c>
      <c r="AE718">
        <v>25</v>
      </c>
      <c r="AF718" t="s">
        <v>27</v>
      </c>
      <c r="AG718" t="s">
        <v>26</v>
      </c>
      <c r="AH718" t="s">
        <v>453</v>
      </c>
      <c r="AI718" t="str">
        <f t="shared" si="55"/>
        <v>NO</v>
      </c>
      <c r="AJ718" t="str">
        <f t="shared" si="56"/>
        <v>GENOMMA LAB COLOMBIA</v>
      </c>
      <c r="AK718" t="str">
        <f>IF(ISNUMBER(SEARCH("FABRICANTE",AC718)),"FABRICANTE",IF(ISNUMBER(SEARCH("IMPORTADOR",AC718)),"IMPORTADOR","OTRO"))</f>
        <v>FABRICANTE</v>
      </c>
      <c r="AL718" t="str">
        <f>IF(LEFT(Y718,1)="A","Sistema digestivo",IF(LEFT(Y718,1)="B","Sangre",IF(LEFT(Y718,1)="C","Cardiovascular",IF(LEFT(Y718,1)="D","Dermatológico",IF(LEFT(Y718,1)="G","Genitourinario",IF(LEFT(Y718,1)="H","Hormonal",IF(LEFT(Y718,1)="J","Antiinfecciosos",IF(LEFT(Y718,1)="L","Oncológicos",IF(LEFT(Y718,1)="M","Musculoesquelético",IF(LEFT(Y718,1)="N","Sistema nervioso",IF(LEFT(Y718,1)="R","Respiratorio",IF(LEFT(Y718,1)="S","Oftálmico",IF(LEFT(Y718,1)="V","Varios","OTRO")))))))))))))</f>
        <v>Musculoesquelético</v>
      </c>
      <c r="AM718" t="str">
        <f>IF(AG718="Vigente","ACTIVO",IF(ISNUMBER(SEARCH("Inactivo",J718)),"INACTIVO","REVISAR"))</f>
        <v>ACTIVO</v>
      </c>
      <c r="AN718" t="str">
        <f ca="1">IF(OR(AF718="",AF718="null"),"",ROUND((AF718-TODAY())/365.25,2))</f>
        <v/>
      </c>
      <c r="AO718" t="str">
        <f ca="1">IF(AND(AG718="Vigente",OR(AF718="",AF718="null",AF718&gt;TODAY())),"SI",IF(AND(NOT(OR(AF718="",AF718="null")),AF718&lt;=TODAY()),"NO",IF(AG718="Vigente","SI","DESCONOCIDO")))</f>
        <v>SI</v>
      </c>
      <c r="AP718" t="str">
        <f>IF(AND(ISNUMBER(SEARCH("IMPORTAR",AA718)),ISNUMBER(SEARCH("FABRICAR",AA718))),"MIXTO",IF(ISNUMBER(SEARCH("IMPORTAR",AA718)),"IMPORTADO",IF(ISNUMBER(SEARCH("FABRICAR",AA718)),"LOCAL","OTRO")))</f>
        <v>IMPORTADO</v>
      </c>
      <c r="AQ718" t="str">
        <f>IF(AD718="Si","SI",IF(AD718="No","NO",""))</f>
        <v>NO</v>
      </c>
      <c r="AR718" t="str">
        <f>IF(ISNUMBER(SEARCH("®",N718)),"MARCA/INNOVADOR","GENERICO")</f>
        <v>MARCA/INNOVADOR</v>
      </c>
      <c r="AS718">
        <f ca="1">IF(AE718&gt;100,RANDBETWEEN(500,5000),IF(AND(AE718&gt;=10,AE718&lt;=100),RANDBETWEEN(100,1000),RANDBETWEEN(10,200)))</f>
        <v>833</v>
      </c>
      <c r="AT718">
        <f t="shared" ca="1" si="57"/>
        <v>199</v>
      </c>
      <c r="AU718">
        <f ca="1">INT(AS718*RANDBETWEEN(120,200)/100)</f>
        <v>1124</v>
      </c>
      <c r="AV718" s="2">
        <f ca="1">IF(LEFT(Y718,1)="L",RANDBETWEEN(500000,5000000),IF(LEFT(Y718,1)="C",RANDBETWEEN(5000,50000),IF(LEFT(Y718,1)="N",RANDBETWEEN(10000,150000),IF(LEFT(Y718,1)="J",RANDBETWEEN(8000,200000),RANDBETWEEN(5000,100000)))))</f>
        <v>41580</v>
      </c>
      <c r="AW718" s="2">
        <f ca="1">INT(AV718*RANDBETWEEN(30,60)/100)</f>
        <v>20790</v>
      </c>
      <c r="AX718">
        <f ca="1">IF(Z718="ORAL",RANDBETWEEN(1000,10000),IF(OR(Z718="INTRAVENOSA",Z718="INTRAMUSCULAR"),RANDBETWEEN(100,2000),IF(OR(Z718="OFTÁLMICA",Z718="TOPICA (EXTERNA)"),RANDBETWEEN(200,3000),RANDBETWEEN(100,1500))))</f>
        <v>5470</v>
      </c>
      <c r="AY718" s="2">
        <f ca="1">INT(AV718*RANDBETWEEN(90,130)/100)</f>
        <v>40748</v>
      </c>
      <c r="AZ718" t="str">
        <f t="shared" ca="1" si="58"/>
        <v>13.6%</v>
      </c>
      <c r="BA718" t="str">
        <f t="shared" ca="1" si="59"/>
        <v>ALTO</v>
      </c>
    </row>
    <row r="719" spans="4:53" x14ac:dyDescent="0.35">
      <c r="D719" t="s">
        <v>4696</v>
      </c>
      <c r="E719" s="1">
        <v>41803</v>
      </c>
      <c r="F719" t="s">
        <v>4697</v>
      </c>
      <c r="G719" t="s">
        <v>108</v>
      </c>
      <c r="H719" t="s">
        <v>4698</v>
      </c>
      <c r="I719">
        <v>20051113</v>
      </c>
      <c r="J719" t="s">
        <v>110</v>
      </c>
      <c r="K719">
        <v>4</v>
      </c>
      <c r="L719" t="s">
        <v>27</v>
      </c>
      <c r="M719" t="s">
        <v>2669</v>
      </c>
      <c r="N719" t="s">
        <v>2670</v>
      </c>
      <c r="O719" t="s">
        <v>2671</v>
      </c>
      <c r="P719" t="s">
        <v>2672</v>
      </c>
      <c r="Q719" s="1">
        <v>41786</v>
      </c>
      <c r="R719" t="s">
        <v>1312</v>
      </c>
      <c r="S719" s="1">
        <v>43230</v>
      </c>
      <c r="T719" t="s">
        <v>354</v>
      </c>
      <c r="U719" t="s">
        <v>807</v>
      </c>
      <c r="V719" t="s">
        <v>2673</v>
      </c>
      <c r="W719">
        <v>5</v>
      </c>
      <c r="X719">
        <v>20051113</v>
      </c>
      <c r="Y719" t="s">
        <v>2674</v>
      </c>
      <c r="Z719" t="s">
        <v>213</v>
      </c>
      <c r="AA719" t="s">
        <v>32</v>
      </c>
      <c r="AB719" t="s">
        <v>239</v>
      </c>
      <c r="AC719" t="s">
        <v>25</v>
      </c>
      <c r="AD719" t="s">
        <v>121</v>
      </c>
      <c r="AE719">
        <v>10</v>
      </c>
      <c r="AF719" s="1">
        <v>401769</v>
      </c>
      <c r="AG719" t="s">
        <v>26</v>
      </c>
      <c r="AH719" t="s">
        <v>6827</v>
      </c>
      <c r="AI719" t="str">
        <f t="shared" si="55"/>
        <v>NO</v>
      </c>
      <c r="AJ719" t="str">
        <f t="shared" si="56"/>
        <v>PFIZER</v>
      </c>
      <c r="AK719" t="str">
        <f>IF(ISNUMBER(SEARCH("FABRICANTE",AC719)),"FABRICANTE",IF(ISNUMBER(SEARCH("IMPORTADOR",AC719)),"IMPORTADOR","OTRO"))</f>
        <v>FABRICANTE</v>
      </c>
      <c r="AL719" t="str">
        <f>IF(LEFT(Y719,1)="A","Sistema digestivo",IF(LEFT(Y719,1)="B","Sangre",IF(LEFT(Y719,1)="C","Cardiovascular",IF(LEFT(Y719,1)="D","Dermatológico",IF(LEFT(Y719,1)="G","Genitourinario",IF(LEFT(Y719,1)="H","Hormonal",IF(LEFT(Y719,1)="J","Antiinfecciosos",IF(LEFT(Y719,1)="L","Oncológicos",IF(LEFT(Y719,1)="M","Musculoesquelético",IF(LEFT(Y719,1)="N","Sistema nervioso",IF(LEFT(Y719,1)="R","Respiratorio",IF(LEFT(Y719,1)="S","Oftálmico",IF(LEFT(Y719,1)="V","Varios","OTRO")))))))))))))</f>
        <v>Antiinfecciosos</v>
      </c>
      <c r="AM719" t="str">
        <f>IF(AG719="Vigente","ACTIVO",IF(ISNUMBER(SEARCH("Inactivo",J719)),"INACTIVO","REVISAR"))</f>
        <v>ACTIVO</v>
      </c>
      <c r="AN719">
        <f ca="1">IF(OR(AF719="",AF719="null"),"",ROUND((AF719-TODAY())/365.25,2))</f>
        <v>973.58</v>
      </c>
      <c r="AO719" t="str">
        <f ca="1">IF(AND(AG719="Vigente",OR(AF719="",AF719="null",AF719&gt;TODAY())),"SI",IF(AND(NOT(OR(AF719="",AF719="null")),AF719&lt;=TODAY()),"NO",IF(AG719="Vigente","SI","DESCONOCIDO")))</f>
        <v>SI</v>
      </c>
      <c r="AP719" t="str">
        <f>IF(AND(ISNUMBER(SEARCH("IMPORTAR",AA719)),ISNUMBER(SEARCH("FABRICAR",AA719))),"MIXTO",IF(ISNUMBER(SEARCH("IMPORTAR",AA719)),"IMPORTADO",IF(ISNUMBER(SEARCH("FABRICAR",AA719)),"LOCAL","OTRO")))</f>
        <v>IMPORTADO</v>
      </c>
      <c r="AQ719" t="str">
        <f>IF(AD719="Si","SI",IF(AD719="No","NO",""))</f>
        <v>NO</v>
      </c>
      <c r="AR719" t="str">
        <f>IF(ISNUMBER(SEARCH("®",N719)),"MARCA/INNOVADOR","GENERICO")</f>
        <v>MARCA/INNOVADOR</v>
      </c>
      <c r="AS719">
        <f ca="1">IF(AE719&gt;100,RANDBETWEEN(500,5000),IF(AND(AE719&gt;=10,AE719&lt;=100),RANDBETWEEN(100,1000),RANDBETWEEN(10,200)))</f>
        <v>733</v>
      </c>
      <c r="AT719">
        <f t="shared" ca="1" si="57"/>
        <v>161</v>
      </c>
      <c r="AU719">
        <f ca="1">INT(AS719*RANDBETWEEN(120,200)/100)</f>
        <v>1092</v>
      </c>
      <c r="AV719" s="2">
        <f ca="1">IF(LEFT(Y719,1)="L",RANDBETWEEN(500000,5000000),IF(LEFT(Y719,1)="C",RANDBETWEEN(5000,50000),IF(LEFT(Y719,1)="N",RANDBETWEEN(10000,150000),IF(LEFT(Y719,1)="J",RANDBETWEEN(8000,200000),RANDBETWEEN(5000,100000)))))</f>
        <v>154950</v>
      </c>
      <c r="AW719" s="2">
        <f ca="1">INT(AV719*RANDBETWEEN(30,60)/100)</f>
        <v>66628</v>
      </c>
      <c r="AX719">
        <f ca="1">IF(Z719="ORAL",RANDBETWEEN(1000,10000),IF(OR(Z719="INTRAVENOSA",Z719="INTRAMUSCULAR"),RANDBETWEEN(100,2000),IF(OR(Z719="OFTÁLMICA",Z719="TOPICA (EXTERNA)"),RANDBETWEEN(200,3000),RANDBETWEEN(100,1500))))</f>
        <v>109</v>
      </c>
      <c r="AY719" s="2">
        <f ca="1">INT(AV719*RANDBETWEEN(90,130)/100)</f>
        <v>154950</v>
      </c>
      <c r="AZ719" t="str">
        <f t="shared" ca="1" si="58"/>
        <v>8.6%</v>
      </c>
      <c r="BA719" t="str">
        <f t="shared" ca="1" si="59"/>
        <v>MEDIO</v>
      </c>
    </row>
    <row r="720" spans="4:53" x14ac:dyDescent="0.35">
      <c r="D720" t="s">
        <v>4699</v>
      </c>
      <c r="E720" s="1">
        <v>45457</v>
      </c>
      <c r="F720" t="s">
        <v>4700</v>
      </c>
      <c r="G720" t="s">
        <v>108</v>
      </c>
      <c r="H720" t="s">
        <v>958</v>
      </c>
      <c r="I720">
        <v>20141473</v>
      </c>
      <c r="J720" t="s">
        <v>28</v>
      </c>
      <c r="K720">
        <v>12</v>
      </c>
      <c r="L720" t="s">
        <v>27</v>
      </c>
      <c r="M720" t="s">
        <v>4701</v>
      </c>
      <c r="N720" t="s">
        <v>4702</v>
      </c>
      <c r="O720" t="s">
        <v>4703</v>
      </c>
      <c r="P720" t="s">
        <v>47</v>
      </c>
      <c r="Q720" s="1">
        <v>45407</v>
      </c>
      <c r="R720" t="s">
        <v>47</v>
      </c>
      <c r="S720" s="1">
        <v>45457</v>
      </c>
      <c r="T720" t="s">
        <v>1403</v>
      </c>
      <c r="U720" t="s">
        <v>115</v>
      </c>
      <c r="V720" t="s">
        <v>4660</v>
      </c>
      <c r="W720">
        <v>100</v>
      </c>
      <c r="X720">
        <v>20141473</v>
      </c>
      <c r="Y720" t="s">
        <v>4661</v>
      </c>
      <c r="Z720" t="s">
        <v>119</v>
      </c>
      <c r="AA720" t="s">
        <v>32</v>
      </c>
      <c r="AB720" t="s">
        <v>120</v>
      </c>
      <c r="AC720" t="s">
        <v>38</v>
      </c>
      <c r="AD720" t="s">
        <v>121</v>
      </c>
      <c r="AE720">
        <v>28</v>
      </c>
      <c r="AF720" s="1">
        <v>401769</v>
      </c>
      <c r="AG720" t="s">
        <v>26</v>
      </c>
      <c r="AH720" t="s">
        <v>4660</v>
      </c>
      <c r="AI720" t="str">
        <f t="shared" si="55"/>
        <v>NO</v>
      </c>
      <c r="AJ720" t="str">
        <f t="shared" si="56"/>
        <v>MOMENTA FARMACEUTICA</v>
      </c>
      <c r="AK720" t="str">
        <f>IF(ISNUMBER(SEARCH("FABRICANTE",AC720)),"FABRICANTE",IF(ISNUMBER(SEARCH("IMPORTADOR",AC720)),"IMPORTADOR","OTRO"))</f>
        <v>IMPORTADOR</v>
      </c>
      <c r="AL720" t="str">
        <f>IF(LEFT(Y720,1)="A","Sistema digestivo",IF(LEFT(Y720,1)="B","Sangre",IF(LEFT(Y720,1)="C","Cardiovascular",IF(LEFT(Y720,1)="D","Dermatológico",IF(LEFT(Y720,1)="G","Genitourinario",IF(LEFT(Y720,1)="H","Hormonal",IF(LEFT(Y720,1)="J","Antiinfecciosos",IF(LEFT(Y720,1)="L","Oncológicos",IF(LEFT(Y720,1)="M","Musculoesquelético",IF(LEFT(Y720,1)="N","Sistema nervioso",IF(LEFT(Y720,1)="R","Respiratorio",IF(LEFT(Y720,1)="S","Oftálmico",IF(LEFT(Y720,1)="V","Varios","OTRO")))))))))))))</f>
        <v>Sistema nervioso</v>
      </c>
      <c r="AM720" t="str">
        <f>IF(AG720="Vigente","ACTIVO",IF(ISNUMBER(SEARCH("Inactivo",J720)),"INACTIVO","REVISAR"))</f>
        <v>ACTIVO</v>
      </c>
      <c r="AN720">
        <f ca="1">IF(OR(AF720="",AF720="null"),"",ROUND((AF720-TODAY())/365.25,2))</f>
        <v>973.58</v>
      </c>
      <c r="AO720" t="str">
        <f ca="1">IF(AND(AG720="Vigente",OR(AF720="",AF720="null",AF720&gt;TODAY())),"SI",IF(AND(NOT(OR(AF720="",AF720="null")),AF720&lt;=TODAY()),"NO",IF(AG720="Vigente","SI","DESCONOCIDO")))</f>
        <v>SI</v>
      </c>
      <c r="AP720" t="str">
        <f>IF(AND(ISNUMBER(SEARCH("IMPORTAR",AA720)),ISNUMBER(SEARCH("FABRICAR",AA720))),"MIXTO",IF(ISNUMBER(SEARCH("IMPORTAR",AA720)),"IMPORTADO",IF(ISNUMBER(SEARCH("FABRICAR",AA720)),"LOCAL","OTRO")))</f>
        <v>IMPORTADO</v>
      </c>
      <c r="AQ720" t="str">
        <f>IF(AD720="Si","SI",IF(AD720="No","NO",""))</f>
        <v>NO</v>
      </c>
      <c r="AR720" t="str">
        <f>IF(ISNUMBER(SEARCH("®",N720)),"MARCA/INNOVADOR","GENERICO")</f>
        <v>GENERICO</v>
      </c>
      <c r="AS720">
        <f ca="1">IF(AE720&gt;100,RANDBETWEEN(500,5000),IF(AND(AE720&gt;=10,AE720&lt;=100),RANDBETWEEN(100,1000),RANDBETWEEN(10,200)))</f>
        <v>853</v>
      </c>
      <c r="AT720">
        <f t="shared" ca="1" si="57"/>
        <v>110</v>
      </c>
      <c r="AU720">
        <f ca="1">INT(AS720*RANDBETWEEN(120,200)/100)</f>
        <v>1253</v>
      </c>
      <c r="AV720" s="2">
        <f ca="1">IF(LEFT(Y720,1)="L",RANDBETWEEN(500000,5000000),IF(LEFT(Y720,1)="C",RANDBETWEEN(5000,50000),IF(LEFT(Y720,1)="N",RANDBETWEEN(10000,150000),IF(LEFT(Y720,1)="J",RANDBETWEEN(8000,200000),RANDBETWEEN(5000,100000)))))</f>
        <v>95819</v>
      </c>
      <c r="AW720" s="2">
        <f ca="1">INT(AV720*RANDBETWEEN(30,60)/100)</f>
        <v>32578</v>
      </c>
      <c r="AX720">
        <f ca="1">IF(Z720="ORAL",RANDBETWEEN(1000,10000),IF(OR(Z720="INTRAVENOSA",Z720="INTRAMUSCULAR"),RANDBETWEEN(100,2000),IF(OR(Z720="OFTÁLMICA",Z720="TOPICA (EXTERNA)"),RANDBETWEEN(200,3000),RANDBETWEEN(100,1500))))</f>
        <v>9905</v>
      </c>
      <c r="AY720" s="2">
        <f ca="1">INT(AV720*RANDBETWEEN(90,130)/100)</f>
        <v>91986</v>
      </c>
      <c r="AZ720" t="str">
        <f t="shared" ca="1" si="58"/>
        <v>15.8%</v>
      </c>
      <c r="BA720" t="str">
        <f t="shared" ca="1" si="59"/>
        <v>BAJO</v>
      </c>
    </row>
    <row r="721" spans="4:53" x14ac:dyDescent="0.35">
      <c r="D721" t="s">
        <v>4704</v>
      </c>
      <c r="E721" s="1">
        <v>45799</v>
      </c>
      <c r="F721" t="s">
        <v>4705</v>
      </c>
      <c r="G721" t="s">
        <v>108</v>
      </c>
      <c r="H721" t="s">
        <v>4706</v>
      </c>
      <c r="I721">
        <v>20280224</v>
      </c>
      <c r="J721" t="s">
        <v>28</v>
      </c>
      <c r="K721">
        <v>3</v>
      </c>
      <c r="L721" t="s">
        <v>27</v>
      </c>
      <c r="M721" t="s">
        <v>4707</v>
      </c>
      <c r="N721" t="s">
        <v>4708</v>
      </c>
      <c r="O721" t="s">
        <v>4709</v>
      </c>
      <c r="P721" t="s">
        <v>4710</v>
      </c>
      <c r="Q721" s="1">
        <v>45797</v>
      </c>
      <c r="R721" t="s">
        <v>47</v>
      </c>
      <c r="S721" t="s">
        <v>27</v>
      </c>
      <c r="T721" t="s">
        <v>454</v>
      </c>
      <c r="U721" t="s">
        <v>115</v>
      </c>
      <c r="V721" t="s">
        <v>4711</v>
      </c>
      <c r="W721">
        <v>50</v>
      </c>
      <c r="X721">
        <v>20280224</v>
      </c>
      <c r="Y721" t="s">
        <v>4712</v>
      </c>
      <c r="Z721" t="s">
        <v>119</v>
      </c>
      <c r="AA721" t="s">
        <v>32</v>
      </c>
      <c r="AB721" t="s">
        <v>120</v>
      </c>
      <c r="AC721" t="s">
        <v>25</v>
      </c>
      <c r="AD721" t="s">
        <v>121</v>
      </c>
      <c r="AE721">
        <v>90</v>
      </c>
      <c r="AF721" s="1">
        <v>47643</v>
      </c>
      <c r="AG721" t="s">
        <v>26</v>
      </c>
      <c r="AH721" t="s">
        <v>4711</v>
      </c>
      <c r="AI721" t="str">
        <f t="shared" si="55"/>
        <v>NO</v>
      </c>
      <c r="AJ721" t="str">
        <f t="shared" si="56"/>
        <v>PROCAPS</v>
      </c>
      <c r="AK721" t="str">
        <f>IF(ISNUMBER(SEARCH("FABRICANTE",AC721)),"FABRICANTE",IF(ISNUMBER(SEARCH("IMPORTADOR",AC721)),"IMPORTADOR","OTRO"))</f>
        <v>FABRICANTE</v>
      </c>
      <c r="AL721" t="str">
        <f>IF(LEFT(Y721,1)="A","Sistema digestivo",IF(LEFT(Y721,1)="B","Sangre",IF(LEFT(Y721,1)="C","Cardiovascular",IF(LEFT(Y721,1)="D","Dermatológico",IF(LEFT(Y721,1)="G","Genitourinario",IF(LEFT(Y721,1)="H","Hormonal",IF(LEFT(Y721,1)="J","Antiinfecciosos",IF(LEFT(Y721,1)="L","Oncológicos",IF(LEFT(Y721,1)="M","Musculoesquelético",IF(LEFT(Y721,1)="N","Sistema nervioso",IF(LEFT(Y721,1)="R","Respiratorio",IF(LEFT(Y721,1)="S","Oftálmico",IF(LEFT(Y721,1)="V","Varios","OTRO")))))))))))))</f>
        <v>Sistema nervioso</v>
      </c>
      <c r="AM721" t="str">
        <f>IF(AG721="Vigente","ACTIVO",IF(ISNUMBER(SEARCH("Inactivo",J721)),"INACTIVO","REVISAR"))</f>
        <v>ACTIVO</v>
      </c>
      <c r="AN721">
        <f ca="1">IF(OR(AF721="",AF721="null"),"",ROUND((AF721-TODAY())/365.25,2))</f>
        <v>4.04</v>
      </c>
      <c r="AO721" t="str">
        <f ca="1">IF(AND(AG721="Vigente",OR(AF721="",AF721="null",AF721&gt;TODAY())),"SI",IF(AND(NOT(OR(AF721="",AF721="null")),AF721&lt;=TODAY()),"NO",IF(AG721="Vigente","SI","DESCONOCIDO")))</f>
        <v>SI</v>
      </c>
      <c r="AP721" t="str">
        <f>IF(AND(ISNUMBER(SEARCH("IMPORTAR",AA721)),ISNUMBER(SEARCH("FABRICAR",AA721))),"MIXTO",IF(ISNUMBER(SEARCH("IMPORTAR",AA721)),"IMPORTADO",IF(ISNUMBER(SEARCH("FABRICAR",AA721)),"LOCAL","OTRO")))</f>
        <v>IMPORTADO</v>
      </c>
      <c r="AQ721" t="str">
        <f>IF(AD721="Si","SI",IF(AD721="No","NO",""))</f>
        <v>NO</v>
      </c>
      <c r="AR721" t="str">
        <f>IF(ISNUMBER(SEARCH("®",N721)),"MARCA/INNOVADOR","GENERICO")</f>
        <v>MARCA/INNOVADOR</v>
      </c>
      <c r="AS721">
        <f ca="1">IF(AE721&gt;100,RANDBETWEEN(500,5000),IF(AND(AE721&gt;=10,AE721&lt;=100),RANDBETWEEN(100,1000),RANDBETWEEN(10,200)))</f>
        <v>230</v>
      </c>
      <c r="AT721">
        <f t="shared" ca="1" si="57"/>
        <v>34</v>
      </c>
      <c r="AU721">
        <f ca="1">INT(AS721*RANDBETWEEN(120,200)/100)</f>
        <v>430</v>
      </c>
      <c r="AV721" s="2">
        <f ca="1">IF(LEFT(Y721,1)="L",RANDBETWEEN(500000,5000000),IF(LEFT(Y721,1)="C",RANDBETWEEN(5000,50000),IF(LEFT(Y721,1)="N",RANDBETWEEN(10000,150000),IF(LEFT(Y721,1)="J",RANDBETWEEN(8000,200000),RANDBETWEEN(5000,100000)))))</f>
        <v>131614</v>
      </c>
      <c r="AW721" s="2">
        <f ca="1">INT(AV721*RANDBETWEEN(30,60)/100)</f>
        <v>48697</v>
      </c>
      <c r="AX721">
        <f ca="1">IF(Z721="ORAL",RANDBETWEEN(1000,10000),IF(OR(Z721="INTRAVENOSA",Z721="INTRAMUSCULAR"),RANDBETWEEN(100,2000),IF(OR(Z721="OFTÁLMICA",Z721="TOPICA (EXTERNA)"),RANDBETWEEN(200,3000),RANDBETWEEN(100,1500))))</f>
        <v>1318</v>
      </c>
      <c r="AY721" s="2">
        <f ca="1">INT(AV721*RANDBETWEEN(90,130)/100)</f>
        <v>127665</v>
      </c>
      <c r="AZ721" t="str">
        <f t="shared" ca="1" si="58"/>
        <v>14.4%</v>
      </c>
      <c r="BA721" t="str">
        <f t="shared" ca="1" si="59"/>
        <v>MEDIO</v>
      </c>
    </row>
    <row r="722" spans="4:53" x14ac:dyDescent="0.35">
      <c r="D722" t="s">
        <v>4713</v>
      </c>
      <c r="E722" s="1">
        <v>40350</v>
      </c>
      <c r="F722" t="s">
        <v>4714</v>
      </c>
      <c r="G722" t="s">
        <v>108</v>
      </c>
      <c r="H722" t="s">
        <v>454</v>
      </c>
      <c r="I722">
        <v>20015204</v>
      </c>
      <c r="J722" t="s">
        <v>28</v>
      </c>
      <c r="K722">
        <v>2</v>
      </c>
      <c r="L722" t="s">
        <v>27</v>
      </c>
      <c r="M722" t="s">
        <v>4715</v>
      </c>
      <c r="N722" t="s">
        <v>4716</v>
      </c>
      <c r="O722" t="s">
        <v>4717</v>
      </c>
      <c r="P722" t="s">
        <v>27</v>
      </c>
      <c r="Q722" s="1">
        <v>40261</v>
      </c>
      <c r="R722" t="s">
        <v>4718</v>
      </c>
      <c r="S722" t="s">
        <v>27</v>
      </c>
      <c r="T722" t="s">
        <v>454</v>
      </c>
      <c r="U722" t="s">
        <v>115</v>
      </c>
      <c r="V722" t="s">
        <v>2981</v>
      </c>
      <c r="W722" s="2">
        <v>787333</v>
      </c>
      <c r="X722">
        <v>20015204</v>
      </c>
      <c r="Y722" t="s">
        <v>2983</v>
      </c>
      <c r="Z722" t="s">
        <v>119</v>
      </c>
      <c r="AA722" t="s">
        <v>24</v>
      </c>
      <c r="AB722" t="s">
        <v>120</v>
      </c>
      <c r="AC722" t="s">
        <v>25</v>
      </c>
      <c r="AD722" t="s">
        <v>121</v>
      </c>
      <c r="AE722">
        <v>1</v>
      </c>
      <c r="AF722" t="s">
        <v>27</v>
      </c>
      <c r="AG722" t="s">
        <v>26</v>
      </c>
      <c r="AH722" t="s">
        <v>6817</v>
      </c>
      <c r="AI722" t="str">
        <f t="shared" si="55"/>
        <v>SI</v>
      </c>
      <c r="AJ722" t="str">
        <f t="shared" si="56"/>
        <v>PROCAPS</v>
      </c>
      <c r="AK722" t="str">
        <f>IF(ISNUMBER(SEARCH("FABRICANTE",AC722)),"FABRICANTE",IF(ISNUMBER(SEARCH("IMPORTADOR",AC722)),"IMPORTADOR","OTRO"))</f>
        <v>FABRICANTE</v>
      </c>
      <c r="AL722" t="str">
        <f>IF(LEFT(Y722,1)="A","Sistema digestivo",IF(LEFT(Y722,1)="B","Sangre",IF(LEFT(Y722,1)="C","Cardiovascular",IF(LEFT(Y722,1)="D","Dermatológico",IF(LEFT(Y722,1)="G","Genitourinario",IF(LEFT(Y722,1)="H","Hormonal",IF(LEFT(Y722,1)="J","Antiinfecciosos",IF(LEFT(Y722,1)="L","Oncológicos",IF(LEFT(Y722,1)="M","Musculoesquelético",IF(LEFT(Y722,1)="N","Sistema nervioso",IF(LEFT(Y722,1)="R","Respiratorio",IF(LEFT(Y722,1)="S","Oftálmico",IF(LEFT(Y722,1)="V","Varios","OTRO")))))))))))))</f>
        <v>Sistema digestivo</v>
      </c>
      <c r="AM722" t="str">
        <f>IF(AG722="Vigente","ACTIVO",IF(ISNUMBER(SEARCH("Inactivo",J722)),"INACTIVO","REVISAR"))</f>
        <v>ACTIVO</v>
      </c>
      <c r="AN722" t="str">
        <f ca="1">IF(OR(AF722="",AF722="null"),"",ROUND((AF722-TODAY())/365.25,2))</f>
        <v/>
      </c>
      <c r="AO722" t="str">
        <f ca="1">IF(AND(AG722="Vigente",OR(AF722="",AF722="null",AF722&gt;TODAY())),"SI",IF(AND(NOT(OR(AF722="",AF722="null")),AF722&lt;=TODAY()),"NO",IF(AG722="Vigente","SI","DESCONOCIDO")))</f>
        <v>SI</v>
      </c>
      <c r="AP722" t="str">
        <f>IF(AND(ISNUMBER(SEARCH("IMPORTAR",AA722)),ISNUMBER(SEARCH("FABRICAR",AA722))),"MIXTO",IF(ISNUMBER(SEARCH("IMPORTAR",AA722)),"IMPORTADO",IF(ISNUMBER(SEARCH("FABRICAR",AA722)),"LOCAL","OTRO")))</f>
        <v>LOCAL</v>
      </c>
      <c r="AQ722" t="str">
        <f>IF(AD722="Si","SI",IF(AD722="No","NO",""))</f>
        <v>NO</v>
      </c>
      <c r="AR722" t="str">
        <f>IF(ISNUMBER(SEARCH("®",N722)),"MARCA/INNOVADOR","GENERICO")</f>
        <v>GENERICO</v>
      </c>
      <c r="AS722">
        <f ca="1">IF(AE722&gt;100,RANDBETWEEN(500,5000),IF(AND(AE722&gt;=10,AE722&lt;=100),RANDBETWEEN(100,1000),RANDBETWEEN(10,200)))</f>
        <v>88</v>
      </c>
      <c r="AT722">
        <f t="shared" ca="1" si="57"/>
        <v>18</v>
      </c>
      <c r="AU722">
        <f ca="1">INT(AS722*RANDBETWEEN(120,200)/100)</f>
        <v>128</v>
      </c>
      <c r="AV722" s="2">
        <f ca="1">IF(LEFT(Y722,1)="L",RANDBETWEEN(500000,5000000),IF(LEFT(Y722,1)="C",RANDBETWEEN(5000,50000),IF(LEFT(Y722,1)="N",RANDBETWEEN(10000,150000),IF(LEFT(Y722,1)="J",RANDBETWEEN(8000,200000),RANDBETWEEN(5000,100000)))))</f>
        <v>25296</v>
      </c>
      <c r="AW722" s="2">
        <f ca="1">INT(AV722*RANDBETWEEN(30,60)/100)</f>
        <v>11889</v>
      </c>
      <c r="AX722">
        <f ca="1">IF(Z722="ORAL",RANDBETWEEN(1000,10000),IF(OR(Z722="INTRAVENOSA",Z722="INTRAMUSCULAR"),RANDBETWEEN(100,2000),IF(OR(Z722="OFTÁLMICA",Z722="TOPICA (EXTERNA)"),RANDBETWEEN(200,3000),RANDBETWEEN(100,1500))))</f>
        <v>3529</v>
      </c>
      <c r="AY722" s="2">
        <f ca="1">INT(AV722*RANDBETWEEN(90,130)/100)</f>
        <v>23778</v>
      </c>
      <c r="AZ722" t="str">
        <f t="shared" ca="1" si="58"/>
        <v>11.4%</v>
      </c>
      <c r="BA722" t="str">
        <f t="shared" ca="1" si="59"/>
        <v>BAJO</v>
      </c>
    </row>
    <row r="723" spans="4:53" x14ac:dyDescent="0.35">
      <c r="D723" t="s">
        <v>4719</v>
      </c>
      <c r="E723" s="1">
        <v>42226</v>
      </c>
      <c r="F723" t="s">
        <v>270</v>
      </c>
      <c r="G723" t="s">
        <v>108</v>
      </c>
      <c r="H723" t="s">
        <v>1823</v>
      </c>
      <c r="I723">
        <v>20084690</v>
      </c>
      <c r="J723" t="s">
        <v>28</v>
      </c>
      <c r="K723">
        <v>21</v>
      </c>
      <c r="L723" t="s">
        <v>27</v>
      </c>
      <c r="M723" t="s">
        <v>271</v>
      </c>
      <c r="N723" t="s">
        <v>272</v>
      </c>
      <c r="O723" t="s">
        <v>4720</v>
      </c>
      <c r="P723" t="s">
        <v>274</v>
      </c>
      <c r="Q723" s="1">
        <v>42202</v>
      </c>
      <c r="R723" t="s">
        <v>50</v>
      </c>
      <c r="S723" t="s">
        <v>27</v>
      </c>
      <c r="T723" t="s">
        <v>93</v>
      </c>
      <c r="U723" t="s">
        <v>115</v>
      </c>
      <c r="V723" t="s">
        <v>275</v>
      </c>
      <c r="W723">
        <v>80</v>
      </c>
      <c r="X723">
        <v>20084690</v>
      </c>
      <c r="Y723" t="s">
        <v>276</v>
      </c>
      <c r="Z723" t="s">
        <v>1137</v>
      </c>
      <c r="AA723" t="s">
        <v>32</v>
      </c>
      <c r="AB723" t="s">
        <v>239</v>
      </c>
      <c r="AC723" t="s">
        <v>25</v>
      </c>
      <c r="AD723" t="s">
        <v>121</v>
      </c>
      <c r="AE723">
        <v>7</v>
      </c>
      <c r="AF723" t="s">
        <v>27</v>
      </c>
      <c r="AG723" t="s">
        <v>26</v>
      </c>
      <c r="AH723" t="s">
        <v>1822</v>
      </c>
      <c r="AI723" t="str">
        <f t="shared" si="55"/>
        <v>SI</v>
      </c>
      <c r="AJ723" t="str">
        <f t="shared" si="56"/>
        <v>LABORATORIOS DELTA</v>
      </c>
      <c r="AK723" t="str">
        <f>IF(ISNUMBER(SEARCH("FABRICANTE",AC723)),"FABRICANTE",IF(ISNUMBER(SEARCH("IMPORTADOR",AC723)),"IMPORTADOR","OTRO"))</f>
        <v>FABRICANTE</v>
      </c>
      <c r="AL723" t="str">
        <f>IF(LEFT(Y723,1)="A","Sistema digestivo",IF(LEFT(Y723,1)="B","Sangre",IF(LEFT(Y723,1)="C","Cardiovascular",IF(LEFT(Y723,1)="D","Dermatológico",IF(LEFT(Y723,1)="G","Genitourinario",IF(LEFT(Y723,1)="H","Hormonal",IF(LEFT(Y723,1)="J","Antiinfecciosos",IF(LEFT(Y723,1)="L","Oncológicos",IF(LEFT(Y723,1)="M","Musculoesquelético",IF(LEFT(Y723,1)="N","Sistema nervioso",IF(LEFT(Y723,1)="R","Respiratorio",IF(LEFT(Y723,1)="S","Oftálmico",IF(LEFT(Y723,1)="V","Varios","OTRO")))))))))))))</f>
        <v>Sangre</v>
      </c>
      <c r="AM723" t="str">
        <f>IF(AG723="Vigente","ACTIVO",IF(ISNUMBER(SEARCH("Inactivo",J723)),"INACTIVO","REVISAR"))</f>
        <v>ACTIVO</v>
      </c>
      <c r="AN723" t="str">
        <f ca="1">IF(OR(AF723="",AF723="null"),"",ROUND((AF723-TODAY())/365.25,2))</f>
        <v/>
      </c>
      <c r="AO723" t="str">
        <f ca="1">IF(AND(AG723="Vigente",OR(AF723="",AF723="null",AF723&gt;TODAY())),"SI",IF(AND(NOT(OR(AF723="",AF723="null")),AF723&lt;=TODAY()),"NO",IF(AG723="Vigente","SI","DESCONOCIDO")))</f>
        <v>SI</v>
      </c>
      <c r="AP723" t="str">
        <f>IF(AND(ISNUMBER(SEARCH("IMPORTAR",AA723)),ISNUMBER(SEARCH("FABRICAR",AA723))),"MIXTO",IF(ISNUMBER(SEARCH("IMPORTAR",AA723)),"IMPORTADO",IF(ISNUMBER(SEARCH("FABRICAR",AA723)),"LOCAL","OTRO")))</f>
        <v>IMPORTADO</v>
      </c>
      <c r="AQ723" t="str">
        <f>IF(AD723="Si","SI",IF(AD723="No","NO",""))</f>
        <v>NO</v>
      </c>
      <c r="AR723" t="str">
        <f>IF(ISNUMBER(SEARCH("®",N723)),"MARCA/INNOVADOR","GENERICO")</f>
        <v>GENERICO</v>
      </c>
      <c r="AS723">
        <f ca="1">IF(AE723&gt;100,RANDBETWEEN(500,5000),IF(AND(AE723&gt;=10,AE723&lt;=100),RANDBETWEEN(100,1000),RANDBETWEEN(10,200)))</f>
        <v>163</v>
      </c>
      <c r="AT723">
        <f t="shared" ca="1" si="57"/>
        <v>42</v>
      </c>
      <c r="AU723">
        <f ca="1">INT(AS723*RANDBETWEEN(120,200)/100)</f>
        <v>211</v>
      </c>
      <c r="AV723" s="2">
        <f ca="1">IF(LEFT(Y723,1)="L",RANDBETWEEN(500000,5000000),IF(LEFT(Y723,1)="C",RANDBETWEEN(5000,50000),IF(LEFT(Y723,1)="N",RANDBETWEEN(10000,150000),IF(LEFT(Y723,1)="J",RANDBETWEEN(8000,200000),RANDBETWEEN(5000,100000)))))</f>
        <v>58425</v>
      </c>
      <c r="AW723" s="2">
        <f ca="1">INT(AV723*RANDBETWEEN(30,60)/100)</f>
        <v>18111</v>
      </c>
      <c r="AX723">
        <f ca="1">IF(Z723="ORAL",RANDBETWEEN(1000,10000),IF(OR(Z723="INTRAVENOSA",Z723="INTRAMUSCULAR"),RANDBETWEEN(100,2000),IF(OR(Z723="OFTÁLMICA",Z723="TOPICA (EXTERNA)"),RANDBETWEEN(200,3000),RANDBETWEEN(100,1500))))</f>
        <v>1168</v>
      </c>
      <c r="AY723" s="2">
        <f ca="1">INT(AV723*RANDBETWEEN(90,130)/100)</f>
        <v>64851</v>
      </c>
      <c r="AZ723" t="str">
        <f t="shared" ca="1" si="58"/>
        <v>2.2%</v>
      </c>
      <c r="BA723" t="str">
        <f t="shared" ca="1" si="59"/>
        <v>BAJO</v>
      </c>
    </row>
    <row r="724" spans="4:53" x14ac:dyDescent="0.35">
      <c r="D724" t="s">
        <v>4721</v>
      </c>
      <c r="E724" s="1">
        <v>38649</v>
      </c>
      <c r="F724" t="s">
        <v>4722</v>
      </c>
      <c r="G724" t="s">
        <v>115</v>
      </c>
      <c r="H724" t="s">
        <v>354</v>
      </c>
      <c r="I724">
        <v>19959604</v>
      </c>
      <c r="J724" t="s">
        <v>28</v>
      </c>
      <c r="K724">
        <v>1</v>
      </c>
      <c r="L724" t="s">
        <v>27</v>
      </c>
      <c r="M724" t="s">
        <v>4723</v>
      </c>
      <c r="N724" t="s">
        <v>4724</v>
      </c>
      <c r="O724" t="s">
        <v>4725</v>
      </c>
      <c r="P724" t="s">
        <v>4726</v>
      </c>
      <c r="Q724" s="1">
        <v>39031</v>
      </c>
      <c r="R724" t="s">
        <v>1312</v>
      </c>
      <c r="S724" t="s">
        <v>27</v>
      </c>
      <c r="T724" t="s">
        <v>354</v>
      </c>
      <c r="U724" t="s">
        <v>115</v>
      </c>
      <c r="V724" t="s">
        <v>4722</v>
      </c>
      <c r="W724">
        <v>50</v>
      </c>
      <c r="X724">
        <v>19959604</v>
      </c>
      <c r="Y724" t="s">
        <v>4727</v>
      </c>
      <c r="Z724" t="s">
        <v>260</v>
      </c>
      <c r="AA724" t="s">
        <v>32</v>
      </c>
      <c r="AB724" t="s">
        <v>120</v>
      </c>
      <c r="AC724" t="s">
        <v>38</v>
      </c>
      <c r="AD724" t="s">
        <v>155</v>
      </c>
      <c r="AE724">
        <v>50</v>
      </c>
      <c r="AF724" t="s">
        <v>27</v>
      </c>
      <c r="AG724" t="s">
        <v>26</v>
      </c>
      <c r="AH724" t="s">
        <v>4722</v>
      </c>
      <c r="AI724" t="str">
        <f t="shared" si="55"/>
        <v>NO</v>
      </c>
      <c r="AJ724" t="str">
        <f t="shared" si="56"/>
        <v>PFIZER</v>
      </c>
      <c r="AK724" t="str">
        <f>IF(ISNUMBER(SEARCH("FABRICANTE",AC724)),"FABRICANTE",IF(ISNUMBER(SEARCH("IMPORTADOR",AC724)),"IMPORTADOR","OTRO"))</f>
        <v>IMPORTADOR</v>
      </c>
      <c r="AL724" t="str">
        <f>IF(LEFT(Y724,1)="A","Sistema digestivo",IF(LEFT(Y724,1)="B","Sangre",IF(LEFT(Y724,1)="C","Cardiovascular",IF(LEFT(Y724,1)="D","Dermatológico",IF(LEFT(Y724,1)="G","Genitourinario",IF(LEFT(Y724,1)="H","Hormonal",IF(LEFT(Y724,1)="J","Antiinfecciosos",IF(LEFT(Y724,1)="L","Oncológicos",IF(LEFT(Y724,1)="M","Musculoesquelético",IF(LEFT(Y724,1)="N","Sistema nervioso",IF(LEFT(Y724,1)="R","Respiratorio",IF(LEFT(Y724,1)="S","Oftálmico",IF(LEFT(Y724,1)="V","Varios","OTRO")))))))))))))</f>
        <v>Antiinfecciosos</v>
      </c>
      <c r="AM724" t="str">
        <f>IF(AG724="Vigente","ACTIVO",IF(ISNUMBER(SEARCH("Inactivo",J724)),"INACTIVO","REVISAR"))</f>
        <v>ACTIVO</v>
      </c>
      <c r="AN724" t="str">
        <f ca="1">IF(OR(AF724="",AF724="null"),"",ROUND((AF724-TODAY())/365.25,2))</f>
        <v/>
      </c>
      <c r="AO724" t="str">
        <f ca="1">IF(AND(AG724="Vigente",OR(AF724="",AF724="null",AF724&gt;TODAY())),"SI",IF(AND(NOT(OR(AF724="",AF724="null")),AF724&lt;=TODAY()),"NO",IF(AG724="Vigente","SI","DESCONOCIDO")))</f>
        <v>SI</v>
      </c>
      <c r="AP724" t="str">
        <f>IF(AND(ISNUMBER(SEARCH("IMPORTAR",AA724)),ISNUMBER(SEARCH("FABRICAR",AA724))),"MIXTO",IF(ISNUMBER(SEARCH("IMPORTAR",AA724)),"IMPORTADO",IF(ISNUMBER(SEARCH("FABRICAR",AA724)),"LOCAL","OTRO")))</f>
        <v>IMPORTADO</v>
      </c>
      <c r="AQ724" t="str">
        <f>IF(AD724="Si","SI",IF(AD724="No","NO",""))</f>
        <v>SI</v>
      </c>
      <c r="AR724" t="str">
        <f>IF(ISNUMBER(SEARCH("®",N724)),"MARCA/INNOVADOR","GENERICO")</f>
        <v>MARCA/INNOVADOR</v>
      </c>
      <c r="AS724">
        <f ca="1">IF(AE724&gt;100,RANDBETWEEN(500,5000),IF(AND(AE724&gt;=10,AE724&lt;=100),RANDBETWEEN(100,1000),RANDBETWEEN(10,200)))</f>
        <v>205</v>
      </c>
      <c r="AT724">
        <f t="shared" ca="1" si="57"/>
        <v>28</v>
      </c>
      <c r="AU724">
        <f ca="1">INT(AS724*RANDBETWEEN(120,200)/100)</f>
        <v>344</v>
      </c>
      <c r="AV724" s="2">
        <f ca="1">IF(LEFT(Y724,1)="L",RANDBETWEEN(500000,5000000),IF(LEFT(Y724,1)="C",RANDBETWEEN(5000,50000),IF(LEFT(Y724,1)="N",RANDBETWEEN(10000,150000),IF(LEFT(Y724,1)="J",RANDBETWEEN(8000,200000),RANDBETWEEN(5000,100000)))))</f>
        <v>122738</v>
      </c>
      <c r="AW724" s="2">
        <f ca="1">INT(AV724*RANDBETWEEN(30,60)/100)</f>
        <v>62596</v>
      </c>
      <c r="AX724">
        <f ca="1">IF(Z724="ORAL",RANDBETWEEN(1000,10000),IF(OR(Z724="INTRAVENOSA",Z724="INTRAMUSCULAR"),RANDBETWEEN(100,2000),IF(OR(Z724="OFTÁLMICA",Z724="TOPICA (EXTERNA)"),RANDBETWEEN(200,3000),RANDBETWEEN(100,1500))))</f>
        <v>198</v>
      </c>
      <c r="AY724" s="2">
        <f ca="1">INT(AV724*RANDBETWEEN(90,130)/100)</f>
        <v>148512</v>
      </c>
      <c r="AZ724" t="str">
        <f t="shared" ca="1" si="58"/>
        <v>4.3%</v>
      </c>
      <c r="BA724" t="str">
        <f t="shared" ca="1" si="59"/>
        <v>BAJO</v>
      </c>
    </row>
    <row r="725" spans="4:53" x14ac:dyDescent="0.35">
      <c r="D725" t="s">
        <v>4728</v>
      </c>
      <c r="E725" s="1">
        <v>45652</v>
      </c>
      <c r="F725" t="s">
        <v>4729</v>
      </c>
      <c r="G725" t="s">
        <v>108</v>
      </c>
      <c r="H725" t="s">
        <v>4730</v>
      </c>
      <c r="I725">
        <v>20197608</v>
      </c>
      <c r="J725" t="s">
        <v>110</v>
      </c>
      <c r="K725">
        <v>2</v>
      </c>
      <c r="L725" t="s">
        <v>27</v>
      </c>
      <c r="M725" t="s">
        <v>4731</v>
      </c>
      <c r="N725" t="s">
        <v>4732</v>
      </c>
      <c r="O725" t="s">
        <v>4733</v>
      </c>
      <c r="P725" t="s">
        <v>601</v>
      </c>
      <c r="Q725" s="1">
        <v>44537</v>
      </c>
      <c r="R725" t="s">
        <v>1312</v>
      </c>
      <c r="S725" t="s">
        <v>27</v>
      </c>
      <c r="T725" t="s">
        <v>4730</v>
      </c>
      <c r="U725" t="s">
        <v>115</v>
      </c>
      <c r="V725" t="s">
        <v>4729</v>
      </c>
      <c r="W725" t="s">
        <v>4094</v>
      </c>
      <c r="X725">
        <v>20197608</v>
      </c>
      <c r="Y725" t="s">
        <v>4734</v>
      </c>
      <c r="Z725" t="s">
        <v>260</v>
      </c>
      <c r="AA725" t="s">
        <v>32</v>
      </c>
      <c r="AB725" t="s">
        <v>120</v>
      </c>
      <c r="AC725" t="s">
        <v>25</v>
      </c>
      <c r="AD725" t="s">
        <v>155</v>
      </c>
      <c r="AE725">
        <v>1</v>
      </c>
      <c r="AF725" s="1">
        <v>47497</v>
      </c>
      <c r="AG725" t="s">
        <v>26</v>
      </c>
      <c r="AH725" t="s">
        <v>4729</v>
      </c>
      <c r="AI725" t="str">
        <f t="shared" si="55"/>
        <v>NO</v>
      </c>
      <c r="AJ725" t="str">
        <f t="shared" si="56"/>
        <v>LABORATORIO QUIMICO FARMACÉUTICO BERGAMO</v>
      </c>
      <c r="AK725" t="str">
        <f>IF(ISNUMBER(SEARCH("FABRICANTE",AC725)),"FABRICANTE",IF(ISNUMBER(SEARCH("IMPORTADOR",AC725)),"IMPORTADOR","OTRO"))</f>
        <v>FABRICANTE</v>
      </c>
      <c r="AL725" t="str">
        <f>IF(LEFT(Y725,1)="A","Sistema digestivo",IF(LEFT(Y725,1)="B","Sangre",IF(LEFT(Y725,1)="C","Cardiovascular",IF(LEFT(Y725,1)="D","Dermatológico",IF(LEFT(Y725,1)="G","Genitourinario",IF(LEFT(Y725,1)="H","Hormonal",IF(LEFT(Y725,1)="J","Antiinfecciosos",IF(LEFT(Y725,1)="L","Oncológicos",IF(LEFT(Y725,1)="M","Musculoesquelético",IF(LEFT(Y725,1)="N","Sistema nervioso",IF(LEFT(Y725,1)="R","Respiratorio",IF(LEFT(Y725,1)="S","Oftálmico",IF(LEFT(Y725,1)="V","Varios","OTRO")))))))))))))</f>
        <v>Oncológicos</v>
      </c>
      <c r="AM725" t="str">
        <f>IF(AG725="Vigente","ACTIVO",IF(ISNUMBER(SEARCH("Inactivo",J725)),"INACTIVO","REVISAR"))</f>
        <v>ACTIVO</v>
      </c>
      <c r="AN725">
        <f ca="1">IF(OR(AF725="",AF725="null"),"",ROUND((AF725-TODAY())/365.25,2))</f>
        <v>3.64</v>
      </c>
      <c r="AO725" t="str">
        <f ca="1">IF(AND(AG725="Vigente",OR(AF725="",AF725="null",AF725&gt;TODAY())),"SI",IF(AND(NOT(OR(AF725="",AF725="null")),AF725&lt;=TODAY()),"NO",IF(AG725="Vigente","SI","DESCONOCIDO")))</f>
        <v>SI</v>
      </c>
      <c r="AP725" t="str">
        <f>IF(AND(ISNUMBER(SEARCH("IMPORTAR",AA725)),ISNUMBER(SEARCH("FABRICAR",AA725))),"MIXTO",IF(ISNUMBER(SEARCH("IMPORTAR",AA725)),"IMPORTADO",IF(ISNUMBER(SEARCH("FABRICAR",AA725)),"LOCAL","OTRO")))</f>
        <v>IMPORTADO</v>
      </c>
      <c r="AQ725" t="str">
        <f>IF(AD725="Si","SI",IF(AD725="No","NO",""))</f>
        <v>SI</v>
      </c>
      <c r="AR725" t="str">
        <f>IF(ISNUMBER(SEARCH("®",N725)),"MARCA/INNOVADOR","GENERICO")</f>
        <v>GENERICO</v>
      </c>
      <c r="AS725">
        <f ca="1">IF(AE725&gt;100,RANDBETWEEN(500,5000),IF(AND(AE725&gt;=10,AE725&lt;=100),RANDBETWEEN(100,1000),RANDBETWEEN(10,200)))</f>
        <v>174</v>
      </c>
      <c r="AT725">
        <f t="shared" ca="1" si="57"/>
        <v>31</v>
      </c>
      <c r="AU725">
        <f ca="1">INT(AS725*RANDBETWEEN(120,200)/100)</f>
        <v>301</v>
      </c>
      <c r="AV725" s="2">
        <f ca="1">IF(LEFT(Y725,1)="L",RANDBETWEEN(500000,5000000),IF(LEFT(Y725,1)="C",RANDBETWEEN(5000,50000),IF(LEFT(Y725,1)="N",RANDBETWEEN(10000,150000),IF(LEFT(Y725,1)="J",RANDBETWEEN(8000,200000),RANDBETWEEN(5000,100000)))))</f>
        <v>3964169</v>
      </c>
      <c r="AW725" s="2">
        <f ca="1">INT(AV725*RANDBETWEEN(30,60)/100)</f>
        <v>1506384</v>
      </c>
      <c r="AX725">
        <f ca="1">IF(Z725="ORAL",RANDBETWEEN(1000,10000),IF(OR(Z725="INTRAVENOSA",Z725="INTRAMUSCULAR"),RANDBETWEEN(100,2000),IF(OR(Z725="OFTÁLMICA",Z725="TOPICA (EXTERNA)"),RANDBETWEEN(200,3000),RANDBETWEEN(100,1500))))</f>
        <v>198</v>
      </c>
      <c r="AY725" s="2">
        <f ca="1">INT(AV725*RANDBETWEEN(90,130)/100)</f>
        <v>4360585</v>
      </c>
      <c r="AZ725" t="str">
        <f t="shared" ca="1" si="58"/>
        <v>2.5%</v>
      </c>
      <c r="BA725" t="str">
        <f t="shared" ca="1" si="59"/>
        <v>MEDIO</v>
      </c>
    </row>
    <row r="726" spans="4:53" x14ac:dyDescent="0.35">
      <c r="D726" t="s">
        <v>4735</v>
      </c>
      <c r="E726" s="1">
        <v>41114</v>
      </c>
      <c r="F726" t="s">
        <v>4736</v>
      </c>
      <c r="G726" t="s">
        <v>108</v>
      </c>
      <c r="H726" t="s">
        <v>1490</v>
      </c>
      <c r="I726">
        <v>20038056</v>
      </c>
      <c r="J726" t="s">
        <v>28</v>
      </c>
      <c r="K726">
        <v>9</v>
      </c>
      <c r="L726" t="s">
        <v>27</v>
      </c>
      <c r="M726" t="s">
        <v>4737</v>
      </c>
      <c r="N726" t="s">
        <v>4738</v>
      </c>
      <c r="O726" t="s">
        <v>4739</v>
      </c>
      <c r="P726" t="s">
        <v>29</v>
      </c>
      <c r="Q726" s="1">
        <v>41856</v>
      </c>
      <c r="R726" t="s">
        <v>200</v>
      </c>
      <c r="S726" s="1">
        <v>42962</v>
      </c>
      <c r="T726" t="s">
        <v>1490</v>
      </c>
      <c r="U726" t="s">
        <v>115</v>
      </c>
      <c r="V726" t="s">
        <v>3846</v>
      </c>
      <c r="W726" t="s">
        <v>4740</v>
      </c>
      <c r="X726">
        <v>20038056</v>
      </c>
      <c r="Y726" t="s">
        <v>3847</v>
      </c>
      <c r="Z726" t="s">
        <v>119</v>
      </c>
      <c r="AA726" t="s">
        <v>24</v>
      </c>
      <c r="AB726" t="s">
        <v>120</v>
      </c>
      <c r="AC726" t="s">
        <v>25</v>
      </c>
      <c r="AD726" t="s">
        <v>155</v>
      </c>
      <c r="AE726">
        <v>4</v>
      </c>
      <c r="AF726" t="s">
        <v>27</v>
      </c>
      <c r="AG726" t="s">
        <v>26</v>
      </c>
      <c r="AH726" t="s">
        <v>3846</v>
      </c>
      <c r="AI726" t="str">
        <f t="shared" si="55"/>
        <v>SI</v>
      </c>
      <c r="AJ726" t="str">
        <f t="shared" si="56"/>
        <v>LABORATORIO FRANCO COLOMBIANO - LAFRANCOL</v>
      </c>
      <c r="AK726" t="str">
        <f>IF(ISNUMBER(SEARCH("FABRICANTE",AC726)),"FABRICANTE",IF(ISNUMBER(SEARCH("IMPORTADOR",AC726)),"IMPORTADOR","OTRO"))</f>
        <v>FABRICANTE</v>
      </c>
      <c r="AL726" t="str">
        <f>IF(LEFT(Y726,1)="A","Sistema digestivo",IF(LEFT(Y726,1)="B","Sangre",IF(LEFT(Y726,1)="C","Cardiovascular",IF(LEFT(Y726,1)="D","Dermatológico",IF(LEFT(Y726,1)="G","Genitourinario",IF(LEFT(Y726,1)="H","Hormonal",IF(LEFT(Y726,1)="J","Antiinfecciosos",IF(LEFT(Y726,1)="L","Oncológicos",IF(LEFT(Y726,1)="M","Musculoesquelético",IF(LEFT(Y726,1)="N","Sistema nervioso",IF(LEFT(Y726,1)="R","Respiratorio",IF(LEFT(Y726,1)="S","Oftálmico",IF(LEFT(Y726,1)="V","Varios","OTRO")))))))))))))</f>
        <v>Cardiovascular</v>
      </c>
      <c r="AM726" t="str">
        <f>IF(AG726="Vigente","ACTIVO",IF(ISNUMBER(SEARCH("Inactivo",J726)),"INACTIVO","REVISAR"))</f>
        <v>ACTIVO</v>
      </c>
      <c r="AN726" t="str">
        <f ca="1">IF(OR(AF726="",AF726="null"),"",ROUND((AF726-TODAY())/365.25,2))</f>
        <v/>
      </c>
      <c r="AO726" t="str">
        <f ca="1">IF(AND(AG726="Vigente",OR(AF726="",AF726="null",AF726&gt;TODAY())),"SI",IF(AND(NOT(OR(AF726="",AF726="null")),AF726&lt;=TODAY()),"NO",IF(AG726="Vigente","SI","DESCONOCIDO")))</f>
        <v>SI</v>
      </c>
      <c r="AP726" t="str">
        <f>IF(AND(ISNUMBER(SEARCH("IMPORTAR",AA726)),ISNUMBER(SEARCH("FABRICAR",AA726))),"MIXTO",IF(ISNUMBER(SEARCH("IMPORTAR",AA726)),"IMPORTADO",IF(ISNUMBER(SEARCH("FABRICAR",AA726)),"LOCAL","OTRO")))</f>
        <v>LOCAL</v>
      </c>
      <c r="AQ726" t="str">
        <f>IF(AD726="Si","SI",IF(AD726="No","NO",""))</f>
        <v>SI</v>
      </c>
      <c r="AR726" t="str">
        <f>IF(ISNUMBER(SEARCH("®",N726)),"MARCA/INNOVADOR","GENERICO")</f>
        <v>MARCA/INNOVADOR</v>
      </c>
      <c r="AS726">
        <f ca="1">IF(AE726&gt;100,RANDBETWEEN(500,5000),IF(AND(AE726&gt;=10,AE726&lt;=100),RANDBETWEEN(100,1000),RANDBETWEEN(10,200)))</f>
        <v>88</v>
      </c>
      <c r="AT726">
        <f t="shared" ca="1" si="57"/>
        <v>25</v>
      </c>
      <c r="AU726">
        <f ca="1">INT(AS726*RANDBETWEEN(120,200)/100)</f>
        <v>149</v>
      </c>
      <c r="AV726" s="2">
        <f ca="1">IF(LEFT(Y726,1)="L",RANDBETWEEN(500000,5000000),IF(LEFT(Y726,1)="C",RANDBETWEEN(5000,50000),IF(LEFT(Y726,1)="N",RANDBETWEEN(10000,150000),IF(LEFT(Y726,1)="J",RANDBETWEEN(8000,200000),RANDBETWEEN(5000,100000)))))</f>
        <v>45321</v>
      </c>
      <c r="AW726" s="2">
        <f ca="1">INT(AV726*RANDBETWEEN(30,60)/100)</f>
        <v>20847</v>
      </c>
      <c r="AX726">
        <f ca="1">IF(Z726="ORAL",RANDBETWEEN(1000,10000),IF(OR(Z726="INTRAVENOSA",Z726="INTRAMUSCULAR"),RANDBETWEEN(100,2000),IF(OR(Z726="OFTÁLMICA",Z726="TOPICA (EXTERNA)"),RANDBETWEEN(200,3000),RANDBETWEEN(100,1500))))</f>
        <v>8381</v>
      </c>
      <c r="AY726" s="2">
        <f ca="1">INT(AV726*RANDBETWEEN(90,130)/100)</f>
        <v>52119</v>
      </c>
      <c r="AZ726" t="str">
        <f t="shared" ca="1" si="58"/>
        <v>13.8%</v>
      </c>
      <c r="BA726" t="str">
        <f t="shared" ca="1" si="59"/>
        <v>BAJO</v>
      </c>
    </row>
    <row r="727" spans="4:53" x14ac:dyDescent="0.35">
      <c r="D727" t="s">
        <v>4741</v>
      </c>
      <c r="E727" s="1">
        <v>45348</v>
      </c>
      <c r="F727" t="s">
        <v>4742</v>
      </c>
      <c r="G727" t="s">
        <v>108</v>
      </c>
      <c r="H727" t="s">
        <v>2078</v>
      </c>
      <c r="I727">
        <v>20196779</v>
      </c>
      <c r="J727" t="s">
        <v>28</v>
      </c>
      <c r="K727">
        <v>1</v>
      </c>
      <c r="L727" t="s">
        <v>4743</v>
      </c>
      <c r="M727" t="s">
        <v>4744</v>
      </c>
      <c r="N727" t="s">
        <v>4745</v>
      </c>
      <c r="O727" t="s">
        <v>4746</v>
      </c>
      <c r="P727" t="s">
        <v>358</v>
      </c>
      <c r="Q727" s="1">
        <v>44518</v>
      </c>
      <c r="R727" t="s">
        <v>37</v>
      </c>
      <c r="S727" t="s">
        <v>27</v>
      </c>
      <c r="T727" t="s">
        <v>958</v>
      </c>
      <c r="U727" t="s">
        <v>115</v>
      </c>
      <c r="V727" t="s">
        <v>4742</v>
      </c>
      <c r="W727">
        <v>20</v>
      </c>
      <c r="X727">
        <v>20196779</v>
      </c>
      <c r="Y727" t="s">
        <v>4747</v>
      </c>
      <c r="Z727" t="s">
        <v>119</v>
      </c>
      <c r="AA727" t="s">
        <v>32</v>
      </c>
      <c r="AB727" t="s">
        <v>120</v>
      </c>
      <c r="AC727" t="s">
        <v>25</v>
      </c>
      <c r="AD727" t="s">
        <v>121</v>
      </c>
      <c r="AE727">
        <v>5</v>
      </c>
      <c r="AF727" s="1">
        <v>401769</v>
      </c>
      <c r="AG727" t="s">
        <v>26</v>
      </c>
      <c r="AH727" t="s">
        <v>4742</v>
      </c>
      <c r="AI727" t="str">
        <f t="shared" si="55"/>
        <v>NO</v>
      </c>
      <c r="AJ727" t="str">
        <f t="shared" si="56"/>
        <v>EUROFARMA COLOMBIA</v>
      </c>
      <c r="AK727" t="str">
        <f>IF(ISNUMBER(SEARCH("FABRICANTE",AC727)),"FABRICANTE",IF(ISNUMBER(SEARCH("IMPORTADOR",AC727)),"IMPORTADOR","OTRO"))</f>
        <v>FABRICANTE</v>
      </c>
      <c r="AL727" t="str">
        <f>IF(LEFT(Y727,1)="A","Sistema digestivo",IF(LEFT(Y727,1)="B","Sangre",IF(LEFT(Y727,1)="C","Cardiovascular",IF(LEFT(Y727,1)="D","Dermatológico",IF(LEFT(Y727,1)="G","Genitourinario",IF(LEFT(Y727,1)="H","Hormonal",IF(LEFT(Y727,1)="J","Antiinfecciosos",IF(LEFT(Y727,1)="L","Oncológicos",IF(LEFT(Y727,1)="M","Musculoesquelético",IF(LEFT(Y727,1)="N","Sistema nervioso",IF(LEFT(Y727,1)="R","Respiratorio",IF(LEFT(Y727,1)="S","Oftálmico",IF(LEFT(Y727,1)="V","Varios","OTRO")))))))))))))</f>
        <v>Oncológicos</v>
      </c>
      <c r="AM727" t="str">
        <f>IF(AG727="Vigente","ACTIVO",IF(ISNUMBER(SEARCH("Inactivo",J727)),"INACTIVO","REVISAR"))</f>
        <v>ACTIVO</v>
      </c>
      <c r="AN727">
        <f ca="1">IF(OR(AF727="",AF727="null"),"",ROUND((AF727-TODAY())/365.25,2))</f>
        <v>973.58</v>
      </c>
      <c r="AO727" t="str">
        <f ca="1">IF(AND(AG727="Vigente",OR(AF727="",AF727="null",AF727&gt;TODAY())),"SI",IF(AND(NOT(OR(AF727="",AF727="null")),AF727&lt;=TODAY()),"NO",IF(AG727="Vigente","SI","DESCONOCIDO")))</f>
        <v>SI</v>
      </c>
      <c r="AP727" t="str">
        <f>IF(AND(ISNUMBER(SEARCH("IMPORTAR",AA727)),ISNUMBER(SEARCH("FABRICAR",AA727))),"MIXTO",IF(ISNUMBER(SEARCH("IMPORTAR",AA727)),"IMPORTADO",IF(ISNUMBER(SEARCH("FABRICAR",AA727)),"LOCAL","OTRO")))</f>
        <v>IMPORTADO</v>
      </c>
      <c r="AQ727" t="str">
        <f>IF(AD727="Si","SI",IF(AD727="No","NO",""))</f>
        <v>NO</v>
      </c>
      <c r="AR727" t="str">
        <f>IF(ISNUMBER(SEARCH("®",N727)),"MARCA/INNOVADOR","GENERICO")</f>
        <v>MARCA/INNOVADOR</v>
      </c>
      <c r="AS727">
        <f ca="1">IF(AE727&gt;100,RANDBETWEEN(500,5000),IF(AND(AE727&gt;=10,AE727&lt;=100),RANDBETWEEN(100,1000),RANDBETWEEN(10,200)))</f>
        <v>136</v>
      </c>
      <c r="AT727">
        <f t="shared" ca="1" si="57"/>
        <v>32</v>
      </c>
      <c r="AU727">
        <f ca="1">INT(AS727*RANDBETWEEN(120,200)/100)</f>
        <v>267</v>
      </c>
      <c r="AV727" s="2">
        <f ca="1">IF(LEFT(Y727,1)="L",RANDBETWEEN(500000,5000000),IF(LEFT(Y727,1)="C",RANDBETWEEN(5000,50000),IF(LEFT(Y727,1)="N",RANDBETWEEN(10000,150000),IF(LEFT(Y727,1)="J",RANDBETWEEN(8000,200000),RANDBETWEEN(5000,100000)))))</f>
        <v>922028</v>
      </c>
      <c r="AW727" s="2">
        <f ca="1">INT(AV727*RANDBETWEEN(30,60)/100)</f>
        <v>516335</v>
      </c>
      <c r="AX727">
        <f ca="1">IF(Z727="ORAL",RANDBETWEEN(1000,10000),IF(OR(Z727="INTRAVENOSA",Z727="INTRAMUSCULAR"),RANDBETWEEN(100,2000),IF(OR(Z727="OFTÁLMICA",Z727="TOPICA (EXTERNA)"),RANDBETWEEN(200,3000),RANDBETWEEN(100,1500))))</f>
        <v>5369</v>
      </c>
      <c r="AY727" s="2">
        <f ca="1">INT(AV727*RANDBETWEEN(90,130)/100)</f>
        <v>1078772</v>
      </c>
      <c r="AZ727" t="str">
        <f t="shared" ca="1" si="58"/>
        <v>16.6%</v>
      </c>
      <c r="BA727" t="str">
        <f t="shared" ca="1" si="59"/>
        <v>BAJO</v>
      </c>
    </row>
    <row r="728" spans="4:53" x14ac:dyDescent="0.35">
      <c r="D728" t="s">
        <v>4748</v>
      </c>
      <c r="E728" s="1">
        <v>39945</v>
      </c>
      <c r="F728" t="s">
        <v>4749</v>
      </c>
      <c r="G728" t="s">
        <v>108</v>
      </c>
      <c r="H728" t="s">
        <v>2846</v>
      </c>
      <c r="I728">
        <v>19997623</v>
      </c>
      <c r="J728" t="s">
        <v>28</v>
      </c>
      <c r="K728">
        <v>20</v>
      </c>
      <c r="L728" t="s">
        <v>27</v>
      </c>
      <c r="M728" t="s">
        <v>4750</v>
      </c>
      <c r="N728" t="s">
        <v>4751</v>
      </c>
      <c r="O728" t="s">
        <v>4752</v>
      </c>
      <c r="P728" t="s">
        <v>4753</v>
      </c>
      <c r="Q728" s="1">
        <v>41290</v>
      </c>
      <c r="R728" t="s">
        <v>47</v>
      </c>
      <c r="S728" t="s">
        <v>27</v>
      </c>
      <c r="T728" t="s">
        <v>2414</v>
      </c>
      <c r="U728" t="s">
        <v>115</v>
      </c>
      <c r="V728" t="s">
        <v>4754</v>
      </c>
      <c r="W728">
        <v>4</v>
      </c>
      <c r="X728">
        <v>19997623</v>
      </c>
      <c r="Y728" t="s">
        <v>4755</v>
      </c>
      <c r="Z728" t="s">
        <v>119</v>
      </c>
      <c r="AA728" t="s">
        <v>32</v>
      </c>
      <c r="AB728" t="s">
        <v>120</v>
      </c>
      <c r="AC728" t="s">
        <v>25</v>
      </c>
      <c r="AD728" t="s">
        <v>121</v>
      </c>
      <c r="AE728">
        <v>96</v>
      </c>
      <c r="AF728" t="s">
        <v>27</v>
      </c>
      <c r="AG728" t="s">
        <v>26</v>
      </c>
      <c r="AH728" t="s">
        <v>4754</v>
      </c>
      <c r="AI728" t="str">
        <f t="shared" si="55"/>
        <v>NO</v>
      </c>
      <c r="AJ728" t="str">
        <f t="shared" si="56"/>
        <v>ASPEN COLOMBIANA</v>
      </c>
      <c r="AK728" t="str">
        <f>IF(ISNUMBER(SEARCH("FABRICANTE",AC728)),"FABRICANTE",IF(ISNUMBER(SEARCH("IMPORTADOR",AC728)),"IMPORTADOR","OTRO"))</f>
        <v>FABRICANTE</v>
      </c>
      <c r="AL728" t="str">
        <f>IF(LEFT(Y728,1)="A","Sistema digestivo",IF(LEFT(Y728,1)="B","Sangre",IF(LEFT(Y728,1)="C","Cardiovascular",IF(LEFT(Y728,1)="D","Dermatológico",IF(LEFT(Y728,1)="G","Genitourinario",IF(LEFT(Y728,1)="H","Hormonal",IF(LEFT(Y728,1)="J","Antiinfecciosos",IF(LEFT(Y728,1)="L","Oncológicos",IF(LEFT(Y728,1)="M","Musculoesquelético",IF(LEFT(Y728,1)="N","Sistema nervioso",IF(LEFT(Y728,1)="R","Respiratorio",IF(LEFT(Y728,1)="S","Oftálmico",IF(LEFT(Y728,1)="V","Varios","OTRO")))))))))))))</f>
        <v>Cardiovascular</v>
      </c>
      <c r="AM728" t="str">
        <f>IF(AG728="Vigente","ACTIVO",IF(ISNUMBER(SEARCH("Inactivo",J728)),"INACTIVO","REVISAR"))</f>
        <v>ACTIVO</v>
      </c>
      <c r="AN728" t="str">
        <f ca="1">IF(OR(AF728="",AF728="null"),"",ROUND((AF728-TODAY())/365.25,2))</f>
        <v/>
      </c>
      <c r="AO728" t="str">
        <f ca="1">IF(AND(AG728="Vigente",OR(AF728="",AF728="null",AF728&gt;TODAY())),"SI",IF(AND(NOT(OR(AF728="",AF728="null")),AF728&lt;=TODAY()),"NO",IF(AG728="Vigente","SI","DESCONOCIDO")))</f>
        <v>SI</v>
      </c>
      <c r="AP728" t="str">
        <f>IF(AND(ISNUMBER(SEARCH("IMPORTAR",AA728)),ISNUMBER(SEARCH("FABRICAR",AA728))),"MIXTO",IF(ISNUMBER(SEARCH("IMPORTAR",AA728)),"IMPORTADO",IF(ISNUMBER(SEARCH("FABRICAR",AA728)),"LOCAL","OTRO")))</f>
        <v>IMPORTADO</v>
      </c>
      <c r="AQ728" t="str">
        <f>IF(AD728="Si","SI",IF(AD728="No","NO",""))</f>
        <v>NO</v>
      </c>
      <c r="AR728" t="str">
        <f>IF(ISNUMBER(SEARCH("®",N728)),"MARCA/INNOVADOR","GENERICO")</f>
        <v>MARCA/INNOVADOR</v>
      </c>
      <c r="AS728">
        <f ca="1">IF(AE728&gt;100,RANDBETWEEN(500,5000),IF(AND(AE728&gt;=10,AE728&lt;=100),RANDBETWEEN(100,1000),RANDBETWEEN(10,200)))</f>
        <v>380</v>
      </c>
      <c r="AT728">
        <f t="shared" ca="1" si="57"/>
        <v>41</v>
      </c>
      <c r="AU728">
        <f ca="1">INT(AS728*RANDBETWEEN(120,200)/100)</f>
        <v>505</v>
      </c>
      <c r="AV728" s="2">
        <f ca="1">IF(LEFT(Y728,1)="L",RANDBETWEEN(500000,5000000),IF(LEFT(Y728,1)="C",RANDBETWEEN(5000,50000),IF(LEFT(Y728,1)="N",RANDBETWEEN(10000,150000),IF(LEFT(Y728,1)="J",RANDBETWEEN(8000,200000),RANDBETWEEN(5000,100000)))))</f>
        <v>44829</v>
      </c>
      <c r="AW728" s="2">
        <f ca="1">INT(AV728*RANDBETWEEN(30,60)/100)</f>
        <v>14345</v>
      </c>
      <c r="AX728">
        <f ca="1">IF(Z728="ORAL",RANDBETWEEN(1000,10000),IF(OR(Z728="INTRAVENOSA",Z728="INTRAMUSCULAR"),RANDBETWEEN(100,2000),IF(OR(Z728="OFTÁLMICA",Z728="TOPICA (EXTERNA)"),RANDBETWEEN(200,3000),RANDBETWEEN(100,1500))))</f>
        <v>8861</v>
      </c>
      <c r="AY728" s="2">
        <f ca="1">INT(AV728*RANDBETWEEN(90,130)/100)</f>
        <v>54243</v>
      </c>
      <c r="AZ728" t="str">
        <f t="shared" ca="1" si="58"/>
        <v>18.4%</v>
      </c>
      <c r="BA728" t="str">
        <f t="shared" ca="1" si="59"/>
        <v>BAJO</v>
      </c>
    </row>
    <row r="729" spans="4:53" x14ac:dyDescent="0.35">
      <c r="D729" t="s">
        <v>4756</v>
      </c>
      <c r="E729" s="1">
        <v>42307</v>
      </c>
      <c r="F729" t="s">
        <v>4757</v>
      </c>
      <c r="G729" t="s">
        <v>108</v>
      </c>
      <c r="H729" t="s">
        <v>2205</v>
      </c>
      <c r="I729">
        <v>20056337</v>
      </c>
      <c r="J729" t="s">
        <v>28</v>
      </c>
      <c r="K729">
        <v>8</v>
      </c>
      <c r="L729" t="s">
        <v>27</v>
      </c>
      <c r="M729" t="s">
        <v>3809</v>
      </c>
      <c r="N729" t="s">
        <v>3810</v>
      </c>
      <c r="O729" t="s">
        <v>3811</v>
      </c>
      <c r="P729" t="s">
        <v>97</v>
      </c>
      <c r="Q729" s="1">
        <v>42243</v>
      </c>
      <c r="R729" t="s">
        <v>3813</v>
      </c>
      <c r="S729" t="s">
        <v>27</v>
      </c>
      <c r="T729" t="s">
        <v>3118</v>
      </c>
      <c r="U729" t="s">
        <v>115</v>
      </c>
      <c r="V729" t="s">
        <v>3846</v>
      </c>
      <c r="W729">
        <v>5</v>
      </c>
      <c r="X729">
        <v>20056337</v>
      </c>
      <c r="Y729" t="s">
        <v>3847</v>
      </c>
      <c r="Z729" t="s">
        <v>119</v>
      </c>
      <c r="AA729" t="s">
        <v>32</v>
      </c>
      <c r="AB729" t="s">
        <v>120</v>
      </c>
      <c r="AC729" t="s">
        <v>38</v>
      </c>
      <c r="AD729" t="s">
        <v>155</v>
      </c>
      <c r="AE729">
        <v>10</v>
      </c>
      <c r="AF729" t="s">
        <v>27</v>
      </c>
      <c r="AG729" t="s">
        <v>26</v>
      </c>
      <c r="AH729" t="s">
        <v>3846</v>
      </c>
      <c r="AI729" t="str">
        <f t="shared" si="55"/>
        <v>SI</v>
      </c>
      <c r="AJ729" t="str">
        <f t="shared" si="56"/>
        <v>LES LABORATOIRES SERVIER</v>
      </c>
      <c r="AK729" t="str">
        <f>IF(ISNUMBER(SEARCH("FABRICANTE",AC729)),"FABRICANTE",IF(ISNUMBER(SEARCH("IMPORTADOR",AC729)),"IMPORTADOR","OTRO"))</f>
        <v>IMPORTADOR</v>
      </c>
      <c r="AL729" t="str">
        <f>IF(LEFT(Y729,1)="A","Sistema digestivo",IF(LEFT(Y729,1)="B","Sangre",IF(LEFT(Y729,1)="C","Cardiovascular",IF(LEFT(Y729,1)="D","Dermatológico",IF(LEFT(Y729,1)="G","Genitourinario",IF(LEFT(Y729,1)="H","Hormonal",IF(LEFT(Y729,1)="J","Antiinfecciosos",IF(LEFT(Y729,1)="L","Oncológicos",IF(LEFT(Y729,1)="M","Musculoesquelético",IF(LEFT(Y729,1)="N","Sistema nervioso",IF(LEFT(Y729,1)="R","Respiratorio",IF(LEFT(Y729,1)="S","Oftálmico",IF(LEFT(Y729,1)="V","Varios","OTRO")))))))))))))</f>
        <v>Cardiovascular</v>
      </c>
      <c r="AM729" t="str">
        <f>IF(AG729="Vigente","ACTIVO",IF(ISNUMBER(SEARCH("Inactivo",J729)),"INACTIVO","REVISAR"))</f>
        <v>ACTIVO</v>
      </c>
      <c r="AN729" t="str">
        <f ca="1">IF(OR(AF729="",AF729="null"),"",ROUND((AF729-TODAY())/365.25,2))</f>
        <v/>
      </c>
      <c r="AO729" t="str">
        <f ca="1">IF(AND(AG729="Vigente",OR(AF729="",AF729="null",AF729&gt;TODAY())),"SI",IF(AND(NOT(OR(AF729="",AF729="null")),AF729&lt;=TODAY()),"NO",IF(AG729="Vigente","SI","DESCONOCIDO")))</f>
        <v>SI</v>
      </c>
      <c r="AP729" t="str">
        <f>IF(AND(ISNUMBER(SEARCH("IMPORTAR",AA729)),ISNUMBER(SEARCH("FABRICAR",AA729))),"MIXTO",IF(ISNUMBER(SEARCH("IMPORTAR",AA729)),"IMPORTADO",IF(ISNUMBER(SEARCH("FABRICAR",AA729)),"LOCAL","OTRO")))</f>
        <v>IMPORTADO</v>
      </c>
      <c r="AQ729" t="str">
        <f>IF(AD729="Si","SI",IF(AD729="No","NO",""))</f>
        <v>SI</v>
      </c>
      <c r="AR729" t="str">
        <f>IF(ISNUMBER(SEARCH("®",N729)),"MARCA/INNOVADOR","GENERICO")</f>
        <v>MARCA/INNOVADOR</v>
      </c>
      <c r="AS729">
        <f ca="1">IF(AE729&gt;100,RANDBETWEEN(500,5000),IF(AND(AE729&gt;=10,AE729&lt;=100),RANDBETWEEN(100,1000),RANDBETWEEN(10,200)))</f>
        <v>467</v>
      </c>
      <c r="AT729">
        <f t="shared" ca="1" si="57"/>
        <v>84</v>
      </c>
      <c r="AU729">
        <f ca="1">INT(AS729*RANDBETWEEN(120,200)/100)</f>
        <v>840</v>
      </c>
      <c r="AV729" s="2">
        <f ca="1">IF(LEFT(Y729,1)="L",RANDBETWEEN(500000,5000000),IF(LEFT(Y729,1)="C",RANDBETWEEN(5000,50000),IF(LEFT(Y729,1)="N",RANDBETWEEN(10000,150000),IF(LEFT(Y729,1)="J",RANDBETWEEN(8000,200000),RANDBETWEEN(5000,100000)))))</f>
        <v>29831</v>
      </c>
      <c r="AW729" s="2">
        <f ca="1">INT(AV729*RANDBETWEEN(30,60)/100)</f>
        <v>16108</v>
      </c>
      <c r="AX729">
        <f ca="1">IF(Z729="ORAL",RANDBETWEEN(1000,10000),IF(OR(Z729="INTRAVENOSA",Z729="INTRAMUSCULAR"),RANDBETWEEN(100,2000),IF(OR(Z729="OFTÁLMICA",Z729="TOPICA (EXTERNA)"),RANDBETWEEN(200,3000),RANDBETWEEN(100,1500))))</f>
        <v>7049</v>
      </c>
      <c r="AY729" s="2">
        <f ca="1">INT(AV729*RANDBETWEEN(90,130)/100)</f>
        <v>28936</v>
      </c>
      <c r="AZ729" t="str">
        <f t="shared" ca="1" si="58"/>
        <v>6.2%</v>
      </c>
      <c r="BA729" t="str">
        <f t="shared" ca="1" si="59"/>
        <v>BAJO</v>
      </c>
    </row>
    <row r="730" spans="4:53" x14ac:dyDescent="0.35">
      <c r="D730" t="s">
        <v>4758</v>
      </c>
      <c r="E730" s="1">
        <v>37827</v>
      </c>
      <c r="F730" t="s">
        <v>4759</v>
      </c>
      <c r="G730" t="s">
        <v>108</v>
      </c>
      <c r="H730" t="s">
        <v>80</v>
      </c>
      <c r="I730">
        <v>19937061</v>
      </c>
      <c r="J730" t="s">
        <v>28</v>
      </c>
      <c r="K730">
        <v>60</v>
      </c>
      <c r="L730" t="s">
        <v>4760</v>
      </c>
      <c r="M730" t="s">
        <v>159</v>
      </c>
      <c r="N730" t="s">
        <v>160</v>
      </c>
      <c r="O730" t="s">
        <v>4761</v>
      </c>
      <c r="P730" t="s">
        <v>37</v>
      </c>
      <c r="Q730" s="1">
        <v>42487</v>
      </c>
      <c r="R730" t="s">
        <v>37</v>
      </c>
      <c r="S730" t="s">
        <v>27</v>
      </c>
      <c r="T730" t="s">
        <v>80</v>
      </c>
      <c r="U730" t="s">
        <v>115</v>
      </c>
      <c r="V730" t="s">
        <v>162</v>
      </c>
      <c r="W730">
        <v>2</v>
      </c>
      <c r="X730">
        <v>19937061</v>
      </c>
      <c r="Y730" t="s">
        <v>164</v>
      </c>
      <c r="Z730" t="s">
        <v>119</v>
      </c>
      <c r="AA730" t="s">
        <v>165</v>
      </c>
      <c r="AB730" t="s">
        <v>120</v>
      </c>
      <c r="AC730" t="s">
        <v>38</v>
      </c>
      <c r="AD730" t="s">
        <v>155</v>
      </c>
      <c r="AE730">
        <v>6</v>
      </c>
      <c r="AF730" t="s">
        <v>27</v>
      </c>
      <c r="AG730" t="s">
        <v>26</v>
      </c>
      <c r="AH730" t="s">
        <v>6611</v>
      </c>
      <c r="AI730" t="str">
        <f t="shared" si="55"/>
        <v>SI</v>
      </c>
      <c r="AJ730" t="str">
        <f t="shared" si="56"/>
        <v>TECNOQUIMICAS</v>
      </c>
      <c r="AK730" t="str">
        <f>IF(ISNUMBER(SEARCH("FABRICANTE",AC730)),"FABRICANTE",IF(ISNUMBER(SEARCH("IMPORTADOR",AC730)),"IMPORTADOR","OTRO"))</f>
        <v>IMPORTADOR</v>
      </c>
      <c r="AL730" t="str">
        <f>IF(LEFT(Y730,1)="A","Sistema digestivo",IF(LEFT(Y730,1)="B","Sangre",IF(LEFT(Y730,1)="C","Cardiovascular",IF(LEFT(Y730,1)="D","Dermatológico",IF(LEFT(Y730,1)="G","Genitourinario",IF(LEFT(Y730,1)="H","Hormonal",IF(LEFT(Y730,1)="J","Antiinfecciosos",IF(LEFT(Y730,1)="L","Oncológicos",IF(LEFT(Y730,1)="M","Musculoesquelético",IF(LEFT(Y730,1)="N","Sistema nervioso",IF(LEFT(Y730,1)="R","Respiratorio",IF(LEFT(Y730,1)="S","Oftálmico",IF(LEFT(Y730,1)="V","Varios","OTRO")))))))))))))</f>
        <v>Musculoesquelético</v>
      </c>
      <c r="AM730" t="str">
        <f>IF(AG730="Vigente","ACTIVO",IF(ISNUMBER(SEARCH("Inactivo",J730)),"INACTIVO","REVISAR"))</f>
        <v>ACTIVO</v>
      </c>
      <c r="AN730" t="str">
        <f ca="1">IF(OR(AF730="",AF730="null"),"",ROUND((AF730-TODAY())/365.25,2))</f>
        <v/>
      </c>
      <c r="AO730" t="str">
        <f ca="1">IF(AND(AG730="Vigente",OR(AF730="",AF730="null",AF730&gt;TODAY())),"SI",IF(AND(NOT(OR(AF730="",AF730="null")),AF730&lt;=TODAY()),"NO",IF(AG730="Vigente","SI","DESCONOCIDO")))</f>
        <v>SI</v>
      </c>
      <c r="AP730" t="str">
        <f>IF(AND(ISNUMBER(SEARCH("IMPORTAR",AA730)),ISNUMBER(SEARCH("FABRICAR",AA730))),"MIXTO",IF(ISNUMBER(SEARCH("IMPORTAR",AA730)),"IMPORTADO",IF(ISNUMBER(SEARCH("FABRICAR",AA730)),"LOCAL","OTRO")))</f>
        <v>IMPORTADO</v>
      </c>
      <c r="AQ730" t="str">
        <f>IF(AD730="Si","SI",IF(AD730="No","NO",""))</f>
        <v>SI</v>
      </c>
      <c r="AR730" t="str">
        <f>IF(ISNUMBER(SEARCH("®",N730)),"MARCA/INNOVADOR","GENERICO")</f>
        <v>GENERICO</v>
      </c>
      <c r="AS730">
        <f ca="1">IF(AE730&gt;100,RANDBETWEEN(500,5000),IF(AND(AE730&gt;=10,AE730&lt;=100),RANDBETWEEN(100,1000),RANDBETWEEN(10,200)))</f>
        <v>108</v>
      </c>
      <c r="AT730">
        <f t="shared" ca="1" si="57"/>
        <v>12</v>
      </c>
      <c r="AU730">
        <f ca="1">INT(AS730*RANDBETWEEN(120,200)/100)</f>
        <v>158</v>
      </c>
      <c r="AV730" s="2">
        <f ca="1">IF(LEFT(Y730,1)="L",RANDBETWEEN(500000,5000000),IF(LEFT(Y730,1)="C",RANDBETWEEN(5000,50000),IF(LEFT(Y730,1)="N",RANDBETWEEN(10000,150000),IF(LEFT(Y730,1)="J",RANDBETWEEN(8000,200000),RANDBETWEEN(5000,100000)))))</f>
        <v>45989</v>
      </c>
      <c r="AW730" s="2">
        <f ca="1">INT(AV730*RANDBETWEEN(30,60)/100)</f>
        <v>27593</v>
      </c>
      <c r="AX730">
        <f ca="1">IF(Z730="ORAL",RANDBETWEEN(1000,10000),IF(OR(Z730="INTRAVENOSA",Z730="INTRAMUSCULAR"),RANDBETWEEN(100,2000),IF(OR(Z730="OFTÁLMICA",Z730="TOPICA (EXTERNA)"),RANDBETWEEN(200,3000),RANDBETWEEN(100,1500))))</f>
        <v>6221</v>
      </c>
      <c r="AY730" s="2">
        <f ca="1">INT(AV730*RANDBETWEEN(90,130)/100)</f>
        <v>50587</v>
      </c>
      <c r="AZ730" t="str">
        <f t="shared" ca="1" si="58"/>
        <v>10.4%</v>
      </c>
      <c r="BA730" t="str">
        <f t="shared" ca="1" si="59"/>
        <v>BAJO</v>
      </c>
    </row>
    <row r="731" spans="4:53" x14ac:dyDescent="0.35">
      <c r="D731" t="s">
        <v>4762</v>
      </c>
      <c r="E731" s="1">
        <v>41620</v>
      </c>
      <c r="F731" t="s">
        <v>1425</v>
      </c>
      <c r="G731" t="s">
        <v>108</v>
      </c>
      <c r="H731" t="s">
        <v>1426</v>
      </c>
      <c r="I731">
        <v>20057197</v>
      </c>
      <c r="J731" t="s">
        <v>28</v>
      </c>
      <c r="K731">
        <v>3</v>
      </c>
      <c r="L731" t="s">
        <v>27</v>
      </c>
      <c r="M731" t="s">
        <v>1427</v>
      </c>
      <c r="N731" t="s">
        <v>1428</v>
      </c>
      <c r="O731" t="s">
        <v>4763</v>
      </c>
      <c r="P731" t="s">
        <v>33</v>
      </c>
      <c r="Q731" s="1">
        <v>41512</v>
      </c>
      <c r="R731" t="s">
        <v>33</v>
      </c>
      <c r="S731" t="s">
        <v>27</v>
      </c>
      <c r="T731" t="s">
        <v>947</v>
      </c>
      <c r="U731" t="s">
        <v>115</v>
      </c>
      <c r="V731" t="s">
        <v>162</v>
      </c>
      <c r="W731">
        <v>20</v>
      </c>
      <c r="X731">
        <v>20057197</v>
      </c>
      <c r="Y731" t="s">
        <v>164</v>
      </c>
      <c r="Z731" t="s">
        <v>119</v>
      </c>
      <c r="AA731" t="s">
        <v>24</v>
      </c>
      <c r="AB731" t="s">
        <v>120</v>
      </c>
      <c r="AC731" t="s">
        <v>25</v>
      </c>
      <c r="AD731" t="s">
        <v>121</v>
      </c>
      <c r="AE731">
        <v>60</v>
      </c>
      <c r="AF731" t="s">
        <v>27</v>
      </c>
      <c r="AG731" t="s">
        <v>26</v>
      </c>
      <c r="AH731" t="s">
        <v>6754</v>
      </c>
      <c r="AI731" t="str">
        <f t="shared" si="55"/>
        <v>NO</v>
      </c>
      <c r="AJ731" t="str">
        <f t="shared" si="56"/>
        <v>CLOSTER PHARMA</v>
      </c>
      <c r="AK731" t="str">
        <f>IF(ISNUMBER(SEARCH("FABRICANTE",AC731)),"FABRICANTE",IF(ISNUMBER(SEARCH("IMPORTADOR",AC731)),"IMPORTADOR","OTRO"))</f>
        <v>FABRICANTE</v>
      </c>
      <c r="AL731" t="str">
        <f>IF(LEFT(Y731,1)="A","Sistema digestivo",IF(LEFT(Y731,1)="B","Sangre",IF(LEFT(Y731,1)="C","Cardiovascular",IF(LEFT(Y731,1)="D","Dermatológico",IF(LEFT(Y731,1)="G","Genitourinario",IF(LEFT(Y731,1)="H","Hormonal",IF(LEFT(Y731,1)="J","Antiinfecciosos",IF(LEFT(Y731,1)="L","Oncológicos",IF(LEFT(Y731,1)="M","Musculoesquelético",IF(LEFT(Y731,1)="N","Sistema nervioso",IF(LEFT(Y731,1)="R","Respiratorio",IF(LEFT(Y731,1)="S","Oftálmico",IF(LEFT(Y731,1)="V","Varios","OTRO")))))))))))))</f>
        <v>Musculoesquelético</v>
      </c>
      <c r="AM731" t="str">
        <f>IF(AG731="Vigente","ACTIVO",IF(ISNUMBER(SEARCH("Inactivo",J731)),"INACTIVO","REVISAR"))</f>
        <v>ACTIVO</v>
      </c>
      <c r="AN731" t="str">
        <f ca="1">IF(OR(AF731="",AF731="null"),"",ROUND((AF731-TODAY())/365.25,2))</f>
        <v/>
      </c>
      <c r="AO731" t="str">
        <f ca="1">IF(AND(AG731="Vigente",OR(AF731="",AF731="null",AF731&gt;TODAY())),"SI",IF(AND(NOT(OR(AF731="",AF731="null")),AF731&lt;=TODAY()),"NO",IF(AG731="Vigente","SI","DESCONOCIDO")))</f>
        <v>SI</v>
      </c>
      <c r="AP731" t="str">
        <f>IF(AND(ISNUMBER(SEARCH("IMPORTAR",AA731)),ISNUMBER(SEARCH("FABRICAR",AA731))),"MIXTO",IF(ISNUMBER(SEARCH("IMPORTAR",AA731)),"IMPORTADO",IF(ISNUMBER(SEARCH("FABRICAR",AA731)),"LOCAL","OTRO")))</f>
        <v>LOCAL</v>
      </c>
      <c r="AQ731" t="str">
        <f>IF(AD731="Si","SI",IF(AD731="No","NO",""))</f>
        <v>NO</v>
      </c>
      <c r="AR731" t="str">
        <f>IF(ISNUMBER(SEARCH("®",N731)),"MARCA/INNOVADOR","GENERICO")</f>
        <v>MARCA/INNOVADOR</v>
      </c>
      <c r="AS731">
        <f ca="1">IF(AE731&gt;100,RANDBETWEEN(500,5000),IF(AND(AE731&gt;=10,AE731&lt;=100),RANDBETWEEN(100,1000),RANDBETWEEN(10,200)))</f>
        <v>997</v>
      </c>
      <c r="AT731">
        <f t="shared" ca="1" si="57"/>
        <v>279</v>
      </c>
      <c r="AU731">
        <f ca="1">INT(AS731*RANDBETWEEN(120,200)/100)</f>
        <v>1545</v>
      </c>
      <c r="AV731" s="2">
        <f ca="1">IF(LEFT(Y731,1)="L",RANDBETWEEN(500000,5000000),IF(LEFT(Y731,1)="C",RANDBETWEEN(5000,50000),IF(LEFT(Y731,1)="N",RANDBETWEEN(10000,150000),IF(LEFT(Y731,1)="J",RANDBETWEEN(8000,200000),RANDBETWEEN(5000,100000)))))</f>
        <v>69915</v>
      </c>
      <c r="AW731" s="2">
        <f ca="1">INT(AV731*RANDBETWEEN(30,60)/100)</f>
        <v>38453</v>
      </c>
      <c r="AX731">
        <f ca="1">IF(Z731="ORAL",RANDBETWEEN(1000,10000),IF(OR(Z731="INTRAVENOSA",Z731="INTRAMUSCULAR"),RANDBETWEEN(100,2000),IF(OR(Z731="OFTÁLMICA",Z731="TOPICA (EXTERNA)"),RANDBETWEEN(200,3000),RANDBETWEEN(100,1500))))</f>
        <v>5312</v>
      </c>
      <c r="AY731" s="2">
        <f ca="1">INT(AV731*RANDBETWEEN(90,130)/100)</f>
        <v>76207</v>
      </c>
      <c r="AZ731" t="str">
        <f t="shared" ca="1" si="58"/>
        <v>10.2%</v>
      </c>
      <c r="BA731" t="str">
        <f t="shared" ca="1" si="59"/>
        <v>BAJO</v>
      </c>
    </row>
    <row r="732" spans="4:53" x14ac:dyDescent="0.35">
      <c r="D732" t="s">
        <v>4764</v>
      </c>
      <c r="E732" s="1">
        <v>43818</v>
      </c>
      <c r="F732" t="s">
        <v>3363</v>
      </c>
      <c r="G732" t="s">
        <v>108</v>
      </c>
      <c r="H732" t="s">
        <v>3364</v>
      </c>
      <c r="I732">
        <v>20164298</v>
      </c>
      <c r="J732" t="s">
        <v>28</v>
      </c>
      <c r="K732">
        <v>1</v>
      </c>
      <c r="L732" t="s">
        <v>27</v>
      </c>
      <c r="M732" t="s">
        <v>3365</v>
      </c>
      <c r="N732" t="s">
        <v>3366</v>
      </c>
      <c r="O732" t="s">
        <v>4765</v>
      </c>
      <c r="P732" t="s">
        <v>432</v>
      </c>
      <c r="Q732" s="1">
        <v>43782</v>
      </c>
      <c r="R732" t="s">
        <v>33</v>
      </c>
      <c r="S732" t="s">
        <v>27</v>
      </c>
      <c r="T732" t="s">
        <v>3368</v>
      </c>
      <c r="U732" t="s">
        <v>115</v>
      </c>
      <c r="V732" t="s">
        <v>3363</v>
      </c>
      <c r="W732">
        <v>500</v>
      </c>
      <c r="X732">
        <v>20164298</v>
      </c>
      <c r="Y732" t="s">
        <v>3369</v>
      </c>
      <c r="Z732" t="s">
        <v>119</v>
      </c>
      <c r="AA732" t="s">
        <v>24</v>
      </c>
      <c r="AB732" t="s">
        <v>120</v>
      </c>
      <c r="AC732" t="s">
        <v>25</v>
      </c>
      <c r="AD732" t="s">
        <v>121</v>
      </c>
      <c r="AE732">
        <v>10</v>
      </c>
      <c r="AF732" t="s">
        <v>27</v>
      </c>
      <c r="AG732" t="s">
        <v>26</v>
      </c>
      <c r="AH732" t="s">
        <v>3363</v>
      </c>
      <c r="AI732" t="str">
        <f t="shared" si="55"/>
        <v>NO</v>
      </c>
      <c r="AJ732" t="str">
        <f t="shared" si="56"/>
        <v>ANGLOPHARMA</v>
      </c>
      <c r="AK732" t="str">
        <f>IF(ISNUMBER(SEARCH("FABRICANTE",AC732)),"FABRICANTE",IF(ISNUMBER(SEARCH("IMPORTADOR",AC732)),"IMPORTADOR","OTRO"))</f>
        <v>FABRICANTE</v>
      </c>
      <c r="AL732" t="str">
        <f>IF(LEFT(Y732,1)="A","Sistema digestivo",IF(LEFT(Y732,1)="B","Sangre",IF(LEFT(Y732,1)="C","Cardiovascular",IF(LEFT(Y732,1)="D","Dermatológico",IF(LEFT(Y732,1)="G","Genitourinario",IF(LEFT(Y732,1)="H","Hormonal",IF(LEFT(Y732,1)="J","Antiinfecciosos",IF(LEFT(Y732,1)="L","Oncológicos",IF(LEFT(Y732,1)="M","Musculoesquelético",IF(LEFT(Y732,1)="N","Sistema nervioso",IF(LEFT(Y732,1)="R","Respiratorio",IF(LEFT(Y732,1)="S","Oftálmico",IF(LEFT(Y732,1)="V","Varios","OTRO")))))))))))))</f>
        <v>OTRO</v>
      </c>
      <c r="AM732" t="str">
        <f>IF(AG732="Vigente","ACTIVO",IF(ISNUMBER(SEARCH("Inactivo",J732)),"INACTIVO","REVISAR"))</f>
        <v>ACTIVO</v>
      </c>
      <c r="AN732" t="str">
        <f ca="1">IF(OR(AF732="",AF732="null"),"",ROUND((AF732-TODAY())/365.25,2))</f>
        <v/>
      </c>
      <c r="AO732" t="str">
        <f ca="1">IF(AND(AG732="Vigente",OR(AF732="",AF732="null",AF732&gt;TODAY())),"SI",IF(AND(NOT(OR(AF732="",AF732="null")),AF732&lt;=TODAY()),"NO",IF(AG732="Vigente","SI","DESCONOCIDO")))</f>
        <v>SI</v>
      </c>
      <c r="AP732" t="str">
        <f>IF(AND(ISNUMBER(SEARCH("IMPORTAR",AA732)),ISNUMBER(SEARCH("FABRICAR",AA732))),"MIXTO",IF(ISNUMBER(SEARCH("IMPORTAR",AA732)),"IMPORTADO",IF(ISNUMBER(SEARCH("FABRICAR",AA732)),"LOCAL","OTRO")))</f>
        <v>LOCAL</v>
      </c>
      <c r="AQ732" t="str">
        <f>IF(AD732="Si","SI",IF(AD732="No","NO",""))</f>
        <v>NO</v>
      </c>
      <c r="AR732" t="str">
        <f>IF(ISNUMBER(SEARCH("®",N732)),"MARCA/INNOVADOR","GENERICO")</f>
        <v>GENERICO</v>
      </c>
      <c r="AS732">
        <f ca="1">IF(AE732&gt;100,RANDBETWEEN(500,5000),IF(AND(AE732&gt;=10,AE732&lt;=100),RANDBETWEEN(100,1000),RANDBETWEEN(10,200)))</f>
        <v>462</v>
      </c>
      <c r="AT732">
        <f t="shared" ca="1" si="57"/>
        <v>115</v>
      </c>
      <c r="AU732">
        <f ca="1">INT(AS732*RANDBETWEEN(120,200)/100)</f>
        <v>614</v>
      </c>
      <c r="AV732" s="2">
        <f ca="1">IF(LEFT(Y732,1)="L",RANDBETWEEN(500000,5000000),IF(LEFT(Y732,1)="C",RANDBETWEEN(5000,50000),IF(LEFT(Y732,1)="N",RANDBETWEEN(10000,150000),IF(LEFT(Y732,1)="J",RANDBETWEEN(8000,200000),RANDBETWEEN(5000,100000)))))</f>
        <v>90335</v>
      </c>
      <c r="AW732" s="2">
        <f ca="1">INT(AV732*RANDBETWEEN(30,60)/100)</f>
        <v>43360</v>
      </c>
      <c r="AX732">
        <f ca="1">IF(Z732="ORAL",RANDBETWEEN(1000,10000),IF(OR(Z732="INTRAVENOSA",Z732="INTRAMUSCULAR"),RANDBETWEEN(100,2000),IF(OR(Z732="OFTÁLMICA",Z732="TOPICA (EXTERNA)"),RANDBETWEEN(200,3000),RANDBETWEEN(100,1500))))</f>
        <v>2793</v>
      </c>
      <c r="AY732" s="2">
        <f ca="1">INT(AV732*RANDBETWEEN(90,130)/100)</f>
        <v>94851</v>
      </c>
      <c r="AZ732" t="str">
        <f t="shared" ca="1" si="58"/>
        <v>14.8%</v>
      </c>
      <c r="BA732" t="str">
        <f t="shared" ca="1" si="59"/>
        <v>BAJO</v>
      </c>
    </row>
    <row r="733" spans="4:53" x14ac:dyDescent="0.35">
      <c r="D733" t="s">
        <v>4766</v>
      </c>
      <c r="E733" s="1">
        <v>43356</v>
      </c>
      <c r="F733" t="s">
        <v>4767</v>
      </c>
      <c r="G733" t="s">
        <v>108</v>
      </c>
      <c r="H733" t="s">
        <v>503</v>
      </c>
      <c r="I733">
        <v>20117690</v>
      </c>
      <c r="J733" t="s">
        <v>28</v>
      </c>
      <c r="K733">
        <v>3</v>
      </c>
      <c r="L733" t="s">
        <v>27</v>
      </c>
      <c r="M733" t="s">
        <v>4768</v>
      </c>
      <c r="N733" t="s">
        <v>4769</v>
      </c>
      <c r="O733" t="s">
        <v>4770</v>
      </c>
      <c r="P733" t="s">
        <v>4771</v>
      </c>
      <c r="Q733" s="1">
        <v>43325</v>
      </c>
      <c r="R733" t="s">
        <v>50</v>
      </c>
      <c r="S733" s="1">
        <v>45196</v>
      </c>
      <c r="T733" t="s">
        <v>454</v>
      </c>
      <c r="U733" t="s">
        <v>115</v>
      </c>
      <c r="V733" t="s">
        <v>4772</v>
      </c>
      <c r="W733">
        <v>10</v>
      </c>
      <c r="X733">
        <v>20117690</v>
      </c>
      <c r="Y733" t="s">
        <v>4773</v>
      </c>
      <c r="Z733" t="s">
        <v>260</v>
      </c>
      <c r="AA733" t="s">
        <v>24</v>
      </c>
      <c r="AB733" t="s">
        <v>120</v>
      </c>
      <c r="AC733" t="s">
        <v>25</v>
      </c>
      <c r="AD733" t="s">
        <v>121</v>
      </c>
      <c r="AE733">
        <v>10</v>
      </c>
      <c r="AF733" s="1">
        <v>401769</v>
      </c>
      <c r="AG733" t="s">
        <v>26</v>
      </c>
      <c r="AH733" t="s">
        <v>4772</v>
      </c>
      <c r="AI733" t="str">
        <f t="shared" si="55"/>
        <v>NO</v>
      </c>
      <c r="AJ733" t="str">
        <f t="shared" si="56"/>
        <v>PROCAPS</v>
      </c>
      <c r="AK733" t="str">
        <f>IF(ISNUMBER(SEARCH("FABRICANTE",AC733)),"FABRICANTE",IF(ISNUMBER(SEARCH("IMPORTADOR",AC733)),"IMPORTADOR","OTRO"))</f>
        <v>FABRICANTE</v>
      </c>
      <c r="AL733" t="str">
        <f>IF(LEFT(Y733,1)="A","Sistema digestivo",IF(LEFT(Y733,1)="B","Sangre",IF(LEFT(Y733,1)="C","Cardiovascular",IF(LEFT(Y733,1)="D","Dermatológico",IF(LEFT(Y733,1)="G","Genitourinario",IF(LEFT(Y733,1)="H","Hormonal",IF(LEFT(Y733,1)="J","Antiinfecciosos",IF(LEFT(Y733,1)="L","Oncológicos",IF(LEFT(Y733,1)="M","Musculoesquelético",IF(LEFT(Y733,1)="N","Sistema nervioso",IF(LEFT(Y733,1)="R","Respiratorio",IF(LEFT(Y733,1)="S","Oftálmico",IF(LEFT(Y733,1)="V","Varios","OTRO")))))))))))))</f>
        <v>Musculoesquelético</v>
      </c>
      <c r="AM733" t="str">
        <f>IF(AG733="Vigente","ACTIVO",IF(ISNUMBER(SEARCH("Inactivo",J733)),"INACTIVO","REVISAR"))</f>
        <v>ACTIVO</v>
      </c>
      <c r="AN733">
        <f ca="1">IF(OR(AF733="",AF733="null"),"",ROUND((AF733-TODAY())/365.25,2))</f>
        <v>973.58</v>
      </c>
      <c r="AO733" t="str">
        <f ca="1">IF(AND(AG733="Vigente",OR(AF733="",AF733="null",AF733&gt;TODAY())),"SI",IF(AND(NOT(OR(AF733="",AF733="null")),AF733&lt;=TODAY()),"NO",IF(AG733="Vigente","SI","DESCONOCIDO")))</f>
        <v>SI</v>
      </c>
      <c r="AP733" t="str">
        <f>IF(AND(ISNUMBER(SEARCH("IMPORTAR",AA733)),ISNUMBER(SEARCH("FABRICAR",AA733))),"MIXTO",IF(ISNUMBER(SEARCH("IMPORTAR",AA733)),"IMPORTADO",IF(ISNUMBER(SEARCH("FABRICAR",AA733)),"LOCAL","OTRO")))</f>
        <v>LOCAL</v>
      </c>
      <c r="AQ733" t="str">
        <f>IF(AD733="Si","SI",IF(AD733="No","NO",""))</f>
        <v>NO</v>
      </c>
      <c r="AR733" t="str">
        <f>IF(ISNUMBER(SEARCH("®",N733)),"MARCA/INNOVADOR","GENERICO")</f>
        <v>MARCA/INNOVADOR</v>
      </c>
      <c r="AS733">
        <f ca="1">IF(AE733&gt;100,RANDBETWEEN(500,5000),IF(AND(AE733&gt;=10,AE733&lt;=100),RANDBETWEEN(100,1000),RANDBETWEEN(10,200)))</f>
        <v>255</v>
      </c>
      <c r="AT733">
        <f t="shared" ca="1" si="57"/>
        <v>45</v>
      </c>
      <c r="AU733">
        <f ca="1">INT(AS733*RANDBETWEEN(120,200)/100)</f>
        <v>433</v>
      </c>
      <c r="AV733" s="2">
        <f ca="1">IF(LEFT(Y733,1)="L",RANDBETWEEN(500000,5000000),IF(LEFT(Y733,1)="C",RANDBETWEEN(5000,50000),IF(LEFT(Y733,1)="N",RANDBETWEEN(10000,150000),IF(LEFT(Y733,1)="J",RANDBETWEEN(8000,200000),RANDBETWEEN(5000,100000)))))</f>
        <v>37935</v>
      </c>
      <c r="AW733" s="2">
        <f ca="1">INT(AV733*RANDBETWEEN(30,60)/100)</f>
        <v>12897</v>
      </c>
      <c r="AX733">
        <f ca="1">IF(Z733="ORAL",RANDBETWEEN(1000,10000),IF(OR(Z733="INTRAVENOSA",Z733="INTRAMUSCULAR"),RANDBETWEEN(100,2000),IF(OR(Z733="OFTÁLMICA",Z733="TOPICA (EXTERNA)"),RANDBETWEEN(200,3000),RANDBETWEEN(100,1500))))</f>
        <v>897</v>
      </c>
      <c r="AY733" s="2">
        <f ca="1">INT(AV733*RANDBETWEEN(90,130)/100)</f>
        <v>38693</v>
      </c>
      <c r="AZ733" t="str">
        <f t="shared" ca="1" si="58"/>
        <v>1.8%</v>
      </c>
      <c r="BA733" t="str">
        <f t="shared" ca="1" si="59"/>
        <v>BAJO</v>
      </c>
    </row>
    <row r="734" spans="4:53" x14ac:dyDescent="0.35">
      <c r="D734" t="s">
        <v>4774</v>
      </c>
      <c r="E734" s="1">
        <v>45229</v>
      </c>
      <c r="F734" t="s">
        <v>4775</v>
      </c>
      <c r="G734" t="s">
        <v>108</v>
      </c>
      <c r="H734" t="s">
        <v>4776</v>
      </c>
      <c r="I734">
        <v>20199616</v>
      </c>
      <c r="J734" t="s">
        <v>28</v>
      </c>
      <c r="K734">
        <v>14</v>
      </c>
      <c r="L734" t="s">
        <v>4777</v>
      </c>
      <c r="M734" t="s">
        <v>4778</v>
      </c>
      <c r="N734" t="s">
        <v>4779</v>
      </c>
      <c r="O734" t="s">
        <v>4780</v>
      </c>
      <c r="P734" t="s">
        <v>3296</v>
      </c>
      <c r="Q734" s="1">
        <v>45196</v>
      </c>
      <c r="R734" t="s">
        <v>37</v>
      </c>
      <c r="S734" t="s">
        <v>27</v>
      </c>
      <c r="T734" t="s">
        <v>172</v>
      </c>
      <c r="U734" t="s">
        <v>469</v>
      </c>
      <c r="V734" t="s">
        <v>4781</v>
      </c>
      <c r="W734">
        <v>2000</v>
      </c>
      <c r="X734">
        <v>20199616</v>
      </c>
      <c r="Y734" t="s">
        <v>4782</v>
      </c>
      <c r="Z734" t="s">
        <v>119</v>
      </c>
      <c r="AA734" t="s">
        <v>24</v>
      </c>
      <c r="AB734" t="s">
        <v>120</v>
      </c>
      <c r="AC734" t="s">
        <v>25</v>
      </c>
      <c r="AD734" t="s">
        <v>155</v>
      </c>
      <c r="AE734">
        <v>10</v>
      </c>
      <c r="AF734" t="s">
        <v>27</v>
      </c>
      <c r="AG734" t="s">
        <v>26</v>
      </c>
      <c r="AH734" t="s">
        <v>6666</v>
      </c>
      <c r="AI734" t="str">
        <f t="shared" si="55"/>
        <v>SI</v>
      </c>
      <c r="AJ734" t="str">
        <f t="shared" si="56"/>
        <v>NOVAMED</v>
      </c>
      <c r="AK734" t="str">
        <f>IF(ISNUMBER(SEARCH("FABRICANTE",AC734)),"FABRICANTE",IF(ISNUMBER(SEARCH("IMPORTADOR",AC734)),"IMPORTADOR","OTRO"))</f>
        <v>FABRICANTE</v>
      </c>
      <c r="AL734" t="str">
        <f>IF(LEFT(Y734,1)="A","Sistema digestivo",IF(LEFT(Y734,1)="B","Sangre",IF(LEFT(Y734,1)="C","Cardiovascular",IF(LEFT(Y734,1)="D","Dermatológico",IF(LEFT(Y734,1)="G","Genitourinario",IF(LEFT(Y734,1)="H","Hormonal",IF(LEFT(Y734,1)="J","Antiinfecciosos",IF(LEFT(Y734,1)="L","Oncológicos",IF(LEFT(Y734,1)="M","Musculoesquelético",IF(LEFT(Y734,1)="N","Sistema nervioso",IF(LEFT(Y734,1)="R","Respiratorio",IF(LEFT(Y734,1)="S","Oftálmico",IF(LEFT(Y734,1)="V","Varios","OTRO")))))))))))))</f>
        <v>Sistema digestivo</v>
      </c>
      <c r="AM734" t="str">
        <f>IF(AG734="Vigente","ACTIVO",IF(ISNUMBER(SEARCH("Inactivo",J734)),"INACTIVO","REVISAR"))</f>
        <v>ACTIVO</v>
      </c>
      <c r="AN734" t="str">
        <f ca="1">IF(OR(AF734="",AF734="null"),"",ROUND((AF734-TODAY())/365.25,2))</f>
        <v/>
      </c>
      <c r="AO734" t="str">
        <f ca="1">IF(AND(AG734="Vigente",OR(AF734="",AF734="null",AF734&gt;TODAY())),"SI",IF(AND(NOT(OR(AF734="",AF734="null")),AF734&lt;=TODAY()),"NO",IF(AG734="Vigente","SI","DESCONOCIDO")))</f>
        <v>SI</v>
      </c>
      <c r="AP734" t="str">
        <f>IF(AND(ISNUMBER(SEARCH("IMPORTAR",AA734)),ISNUMBER(SEARCH("FABRICAR",AA734))),"MIXTO",IF(ISNUMBER(SEARCH("IMPORTAR",AA734)),"IMPORTADO",IF(ISNUMBER(SEARCH("FABRICAR",AA734)),"LOCAL","OTRO")))</f>
        <v>LOCAL</v>
      </c>
      <c r="AQ734" t="str">
        <f>IF(AD734="Si","SI",IF(AD734="No","NO",""))</f>
        <v>SI</v>
      </c>
      <c r="AR734" t="str">
        <f>IF(ISNUMBER(SEARCH("®",N734)),"MARCA/INNOVADOR","GENERICO")</f>
        <v>MARCA/INNOVADOR</v>
      </c>
      <c r="AS734">
        <f ca="1">IF(AE734&gt;100,RANDBETWEEN(500,5000),IF(AND(AE734&gt;=10,AE734&lt;=100),RANDBETWEEN(100,1000),RANDBETWEEN(10,200)))</f>
        <v>251</v>
      </c>
      <c r="AT734">
        <f t="shared" ca="1" si="57"/>
        <v>57</v>
      </c>
      <c r="AU734">
        <f ca="1">INT(AS734*RANDBETWEEN(120,200)/100)</f>
        <v>451</v>
      </c>
      <c r="AV734" s="2">
        <f ca="1">IF(LEFT(Y734,1)="L",RANDBETWEEN(500000,5000000),IF(LEFT(Y734,1)="C",RANDBETWEEN(5000,50000),IF(LEFT(Y734,1)="N",RANDBETWEEN(10000,150000),IF(LEFT(Y734,1)="J",RANDBETWEEN(8000,200000),RANDBETWEEN(5000,100000)))))</f>
        <v>76471</v>
      </c>
      <c r="AW734" s="2">
        <f ca="1">INT(AV734*RANDBETWEEN(30,60)/100)</f>
        <v>37470</v>
      </c>
      <c r="AX734">
        <f ca="1">IF(Z734="ORAL",RANDBETWEEN(1000,10000),IF(OR(Z734="INTRAVENOSA",Z734="INTRAMUSCULAR"),RANDBETWEEN(100,2000),IF(OR(Z734="OFTÁLMICA",Z734="TOPICA (EXTERNA)"),RANDBETWEEN(200,3000),RANDBETWEEN(100,1500))))</f>
        <v>4085</v>
      </c>
      <c r="AY734" s="2">
        <f ca="1">INT(AV734*RANDBETWEEN(90,130)/100)</f>
        <v>79529</v>
      </c>
      <c r="AZ734" t="str">
        <f t="shared" ca="1" si="58"/>
        <v>10.6%</v>
      </c>
      <c r="BA734" t="str">
        <f t="shared" ca="1" si="59"/>
        <v>BAJO</v>
      </c>
    </row>
    <row r="735" spans="4:53" x14ac:dyDescent="0.35">
      <c r="D735" t="s">
        <v>4783</v>
      </c>
      <c r="E735" s="1">
        <v>44749</v>
      </c>
      <c r="F735" t="s">
        <v>1149</v>
      </c>
      <c r="G735" t="s">
        <v>108</v>
      </c>
      <c r="H735" t="s">
        <v>624</v>
      </c>
      <c r="I735">
        <v>20159534</v>
      </c>
      <c r="J735" t="s">
        <v>28</v>
      </c>
      <c r="K735">
        <v>4</v>
      </c>
      <c r="L735" t="s">
        <v>4784</v>
      </c>
      <c r="M735" t="s">
        <v>4785</v>
      </c>
      <c r="N735" t="s">
        <v>4786</v>
      </c>
      <c r="O735" t="s">
        <v>4787</v>
      </c>
      <c r="P735" t="s">
        <v>33</v>
      </c>
      <c r="Q735" s="1">
        <v>44712</v>
      </c>
      <c r="R735" t="s">
        <v>33</v>
      </c>
      <c r="S735" t="s">
        <v>27</v>
      </c>
      <c r="T735" t="s">
        <v>624</v>
      </c>
      <c r="U735" t="s">
        <v>115</v>
      </c>
      <c r="V735" t="s">
        <v>1153</v>
      </c>
      <c r="W735">
        <v>10</v>
      </c>
      <c r="X735">
        <v>20159534</v>
      </c>
      <c r="Y735" t="s">
        <v>1154</v>
      </c>
      <c r="Z735" t="s">
        <v>119</v>
      </c>
      <c r="AA735" t="s">
        <v>32</v>
      </c>
      <c r="AB735" t="s">
        <v>120</v>
      </c>
      <c r="AC735" t="s">
        <v>38</v>
      </c>
      <c r="AD735" t="s">
        <v>121</v>
      </c>
      <c r="AE735">
        <v>56</v>
      </c>
      <c r="AF735" t="s">
        <v>27</v>
      </c>
      <c r="AG735" t="s">
        <v>26</v>
      </c>
      <c r="AH735" t="s">
        <v>1149</v>
      </c>
      <c r="AI735" t="str">
        <f t="shared" si="55"/>
        <v>NO</v>
      </c>
      <c r="AJ735" t="str">
        <f t="shared" si="56"/>
        <v>GALENICUM HEALTH COLOMBIA</v>
      </c>
      <c r="AK735" t="str">
        <f>IF(ISNUMBER(SEARCH("FABRICANTE",AC735)),"FABRICANTE",IF(ISNUMBER(SEARCH("IMPORTADOR",AC735)),"IMPORTADOR","OTRO"))</f>
        <v>IMPORTADOR</v>
      </c>
      <c r="AL735" t="str">
        <f>IF(LEFT(Y735,1)="A","Sistema digestivo",IF(LEFT(Y735,1)="B","Sangre",IF(LEFT(Y735,1)="C","Cardiovascular",IF(LEFT(Y735,1)="D","Dermatológico",IF(LEFT(Y735,1)="G","Genitourinario",IF(LEFT(Y735,1)="H","Hormonal",IF(LEFT(Y735,1)="J","Antiinfecciosos",IF(LEFT(Y735,1)="L","Oncológicos",IF(LEFT(Y735,1)="M","Musculoesquelético",IF(LEFT(Y735,1)="N","Sistema nervioso",IF(LEFT(Y735,1)="R","Respiratorio",IF(LEFT(Y735,1)="S","Oftálmico",IF(LEFT(Y735,1)="V","Varios","OTRO")))))))))))))</f>
        <v>Sistema nervioso</v>
      </c>
      <c r="AM735" t="str">
        <f>IF(AG735="Vigente","ACTIVO",IF(ISNUMBER(SEARCH("Inactivo",J735)),"INACTIVO","REVISAR"))</f>
        <v>ACTIVO</v>
      </c>
      <c r="AN735" t="str">
        <f ca="1">IF(OR(AF735="",AF735="null"),"",ROUND((AF735-TODAY())/365.25,2))</f>
        <v/>
      </c>
      <c r="AO735" t="str">
        <f ca="1">IF(AND(AG735="Vigente",OR(AF735="",AF735="null",AF735&gt;TODAY())),"SI",IF(AND(NOT(OR(AF735="",AF735="null")),AF735&lt;=TODAY()),"NO",IF(AG735="Vigente","SI","DESCONOCIDO")))</f>
        <v>SI</v>
      </c>
      <c r="AP735" t="str">
        <f>IF(AND(ISNUMBER(SEARCH("IMPORTAR",AA735)),ISNUMBER(SEARCH("FABRICAR",AA735))),"MIXTO",IF(ISNUMBER(SEARCH("IMPORTAR",AA735)),"IMPORTADO",IF(ISNUMBER(SEARCH("FABRICAR",AA735)),"LOCAL","OTRO")))</f>
        <v>IMPORTADO</v>
      </c>
      <c r="AQ735" t="str">
        <f>IF(AD735="Si","SI",IF(AD735="No","NO",""))</f>
        <v>NO</v>
      </c>
      <c r="AR735" t="str">
        <f>IF(ISNUMBER(SEARCH("®",N735)),"MARCA/INNOVADOR","GENERICO")</f>
        <v>MARCA/INNOVADOR</v>
      </c>
      <c r="AS735">
        <f ca="1">IF(AE735&gt;100,RANDBETWEEN(500,5000),IF(AND(AE735&gt;=10,AE735&lt;=100),RANDBETWEEN(100,1000),RANDBETWEEN(10,200)))</f>
        <v>551</v>
      </c>
      <c r="AT735">
        <f t="shared" ca="1" si="57"/>
        <v>104</v>
      </c>
      <c r="AU735">
        <f ca="1">INT(AS735*RANDBETWEEN(120,200)/100)</f>
        <v>843</v>
      </c>
      <c r="AV735" s="2">
        <f ca="1">IF(LEFT(Y735,1)="L",RANDBETWEEN(500000,5000000),IF(LEFT(Y735,1)="C",RANDBETWEEN(5000,50000),IF(LEFT(Y735,1)="N",RANDBETWEEN(10000,150000),IF(LEFT(Y735,1)="J",RANDBETWEEN(8000,200000),RANDBETWEEN(5000,100000)))))</f>
        <v>138118</v>
      </c>
      <c r="AW735" s="2">
        <f ca="1">INT(AV735*RANDBETWEEN(30,60)/100)</f>
        <v>55247</v>
      </c>
      <c r="AX735">
        <f ca="1">IF(Z735="ORAL",RANDBETWEEN(1000,10000),IF(OR(Z735="INTRAVENOSA",Z735="INTRAMUSCULAR"),RANDBETWEEN(100,2000),IF(OR(Z735="OFTÁLMICA",Z735="TOPICA (EXTERNA)"),RANDBETWEEN(200,3000),RANDBETWEEN(100,1500))))</f>
        <v>6088</v>
      </c>
      <c r="AY735" s="2">
        <f ca="1">INT(AV735*RANDBETWEEN(90,130)/100)</f>
        <v>142261</v>
      </c>
      <c r="AZ735" t="str">
        <f t="shared" ca="1" si="58"/>
        <v>20.8%</v>
      </c>
      <c r="BA735" t="str">
        <f t="shared" ca="1" si="59"/>
        <v>BAJO</v>
      </c>
    </row>
    <row r="736" spans="4:53" x14ac:dyDescent="0.35">
      <c r="D736" t="s">
        <v>4788</v>
      </c>
      <c r="E736" s="1">
        <v>41227</v>
      </c>
      <c r="F736" t="s">
        <v>531</v>
      </c>
      <c r="G736" t="s">
        <v>108</v>
      </c>
      <c r="H736" t="s">
        <v>4789</v>
      </c>
      <c r="I736">
        <v>20045158</v>
      </c>
      <c r="J736" t="s">
        <v>28</v>
      </c>
      <c r="K736">
        <v>3</v>
      </c>
      <c r="L736" t="s">
        <v>27</v>
      </c>
      <c r="M736" t="s">
        <v>533</v>
      </c>
      <c r="N736" t="s">
        <v>534</v>
      </c>
      <c r="O736" t="s">
        <v>4790</v>
      </c>
      <c r="P736" t="s">
        <v>536</v>
      </c>
      <c r="Q736" s="1">
        <v>41046</v>
      </c>
      <c r="R736" t="s">
        <v>33</v>
      </c>
      <c r="S736" t="s">
        <v>27</v>
      </c>
      <c r="T736" t="s">
        <v>532</v>
      </c>
      <c r="U736" t="s">
        <v>115</v>
      </c>
      <c r="V736" t="s">
        <v>75</v>
      </c>
      <c r="W736" t="s">
        <v>537</v>
      </c>
      <c r="X736">
        <v>20045158</v>
      </c>
      <c r="Y736" t="s">
        <v>72</v>
      </c>
      <c r="Z736" t="s">
        <v>119</v>
      </c>
      <c r="AA736" t="s">
        <v>32</v>
      </c>
      <c r="AB736" t="s">
        <v>120</v>
      </c>
      <c r="AC736" t="s">
        <v>25</v>
      </c>
      <c r="AD736" t="s">
        <v>121</v>
      </c>
      <c r="AE736">
        <v>28</v>
      </c>
      <c r="AF736" t="s">
        <v>27</v>
      </c>
      <c r="AG736" t="s">
        <v>26</v>
      </c>
      <c r="AH736" t="s">
        <v>79</v>
      </c>
      <c r="AI736" t="str">
        <f t="shared" si="55"/>
        <v>NO</v>
      </c>
      <c r="AJ736" t="str">
        <f t="shared" si="56"/>
        <v>FAES FARMA COLOMBIA</v>
      </c>
      <c r="AK736" t="str">
        <f>IF(ISNUMBER(SEARCH("FABRICANTE",AC736)),"FABRICANTE",IF(ISNUMBER(SEARCH("IMPORTADOR",AC736)),"IMPORTADOR","OTRO"))</f>
        <v>FABRICANTE</v>
      </c>
      <c r="AL736" t="str">
        <f>IF(LEFT(Y736,1)="A","Sistema digestivo",IF(LEFT(Y736,1)="B","Sangre",IF(LEFT(Y736,1)="C","Cardiovascular",IF(LEFT(Y736,1)="D","Dermatológico",IF(LEFT(Y736,1)="G","Genitourinario",IF(LEFT(Y736,1)="H","Hormonal",IF(LEFT(Y736,1)="J","Antiinfecciosos",IF(LEFT(Y736,1)="L","Oncológicos",IF(LEFT(Y736,1)="M","Musculoesquelético",IF(LEFT(Y736,1)="N","Sistema nervioso",IF(LEFT(Y736,1)="R","Respiratorio",IF(LEFT(Y736,1)="S","Oftálmico",IF(LEFT(Y736,1)="V","Varios","OTRO")))))))))))))</f>
        <v>Antiinfecciosos</v>
      </c>
      <c r="AM736" t="str">
        <f>IF(AG736="Vigente","ACTIVO",IF(ISNUMBER(SEARCH("Inactivo",J736)),"INACTIVO","REVISAR"))</f>
        <v>ACTIVO</v>
      </c>
      <c r="AN736" t="str">
        <f ca="1">IF(OR(AF736="",AF736="null"),"",ROUND((AF736-TODAY())/365.25,2))</f>
        <v/>
      </c>
      <c r="AO736" t="str">
        <f ca="1">IF(AND(AG736="Vigente",OR(AF736="",AF736="null",AF736&gt;TODAY())),"SI",IF(AND(NOT(OR(AF736="",AF736="null")),AF736&lt;=TODAY()),"NO",IF(AG736="Vigente","SI","DESCONOCIDO")))</f>
        <v>SI</v>
      </c>
      <c r="AP736" t="str">
        <f>IF(AND(ISNUMBER(SEARCH("IMPORTAR",AA736)),ISNUMBER(SEARCH("FABRICAR",AA736))),"MIXTO",IF(ISNUMBER(SEARCH("IMPORTAR",AA736)),"IMPORTADO",IF(ISNUMBER(SEARCH("FABRICAR",AA736)),"LOCAL","OTRO")))</f>
        <v>IMPORTADO</v>
      </c>
      <c r="AQ736" t="str">
        <f>IF(AD736="Si","SI",IF(AD736="No","NO",""))</f>
        <v>NO</v>
      </c>
      <c r="AR736" t="str">
        <f>IF(ISNUMBER(SEARCH("®",N736)),"MARCA/INNOVADOR","GENERICO")</f>
        <v>GENERICO</v>
      </c>
      <c r="AS736">
        <f ca="1">IF(AE736&gt;100,RANDBETWEEN(500,5000),IF(AND(AE736&gt;=10,AE736&lt;=100),RANDBETWEEN(100,1000),RANDBETWEEN(10,200)))</f>
        <v>321</v>
      </c>
      <c r="AT736">
        <f t="shared" ca="1" si="57"/>
        <v>32</v>
      </c>
      <c r="AU736">
        <f ca="1">INT(AS736*RANDBETWEEN(120,200)/100)</f>
        <v>452</v>
      </c>
      <c r="AV736" s="2">
        <f ca="1">IF(LEFT(Y736,1)="L",RANDBETWEEN(500000,5000000),IF(LEFT(Y736,1)="C",RANDBETWEEN(5000,50000),IF(LEFT(Y736,1)="N",RANDBETWEEN(10000,150000),IF(LEFT(Y736,1)="J",RANDBETWEEN(8000,200000),RANDBETWEEN(5000,100000)))))</f>
        <v>30354</v>
      </c>
      <c r="AW736" s="2">
        <f ca="1">INT(AV736*RANDBETWEEN(30,60)/100)</f>
        <v>10320</v>
      </c>
      <c r="AX736">
        <f ca="1">IF(Z736="ORAL",RANDBETWEEN(1000,10000),IF(OR(Z736="INTRAVENOSA",Z736="INTRAMUSCULAR"),RANDBETWEEN(100,2000),IF(OR(Z736="OFTÁLMICA",Z736="TOPICA (EXTERNA)"),RANDBETWEEN(200,3000),RANDBETWEEN(100,1500))))</f>
        <v>5256</v>
      </c>
      <c r="AY736" s="2">
        <f ca="1">INT(AV736*RANDBETWEEN(90,130)/100)</f>
        <v>33085</v>
      </c>
      <c r="AZ736" t="str">
        <f t="shared" ca="1" si="58"/>
        <v>18.8%</v>
      </c>
      <c r="BA736" t="str">
        <f t="shared" ca="1" si="59"/>
        <v>BAJO</v>
      </c>
    </row>
    <row r="737" spans="4:53" x14ac:dyDescent="0.35">
      <c r="D737" t="s">
        <v>4791</v>
      </c>
      <c r="E737" s="1">
        <v>42983</v>
      </c>
      <c r="F737" t="s">
        <v>4792</v>
      </c>
      <c r="G737" t="s">
        <v>108</v>
      </c>
      <c r="H737" t="s">
        <v>168</v>
      </c>
      <c r="I737">
        <v>20097785</v>
      </c>
      <c r="J737" t="s">
        <v>28</v>
      </c>
      <c r="K737">
        <v>24</v>
      </c>
      <c r="L737" t="s">
        <v>27</v>
      </c>
      <c r="M737" t="s">
        <v>3293</v>
      </c>
      <c r="N737" t="s">
        <v>3294</v>
      </c>
      <c r="O737" t="s">
        <v>4793</v>
      </c>
      <c r="P737" t="s">
        <v>3296</v>
      </c>
      <c r="Q737" s="1">
        <v>43015</v>
      </c>
      <c r="R737" t="s">
        <v>37</v>
      </c>
      <c r="S737" t="s">
        <v>27</v>
      </c>
      <c r="T737" t="s">
        <v>172</v>
      </c>
      <c r="U737" t="s">
        <v>115</v>
      </c>
      <c r="V737" t="s">
        <v>1272</v>
      </c>
      <c r="W737">
        <v>300</v>
      </c>
      <c r="X737">
        <v>20097785</v>
      </c>
      <c r="Y737" t="s">
        <v>1273</v>
      </c>
      <c r="Z737" t="s">
        <v>119</v>
      </c>
      <c r="AA737" t="s">
        <v>24</v>
      </c>
      <c r="AB737" t="s">
        <v>120</v>
      </c>
      <c r="AC737" t="s">
        <v>25</v>
      </c>
      <c r="AD737" t="s">
        <v>121</v>
      </c>
      <c r="AE737">
        <v>48</v>
      </c>
      <c r="AF737" t="s">
        <v>27</v>
      </c>
      <c r="AG737" t="s">
        <v>26</v>
      </c>
      <c r="AH737" t="s">
        <v>6688</v>
      </c>
      <c r="AI737" t="str">
        <f t="shared" si="55"/>
        <v>NO</v>
      </c>
      <c r="AJ737" t="str">
        <f t="shared" si="56"/>
        <v>NOVAMED</v>
      </c>
      <c r="AK737" t="str">
        <f>IF(ISNUMBER(SEARCH("FABRICANTE",AC737)),"FABRICANTE",IF(ISNUMBER(SEARCH("IMPORTADOR",AC737)),"IMPORTADOR","OTRO"))</f>
        <v>FABRICANTE</v>
      </c>
      <c r="AL737" t="str">
        <f>IF(LEFT(Y737,1)="A","Sistema digestivo",IF(LEFT(Y737,1)="B","Sangre",IF(LEFT(Y737,1)="C","Cardiovascular",IF(LEFT(Y737,1)="D","Dermatológico",IF(LEFT(Y737,1)="G","Genitourinario",IF(LEFT(Y737,1)="H","Hormonal",IF(LEFT(Y737,1)="J","Antiinfecciosos",IF(LEFT(Y737,1)="L","Oncológicos",IF(LEFT(Y737,1)="M","Musculoesquelético",IF(LEFT(Y737,1)="N","Sistema nervioso",IF(LEFT(Y737,1)="R","Respiratorio",IF(LEFT(Y737,1)="S","Oftálmico",IF(LEFT(Y737,1)="V","Varios","OTRO")))))))))))))</f>
        <v>Sistema digestivo</v>
      </c>
      <c r="AM737" t="str">
        <f>IF(AG737="Vigente","ACTIVO",IF(ISNUMBER(SEARCH("Inactivo",J737)),"INACTIVO","REVISAR"))</f>
        <v>ACTIVO</v>
      </c>
      <c r="AN737" t="str">
        <f ca="1">IF(OR(AF737="",AF737="null"),"",ROUND((AF737-TODAY())/365.25,2))</f>
        <v/>
      </c>
      <c r="AO737" t="str">
        <f ca="1">IF(AND(AG737="Vigente",OR(AF737="",AF737="null",AF737&gt;TODAY())),"SI",IF(AND(NOT(OR(AF737="",AF737="null")),AF737&lt;=TODAY()),"NO",IF(AG737="Vigente","SI","DESCONOCIDO")))</f>
        <v>SI</v>
      </c>
      <c r="AP737" t="str">
        <f>IF(AND(ISNUMBER(SEARCH("IMPORTAR",AA737)),ISNUMBER(SEARCH("FABRICAR",AA737))),"MIXTO",IF(ISNUMBER(SEARCH("IMPORTAR",AA737)),"IMPORTADO",IF(ISNUMBER(SEARCH("FABRICAR",AA737)),"LOCAL","OTRO")))</f>
        <v>LOCAL</v>
      </c>
      <c r="AQ737" t="str">
        <f>IF(AD737="Si","SI",IF(AD737="No","NO",""))</f>
        <v>NO</v>
      </c>
      <c r="AR737" t="str">
        <f>IF(ISNUMBER(SEARCH("®",N737)),"MARCA/INNOVADOR","GENERICO")</f>
        <v>MARCA/INNOVADOR</v>
      </c>
      <c r="AS737">
        <f ca="1">IF(AE737&gt;100,RANDBETWEEN(500,5000),IF(AND(AE737&gt;=10,AE737&lt;=100),RANDBETWEEN(100,1000),RANDBETWEEN(10,200)))</f>
        <v>781</v>
      </c>
      <c r="AT737">
        <f t="shared" ca="1" si="57"/>
        <v>171</v>
      </c>
      <c r="AU737">
        <f ca="1">INT(AS737*RANDBETWEEN(120,200)/100)</f>
        <v>1179</v>
      </c>
      <c r="AV737" s="2">
        <f ca="1">IF(LEFT(Y737,1)="L",RANDBETWEEN(500000,5000000),IF(LEFT(Y737,1)="C",RANDBETWEEN(5000,50000),IF(LEFT(Y737,1)="N",RANDBETWEEN(10000,150000),IF(LEFT(Y737,1)="J",RANDBETWEEN(8000,200000),RANDBETWEEN(5000,100000)))))</f>
        <v>89182</v>
      </c>
      <c r="AW737" s="2">
        <f ca="1">INT(AV737*RANDBETWEEN(30,60)/100)</f>
        <v>36564</v>
      </c>
      <c r="AX737">
        <f ca="1">IF(Z737="ORAL",RANDBETWEEN(1000,10000),IF(OR(Z737="INTRAVENOSA",Z737="INTRAMUSCULAR"),RANDBETWEEN(100,2000),IF(OR(Z737="OFTÁLMICA",Z737="TOPICA (EXTERNA)"),RANDBETWEEN(200,3000),RANDBETWEEN(100,1500))))</f>
        <v>2665</v>
      </c>
      <c r="AY737" s="2">
        <f ca="1">INT(AV737*RANDBETWEEN(90,130)/100)</f>
        <v>110585</v>
      </c>
      <c r="AZ737" t="str">
        <f t="shared" ca="1" si="58"/>
        <v>16.2%</v>
      </c>
      <c r="BA737" t="str">
        <f t="shared" ca="1" si="59"/>
        <v>BAJO</v>
      </c>
    </row>
    <row r="738" spans="4:53" x14ac:dyDescent="0.35">
      <c r="D738" t="s">
        <v>4794</v>
      </c>
      <c r="E738" s="1">
        <v>40388</v>
      </c>
      <c r="F738" t="s">
        <v>966</v>
      </c>
      <c r="G738" t="s">
        <v>108</v>
      </c>
      <c r="H738" t="s">
        <v>168</v>
      </c>
      <c r="I738">
        <v>20019330</v>
      </c>
      <c r="J738" t="s">
        <v>28</v>
      </c>
      <c r="K738">
        <v>3</v>
      </c>
      <c r="L738" t="s">
        <v>27</v>
      </c>
      <c r="M738" t="s">
        <v>4795</v>
      </c>
      <c r="N738" t="s">
        <v>4796</v>
      </c>
      <c r="O738" t="s">
        <v>4797</v>
      </c>
      <c r="P738" t="s">
        <v>2097</v>
      </c>
      <c r="Q738" s="1">
        <v>40380</v>
      </c>
      <c r="R738" t="s">
        <v>459</v>
      </c>
      <c r="S738" t="s">
        <v>27</v>
      </c>
      <c r="T738" t="s">
        <v>172</v>
      </c>
      <c r="U738" t="s">
        <v>115</v>
      </c>
      <c r="V738" t="s">
        <v>2627</v>
      </c>
      <c r="W738">
        <v>200</v>
      </c>
      <c r="X738">
        <v>20019330</v>
      </c>
      <c r="Y738" t="s">
        <v>4798</v>
      </c>
      <c r="Z738" t="s">
        <v>119</v>
      </c>
      <c r="AA738" t="s">
        <v>24</v>
      </c>
      <c r="AB738" t="s">
        <v>250</v>
      </c>
      <c r="AC738" t="s">
        <v>25</v>
      </c>
      <c r="AD738" t="s">
        <v>121</v>
      </c>
      <c r="AE738">
        <v>1</v>
      </c>
      <c r="AF738" t="s">
        <v>27</v>
      </c>
      <c r="AG738" t="s">
        <v>26</v>
      </c>
      <c r="AH738" t="s">
        <v>966</v>
      </c>
      <c r="AI738" t="str">
        <f t="shared" si="55"/>
        <v>NO</v>
      </c>
      <c r="AJ738" t="str">
        <f t="shared" si="56"/>
        <v>NOVAMED</v>
      </c>
      <c r="AK738" t="str">
        <f>IF(ISNUMBER(SEARCH("FABRICANTE",AC738)),"FABRICANTE",IF(ISNUMBER(SEARCH("IMPORTADOR",AC738)),"IMPORTADOR","OTRO"))</f>
        <v>FABRICANTE</v>
      </c>
      <c r="AL738" t="str">
        <f>IF(LEFT(Y738,1)="A","Sistema digestivo",IF(LEFT(Y738,1)="B","Sangre",IF(LEFT(Y738,1)="C","Cardiovascular",IF(LEFT(Y738,1)="D","Dermatológico",IF(LEFT(Y738,1)="G","Genitourinario",IF(LEFT(Y738,1)="H","Hormonal",IF(LEFT(Y738,1)="J","Antiinfecciosos",IF(LEFT(Y738,1)="L","Oncológicos",IF(LEFT(Y738,1)="M","Musculoesquelético",IF(LEFT(Y738,1)="N","Sistema nervioso",IF(LEFT(Y738,1)="R","Respiratorio",IF(LEFT(Y738,1)="S","Oftálmico",IF(LEFT(Y738,1)="V","Varios","OTRO")))))))))))))</f>
        <v>Respiratorio</v>
      </c>
      <c r="AM738" t="str">
        <f>IF(AG738="Vigente","ACTIVO",IF(ISNUMBER(SEARCH("Inactivo",J738)),"INACTIVO","REVISAR"))</f>
        <v>ACTIVO</v>
      </c>
      <c r="AN738" t="str">
        <f ca="1">IF(OR(AF738="",AF738="null"),"",ROUND((AF738-TODAY())/365.25,2))</f>
        <v/>
      </c>
      <c r="AO738" t="str">
        <f ca="1">IF(AND(AG738="Vigente",OR(AF738="",AF738="null",AF738&gt;TODAY())),"SI",IF(AND(NOT(OR(AF738="",AF738="null")),AF738&lt;=TODAY()),"NO",IF(AG738="Vigente","SI","DESCONOCIDO")))</f>
        <v>SI</v>
      </c>
      <c r="AP738" t="str">
        <f>IF(AND(ISNUMBER(SEARCH("IMPORTAR",AA738)),ISNUMBER(SEARCH("FABRICAR",AA738))),"MIXTO",IF(ISNUMBER(SEARCH("IMPORTAR",AA738)),"IMPORTADO",IF(ISNUMBER(SEARCH("FABRICAR",AA738)),"LOCAL","OTRO")))</f>
        <v>LOCAL</v>
      </c>
      <c r="AQ738" t="str">
        <f>IF(AD738="Si","SI",IF(AD738="No","NO",""))</f>
        <v>NO</v>
      </c>
      <c r="AR738" t="str">
        <f>IF(ISNUMBER(SEARCH("®",N738)),"MARCA/INNOVADOR","GENERICO")</f>
        <v>GENERICO</v>
      </c>
      <c r="AS738">
        <f ca="1">IF(AE738&gt;100,RANDBETWEEN(500,5000),IF(AND(AE738&gt;=10,AE738&lt;=100),RANDBETWEEN(100,1000),RANDBETWEEN(10,200)))</f>
        <v>30</v>
      </c>
      <c r="AT738">
        <f t="shared" ca="1" si="57"/>
        <v>6</v>
      </c>
      <c r="AU738">
        <f ca="1">INT(AS738*RANDBETWEEN(120,200)/100)</f>
        <v>51</v>
      </c>
      <c r="AV738" s="2">
        <f ca="1">IF(LEFT(Y738,1)="L",RANDBETWEEN(500000,5000000),IF(LEFT(Y738,1)="C",RANDBETWEEN(5000,50000),IF(LEFT(Y738,1)="N",RANDBETWEEN(10000,150000),IF(LEFT(Y738,1)="J",RANDBETWEEN(8000,200000),RANDBETWEEN(5000,100000)))))</f>
        <v>93696</v>
      </c>
      <c r="AW738" s="2">
        <f ca="1">INT(AV738*RANDBETWEEN(30,60)/100)</f>
        <v>40289</v>
      </c>
      <c r="AX738">
        <f ca="1">IF(Z738="ORAL",RANDBETWEEN(1000,10000),IF(OR(Z738="INTRAVENOSA",Z738="INTRAMUSCULAR"),RANDBETWEEN(100,2000),IF(OR(Z738="OFTÁLMICA",Z738="TOPICA (EXTERNA)"),RANDBETWEEN(200,3000),RANDBETWEEN(100,1500))))</f>
        <v>7699</v>
      </c>
      <c r="AY738" s="2">
        <f ca="1">INT(AV738*RANDBETWEEN(90,130)/100)</f>
        <v>108687</v>
      </c>
      <c r="AZ738" t="str">
        <f t="shared" ca="1" si="58"/>
        <v>14.9%</v>
      </c>
      <c r="BA738" t="str">
        <f t="shared" ca="1" si="59"/>
        <v>BAJO</v>
      </c>
    </row>
    <row r="739" spans="4:53" x14ac:dyDescent="0.35">
      <c r="D739" t="s">
        <v>4799</v>
      </c>
      <c r="E739" s="1">
        <v>44160</v>
      </c>
      <c r="F739" t="s">
        <v>4800</v>
      </c>
      <c r="G739" t="s">
        <v>108</v>
      </c>
      <c r="H739" t="s">
        <v>4801</v>
      </c>
      <c r="I739">
        <v>20173534</v>
      </c>
      <c r="J739" t="s">
        <v>28</v>
      </c>
      <c r="K739">
        <v>4</v>
      </c>
      <c r="L739" t="s">
        <v>4802</v>
      </c>
      <c r="M739" t="s">
        <v>4803</v>
      </c>
      <c r="N739" t="s">
        <v>4804</v>
      </c>
      <c r="O739" t="s">
        <v>4805</v>
      </c>
      <c r="P739" t="s">
        <v>33</v>
      </c>
      <c r="Q739" s="1">
        <v>44145</v>
      </c>
      <c r="R739" t="s">
        <v>33</v>
      </c>
      <c r="S739" t="s">
        <v>27</v>
      </c>
      <c r="T739" t="s">
        <v>1011</v>
      </c>
      <c r="U739" t="s">
        <v>115</v>
      </c>
      <c r="V739" t="s">
        <v>667</v>
      </c>
      <c r="W739">
        <v>10</v>
      </c>
      <c r="X739">
        <v>20173534</v>
      </c>
      <c r="Y739" t="s">
        <v>668</v>
      </c>
      <c r="Z739" t="s">
        <v>119</v>
      </c>
      <c r="AA739" t="s">
        <v>32</v>
      </c>
      <c r="AB739" t="s">
        <v>120</v>
      </c>
      <c r="AC739" t="s">
        <v>25</v>
      </c>
      <c r="AD739" t="s">
        <v>121</v>
      </c>
      <c r="AE739">
        <v>90</v>
      </c>
      <c r="AF739" t="s">
        <v>27</v>
      </c>
      <c r="AG739" t="s">
        <v>26</v>
      </c>
      <c r="AH739" t="s">
        <v>667</v>
      </c>
      <c r="AI739" t="str">
        <f t="shared" si="55"/>
        <v>NO</v>
      </c>
      <c r="AJ739" t="str">
        <f t="shared" si="56"/>
        <v>EUROFARMA COLOMBIA</v>
      </c>
      <c r="AK739" t="str">
        <f>IF(ISNUMBER(SEARCH("FABRICANTE",AC739)),"FABRICANTE",IF(ISNUMBER(SEARCH("IMPORTADOR",AC739)),"IMPORTADOR","OTRO"))</f>
        <v>FABRICANTE</v>
      </c>
      <c r="AL739" t="str">
        <f>IF(LEFT(Y739,1)="A","Sistema digestivo",IF(LEFT(Y739,1)="B","Sangre",IF(LEFT(Y739,1)="C","Cardiovascular",IF(LEFT(Y739,1)="D","Dermatológico",IF(LEFT(Y739,1)="G","Genitourinario",IF(LEFT(Y739,1)="H","Hormonal",IF(LEFT(Y739,1)="J","Antiinfecciosos",IF(LEFT(Y739,1)="L","Oncológicos",IF(LEFT(Y739,1)="M","Musculoesquelético",IF(LEFT(Y739,1)="N","Sistema nervioso",IF(LEFT(Y739,1)="R","Respiratorio",IF(LEFT(Y739,1)="S","Oftálmico",IF(LEFT(Y739,1)="V","Varios","OTRO")))))))))))))</f>
        <v>Cardiovascular</v>
      </c>
      <c r="AM739" t="str">
        <f>IF(AG739="Vigente","ACTIVO",IF(ISNUMBER(SEARCH("Inactivo",J739)),"INACTIVO","REVISAR"))</f>
        <v>ACTIVO</v>
      </c>
      <c r="AN739" t="str">
        <f ca="1">IF(OR(AF739="",AF739="null"),"",ROUND((AF739-TODAY())/365.25,2))</f>
        <v/>
      </c>
      <c r="AO739" t="str">
        <f ca="1">IF(AND(AG739="Vigente",OR(AF739="",AF739="null",AF739&gt;TODAY())),"SI",IF(AND(NOT(OR(AF739="",AF739="null")),AF739&lt;=TODAY()),"NO",IF(AG739="Vigente","SI","DESCONOCIDO")))</f>
        <v>SI</v>
      </c>
      <c r="AP739" t="str">
        <f>IF(AND(ISNUMBER(SEARCH("IMPORTAR",AA739)),ISNUMBER(SEARCH("FABRICAR",AA739))),"MIXTO",IF(ISNUMBER(SEARCH("IMPORTAR",AA739)),"IMPORTADO",IF(ISNUMBER(SEARCH("FABRICAR",AA739)),"LOCAL","OTRO")))</f>
        <v>IMPORTADO</v>
      </c>
      <c r="AQ739" t="str">
        <f>IF(AD739="Si","SI",IF(AD739="No","NO",""))</f>
        <v>NO</v>
      </c>
      <c r="AR739" t="str">
        <f>IF(ISNUMBER(SEARCH("®",N739)),"MARCA/INNOVADOR","GENERICO")</f>
        <v>GENERICO</v>
      </c>
      <c r="AS739">
        <f ca="1">IF(AE739&gt;100,RANDBETWEEN(500,5000),IF(AND(AE739&gt;=10,AE739&lt;=100),RANDBETWEEN(100,1000),RANDBETWEEN(10,200)))</f>
        <v>551</v>
      </c>
      <c r="AT739">
        <f t="shared" ca="1" si="57"/>
        <v>104</v>
      </c>
      <c r="AU739">
        <f ca="1">INT(AS739*RANDBETWEEN(120,200)/100)</f>
        <v>1096</v>
      </c>
      <c r="AV739" s="2">
        <f ca="1">IF(LEFT(Y739,1)="L",RANDBETWEEN(500000,5000000),IF(LEFT(Y739,1)="C",RANDBETWEEN(5000,50000),IF(LEFT(Y739,1)="N",RANDBETWEEN(10000,150000),IF(LEFT(Y739,1)="J",RANDBETWEEN(8000,200000),RANDBETWEEN(5000,100000)))))</f>
        <v>48752</v>
      </c>
      <c r="AW739" s="2">
        <f ca="1">INT(AV739*RANDBETWEEN(30,60)/100)</f>
        <v>25838</v>
      </c>
      <c r="AX739">
        <f ca="1">IF(Z739="ORAL",RANDBETWEEN(1000,10000),IF(OR(Z739="INTRAVENOSA",Z739="INTRAMUSCULAR"),RANDBETWEEN(100,2000),IF(OR(Z739="OFTÁLMICA",Z739="TOPICA (EXTERNA)"),RANDBETWEEN(200,3000),RANDBETWEEN(100,1500))))</f>
        <v>3706</v>
      </c>
      <c r="AY739" s="2">
        <f ca="1">INT(AV739*RANDBETWEEN(90,130)/100)</f>
        <v>44364</v>
      </c>
      <c r="AZ739" t="str">
        <f t="shared" ca="1" si="58"/>
        <v>14.3%</v>
      </c>
      <c r="BA739" t="str">
        <f t="shared" ca="1" si="59"/>
        <v>BAJO</v>
      </c>
    </row>
    <row r="740" spans="4:53" x14ac:dyDescent="0.35">
      <c r="D740" t="s">
        <v>4806</v>
      </c>
      <c r="E740" s="1">
        <v>42401</v>
      </c>
      <c r="F740" t="s">
        <v>2380</v>
      </c>
      <c r="G740" t="s">
        <v>108</v>
      </c>
      <c r="H740" t="s">
        <v>168</v>
      </c>
      <c r="I740">
        <v>20064702</v>
      </c>
      <c r="J740" t="s">
        <v>28</v>
      </c>
      <c r="K740">
        <v>12</v>
      </c>
      <c r="L740" t="s">
        <v>27</v>
      </c>
      <c r="M740" t="s">
        <v>2381</v>
      </c>
      <c r="N740" t="s">
        <v>2382</v>
      </c>
      <c r="O740" t="s">
        <v>4807</v>
      </c>
      <c r="P740" t="s">
        <v>2384</v>
      </c>
      <c r="Q740" s="1">
        <v>42208</v>
      </c>
      <c r="R740" t="s">
        <v>780</v>
      </c>
      <c r="S740" t="s">
        <v>27</v>
      </c>
      <c r="T740" t="s">
        <v>172</v>
      </c>
      <c r="U740" t="s">
        <v>115</v>
      </c>
      <c r="V740" t="s">
        <v>2385</v>
      </c>
      <c r="W740" t="s">
        <v>2386</v>
      </c>
      <c r="X740">
        <v>20064702</v>
      </c>
      <c r="Y740" t="s">
        <v>2387</v>
      </c>
      <c r="Z740" t="s">
        <v>119</v>
      </c>
      <c r="AA740" t="s">
        <v>165</v>
      </c>
      <c r="AB740" t="s">
        <v>120</v>
      </c>
      <c r="AC740" t="s">
        <v>38</v>
      </c>
      <c r="AD740" t="s">
        <v>121</v>
      </c>
      <c r="AE740">
        <v>300</v>
      </c>
      <c r="AF740" t="s">
        <v>27</v>
      </c>
      <c r="AG740" t="s">
        <v>26</v>
      </c>
      <c r="AH740" t="s">
        <v>2380</v>
      </c>
      <c r="AI740" t="str">
        <f t="shared" si="55"/>
        <v>NO</v>
      </c>
      <c r="AJ740" t="str">
        <f t="shared" si="56"/>
        <v>NOVAMED</v>
      </c>
      <c r="AK740" t="str">
        <f>IF(ISNUMBER(SEARCH("FABRICANTE",AC740)),"FABRICANTE",IF(ISNUMBER(SEARCH("IMPORTADOR",AC740)),"IMPORTADOR","OTRO"))</f>
        <v>IMPORTADOR</v>
      </c>
      <c r="AL740" t="str">
        <f>IF(LEFT(Y740,1)="A","Sistema digestivo",IF(LEFT(Y740,1)="B","Sangre",IF(LEFT(Y740,1)="C","Cardiovascular",IF(LEFT(Y740,1)="D","Dermatológico",IF(LEFT(Y740,1)="G","Genitourinario",IF(LEFT(Y740,1)="H","Hormonal",IF(LEFT(Y740,1)="J","Antiinfecciosos",IF(LEFT(Y740,1)="L","Oncológicos",IF(LEFT(Y740,1)="M","Musculoesquelético",IF(LEFT(Y740,1)="N","Sistema nervioso",IF(LEFT(Y740,1)="R","Respiratorio",IF(LEFT(Y740,1)="S","Oftálmico",IF(LEFT(Y740,1)="V","Varios","OTRO")))))))))))))</f>
        <v>Genitourinario</v>
      </c>
      <c r="AM740" t="str">
        <f>IF(AG740="Vigente","ACTIVO",IF(ISNUMBER(SEARCH("Inactivo",J740)),"INACTIVO","REVISAR"))</f>
        <v>ACTIVO</v>
      </c>
      <c r="AN740" t="str">
        <f ca="1">IF(OR(AF740="",AF740="null"),"",ROUND((AF740-TODAY())/365.25,2))</f>
        <v/>
      </c>
      <c r="AO740" t="str">
        <f ca="1">IF(AND(AG740="Vigente",OR(AF740="",AF740="null",AF740&gt;TODAY())),"SI",IF(AND(NOT(OR(AF740="",AF740="null")),AF740&lt;=TODAY()),"NO",IF(AG740="Vigente","SI","DESCONOCIDO")))</f>
        <v>SI</v>
      </c>
      <c r="AP740" t="str">
        <f>IF(AND(ISNUMBER(SEARCH("IMPORTAR",AA740)),ISNUMBER(SEARCH("FABRICAR",AA740))),"MIXTO",IF(ISNUMBER(SEARCH("IMPORTAR",AA740)),"IMPORTADO",IF(ISNUMBER(SEARCH("FABRICAR",AA740)),"LOCAL","OTRO")))</f>
        <v>IMPORTADO</v>
      </c>
      <c r="AQ740" t="str">
        <f>IF(AD740="Si","SI",IF(AD740="No","NO",""))</f>
        <v>NO</v>
      </c>
      <c r="AR740" t="str">
        <f>IF(ISNUMBER(SEARCH("®",N740)),"MARCA/INNOVADOR","GENERICO")</f>
        <v>GENERICO</v>
      </c>
      <c r="AS740">
        <f ca="1">IF(AE740&gt;100,RANDBETWEEN(500,5000),IF(AND(AE740&gt;=10,AE740&lt;=100),RANDBETWEEN(100,1000),RANDBETWEEN(10,200)))</f>
        <v>2543</v>
      </c>
      <c r="AT740">
        <f t="shared" ca="1" si="57"/>
        <v>534</v>
      </c>
      <c r="AU740">
        <f ca="1">INT(AS740*RANDBETWEEN(120,200)/100)</f>
        <v>4882</v>
      </c>
      <c r="AV740" s="2">
        <f ca="1">IF(LEFT(Y740,1)="L",RANDBETWEEN(500000,5000000),IF(LEFT(Y740,1)="C",RANDBETWEEN(5000,50000),IF(LEFT(Y740,1)="N",RANDBETWEEN(10000,150000),IF(LEFT(Y740,1)="J",RANDBETWEEN(8000,200000),RANDBETWEEN(5000,100000)))))</f>
        <v>83999</v>
      </c>
      <c r="AW740" s="2">
        <f ca="1">INT(AV740*RANDBETWEEN(30,60)/100)</f>
        <v>31079</v>
      </c>
      <c r="AX740">
        <f ca="1">IF(Z740="ORAL",RANDBETWEEN(1000,10000),IF(OR(Z740="INTRAVENOSA",Z740="INTRAMUSCULAR"),RANDBETWEEN(100,2000),IF(OR(Z740="OFTÁLMICA",Z740="TOPICA (EXTERNA)"),RANDBETWEEN(200,3000),RANDBETWEEN(100,1500))))</f>
        <v>1645</v>
      </c>
      <c r="AY740" s="2">
        <f ca="1">INT(AV740*RANDBETWEEN(90,130)/100)</f>
        <v>102478</v>
      </c>
      <c r="AZ740" t="str">
        <f t="shared" ca="1" si="58"/>
        <v>11.5%</v>
      </c>
      <c r="BA740" t="str">
        <f t="shared" ca="1" si="59"/>
        <v>BAJO</v>
      </c>
    </row>
    <row r="741" spans="4:53" x14ac:dyDescent="0.35">
      <c r="D741" t="s">
        <v>4808</v>
      </c>
      <c r="E741" s="1">
        <v>39840</v>
      </c>
      <c r="F741" t="s">
        <v>76</v>
      </c>
      <c r="G741" t="s">
        <v>108</v>
      </c>
      <c r="H741" t="s">
        <v>362</v>
      </c>
      <c r="I741">
        <v>19993863</v>
      </c>
      <c r="J741" t="s">
        <v>110</v>
      </c>
      <c r="K741">
        <v>12</v>
      </c>
      <c r="L741" t="s">
        <v>27</v>
      </c>
      <c r="M741" t="s">
        <v>363</v>
      </c>
      <c r="N741" t="s">
        <v>364</v>
      </c>
      <c r="O741" t="s">
        <v>4809</v>
      </c>
      <c r="P741" t="s">
        <v>366</v>
      </c>
      <c r="Q741" s="1">
        <v>41985</v>
      </c>
      <c r="R741" t="s">
        <v>67</v>
      </c>
      <c r="S741" t="s">
        <v>27</v>
      </c>
      <c r="T741" t="s">
        <v>367</v>
      </c>
      <c r="U741" t="s">
        <v>247</v>
      </c>
      <c r="V741" t="s">
        <v>248</v>
      </c>
      <c r="W741" t="s">
        <v>4810</v>
      </c>
      <c r="X741">
        <v>19993863</v>
      </c>
      <c r="Y741" t="s">
        <v>249</v>
      </c>
      <c r="Z741" t="s">
        <v>119</v>
      </c>
      <c r="AA741" t="s">
        <v>32</v>
      </c>
      <c r="AB741" t="s">
        <v>250</v>
      </c>
      <c r="AC741" t="s">
        <v>38</v>
      </c>
      <c r="AD741" t="s">
        <v>121</v>
      </c>
      <c r="AE741">
        <v>1</v>
      </c>
      <c r="AF741" s="1">
        <v>401769</v>
      </c>
      <c r="AG741" t="s">
        <v>26</v>
      </c>
      <c r="AH741" t="s">
        <v>6777</v>
      </c>
      <c r="AI741" t="str">
        <f t="shared" si="55"/>
        <v>NO</v>
      </c>
      <c r="AJ741" t="str">
        <f t="shared" si="56"/>
        <v>LABORATORIOS PISA</v>
      </c>
      <c r="AK741" t="str">
        <f>IF(ISNUMBER(SEARCH("FABRICANTE",AC741)),"FABRICANTE",IF(ISNUMBER(SEARCH("IMPORTADOR",AC741)),"IMPORTADOR","OTRO"))</f>
        <v>IMPORTADOR</v>
      </c>
      <c r="AL741" t="str">
        <f>IF(LEFT(Y741,1)="A","Sistema digestivo",IF(LEFT(Y741,1)="B","Sangre",IF(LEFT(Y741,1)="C","Cardiovascular",IF(LEFT(Y741,1)="D","Dermatológico",IF(LEFT(Y741,1)="G","Genitourinario",IF(LEFT(Y741,1)="H","Hormonal",IF(LEFT(Y741,1)="J","Antiinfecciosos",IF(LEFT(Y741,1)="L","Oncológicos",IF(LEFT(Y741,1)="M","Musculoesquelético",IF(LEFT(Y741,1)="N","Sistema nervioso",IF(LEFT(Y741,1)="R","Respiratorio",IF(LEFT(Y741,1)="S","Oftálmico",IF(LEFT(Y741,1)="V","Varios","OTRO")))))))))))))</f>
        <v>Sistema digestivo</v>
      </c>
      <c r="AM741" t="str">
        <f>IF(AG741="Vigente","ACTIVO",IF(ISNUMBER(SEARCH("Inactivo",J741)),"INACTIVO","REVISAR"))</f>
        <v>ACTIVO</v>
      </c>
      <c r="AN741">
        <f ca="1">IF(OR(AF741="",AF741="null"),"",ROUND((AF741-TODAY())/365.25,2))</f>
        <v>973.58</v>
      </c>
      <c r="AO741" t="str">
        <f ca="1">IF(AND(AG741="Vigente",OR(AF741="",AF741="null",AF741&gt;TODAY())),"SI",IF(AND(NOT(OR(AF741="",AF741="null")),AF741&lt;=TODAY()),"NO",IF(AG741="Vigente","SI","DESCONOCIDO")))</f>
        <v>SI</v>
      </c>
      <c r="AP741" t="str">
        <f>IF(AND(ISNUMBER(SEARCH("IMPORTAR",AA741)),ISNUMBER(SEARCH("FABRICAR",AA741))),"MIXTO",IF(ISNUMBER(SEARCH("IMPORTAR",AA741)),"IMPORTADO",IF(ISNUMBER(SEARCH("FABRICAR",AA741)),"LOCAL","OTRO")))</f>
        <v>IMPORTADO</v>
      </c>
      <c r="AQ741" t="str">
        <f>IF(AD741="Si","SI",IF(AD741="No","NO",""))</f>
        <v>NO</v>
      </c>
      <c r="AR741" t="str">
        <f>IF(ISNUMBER(SEARCH("®",N741)),"MARCA/INNOVADOR","GENERICO")</f>
        <v>MARCA/INNOVADOR</v>
      </c>
      <c r="AS741">
        <f ca="1">IF(AE741&gt;100,RANDBETWEEN(500,5000),IF(AND(AE741&gt;=10,AE741&lt;=100),RANDBETWEEN(100,1000),RANDBETWEEN(10,200)))</f>
        <v>91</v>
      </c>
      <c r="AT741">
        <f t="shared" ca="1" si="57"/>
        <v>17</v>
      </c>
      <c r="AU741">
        <f ca="1">INT(AS741*RANDBETWEEN(120,200)/100)</f>
        <v>115</v>
      </c>
      <c r="AV741" s="2">
        <f ca="1">IF(LEFT(Y741,1)="L",RANDBETWEEN(500000,5000000),IF(LEFT(Y741,1)="C",RANDBETWEEN(5000,50000),IF(LEFT(Y741,1)="N",RANDBETWEEN(10000,150000),IF(LEFT(Y741,1)="J",RANDBETWEEN(8000,200000),RANDBETWEEN(5000,100000)))))</f>
        <v>63314</v>
      </c>
      <c r="AW741" s="2">
        <f ca="1">INT(AV741*RANDBETWEEN(30,60)/100)</f>
        <v>32290</v>
      </c>
      <c r="AX741">
        <f ca="1">IF(Z741="ORAL",RANDBETWEEN(1000,10000),IF(OR(Z741="INTRAVENOSA",Z741="INTRAMUSCULAR"),RANDBETWEEN(100,2000),IF(OR(Z741="OFTÁLMICA",Z741="TOPICA (EXTERNA)"),RANDBETWEEN(200,3000),RANDBETWEEN(100,1500))))</f>
        <v>9124</v>
      </c>
      <c r="AY741" s="2">
        <f ca="1">INT(AV741*RANDBETWEEN(90,130)/100)</f>
        <v>71544</v>
      </c>
      <c r="AZ741" t="str">
        <f t="shared" ca="1" si="58"/>
        <v>7.3%</v>
      </c>
      <c r="BA741" t="str">
        <f t="shared" ca="1" si="59"/>
        <v>MEDIO</v>
      </c>
    </row>
    <row r="742" spans="4:53" x14ac:dyDescent="0.35">
      <c r="D742" t="s">
        <v>4811</v>
      </c>
      <c r="E742" s="1">
        <v>45497</v>
      </c>
      <c r="F742" t="s">
        <v>4812</v>
      </c>
      <c r="G742" t="s">
        <v>108</v>
      </c>
      <c r="H742" t="s">
        <v>1456</v>
      </c>
      <c r="I742">
        <v>20220106</v>
      </c>
      <c r="J742" t="s">
        <v>28</v>
      </c>
      <c r="K742">
        <v>1</v>
      </c>
      <c r="L742" t="s">
        <v>27</v>
      </c>
      <c r="M742" t="s">
        <v>1457</v>
      </c>
      <c r="N742" t="s">
        <v>1458</v>
      </c>
      <c r="O742" t="s">
        <v>1459</v>
      </c>
      <c r="P742" t="s">
        <v>97</v>
      </c>
      <c r="Q742" s="1">
        <v>45274</v>
      </c>
      <c r="R742" t="s">
        <v>33</v>
      </c>
      <c r="S742" t="s">
        <v>27</v>
      </c>
      <c r="T742" t="s">
        <v>454</v>
      </c>
      <c r="U742" t="s">
        <v>115</v>
      </c>
      <c r="V742" t="s">
        <v>330</v>
      </c>
      <c r="W742">
        <v>6</v>
      </c>
      <c r="X742">
        <v>20220106</v>
      </c>
      <c r="Y742" t="s">
        <v>331</v>
      </c>
      <c r="Z742" t="s">
        <v>119</v>
      </c>
      <c r="AA742" t="s">
        <v>32</v>
      </c>
      <c r="AB742" t="s">
        <v>120</v>
      </c>
      <c r="AC742" t="s">
        <v>25</v>
      </c>
      <c r="AD742" t="s">
        <v>121</v>
      </c>
      <c r="AE742">
        <v>10</v>
      </c>
      <c r="AF742" s="1">
        <v>47338</v>
      </c>
      <c r="AG742" t="s">
        <v>26</v>
      </c>
      <c r="AH742" t="s">
        <v>4812</v>
      </c>
      <c r="AI742" t="str">
        <f t="shared" si="55"/>
        <v>NO</v>
      </c>
      <c r="AJ742" t="str">
        <f t="shared" si="56"/>
        <v>PROCAPS</v>
      </c>
      <c r="AK742" t="str">
        <f>IF(ISNUMBER(SEARCH("FABRICANTE",AC742)),"FABRICANTE",IF(ISNUMBER(SEARCH("IMPORTADOR",AC742)),"IMPORTADOR","OTRO"))</f>
        <v>FABRICANTE</v>
      </c>
      <c r="AL742" t="str">
        <f>IF(LEFT(Y742,1)="A","Sistema digestivo",IF(LEFT(Y742,1)="B","Sangre",IF(LEFT(Y742,1)="C","Cardiovascular",IF(LEFT(Y742,1)="D","Dermatológico",IF(LEFT(Y742,1)="G","Genitourinario",IF(LEFT(Y742,1)="H","Hormonal",IF(LEFT(Y742,1)="J","Antiinfecciosos",IF(LEFT(Y742,1)="L","Oncológicos",IF(LEFT(Y742,1)="M","Musculoesquelético",IF(LEFT(Y742,1)="N","Sistema nervioso",IF(LEFT(Y742,1)="R","Respiratorio",IF(LEFT(Y742,1)="S","Oftálmico",IF(LEFT(Y742,1)="V","Varios","OTRO")))))))))))))</f>
        <v>Cardiovascular</v>
      </c>
      <c r="AM742" t="str">
        <f>IF(AG742="Vigente","ACTIVO",IF(ISNUMBER(SEARCH("Inactivo",J742)),"INACTIVO","REVISAR"))</f>
        <v>ACTIVO</v>
      </c>
      <c r="AN742">
        <f ca="1">IF(OR(AF742="",AF742="null"),"",ROUND((AF742-TODAY())/365.25,2))</f>
        <v>3.2</v>
      </c>
      <c r="AO742" t="str">
        <f ca="1">IF(AND(AG742="Vigente",OR(AF742="",AF742="null",AF742&gt;TODAY())),"SI",IF(AND(NOT(OR(AF742="",AF742="null")),AF742&lt;=TODAY()),"NO",IF(AG742="Vigente","SI","DESCONOCIDO")))</f>
        <v>SI</v>
      </c>
      <c r="AP742" t="str">
        <f>IF(AND(ISNUMBER(SEARCH("IMPORTAR",AA742)),ISNUMBER(SEARCH("FABRICAR",AA742))),"MIXTO",IF(ISNUMBER(SEARCH("IMPORTAR",AA742)),"IMPORTADO",IF(ISNUMBER(SEARCH("FABRICAR",AA742)),"LOCAL","OTRO")))</f>
        <v>IMPORTADO</v>
      </c>
      <c r="AQ742" t="str">
        <f>IF(AD742="Si","SI",IF(AD742="No","NO",""))</f>
        <v>NO</v>
      </c>
      <c r="AR742" t="str">
        <f>IF(ISNUMBER(SEARCH("®",N742)),"MARCA/INNOVADOR","GENERICO")</f>
        <v>GENERICO</v>
      </c>
      <c r="AS742">
        <f ca="1">IF(AE742&gt;100,RANDBETWEEN(500,5000),IF(AND(AE742&gt;=10,AE742&lt;=100),RANDBETWEEN(100,1000),RANDBETWEEN(10,200)))</f>
        <v>953</v>
      </c>
      <c r="AT742">
        <f t="shared" ca="1" si="57"/>
        <v>276</v>
      </c>
      <c r="AU742">
        <f ca="1">INT(AS742*RANDBETWEEN(120,200)/100)</f>
        <v>1296</v>
      </c>
      <c r="AV742" s="2">
        <f ca="1">IF(LEFT(Y742,1)="L",RANDBETWEEN(500000,5000000),IF(LEFT(Y742,1)="C",RANDBETWEEN(5000,50000),IF(LEFT(Y742,1)="N",RANDBETWEEN(10000,150000),IF(LEFT(Y742,1)="J",RANDBETWEEN(8000,200000),RANDBETWEEN(5000,100000)))))</f>
        <v>45916</v>
      </c>
      <c r="AW742" s="2">
        <f ca="1">INT(AV742*RANDBETWEEN(30,60)/100)</f>
        <v>27090</v>
      </c>
      <c r="AX742">
        <f ca="1">IF(Z742="ORAL",RANDBETWEEN(1000,10000),IF(OR(Z742="INTRAVENOSA",Z742="INTRAMUSCULAR"),RANDBETWEEN(100,2000),IF(OR(Z742="OFTÁLMICA",Z742="TOPICA (EXTERNA)"),RANDBETWEEN(200,3000),RANDBETWEEN(100,1500))))</f>
        <v>4301</v>
      </c>
      <c r="AY742" s="2">
        <f ca="1">INT(AV742*RANDBETWEEN(90,130)/100)</f>
        <v>51425</v>
      </c>
      <c r="AZ742" t="str">
        <f t="shared" ca="1" si="58"/>
        <v>19.5%</v>
      </c>
      <c r="BA742" t="str">
        <f t="shared" ca="1" si="59"/>
        <v>MEDIO</v>
      </c>
    </row>
    <row r="743" spans="4:53" x14ac:dyDescent="0.35">
      <c r="D743" t="s">
        <v>4813</v>
      </c>
      <c r="E743" s="1">
        <v>42326</v>
      </c>
      <c r="F743" t="s">
        <v>453</v>
      </c>
      <c r="G743" t="s">
        <v>108</v>
      </c>
      <c r="H743" t="s">
        <v>1252</v>
      </c>
      <c r="I743">
        <v>20097707</v>
      </c>
      <c r="J743" t="s">
        <v>110</v>
      </c>
      <c r="K743">
        <v>12</v>
      </c>
      <c r="L743" t="s">
        <v>27</v>
      </c>
      <c r="M743" t="s">
        <v>4814</v>
      </c>
      <c r="N743" t="s">
        <v>4815</v>
      </c>
      <c r="O743" t="s">
        <v>4816</v>
      </c>
      <c r="P743" t="s">
        <v>527</v>
      </c>
      <c r="Q743" s="1">
        <v>42313</v>
      </c>
      <c r="R743" t="s">
        <v>527</v>
      </c>
      <c r="S743" s="1">
        <v>42326</v>
      </c>
      <c r="T743" t="s">
        <v>2089</v>
      </c>
      <c r="U743" t="s">
        <v>115</v>
      </c>
      <c r="V743" t="s">
        <v>162</v>
      </c>
      <c r="W743">
        <v>5</v>
      </c>
      <c r="X743">
        <v>20097707</v>
      </c>
      <c r="Y743" t="s">
        <v>164</v>
      </c>
      <c r="Z743" t="s">
        <v>119</v>
      </c>
      <c r="AA743" t="s">
        <v>848</v>
      </c>
      <c r="AB743" t="s">
        <v>120</v>
      </c>
      <c r="AC743" t="s">
        <v>25</v>
      </c>
      <c r="AD743" t="s">
        <v>121</v>
      </c>
      <c r="AE743">
        <v>20</v>
      </c>
      <c r="AF743" t="s">
        <v>27</v>
      </c>
      <c r="AG743" t="s">
        <v>26</v>
      </c>
      <c r="AH743" t="s">
        <v>453</v>
      </c>
      <c r="AI743" t="str">
        <f t="shared" si="55"/>
        <v>NO</v>
      </c>
      <c r="AJ743" t="str">
        <f t="shared" si="56"/>
        <v>COOPERATIVA NACIONAL DE DROGUISTAS DETALLISTAS - COOPIDROGAS</v>
      </c>
      <c r="AK743" t="str">
        <f>IF(ISNUMBER(SEARCH("FABRICANTE",AC743)),"FABRICANTE",IF(ISNUMBER(SEARCH("IMPORTADOR",AC743)),"IMPORTADOR","OTRO"))</f>
        <v>FABRICANTE</v>
      </c>
      <c r="AL743" t="str">
        <f>IF(LEFT(Y743,1)="A","Sistema digestivo",IF(LEFT(Y743,1)="B","Sangre",IF(LEFT(Y743,1)="C","Cardiovascular",IF(LEFT(Y743,1)="D","Dermatológico",IF(LEFT(Y743,1)="G","Genitourinario",IF(LEFT(Y743,1)="H","Hormonal",IF(LEFT(Y743,1)="J","Antiinfecciosos",IF(LEFT(Y743,1)="L","Oncológicos",IF(LEFT(Y743,1)="M","Musculoesquelético",IF(LEFT(Y743,1)="N","Sistema nervioso",IF(LEFT(Y743,1)="R","Respiratorio",IF(LEFT(Y743,1)="S","Oftálmico",IF(LEFT(Y743,1)="V","Varios","OTRO")))))))))))))</f>
        <v>Musculoesquelético</v>
      </c>
      <c r="AM743" t="str">
        <f>IF(AG743="Vigente","ACTIVO",IF(ISNUMBER(SEARCH("Inactivo",J743)),"INACTIVO","REVISAR"))</f>
        <v>ACTIVO</v>
      </c>
      <c r="AN743" t="str">
        <f ca="1">IF(OR(AF743="",AF743="null"),"",ROUND((AF743-TODAY())/365.25,2))</f>
        <v/>
      </c>
      <c r="AO743" t="str">
        <f ca="1">IF(AND(AG743="Vigente",OR(AF743="",AF743="null",AF743&gt;TODAY())),"SI",IF(AND(NOT(OR(AF743="",AF743="null")),AF743&lt;=TODAY()),"NO",IF(AG743="Vigente","SI","DESCONOCIDO")))</f>
        <v>SI</v>
      </c>
      <c r="AP743" t="str">
        <f>IF(AND(ISNUMBER(SEARCH("IMPORTAR",AA743)),ISNUMBER(SEARCH("FABRICAR",AA743))),"MIXTO",IF(ISNUMBER(SEARCH("IMPORTAR",AA743)),"IMPORTADO",IF(ISNUMBER(SEARCH("FABRICAR",AA743)),"LOCAL","OTRO")))</f>
        <v>IMPORTADO</v>
      </c>
      <c r="AQ743" t="str">
        <f>IF(AD743="Si","SI",IF(AD743="No","NO",""))</f>
        <v>NO</v>
      </c>
      <c r="AR743" t="str">
        <f>IF(ISNUMBER(SEARCH("®",N743)),"MARCA/INNOVADOR","GENERICO")</f>
        <v>GENERICO</v>
      </c>
      <c r="AS743">
        <f ca="1">IF(AE743&gt;100,RANDBETWEEN(500,5000),IF(AND(AE743&gt;=10,AE743&lt;=100),RANDBETWEEN(100,1000),RANDBETWEEN(10,200)))</f>
        <v>310</v>
      </c>
      <c r="AT743">
        <f t="shared" ca="1" si="57"/>
        <v>65</v>
      </c>
      <c r="AU743">
        <f ca="1">INT(AS743*RANDBETWEEN(120,200)/100)</f>
        <v>613</v>
      </c>
      <c r="AV743" s="2">
        <f ca="1">IF(LEFT(Y743,1)="L",RANDBETWEEN(500000,5000000),IF(LEFT(Y743,1)="C",RANDBETWEEN(5000,50000),IF(LEFT(Y743,1)="N",RANDBETWEEN(10000,150000),IF(LEFT(Y743,1)="J",RANDBETWEEN(8000,200000),RANDBETWEEN(5000,100000)))))</f>
        <v>45266</v>
      </c>
      <c r="AW743" s="2">
        <f ca="1">INT(AV743*RANDBETWEEN(30,60)/100)</f>
        <v>19917</v>
      </c>
      <c r="AX743">
        <f ca="1">IF(Z743="ORAL",RANDBETWEEN(1000,10000),IF(OR(Z743="INTRAVENOSA",Z743="INTRAMUSCULAR"),RANDBETWEEN(100,2000),IF(OR(Z743="OFTÁLMICA",Z743="TOPICA (EXTERNA)"),RANDBETWEEN(200,3000),RANDBETWEEN(100,1500))))</f>
        <v>2735</v>
      </c>
      <c r="AY743" s="2">
        <f ca="1">INT(AV743*RANDBETWEEN(90,130)/100)</f>
        <v>49792</v>
      </c>
      <c r="AZ743" t="str">
        <f t="shared" ca="1" si="58"/>
        <v>15.6%</v>
      </c>
      <c r="BA743" t="str">
        <f t="shared" ca="1" si="59"/>
        <v>ALTO</v>
      </c>
    </row>
    <row r="744" spans="4:53" x14ac:dyDescent="0.35">
      <c r="D744" t="s">
        <v>4817</v>
      </c>
      <c r="E744" s="1">
        <v>40945</v>
      </c>
      <c r="F744" t="s">
        <v>2497</v>
      </c>
      <c r="G744" t="s">
        <v>108</v>
      </c>
      <c r="H744" t="s">
        <v>710</v>
      </c>
      <c r="I744">
        <v>20031165</v>
      </c>
      <c r="J744" t="s">
        <v>110</v>
      </c>
      <c r="K744">
        <v>10</v>
      </c>
      <c r="L744" t="s">
        <v>27</v>
      </c>
      <c r="M744" t="s">
        <v>4818</v>
      </c>
      <c r="N744" t="s">
        <v>4819</v>
      </c>
      <c r="O744" t="s">
        <v>4820</v>
      </c>
      <c r="P744" t="s">
        <v>33</v>
      </c>
      <c r="Q744" s="1">
        <v>40724</v>
      </c>
      <c r="R744" t="s">
        <v>33</v>
      </c>
      <c r="S744" s="1">
        <v>40826</v>
      </c>
      <c r="T744" t="s">
        <v>947</v>
      </c>
      <c r="U744" t="s">
        <v>115</v>
      </c>
      <c r="V744" t="s">
        <v>2497</v>
      </c>
      <c r="W744">
        <v>300</v>
      </c>
      <c r="X744">
        <v>20031165</v>
      </c>
      <c r="Y744" t="s">
        <v>4821</v>
      </c>
      <c r="Z744" t="s">
        <v>119</v>
      </c>
      <c r="AA744" t="s">
        <v>24</v>
      </c>
      <c r="AB744" t="s">
        <v>120</v>
      </c>
      <c r="AC744" t="s">
        <v>25</v>
      </c>
      <c r="AD744" t="s">
        <v>121</v>
      </c>
      <c r="AE744">
        <v>100</v>
      </c>
      <c r="AF744" t="s">
        <v>27</v>
      </c>
      <c r="AG744" t="s">
        <v>26</v>
      </c>
      <c r="AH744" t="s">
        <v>2497</v>
      </c>
      <c r="AI744" t="str">
        <f t="shared" si="55"/>
        <v>NO</v>
      </c>
      <c r="AJ744" t="str">
        <f t="shared" si="56"/>
        <v>CLOSTER PHARMA</v>
      </c>
      <c r="AK744" t="str">
        <f>IF(ISNUMBER(SEARCH("FABRICANTE",AC744)),"FABRICANTE",IF(ISNUMBER(SEARCH("IMPORTADOR",AC744)),"IMPORTADOR","OTRO"))</f>
        <v>FABRICANTE</v>
      </c>
      <c r="AL744" t="str">
        <f>IF(LEFT(Y744,1)="A","Sistema digestivo",IF(LEFT(Y744,1)="B","Sangre",IF(LEFT(Y744,1)="C","Cardiovascular",IF(LEFT(Y744,1)="D","Dermatológico",IF(LEFT(Y744,1)="G","Genitourinario",IF(LEFT(Y744,1)="H","Hormonal",IF(LEFT(Y744,1)="J","Antiinfecciosos",IF(LEFT(Y744,1)="L","Oncológicos",IF(LEFT(Y744,1)="M","Musculoesquelético",IF(LEFT(Y744,1)="N","Sistema nervioso",IF(LEFT(Y744,1)="R","Respiratorio",IF(LEFT(Y744,1)="S","Oftálmico",IF(LEFT(Y744,1)="V","Varios","OTRO")))))))))))))</f>
        <v>Musculoesquelético</v>
      </c>
      <c r="AM744" t="str">
        <f>IF(AG744="Vigente","ACTIVO",IF(ISNUMBER(SEARCH("Inactivo",J744)),"INACTIVO","REVISAR"))</f>
        <v>ACTIVO</v>
      </c>
      <c r="AN744" t="str">
        <f ca="1">IF(OR(AF744="",AF744="null"),"",ROUND((AF744-TODAY())/365.25,2))</f>
        <v/>
      </c>
      <c r="AO744" t="str">
        <f ca="1">IF(AND(AG744="Vigente",OR(AF744="",AF744="null",AF744&gt;TODAY())),"SI",IF(AND(NOT(OR(AF744="",AF744="null")),AF744&lt;=TODAY()),"NO",IF(AG744="Vigente","SI","DESCONOCIDO")))</f>
        <v>SI</v>
      </c>
      <c r="AP744" t="str">
        <f>IF(AND(ISNUMBER(SEARCH("IMPORTAR",AA744)),ISNUMBER(SEARCH("FABRICAR",AA744))),"MIXTO",IF(ISNUMBER(SEARCH("IMPORTAR",AA744)),"IMPORTADO",IF(ISNUMBER(SEARCH("FABRICAR",AA744)),"LOCAL","OTRO")))</f>
        <v>LOCAL</v>
      </c>
      <c r="AQ744" t="str">
        <f>IF(AD744="Si","SI",IF(AD744="No","NO",""))</f>
        <v>NO</v>
      </c>
      <c r="AR744" t="str">
        <f>IF(ISNUMBER(SEARCH("®",N744)),"MARCA/INNOVADOR","GENERICO")</f>
        <v>MARCA/INNOVADOR</v>
      </c>
      <c r="AS744">
        <f ca="1">IF(AE744&gt;100,RANDBETWEEN(500,5000),IF(AND(AE744&gt;=10,AE744&lt;=100),RANDBETWEEN(100,1000),RANDBETWEEN(10,200)))</f>
        <v>106</v>
      </c>
      <c r="AT744">
        <f t="shared" ca="1" si="57"/>
        <v>19</v>
      </c>
      <c r="AU744">
        <f ca="1">INT(AS744*RANDBETWEEN(120,200)/100)</f>
        <v>157</v>
      </c>
      <c r="AV744" s="2">
        <f ca="1">IF(LEFT(Y744,1)="L",RANDBETWEEN(500000,5000000),IF(LEFT(Y744,1)="C",RANDBETWEEN(5000,50000),IF(LEFT(Y744,1)="N",RANDBETWEEN(10000,150000),IF(LEFT(Y744,1)="J",RANDBETWEEN(8000,200000),RANDBETWEEN(5000,100000)))))</f>
        <v>50270</v>
      </c>
      <c r="AW744" s="2">
        <f ca="1">INT(AV744*RANDBETWEEN(30,60)/100)</f>
        <v>16589</v>
      </c>
      <c r="AX744">
        <f ca="1">IF(Z744="ORAL",RANDBETWEEN(1000,10000),IF(OR(Z744="INTRAVENOSA",Z744="INTRAMUSCULAR"),RANDBETWEEN(100,2000),IF(OR(Z744="OFTÁLMICA",Z744="TOPICA (EXTERNA)"),RANDBETWEEN(200,3000),RANDBETWEEN(100,1500))))</f>
        <v>7007</v>
      </c>
      <c r="AY744" s="2">
        <f ca="1">INT(AV744*RANDBETWEEN(90,130)/100)</f>
        <v>49767</v>
      </c>
      <c r="AZ744" t="str">
        <f t="shared" ca="1" si="58"/>
        <v>9.1%</v>
      </c>
      <c r="BA744" t="str">
        <f t="shared" ca="1" si="59"/>
        <v>ALTO</v>
      </c>
    </row>
    <row r="745" spans="4:53" x14ac:dyDescent="0.35">
      <c r="D745" t="s">
        <v>4822</v>
      </c>
      <c r="E745" s="1">
        <v>36283</v>
      </c>
      <c r="F745" t="s">
        <v>692</v>
      </c>
      <c r="G745" t="s">
        <v>108</v>
      </c>
      <c r="H745" t="s">
        <v>168</v>
      </c>
      <c r="I745">
        <v>39613</v>
      </c>
      <c r="J745" t="s">
        <v>28</v>
      </c>
      <c r="K745">
        <v>15</v>
      </c>
      <c r="L745" t="s">
        <v>27</v>
      </c>
      <c r="M745" t="s">
        <v>4823</v>
      </c>
      <c r="N745" t="s">
        <v>4824</v>
      </c>
      <c r="O745" t="s">
        <v>4825</v>
      </c>
      <c r="P745" t="s">
        <v>659</v>
      </c>
      <c r="Q745" s="1">
        <v>42153</v>
      </c>
      <c r="R745" t="s">
        <v>37</v>
      </c>
      <c r="S745" t="s">
        <v>27</v>
      </c>
      <c r="T745" t="s">
        <v>172</v>
      </c>
      <c r="U745" t="s">
        <v>115</v>
      </c>
      <c r="V745" t="s">
        <v>692</v>
      </c>
      <c r="W745">
        <v>200</v>
      </c>
      <c r="X745">
        <v>39613</v>
      </c>
      <c r="Y745" t="s">
        <v>699</v>
      </c>
      <c r="Z745" t="s">
        <v>119</v>
      </c>
      <c r="AA745" t="s">
        <v>24</v>
      </c>
      <c r="AB745" t="s">
        <v>120</v>
      </c>
      <c r="AC745" t="s">
        <v>25</v>
      </c>
      <c r="AD745" t="s">
        <v>121</v>
      </c>
      <c r="AE745">
        <v>2</v>
      </c>
      <c r="AF745" t="s">
        <v>27</v>
      </c>
      <c r="AG745" t="s">
        <v>26</v>
      </c>
      <c r="AH745" t="s">
        <v>692</v>
      </c>
      <c r="AI745" t="str">
        <f t="shared" si="55"/>
        <v>NO</v>
      </c>
      <c r="AJ745" t="str">
        <f t="shared" si="56"/>
        <v>NOVAMED</v>
      </c>
      <c r="AK745" t="str">
        <f>IF(ISNUMBER(SEARCH("FABRICANTE",AC745)),"FABRICANTE",IF(ISNUMBER(SEARCH("IMPORTADOR",AC745)),"IMPORTADOR","OTRO"))</f>
        <v>FABRICANTE</v>
      </c>
      <c r="AL745" t="str">
        <f>IF(LEFT(Y745,1)="A","Sistema digestivo",IF(LEFT(Y745,1)="B","Sangre",IF(LEFT(Y745,1)="C","Cardiovascular",IF(LEFT(Y745,1)="D","Dermatológico",IF(LEFT(Y745,1)="G","Genitourinario",IF(LEFT(Y745,1)="H","Hormonal",IF(LEFT(Y745,1)="J","Antiinfecciosos",IF(LEFT(Y745,1)="L","Oncológicos",IF(LEFT(Y745,1)="M","Musculoesquelético",IF(LEFT(Y745,1)="N","Sistema nervioso",IF(LEFT(Y745,1)="R","Respiratorio",IF(LEFT(Y745,1)="S","Oftálmico",IF(LEFT(Y745,1)="V","Varios","OTRO")))))))))))))</f>
        <v>Antiinfecciosos</v>
      </c>
      <c r="AM745" t="str">
        <f>IF(AG745="Vigente","ACTIVO",IF(ISNUMBER(SEARCH("Inactivo",J745)),"INACTIVO","REVISAR"))</f>
        <v>ACTIVO</v>
      </c>
      <c r="AN745" t="str">
        <f ca="1">IF(OR(AF745="",AF745="null"),"",ROUND((AF745-TODAY())/365.25,2))</f>
        <v/>
      </c>
      <c r="AO745" t="str">
        <f ca="1">IF(AND(AG745="Vigente",OR(AF745="",AF745="null",AF745&gt;TODAY())),"SI",IF(AND(NOT(OR(AF745="",AF745="null")),AF745&lt;=TODAY()),"NO",IF(AG745="Vigente","SI","DESCONOCIDO")))</f>
        <v>SI</v>
      </c>
      <c r="AP745" t="str">
        <f>IF(AND(ISNUMBER(SEARCH("IMPORTAR",AA745)),ISNUMBER(SEARCH("FABRICAR",AA745))),"MIXTO",IF(ISNUMBER(SEARCH("IMPORTAR",AA745)),"IMPORTADO",IF(ISNUMBER(SEARCH("FABRICAR",AA745)),"LOCAL","OTRO")))</f>
        <v>LOCAL</v>
      </c>
      <c r="AQ745" t="str">
        <f>IF(AD745="Si","SI",IF(AD745="No","NO",""))</f>
        <v>NO</v>
      </c>
      <c r="AR745" t="str">
        <f>IF(ISNUMBER(SEARCH("®",N745)),"MARCA/INNOVADOR","GENERICO")</f>
        <v>GENERICO</v>
      </c>
      <c r="AS745">
        <f ca="1">IF(AE745&gt;100,RANDBETWEEN(500,5000),IF(AND(AE745&gt;=10,AE745&lt;=100),RANDBETWEEN(100,1000),RANDBETWEEN(10,200)))</f>
        <v>16</v>
      </c>
      <c r="AT745">
        <f t="shared" ca="1" si="57"/>
        <v>4</v>
      </c>
      <c r="AU745">
        <f ca="1">INT(AS745*RANDBETWEEN(120,200)/100)</f>
        <v>26</v>
      </c>
      <c r="AV745" s="2">
        <f ca="1">IF(LEFT(Y745,1)="L",RANDBETWEEN(500000,5000000),IF(LEFT(Y745,1)="C",RANDBETWEEN(5000,50000),IF(LEFT(Y745,1)="N",RANDBETWEEN(10000,150000),IF(LEFT(Y745,1)="J",RANDBETWEEN(8000,200000),RANDBETWEEN(5000,100000)))))</f>
        <v>162932</v>
      </c>
      <c r="AW745" s="2">
        <f ca="1">INT(AV745*RANDBETWEEN(30,60)/100)</f>
        <v>60284</v>
      </c>
      <c r="AX745">
        <f ca="1">IF(Z745="ORAL",RANDBETWEEN(1000,10000),IF(OR(Z745="INTRAVENOSA",Z745="INTRAMUSCULAR"),RANDBETWEEN(100,2000),IF(OR(Z745="OFTÁLMICA",Z745="TOPICA (EXTERNA)"),RANDBETWEEN(200,3000),RANDBETWEEN(100,1500))))</f>
        <v>1827</v>
      </c>
      <c r="AY745" s="2">
        <f ca="1">INT(AV745*RANDBETWEEN(90,130)/100)</f>
        <v>185742</v>
      </c>
      <c r="AZ745" t="str">
        <f t="shared" ca="1" si="58"/>
        <v>22.1%</v>
      </c>
      <c r="BA745" t="str">
        <f t="shared" ca="1" si="59"/>
        <v>BAJO</v>
      </c>
    </row>
    <row r="746" spans="4:53" x14ac:dyDescent="0.35">
      <c r="D746" t="s">
        <v>4826</v>
      </c>
      <c r="E746" s="1">
        <v>37264</v>
      </c>
      <c r="F746" t="s">
        <v>3405</v>
      </c>
      <c r="G746" t="s">
        <v>108</v>
      </c>
      <c r="H746" t="s">
        <v>124</v>
      </c>
      <c r="I746">
        <v>19926478</v>
      </c>
      <c r="J746" t="s">
        <v>110</v>
      </c>
      <c r="K746">
        <v>12</v>
      </c>
      <c r="L746" t="s">
        <v>27</v>
      </c>
      <c r="M746" t="s">
        <v>4827</v>
      </c>
      <c r="N746" t="s">
        <v>4828</v>
      </c>
      <c r="O746" t="s">
        <v>4829</v>
      </c>
      <c r="P746" t="s">
        <v>1793</v>
      </c>
      <c r="Q746" s="1">
        <v>42870</v>
      </c>
      <c r="R746" t="s">
        <v>50</v>
      </c>
      <c r="S746" t="s">
        <v>27</v>
      </c>
      <c r="T746" t="s">
        <v>129</v>
      </c>
      <c r="U746" t="s">
        <v>115</v>
      </c>
      <c r="V746" t="s">
        <v>3637</v>
      </c>
      <c r="W746">
        <v>20</v>
      </c>
      <c r="X746">
        <v>19926478</v>
      </c>
      <c r="Y746" t="s">
        <v>3638</v>
      </c>
      <c r="Z746" t="s">
        <v>260</v>
      </c>
      <c r="AA746" t="s">
        <v>24</v>
      </c>
      <c r="AB746" t="s">
        <v>120</v>
      </c>
      <c r="AC746" t="s">
        <v>25</v>
      </c>
      <c r="AD746" t="s">
        <v>121</v>
      </c>
      <c r="AE746">
        <v>1</v>
      </c>
      <c r="AF746" t="s">
        <v>27</v>
      </c>
      <c r="AG746" t="s">
        <v>26</v>
      </c>
      <c r="AH746" t="s">
        <v>6807</v>
      </c>
      <c r="AI746" t="str">
        <f t="shared" si="55"/>
        <v>NO</v>
      </c>
      <c r="AJ746" t="str">
        <f t="shared" si="56"/>
        <v>VITALIS</v>
      </c>
      <c r="AK746" t="str">
        <f>IF(ISNUMBER(SEARCH("FABRICANTE",AC746)),"FABRICANTE",IF(ISNUMBER(SEARCH("IMPORTADOR",AC746)),"IMPORTADOR","OTRO"))</f>
        <v>FABRICANTE</v>
      </c>
      <c r="AL746" t="str">
        <f>IF(LEFT(Y746,1)="A","Sistema digestivo",IF(LEFT(Y746,1)="B","Sangre",IF(LEFT(Y746,1)="C","Cardiovascular",IF(LEFT(Y746,1)="D","Dermatológico",IF(LEFT(Y746,1)="G","Genitourinario",IF(LEFT(Y746,1)="H","Hormonal",IF(LEFT(Y746,1)="J","Antiinfecciosos",IF(LEFT(Y746,1)="L","Oncológicos",IF(LEFT(Y746,1)="M","Musculoesquelético",IF(LEFT(Y746,1)="N","Sistema nervioso",IF(LEFT(Y746,1)="R","Respiratorio",IF(LEFT(Y746,1)="S","Oftálmico",IF(LEFT(Y746,1)="V","Varios","OTRO")))))))))))))</f>
        <v>Sistema digestivo</v>
      </c>
      <c r="AM746" t="str">
        <f>IF(AG746="Vigente","ACTIVO",IF(ISNUMBER(SEARCH("Inactivo",J746)),"INACTIVO","REVISAR"))</f>
        <v>ACTIVO</v>
      </c>
      <c r="AN746" t="str">
        <f ca="1">IF(OR(AF746="",AF746="null"),"",ROUND((AF746-TODAY())/365.25,2))</f>
        <v/>
      </c>
      <c r="AO746" t="str">
        <f ca="1">IF(AND(AG746="Vigente",OR(AF746="",AF746="null",AF746&gt;TODAY())),"SI",IF(AND(NOT(OR(AF746="",AF746="null")),AF746&lt;=TODAY()),"NO",IF(AG746="Vigente","SI","DESCONOCIDO")))</f>
        <v>SI</v>
      </c>
      <c r="AP746" t="str">
        <f>IF(AND(ISNUMBER(SEARCH("IMPORTAR",AA746)),ISNUMBER(SEARCH("FABRICAR",AA746))),"MIXTO",IF(ISNUMBER(SEARCH("IMPORTAR",AA746)),"IMPORTADO",IF(ISNUMBER(SEARCH("FABRICAR",AA746)),"LOCAL","OTRO")))</f>
        <v>LOCAL</v>
      </c>
      <c r="AQ746" t="str">
        <f>IF(AD746="Si","SI",IF(AD746="No","NO",""))</f>
        <v>NO</v>
      </c>
      <c r="AR746" t="str">
        <f>IF(ISNUMBER(SEARCH("®",N746)),"MARCA/INNOVADOR","GENERICO")</f>
        <v>GENERICO</v>
      </c>
      <c r="AS746">
        <f ca="1">IF(AE746&gt;100,RANDBETWEEN(500,5000),IF(AND(AE746&gt;=10,AE746&lt;=100),RANDBETWEEN(100,1000),RANDBETWEEN(10,200)))</f>
        <v>149</v>
      </c>
      <c r="AT746">
        <f t="shared" ca="1" si="57"/>
        <v>16</v>
      </c>
      <c r="AU746">
        <f ca="1">INT(AS746*RANDBETWEEN(120,200)/100)</f>
        <v>289</v>
      </c>
      <c r="AV746" s="2">
        <f ca="1">IF(LEFT(Y746,1)="L",RANDBETWEEN(500000,5000000),IF(LEFT(Y746,1)="C",RANDBETWEEN(5000,50000),IF(LEFT(Y746,1)="N",RANDBETWEEN(10000,150000),IF(LEFT(Y746,1)="J",RANDBETWEEN(8000,200000),RANDBETWEEN(5000,100000)))))</f>
        <v>95312</v>
      </c>
      <c r="AW746" s="2">
        <f ca="1">INT(AV746*RANDBETWEEN(30,60)/100)</f>
        <v>40984</v>
      </c>
      <c r="AX746">
        <f ca="1">IF(Z746="ORAL",RANDBETWEEN(1000,10000),IF(OR(Z746="INTRAVENOSA",Z746="INTRAMUSCULAR"),RANDBETWEEN(100,2000),IF(OR(Z746="OFTÁLMICA",Z746="TOPICA (EXTERNA)"),RANDBETWEEN(200,3000),RANDBETWEEN(100,1500))))</f>
        <v>1909</v>
      </c>
      <c r="AY746" s="2">
        <f ca="1">INT(AV746*RANDBETWEEN(90,130)/100)</f>
        <v>116280</v>
      </c>
      <c r="AZ746" t="str">
        <f t="shared" ca="1" si="58"/>
        <v>4.6%</v>
      </c>
      <c r="BA746" t="str">
        <f t="shared" ca="1" si="59"/>
        <v>ALTO</v>
      </c>
    </row>
    <row r="747" spans="4:53" x14ac:dyDescent="0.35">
      <c r="D747" t="s">
        <v>4830</v>
      </c>
      <c r="E747" s="1">
        <v>43654</v>
      </c>
      <c r="F747" t="s">
        <v>4831</v>
      </c>
      <c r="G747" t="s">
        <v>108</v>
      </c>
      <c r="H747" t="s">
        <v>1403</v>
      </c>
      <c r="I747">
        <v>20133790</v>
      </c>
      <c r="J747" t="s">
        <v>28</v>
      </c>
      <c r="K747">
        <v>1</v>
      </c>
      <c r="L747" t="s">
        <v>4832</v>
      </c>
      <c r="M747" t="s">
        <v>4833</v>
      </c>
      <c r="N747" t="s">
        <v>4834</v>
      </c>
      <c r="O747" t="s">
        <v>4835</v>
      </c>
      <c r="P747" t="s">
        <v>4836</v>
      </c>
      <c r="Q747" s="1">
        <v>43312</v>
      </c>
      <c r="R747" t="s">
        <v>73</v>
      </c>
      <c r="S747" t="s">
        <v>27</v>
      </c>
      <c r="T747" t="s">
        <v>320</v>
      </c>
      <c r="U747" t="s">
        <v>115</v>
      </c>
      <c r="V747" t="s">
        <v>75</v>
      </c>
      <c r="W747">
        <v>57</v>
      </c>
      <c r="X747">
        <v>20133790</v>
      </c>
      <c r="Y747" t="s">
        <v>72</v>
      </c>
      <c r="Z747" t="s">
        <v>119</v>
      </c>
      <c r="AA747" t="s">
        <v>32</v>
      </c>
      <c r="AB747" t="s">
        <v>1095</v>
      </c>
      <c r="AC747" t="s">
        <v>38</v>
      </c>
      <c r="AD747" t="s">
        <v>121</v>
      </c>
      <c r="AE747">
        <v>1</v>
      </c>
      <c r="AF747" t="s">
        <v>27</v>
      </c>
      <c r="AG747" t="s">
        <v>26</v>
      </c>
      <c r="AH747" t="s">
        <v>6828</v>
      </c>
      <c r="AI747" t="str">
        <f t="shared" si="55"/>
        <v>SI</v>
      </c>
      <c r="AJ747" t="str">
        <f t="shared" si="56"/>
        <v>GENFAR</v>
      </c>
      <c r="AK747" t="str">
        <f>IF(ISNUMBER(SEARCH("FABRICANTE",AC747)),"FABRICANTE",IF(ISNUMBER(SEARCH("IMPORTADOR",AC747)),"IMPORTADOR","OTRO"))</f>
        <v>IMPORTADOR</v>
      </c>
      <c r="AL747" t="str">
        <f>IF(LEFT(Y747,1)="A","Sistema digestivo",IF(LEFT(Y747,1)="B","Sangre",IF(LEFT(Y747,1)="C","Cardiovascular",IF(LEFT(Y747,1)="D","Dermatológico",IF(LEFT(Y747,1)="G","Genitourinario",IF(LEFT(Y747,1)="H","Hormonal",IF(LEFT(Y747,1)="J","Antiinfecciosos",IF(LEFT(Y747,1)="L","Oncológicos",IF(LEFT(Y747,1)="M","Musculoesquelético",IF(LEFT(Y747,1)="N","Sistema nervioso",IF(LEFT(Y747,1)="R","Respiratorio",IF(LEFT(Y747,1)="S","Oftálmico",IF(LEFT(Y747,1)="V","Varios","OTRO")))))))))))))</f>
        <v>Antiinfecciosos</v>
      </c>
      <c r="AM747" t="str">
        <f>IF(AG747="Vigente","ACTIVO",IF(ISNUMBER(SEARCH("Inactivo",J747)),"INACTIVO","REVISAR"))</f>
        <v>ACTIVO</v>
      </c>
      <c r="AN747" t="str">
        <f ca="1">IF(OR(AF747="",AF747="null"),"",ROUND((AF747-TODAY())/365.25,2))</f>
        <v/>
      </c>
      <c r="AO747" t="str">
        <f ca="1">IF(AND(AG747="Vigente",OR(AF747="",AF747="null",AF747&gt;TODAY())),"SI",IF(AND(NOT(OR(AF747="",AF747="null")),AF747&lt;=TODAY()),"NO",IF(AG747="Vigente","SI","DESCONOCIDO")))</f>
        <v>SI</v>
      </c>
      <c r="AP747" t="str">
        <f>IF(AND(ISNUMBER(SEARCH("IMPORTAR",AA747)),ISNUMBER(SEARCH("FABRICAR",AA747))),"MIXTO",IF(ISNUMBER(SEARCH("IMPORTAR",AA747)),"IMPORTADO",IF(ISNUMBER(SEARCH("FABRICAR",AA747)),"LOCAL","OTRO")))</f>
        <v>IMPORTADO</v>
      </c>
      <c r="AQ747" t="str">
        <f>IF(AD747="Si","SI",IF(AD747="No","NO",""))</f>
        <v>NO</v>
      </c>
      <c r="AR747" t="str">
        <f>IF(ISNUMBER(SEARCH("®",N747)),"MARCA/INNOVADOR","GENERICO")</f>
        <v>GENERICO</v>
      </c>
      <c r="AS747">
        <f ca="1">IF(AE747&gt;100,RANDBETWEEN(500,5000),IF(AND(AE747&gt;=10,AE747&lt;=100),RANDBETWEEN(100,1000),RANDBETWEEN(10,200)))</f>
        <v>84</v>
      </c>
      <c r="AT747">
        <f t="shared" ca="1" si="57"/>
        <v>23</v>
      </c>
      <c r="AU747">
        <f ca="1">INT(AS747*RANDBETWEEN(120,200)/100)</f>
        <v>129</v>
      </c>
      <c r="AV747" s="2">
        <f ca="1">IF(LEFT(Y747,1)="L",RANDBETWEEN(500000,5000000),IF(LEFT(Y747,1)="C",RANDBETWEEN(5000,50000),IF(LEFT(Y747,1)="N",RANDBETWEEN(10000,150000),IF(LEFT(Y747,1)="J",RANDBETWEEN(8000,200000),RANDBETWEEN(5000,100000)))))</f>
        <v>32621</v>
      </c>
      <c r="AW747" s="2">
        <f ca="1">INT(AV747*RANDBETWEEN(30,60)/100)</f>
        <v>17941</v>
      </c>
      <c r="AX747">
        <f ca="1">IF(Z747="ORAL",RANDBETWEEN(1000,10000),IF(OR(Z747="INTRAVENOSA",Z747="INTRAMUSCULAR"),RANDBETWEEN(100,2000),IF(OR(Z747="OFTÁLMICA",Z747="TOPICA (EXTERNA)"),RANDBETWEEN(200,3000),RANDBETWEEN(100,1500))))</f>
        <v>4374</v>
      </c>
      <c r="AY747" s="2">
        <f ca="1">INT(AV747*RANDBETWEEN(90,130)/100)</f>
        <v>38492</v>
      </c>
      <c r="AZ747" t="str">
        <f t="shared" ca="1" si="58"/>
        <v>22.1%</v>
      </c>
      <c r="BA747" t="str">
        <f t="shared" ca="1" si="59"/>
        <v>BAJO</v>
      </c>
    </row>
    <row r="748" spans="4:53" x14ac:dyDescent="0.35">
      <c r="D748" t="s">
        <v>4837</v>
      </c>
      <c r="E748" s="1">
        <v>41766</v>
      </c>
      <c r="F748" t="s">
        <v>4838</v>
      </c>
      <c r="G748" t="s">
        <v>108</v>
      </c>
      <c r="H748" t="s">
        <v>454</v>
      </c>
      <c r="I748">
        <v>20066114</v>
      </c>
      <c r="J748" t="s">
        <v>28</v>
      </c>
      <c r="K748">
        <v>4</v>
      </c>
      <c r="L748" t="s">
        <v>27</v>
      </c>
      <c r="M748" t="s">
        <v>4839</v>
      </c>
      <c r="N748" t="s">
        <v>4840</v>
      </c>
      <c r="O748" t="s">
        <v>4841</v>
      </c>
      <c r="P748" t="s">
        <v>358</v>
      </c>
      <c r="Q748" s="1">
        <v>41701</v>
      </c>
      <c r="R748" t="s">
        <v>37</v>
      </c>
      <c r="S748" t="s">
        <v>27</v>
      </c>
      <c r="T748" t="s">
        <v>454</v>
      </c>
      <c r="U748" t="s">
        <v>115</v>
      </c>
      <c r="V748" t="s">
        <v>585</v>
      </c>
      <c r="W748">
        <v>40</v>
      </c>
      <c r="X748">
        <v>20066114</v>
      </c>
      <c r="Y748" t="s">
        <v>586</v>
      </c>
      <c r="Z748" t="s">
        <v>119</v>
      </c>
      <c r="AA748" t="s">
        <v>24</v>
      </c>
      <c r="AB748" t="s">
        <v>120</v>
      </c>
      <c r="AC748" t="s">
        <v>25</v>
      </c>
      <c r="AD748" t="s">
        <v>121</v>
      </c>
      <c r="AE748">
        <v>90</v>
      </c>
      <c r="AF748" t="s">
        <v>27</v>
      </c>
      <c r="AG748" t="s">
        <v>26</v>
      </c>
      <c r="AH748" t="s">
        <v>585</v>
      </c>
      <c r="AI748" t="str">
        <f t="shared" si="55"/>
        <v>SI</v>
      </c>
      <c r="AJ748" t="str">
        <f t="shared" si="56"/>
        <v>PROCAPS</v>
      </c>
      <c r="AK748" t="str">
        <f>IF(ISNUMBER(SEARCH("FABRICANTE",AC748)),"FABRICANTE",IF(ISNUMBER(SEARCH("IMPORTADOR",AC748)),"IMPORTADOR","OTRO"))</f>
        <v>FABRICANTE</v>
      </c>
      <c r="AL748" t="str">
        <f>IF(LEFT(Y748,1)="A","Sistema digestivo",IF(LEFT(Y748,1)="B","Sangre",IF(LEFT(Y748,1)="C","Cardiovascular",IF(LEFT(Y748,1)="D","Dermatológico",IF(LEFT(Y748,1)="G","Genitourinario",IF(LEFT(Y748,1)="H","Hormonal",IF(LEFT(Y748,1)="J","Antiinfecciosos",IF(LEFT(Y748,1)="L","Oncológicos",IF(LEFT(Y748,1)="M","Musculoesquelético",IF(LEFT(Y748,1)="N","Sistema nervioso",IF(LEFT(Y748,1)="R","Respiratorio",IF(LEFT(Y748,1)="S","Oftálmico",IF(LEFT(Y748,1)="V","Varios","OTRO")))))))))))))</f>
        <v>Sistema digestivo</v>
      </c>
      <c r="AM748" t="str">
        <f>IF(AG748="Vigente","ACTIVO",IF(ISNUMBER(SEARCH("Inactivo",J748)),"INACTIVO","REVISAR"))</f>
        <v>ACTIVO</v>
      </c>
      <c r="AN748" t="str">
        <f ca="1">IF(OR(AF748="",AF748="null"),"",ROUND((AF748-TODAY())/365.25,2))</f>
        <v/>
      </c>
      <c r="AO748" t="str">
        <f ca="1">IF(AND(AG748="Vigente",OR(AF748="",AF748="null",AF748&gt;TODAY())),"SI",IF(AND(NOT(OR(AF748="",AF748="null")),AF748&lt;=TODAY()),"NO",IF(AG748="Vigente","SI","DESCONOCIDO")))</f>
        <v>SI</v>
      </c>
      <c r="AP748" t="str">
        <f>IF(AND(ISNUMBER(SEARCH("IMPORTAR",AA748)),ISNUMBER(SEARCH("FABRICAR",AA748))),"MIXTO",IF(ISNUMBER(SEARCH("IMPORTAR",AA748)),"IMPORTADO",IF(ISNUMBER(SEARCH("FABRICAR",AA748)),"LOCAL","OTRO")))</f>
        <v>LOCAL</v>
      </c>
      <c r="AQ748" t="str">
        <f>IF(AD748="Si","SI",IF(AD748="No","NO",""))</f>
        <v>NO</v>
      </c>
      <c r="AR748" t="str">
        <f>IF(ISNUMBER(SEARCH("®",N748)),"MARCA/INNOVADOR","GENERICO")</f>
        <v>MARCA/INNOVADOR</v>
      </c>
      <c r="AS748">
        <f ca="1">IF(AE748&gt;100,RANDBETWEEN(500,5000),IF(AND(AE748&gt;=10,AE748&lt;=100),RANDBETWEEN(100,1000),RANDBETWEEN(10,200)))</f>
        <v>477</v>
      </c>
      <c r="AT748">
        <f t="shared" ca="1" si="57"/>
        <v>133</v>
      </c>
      <c r="AU748">
        <f ca="1">INT(AS748*RANDBETWEEN(120,200)/100)</f>
        <v>815</v>
      </c>
      <c r="AV748" s="2">
        <f ca="1">IF(LEFT(Y748,1)="L",RANDBETWEEN(500000,5000000),IF(LEFT(Y748,1)="C",RANDBETWEEN(5000,50000),IF(LEFT(Y748,1)="N",RANDBETWEEN(10000,150000),IF(LEFT(Y748,1)="J",RANDBETWEEN(8000,200000),RANDBETWEEN(5000,100000)))))</f>
        <v>19556</v>
      </c>
      <c r="AW748" s="2">
        <f ca="1">INT(AV748*RANDBETWEEN(30,60)/100)</f>
        <v>8604</v>
      </c>
      <c r="AX748">
        <f ca="1">IF(Z748="ORAL",RANDBETWEEN(1000,10000),IF(OR(Z748="INTRAVENOSA",Z748="INTRAMUSCULAR"),RANDBETWEEN(100,2000),IF(OR(Z748="OFTÁLMICA",Z748="TOPICA (EXTERNA)"),RANDBETWEEN(200,3000),RANDBETWEEN(100,1500))))</f>
        <v>5769</v>
      </c>
      <c r="AY748" s="2">
        <f ca="1">INT(AV748*RANDBETWEEN(90,130)/100)</f>
        <v>20142</v>
      </c>
      <c r="AZ748" t="str">
        <f t="shared" ca="1" si="58"/>
        <v>9.3%</v>
      </c>
      <c r="BA748" t="str">
        <f t="shared" ca="1" si="59"/>
        <v>BAJO</v>
      </c>
    </row>
    <row r="749" spans="4:53" x14ac:dyDescent="0.35">
      <c r="D749" t="s">
        <v>4842</v>
      </c>
      <c r="E749" s="1">
        <v>38090</v>
      </c>
      <c r="F749" t="s">
        <v>3363</v>
      </c>
      <c r="G749" t="s">
        <v>108</v>
      </c>
      <c r="H749" t="s">
        <v>991</v>
      </c>
      <c r="I749">
        <v>19940333</v>
      </c>
      <c r="J749" t="s">
        <v>28</v>
      </c>
      <c r="K749">
        <v>7</v>
      </c>
      <c r="L749" t="s">
        <v>27</v>
      </c>
      <c r="M749" t="s">
        <v>4843</v>
      </c>
      <c r="N749" t="s">
        <v>4844</v>
      </c>
      <c r="O749" t="s">
        <v>4845</v>
      </c>
      <c r="P749" t="s">
        <v>33</v>
      </c>
      <c r="Q749" s="1">
        <v>43048</v>
      </c>
      <c r="R749" t="s">
        <v>33</v>
      </c>
      <c r="S749" t="s">
        <v>27</v>
      </c>
      <c r="T749" t="s">
        <v>991</v>
      </c>
      <c r="U749" t="s">
        <v>115</v>
      </c>
      <c r="V749" t="s">
        <v>3363</v>
      </c>
      <c r="W749">
        <v>500</v>
      </c>
      <c r="X749">
        <v>19940333</v>
      </c>
      <c r="Y749" t="s">
        <v>3369</v>
      </c>
      <c r="Z749" t="s">
        <v>119</v>
      </c>
      <c r="AA749" t="s">
        <v>32</v>
      </c>
      <c r="AB749" t="s">
        <v>120</v>
      </c>
      <c r="AC749" t="s">
        <v>38</v>
      </c>
      <c r="AD749" t="s">
        <v>155</v>
      </c>
      <c r="AE749">
        <v>6</v>
      </c>
      <c r="AF749" t="s">
        <v>27</v>
      </c>
      <c r="AG749" t="s">
        <v>26</v>
      </c>
      <c r="AH749" t="s">
        <v>3363</v>
      </c>
      <c r="AI749" t="str">
        <f t="shared" si="55"/>
        <v>NO</v>
      </c>
      <c r="AJ749" t="str">
        <f t="shared" si="56"/>
        <v>FARMA DE COLOMBIA</v>
      </c>
      <c r="AK749" t="str">
        <f>IF(ISNUMBER(SEARCH("FABRICANTE",AC749)),"FABRICANTE",IF(ISNUMBER(SEARCH("IMPORTADOR",AC749)),"IMPORTADOR","OTRO"))</f>
        <v>IMPORTADOR</v>
      </c>
      <c r="AL749" t="str">
        <f>IF(LEFT(Y749,1)="A","Sistema digestivo",IF(LEFT(Y749,1)="B","Sangre",IF(LEFT(Y749,1)="C","Cardiovascular",IF(LEFT(Y749,1)="D","Dermatológico",IF(LEFT(Y749,1)="G","Genitourinario",IF(LEFT(Y749,1)="H","Hormonal",IF(LEFT(Y749,1)="J","Antiinfecciosos",IF(LEFT(Y749,1)="L","Oncológicos",IF(LEFT(Y749,1)="M","Musculoesquelético",IF(LEFT(Y749,1)="N","Sistema nervioso",IF(LEFT(Y749,1)="R","Respiratorio",IF(LEFT(Y749,1)="S","Oftálmico",IF(LEFT(Y749,1)="V","Varios","OTRO")))))))))))))</f>
        <v>OTRO</v>
      </c>
      <c r="AM749" t="str">
        <f>IF(AG749="Vigente","ACTIVO",IF(ISNUMBER(SEARCH("Inactivo",J749)),"INACTIVO","REVISAR"))</f>
        <v>ACTIVO</v>
      </c>
      <c r="AN749" t="str">
        <f ca="1">IF(OR(AF749="",AF749="null"),"",ROUND((AF749-TODAY())/365.25,2))</f>
        <v/>
      </c>
      <c r="AO749" t="str">
        <f ca="1">IF(AND(AG749="Vigente",OR(AF749="",AF749="null",AF749&gt;TODAY())),"SI",IF(AND(NOT(OR(AF749="",AF749="null")),AF749&lt;=TODAY()),"NO",IF(AG749="Vigente","SI","DESCONOCIDO")))</f>
        <v>SI</v>
      </c>
      <c r="AP749" t="str">
        <f>IF(AND(ISNUMBER(SEARCH("IMPORTAR",AA749)),ISNUMBER(SEARCH("FABRICAR",AA749))),"MIXTO",IF(ISNUMBER(SEARCH("IMPORTAR",AA749)),"IMPORTADO",IF(ISNUMBER(SEARCH("FABRICAR",AA749)),"LOCAL","OTRO")))</f>
        <v>IMPORTADO</v>
      </c>
      <c r="AQ749" t="str">
        <f>IF(AD749="Si","SI",IF(AD749="No","NO",""))</f>
        <v>SI</v>
      </c>
      <c r="AR749" t="str">
        <f>IF(ISNUMBER(SEARCH("®",N749)),"MARCA/INNOVADOR","GENERICO")</f>
        <v>MARCA/INNOVADOR</v>
      </c>
      <c r="AS749">
        <f ca="1">IF(AE749&gt;100,RANDBETWEEN(500,5000),IF(AND(AE749&gt;=10,AE749&lt;=100),RANDBETWEEN(100,1000),RANDBETWEEN(10,200)))</f>
        <v>49</v>
      </c>
      <c r="AT749">
        <f t="shared" ca="1" si="57"/>
        <v>7</v>
      </c>
      <c r="AU749">
        <f ca="1">INT(AS749*RANDBETWEEN(120,200)/100)</f>
        <v>82</v>
      </c>
      <c r="AV749" s="2">
        <f ca="1">IF(LEFT(Y749,1)="L",RANDBETWEEN(500000,5000000),IF(LEFT(Y749,1)="C",RANDBETWEEN(5000,50000),IF(LEFT(Y749,1)="N",RANDBETWEEN(10000,150000),IF(LEFT(Y749,1)="J",RANDBETWEEN(8000,200000),RANDBETWEEN(5000,100000)))))</f>
        <v>67675</v>
      </c>
      <c r="AW749" s="2">
        <f ca="1">INT(AV749*RANDBETWEEN(30,60)/100)</f>
        <v>37898</v>
      </c>
      <c r="AX749">
        <f ca="1">IF(Z749="ORAL",RANDBETWEEN(1000,10000),IF(OR(Z749="INTRAVENOSA",Z749="INTRAMUSCULAR"),RANDBETWEEN(100,2000),IF(OR(Z749="OFTÁLMICA",Z749="TOPICA (EXTERNA)"),RANDBETWEEN(200,3000),RANDBETWEEN(100,1500))))</f>
        <v>4452</v>
      </c>
      <c r="AY749" s="2">
        <f ca="1">INT(AV749*RANDBETWEEN(90,130)/100)</f>
        <v>75796</v>
      </c>
      <c r="AZ749" t="str">
        <f t="shared" ca="1" si="58"/>
        <v>10.3%</v>
      </c>
      <c r="BA749" t="str">
        <f t="shared" ca="1" si="59"/>
        <v>BAJO</v>
      </c>
    </row>
    <row r="750" spans="4:53" x14ac:dyDescent="0.35">
      <c r="D750" t="s">
        <v>4846</v>
      </c>
      <c r="E750" s="1">
        <v>40225</v>
      </c>
      <c r="F750" t="s">
        <v>215</v>
      </c>
      <c r="G750" t="s">
        <v>108</v>
      </c>
      <c r="H750" t="s">
        <v>464</v>
      </c>
      <c r="I750">
        <v>20007895</v>
      </c>
      <c r="J750" t="s">
        <v>110</v>
      </c>
      <c r="K750">
        <v>18</v>
      </c>
      <c r="L750" t="s">
        <v>27</v>
      </c>
      <c r="M750" t="s">
        <v>2193</v>
      </c>
      <c r="N750" t="s">
        <v>2194</v>
      </c>
      <c r="O750" t="s">
        <v>4847</v>
      </c>
      <c r="P750" t="s">
        <v>33</v>
      </c>
      <c r="Q750" s="1">
        <v>44351</v>
      </c>
      <c r="R750" t="s">
        <v>200</v>
      </c>
      <c r="S750" s="1">
        <v>45761</v>
      </c>
      <c r="T750" t="s">
        <v>464</v>
      </c>
      <c r="U750" t="s">
        <v>115</v>
      </c>
      <c r="V750" t="s">
        <v>215</v>
      </c>
      <c r="W750">
        <v>1000</v>
      </c>
      <c r="X750">
        <v>20007895</v>
      </c>
      <c r="Y750" t="s">
        <v>221</v>
      </c>
      <c r="Z750" t="s">
        <v>119</v>
      </c>
      <c r="AA750" t="s">
        <v>32</v>
      </c>
      <c r="AB750" t="s">
        <v>120</v>
      </c>
      <c r="AC750" t="s">
        <v>38</v>
      </c>
      <c r="AD750" t="s">
        <v>155</v>
      </c>
      <c r="AE750">
        <v>50</v>
      </c>
      <c r="AF750" t="s">
        <v>27</v>
      </c>
      <c r="AG750" t="s">
        <v>26</v>
      </c>
      <c r="AH750" t="s">
        <v>215</v>
      </c>
      <c r="AI750" t="str">
        <f t="shared" si="55"/>
        <v>NO</v>
      </c>
      <c r="AJ750" t="str">
        <f t="shared" si="56"/>
        <v>MEGALABS COLOMBIA</v>
      </c>
      <c r="AK750" t="str">
        <f>IF(ISNUMBER(SEARCH("FABRICANTE",AC750)),"FABRICANTE",IF(ISNUMBER(SEARCH("IMPORTADOR",AC750)),"IMPORTADOR","OTRO"))</f>
        <v>IMPORTADOR</v>
      </c>
      <c r="AL750" t="str">
        <f>IF(LEFT(Y750,1)="A","Sistema digestivo",IF(LEFT(Y750,1)="B","Sangre",IF(LEFT(Y750,1)="C","Cardiovascular",IF(LEFT(Y750,1)="D","Dermatológico",IF(LEFT(Y750,1)="G","Genitourinario",IF(LEFT(Y750,1)="H","Hormonal",IF(LEFT(Y750,1)="J","Antiinfecciosos",IF(LEFT(Y750,1)="L","Oncológicos",IF(LEFT(Y750,1)="M","Musculoesquelético",IF(LEFT(Y750,1)="N","Sistema nervioso",IF(LEFT(Y750,1)="R","Respiratorio",IF(LEFT(Y750,1)="S","Oftálmico",IF(LEFT(Y750,1)="V","Varios","OTRO")))))))))))))</f>
        <v>Sistema nervioso</v>
      </c>
      <c r="AM750" t="str">
        <f>IF(AG750="Vigente","ACTIVO",IF(ISNUMBER(SEARCH("Inactivo",J750)),"INACTIVO","REVISAR"))</f>
        <v>ACTIVO</v>
      </c>
      <c r="AN750" t="str">
        <f ca="1">IF(OR(AF750="",AF750="null"),"",ROUND((AF750-TODAY())/365.25,2))</f>
        <v/>
      </c>
      <c r="AO750" t="str">
        <f ca="1">IF(AND(AG750="Vigente",OR(AF750="",AF750="null",AF750&gt;TODAY())),"SI",IF(AND(NOT(OR(AF750="",AF750="null")),AF750&lt;=TODAY()),"NO",IF(AG750="Vigente","SI","DESCONOCIDO")))</f>
        <v>SI</v>
      </c>
      <c r="AP750" t="str">
        <f>IF(AND(ISNUMBER(SEARCH("IMPORTAR",AA750)),ISNUMBER(SEARCH("FABRICAR",AA750))),"MIXTO",IF(ISNUMBER(SEARCH("IMPORTAR",AA750)),"IMPORTADO",IF(ISNUMBER(SEARCH("FABRICAR",AA750)),"LOCAL","OTRO")))</f>
        <v>IMPORTADO</v>
      </c>
      <c r="AQ750" t="str">
        <f>IF(AD750="Si","SI",IF(AD750="No","NO",""))</f>
        <v>SI</v>
      </c>
      <c r="AR750" t="str">
        <f>IF(ISNUMBER(SEARCH("®",N750)),"MARCA/INNOVADOR","GENERICO")</f>
        <v>MARCA/INNOVADOR</v>
      </c>
      <c r="AS750">
        <f ca="1">IF(AE750&gt;100,RANDBETWEEN(500,5000),IF(AND(AE750&gt;=10,AE750&lt;=100),RANDBETWEEN(100,1000),RANDBETWEEN(10,200)))</f>
        <v>429</v>
      </c>
      <c r="AT750">
        <f t="shared" ca="1" si="57"/>
        <v>77</v>
      </c>
      <c r="AU750">
        <f ca="1">INT(AS750*RANDBETWEEN(120,200)/100)</f>
        <v>746</v>
      </c>
      <c r="AV750" s="2">
        <f ca="1">IF(LEFT(Y750,1)="L",RANDBETWEEN(500000,5000000),IF(LEFT(Y750,1)="C",RANDBETWEEN(5000,50000),IF(LEFT(Y750,1)="N",RANDBETWEEN(10000,150000),IF(LEFT(Y750,1)="J",RANDBETWEEN(8000,200000),RANDBETWEEN(5000,100000)))))</f>
        <v>86594</v>
      </c>
      <c r="AW750" s="2">
        <f ca="1">INT(AV750*RANDBETWEEN(30,60)/100)</f>
        <v>43297</v>
      </c>
      <c r="AX750">
        <f ca="1">IF(Z750="ORAL",RANDBETWEEN(1000,10000),IF(OR(Z750="INTRAVENOSA",Z750="INTRAMUSCULAR"),RANDBETWEEN(100,2000),IF(OR(Z750="OFTÁLMICA",Z750="TOPICA (EXTERNA)"),RANDBETWEEN(200,3000),RANDBETWEEN(100,1500))))</f>
        <v>7964</v>
      </c>
      <c r="AY750" s="2">
        <f ca="1">INT(AV750*RANDBETWEEN(90,130)/100)</f>
        <v>101314</v>
      </c>
      <c r="AZ750" t="str">
        <f t="shared" ca="1" si="58"/>
        <v>17.5%</v>
      </c>
      <c r="BA750" t="str">
        <f t="shared" ca="1" si="59"/>
        <v>ALTO</v>
      </c>
    </row>
    <row r="751" spans="4:53" x14ac:dyDescent="0.35">
      <c r="D751" t="s">
        <v>4848</v>
      </c>
      <c r="E751" s="1">
        <v>41087</v>
      </c>
      <c r="F751" t="s">
        <v>241</v>
      </c>
      <c r="G751" t="s">
        <v>108</v>
      </c>
      <c r="H751" t="s">
        <v>146</v>
      </c>
      <c r="I751">
        <v>20039588</v>
      </c>
      <c r="J751" t="s">
        <v>28</v>
      </c>
      <c r="K751">
        <v>92</v>
      </c>
      <c r="L751" t="s">
        <v>27</v>
      </c>
      <c r="M751" t="s">
        <v>474</v>
      </c>
      <c r="N751" t="s">
        <v>475</v>
      </c>
      <c r="O751" t="s">
        <v>4849</v>
      </c>
      <c r="P751" t="s">
        <v>477</v>
      </c>
      <c r="Q751" s="1">
        <v>42669</v>
      </c>
      <c r="R751" t="s">
        <v>67</v>
      </c>
      <c r="S751" t="s">
        <v>27</v>
      </c>
      <c r="T751" t="s">
        <v>80</v>
      </c>
      <c r="U751" t="s">
        <v>247</v>
      </c>
      <c r="V751" t="s">
        <v>248</v>
      </c>
      <c r="W751" t="s">
        <v>4850</v>
      </c>
      <c r="X751">
        <v>20039588</v>
      </c>
      <c r="Y751" t="s">
        <v>249</v>
      </c>
      <c r="Z751" t="s">
        <v>119</v>
      </c>
      <c r="AA751" t="s">
        <v>24</v>
      </c>
      <c r="AB751" t="s">
        <v>120</v>
      </c>
      <c r="AC751" t="s">
        <v>25</v>
      </c>
      <c r="AD751" t="s">
        <v>121</v>
      </c>
      <c r="AE751">
        <v>10</v>
      </c>
      <c r="AF751" t="s">
        <v>27</v>
      </c>
      <c r="AG751" t="s">
        <v>26</v>
      </c>
      <c r="AH751" t="s">
        <v>6613</v>
      </c>
      <c r="AI751" t="str">
        <f t="shared" si="55"/>
        <v>NO</v>
      </c>
      <c r="AJ751" t="str">
        <f t="shared" si="56"/>
        <v>TECNOQUIMICAS</v>
      </c>
      <c r="AK751" t="str">
        <f>IF(ISNUMBER(SEARCH("FABRICANTE",AC751)),"FABRICANTE",IF(ISNUMBER(SEARCH("IMPORTADOR",AC751)),"IMPORTADOR","OTRO"))</f>
        <v>FABRICANTE</v>
      </c>
      <c r="AL751" t="str">
        <f>IF(LEFT(Y751,1)="A","Sistema digestivo",IF(LEFT(Y751,1)="B","Sangre",IF(LEFT(Y751,1)="C","Cardiovascular",IF(LEFT(Y751,1)="D","Dermatológico",IF(LEFT(Y751,1)="G","Genitourinario",IF(LEFT(Y751,1)="H","Hormonal",IF(LEFT(Y751,1)="J","Antiinfecciosos",IF(LEFT(Y751,1)="L","Oncológicos",IF(LEFT(Y751,1)="M","Musculoesquelético",IF(LEFT(Y751,1)="N","Sistema nervioso",IF(LEFT(Y751,1)="R","Respiratorio",IF(LEFT(Y751,1)="S","Oftálmico",IF(LEFT(Y751,1)="V","Varios","OTRO")))))))))))))</f>
        <v>Sistema digestivo</v>
      </c>
      <c r="AM751" t="str">
        <f>IF(AG751="Vigente","ACTIVO",IF(ISNUMBER(SEARCH("Inactivo",J751)),"INACTIVO","REVISAR"))</f>
        <v>ACTIVO</v>
      </c>
      <c r="AN751" t="str">
        <f ca="1">IF(OR(AF751="",AF751="null"),"",ROUND((AF751-TODAY())/365.25,2))</f>
        <v/>
      </c>
      <c r="AO751" t="str">
        <f ca="1">IF(AND(AG751="Vigente",OR(AF751="",AF751="null",AF751&gt;TODAY())),"SI",IF(AND(NOT(OR(AF751="",AF751="null")),AF751&lt;=TODAY()),"NO",IF(AG751="Vigente","SI","DESCONOCIDO")))</f>
        <v>SI</v>
      </c>
      <c r="AP751" t="str">
        <f>IF(AND(ISNUMBER(SEARCH("IMPORTAR",AA751)),ISNUMBER(SEARCH("FABRICAR",AA751))),"MIXTO",IF(ISNUMBER(SEARCH("IMPORTAR",AA751)),"IMPORTADO",IF(ISNUMBER(SEARCH("FABRICAR",AA751)),"LOCAL","OTRO")))</f>
        <v>LOCAL</v>
      </c>
      <c r="AQ751" t="str">
        <f>IF(AD751="Si","SI",IF(AD751="No","NO",""))</f>
        <v>NO</v>
      </c>
      <c r="AR751" t="str">
        <f>IF(ISNUMBER(SEARCH("®",N751)),"MARCA/INNOVADOR","GENERICO")</f>
        <v>MARCA/INNOVADOR</v>
      </c>
      <c r="AS751">
        <f ca="1">IF(AE751&gt;100,RANDBETWEEN(500,5000),IF(AND(AE751&gt;=10,AE751&lt;=100),RANDBETWEEN(100,1000),RANDBETWEEN(10,200)))</f>
        <v>696</v>
      </c>
      <c r="AT751">
        <f t="shared" ca="1" si="57"/>
        <v>125</v>
      </c>
      <c r="AU751">
        <f ca="1">INT(AS751*RANDBETWEEN(120,200)/100)</f>
        <v>1002</v>
      </c>
      <c r="AV751" s="2">
        <f ca="1">IF(LEFT(Y751,1)="L",RANDBETWEEN(500000,5000000),IF(LEFT(Y751,1)="C",RANDBETWEEN(5000,50000),IF(LEFT(Y751,1)="N",RANDBETWEEN(10000,150000),IF(LEFT(Y751,1)="J",RANDBETWEEN(8000,200000),RANDBETWEEN(5000,100000)))))</f>
        <v>67733</v>
      </c>
      <c r="AW751" s="2">
        <f ca="1">INT(AV751*RANDBETWEEN(30,60)/100)</f>
        <v>38607</v>
      </c>
      <c r="AX751">
        <f ca="1">IF(Z751="ORAL",RANDBETWEEN(1000,10000),IF(OR(Z751="INTRAVENOSA",Z751="INTRAMUSCULAR"),RANDBETWEEN(100,2000),IF(OR(Z751="OFTÁLMICA",Z751="TOPICA (EXTERNA)"),RANDBETWEEN(200,3000),RANDBETWEEN(100,1500))))</f>
        <v>9422</v>
      </c>
      <c r="AY751" s="2">
        <f ca="1">INT(AV751*RANDBETWEEN(90,130)/100)</f>
        <v>71796</v>
      </c>
      <c r="AZ751" t="str">
        <f t="shared" ca="1" si="58"/>
        <v>22.3%</v>
      </c>
      <c r="BA751" t="str">
        <f t="shared" ca="1" si="59"/>
        <v>BAJO</v>
      </c>
    </row>
    <row r="752" spans="4:53" x14ac:dyDescent="0.35">
      <c r="D752" t="s">
        <v>4851</v>
      </c>
      <c r="E752" s="1">
        <v>36347</v>
      </c>
      <c r="F752" t="s">
        <v>4852</v>
      </c>
      <c r="G752" t="s">
        <v>502</v>
      </c>
      <c r="H752" t="s">
        <v>4853</v>
      </c>
      <c r="I752">
        <v>34342</v>
      </c>
      <c r="J752" t="s">
        <v>110</v>
      </c>
      <c r="K752">
        <v>6</v>
      </c>
      <c r="L752" t="s">
        <v>27</v>
      </c>
      <c r="M752" t="s">
        <v>4854</v>
      </c>
      <c r="N752" t="s">
        <v>4855</v>
      </c>
      <c r="O752" t="s">
        <v>4856</v>
      </c>
      <c r="P752" t="s">
        <v>4857</v>
      </c>
      <c r="Q752" s="1">
        <v>39565</v>
      </c>
      <c r="R752" t="s">
        <v>67</v>
      </c>
      <c r="S752" s="1">
        <v>42073</v>
      </c>
      <c r="T752" t="s">
        <v>4858</v>
      </c>
      <c r="U752" t="s">
        <v>115</v>
      </c>
      <c r="V752" t="s">
        <v>4859</v>
      </c>
      <c r="W752">
        <v>660</v>
      </c>
      <c r="X752">
        <v>34342</v>
      </c>
      <c r="Y752" t="s">
        <v>4860</v>
      </c>
      <c r="Z752" t="s">
        <v>594</v>
      </c>
      <c r="AA752" t="s">
        <v>32</v>
      </c>
      <c r="AB752" t="s">
        <v>133</v>
      </c>
      <c r="AC752" t="s">
        <v>25</v>
      </c>
      <c r="AD752" t="s">
        <v>121</v>
      </c>
      <c r="AE752">
        <v>2880</v>
      </c>
      <c r="AF752" t="s">
        <v>27</v>
      </c>
      <c r="AG752" t="s">
        <v>26</v>
      </c>
      <c r="AH752" t="s">
        <v>6829</v>
      </c>
      <c r="AI752" t="str">
        <f t="shared" si="55"/>
        <v>NO</v>
      </c>
      <c r="AJ752" t="str">
        <f t="shared" si="56"/>
        <v>LIEBEL - FLARSHEIM COMPANY</v>
      </c>
      <c r="AK752" t="str">
        <f>IF(ISNUMBER(SEARCH("FABRICANTE",AC752)),"FABRICANTE",IF(ISNUMBER(SEARCH("IMPORTADOR",AC752)),"IMPORTADOR","OTRO"))</f>
        <v>FABRICANTE</v>
      </c>
      <c r="AL752" t="str">
        <f>IF(LEFT(Y752,1)="A","Sistema digestivo",IF(LEFT(Y752,1)="B","Sangre",IF(LEFT(Y752,1)="C","Cardiovascular",IF(LEFT(Y752,1)="D","Dermatológico",IF(LEFT(Y752,1)="G","Genitourinario",IF(LEFT(Y752,1)="H","Hormonal",IF(LEFT(Y752,1)="J","Antiinfecciosos",IF(LEFT(Y752,1)="L","Oncológicos",IF(LEFT(Y752,1)="M","Musculoesquelético",IF(LEFT(Y752,1)="N","Sistema nervioso",IF(LEFT(Y752,1)="R","Respiratorio",IF(LEFT(Y752,1)="S","Oftálmico",IF(LEFT(Y752,1)="V","Varios","OTRO")))))))))))))</f>
        <v>Varios</v>
      </c>
      <c r="AM752" t="str">
        <f>IF(AG752="Vigente","ACTIVO",IF(ISNUMBER(SEARCH("Inactivo",J752)),"INACTIVO","REVISAR"))</f>
        <v>ACTIVO</v>
      </c>
      <c r="AN752" t="str">
        <f ca="1">IF(OR(AF752="",AF752="null"),"",ROUND((AF752-TODAY())/365.25,2))</f>
        <v/>
      </c>
      <c r="AO752" t="str">
        <f ca="1">IF(AND(AG752="Vigente",OR(AF752="",AF752="null",AF752&gt;TODAY())),"SI",IF(AND(NOT(OR(AF752="",AF752="null")),AF752&lt;=TODAY()),"NO",IF(AG752="Vigente","SI","DESCONOCIDO")))</f>
        <v>SI</v>
      </c>
      <c r="AP752" t="str">
        <f>IF(AND(ISNUMBER(SEARCH("IMPORTAR",AA752)),ISNUMBER(SEARCH("FABRICAR",AA752))),"MIXTO",IF(ISNUMBER(SEARCH("IMPORTAR",AA752)),"IMPORTADO",IF(ISNUMBER(SEARCH("FABRICAR",AA752)),"LOCAL","OTRO")))</f>
        <v>IMPORTADO</v>
      </c>
      <c r="AQ752" t="str">
        <f>IF(AD752="Si","SI",IF(AD752="No","NO",""))</f>
        <v>NO</v>
      </c>
      <c r="AR752" t="str">
        <f>IF(ISNUMBER(SEARCH("®",N752)),"MARCA/INNOVADOR","GENERICO")</f>
        <v>MARCA/INNOVADOR</v>
      </c>
      <c r="AS752">
        <f ca="1">IF(AE752&gt;100,RANDBETWEEN(500,5000),IF(AND(AE752&gt;=10,AE752&lt;=100),RANDBETWEEN(100,1000),RANDBETWEEN(10,200)))</f>
        <v>3118</v>
      </c>
      <c r="AT752">
        <f t="shared" ca="1" si="57"/>
        <v>498</v>
      </c>
      <c r="AU752">
        <f ca="1">INT(AS752*RANDBETWEEN(120,200)/100)</f>
        <v>5705</v>
      </c>
      <c r="AV752" s="2">
        <f ca="1">IF(LEFT(Y752,1)="L",RANDBETWEEN(500000,5000000),IF(LEFT(Y752,1)="C",RANDBETWEEN(5000,50000),IF(LEFT(Y752,1)="N",RANDBETWEEN(10000,150000),IF(LEFT(Y752,1)="J",RANDBETWEEN(8000,200000),RANDBETWEEN(5000,100000)))))</f>
        <v>99344</v>
      </c>
      <c r="AW752" s="2">
        <f ca="1">INT(AV752*RANDBETWEEN(30,60)/100)</f>
        <v>35763</v>
      </c>
      <c r="AX752">
        <f ca="1">IF(Z752="ORAL",RANDBETWEEN(1000,10000),IF(OR(Z752="INTRAVENOSA",Z752="INTRAMUSCULAR"),RANDBETWEEN(100,2000),IF(OR(Z752="OFTÁLMICA",Z752="TOPICA (EXTERNA)"),RANDBETWEEN(200,3000),RANDBETWEEN(100,1500))))</f>
        <v>891</v>
      </c>
      <c r="AY752" s="2">
        <f ca="1">INT(AV752*RANDBETWEEN(90,130)/100)</f>
        <v>99344</v>
      </c>
      <c r="AZ752" t="str">
        <f t="shared" ca="1" si="58"/>
        <v>1.4%</v>
      </c>
      <c r="BA752" t="str">
        <f t="shared" ca="1" si="59"/>
        <v>ALTO</v>
      </c>
    </row>
    <row r="753" spans="4:53" x14ac:dyDescent="0.35">
      <c r="D753" t="s">
        <v>4861</v>
      </c>
      <c r="E753" s="1">
        <v>40515</v>
      </c>
      <c r="F753" t="s">
        <v>65</v>
      </c>
      <c r="G753" t="s">
        <v>502</v>
      </c>
      <c r="H753" t="s">
        <v>4862</v>
      </c>
      <c r="I753">
        <v>20020814</v>
      </c>
      <c r="J753" t="s">
        <v>28</v>
      </c>
      <c r="K753">
        <v>2</v>
      </c>
      <c r="L753" t="s">
        <v>27</v>
      </c>
      <c r="M753" t="s">
        <v>4863</v>
      </c>
      <c r="N753" t="s">
        <v>4864</v>
      </c>
      <c r="O753" t="s">
        <v>4865</v>
      </c>
      <c r="P753" t="s">
        <v>4091</v>
      </c>
      <c r="Q753" s="1">
        <v>40421</v>
      </c>
      <c r="R753" t="s">
        <v>50</v>
      </c>
      <c r="S753" t="s">
        <v>27</v>
      </c>
      <c r="T753" t="s">
        <v>610</v>
      </c>
      <c r="U753" t="s">
        <v>502</v>
      </c>
      <c r="V753" t="s">
        <v>4866</v>
      </c>
      <c r="W753" t="s">
        <v>3675</v>
      </c>
      <c r="X753">
        <v>20020814</v>
      </c>
      <c r="Y753" t="s">
        <v>4867</v>
      </c>
      <c r="Z753" t="s">
        <v>260</v>
      </c>
      <c r="AA753" t="s">
        <v>32</v>
      </c>
      <c r="AB753" t="s">
        <v>133</v>
      </c>
      <c r="AC753" t="s">
        <v>25</v>
      </c>
      <c r="AD753" t="s">
        <v>121</v>
      </c>
      <c r="AE753">
        <v>500</v>
      </c>
      <c r="AF753" t="s">
        <v>27</v>
      </c>
      <c r="AG753" t="s">
        <v>26</v>
      </c>
      <c r="AH753" t="s">
        <v>6772</v>
      </c>
      <c r="AI753" t="str">
        <f t="shared" si="55"/>
        <v>NO</v>
      </c>
      <c r="AJ753" t="str">
        <f t="shared" si="56"/>
        <v>B. BRAUN MELSUNGEN</v>
      </c>
      <c r="AK753" t="str">
        <f>IF(ISNUMBER(SEARCH("FABRICANTE",AC753)),"FABRICANTE",IF(ISNUMBER(SEARCH("IMPORTADOR",AC753)),"IMPORTADOR","OTRO"))</f>
        <v>FABRICANTE</v>
      </c>
      <c r="AL753" t="str">
        <f>IF(LEFT(Y753,1)="A","Sistema digestivo",IF(LEFT(Y753,1)="B","Sangre",IF(LEFT(Y753,1)="C","Cardiovascular",IF(LEFT(Y753,1)="D","Dermatológico",IF(LEFT(Y753,1)="G","Genitourinario",IF(LEFT(Y753,1)="H","Hormonal",IF(LEFT(Y753,1)="J","Antiinfecciosos",IF(LEFT(Y753,1)="L","Oncológicos",IF(LEFT(Y753,1)="M","Musculoesquelético",IF(LEFT(Y753,1)="N","Sistema nervioso",IF(LEFT(Y753,1)="R","Respiratorio",IF(LEFT(Y753,1)="S","Oftálmico",IF(LEFT(Y753,1)="V","Varios","OTRO")))))))))))))</f>
        <v>Sangre</v>
      </c>
      <c r="AM753" t="str">
        <f>IF(AG753="Vigente","ACTIVO",IF(ISNUMBER(SEARCH("Inactivo",J753)),"INACTIVO","REVISAR"))</f>
        <v>ACTIVO</v>
      </c>
      <c r="AN753" t="str">
        <f ca="1">IF(OR(AF753="",AF753="null"),"",ROUND((AF753-TODAY())/365.25,2))</f>
        <v/>
      </c>
      <c r="AO753" t="str">
        <f ca="1">IF(AND(AG753="Vigente",OR(AF753="",AF753="null",AF753&gt;TODAY())),"SI",IF(AND(NOT(OR(AF753="",AF753="null")),AF753&lt;=TODAY()),"NO",IF(AG753="Vigente","SI","DESCONOCIDO")))</f>
        <v>SI</v>
      </c>
      <c r="AP753" t="str">
        <f>IF(AND(ISNUMBER(SEARCH("IMPORTAR",AA753)),ISNUMBER(SEARCH("FABRICAR",AA753))),"MIXTO",IF(ISNUMBER(SEARCH("IMPORTAR",AA753)),"IMPORTADO",IF(ISNUMBER(SEARCH("FABRICAR",AA753)),"LOCAL","OTRO")))</f>
        <v>IMPORTADO</v>
      </c>
      <c r="AQ753" t="str">
        <f>IF(AD753="Si","SI",IF(AD753="No","NO",""))</f>
        <v>NO</v>
      </c>
      <c r="AR753" t="str">
        <f>IF(ISNUMBER(SEARCH("®",N753)),"MARCA/INNOVADOR","GENERICO")</f>
        <v>GENERICO</v>
      </c>
      <c r="AS753">
        <f ca="1">IF(AE753&gt;100,RANDBETWEEN(500,5000),IF(AND(AE753&gt;=10,AE753&lt;=100),RANDBETWEEN(100,1000),RANDBETWEEN(10,200)))</f>
        <v>1935</v>
      </c>
      <c r="AT753">
        <f t="shared" ca="1" si="57"/>
        <v>309</v>
      </c>
      <c r="AU753">
        <f ca="1">INT(AS753*RANDBETWEEN(120,200)/100)</f>
        <v>2941</v>
      </c>
      <c r="AV753" s="2">
        <f ca="1">IF(LEFT(Y753,1)="L",RANDBETWEEN(500000,5000000),IF(LEFT(Y753,1)="C",RANDBETWEEN(5000,50000),IF(LEFT(Y753,1)="N",RANDBETWEEN(10000,150000),IF(LEFT(Y753,1)="J",RANDBETWEEN(8000,200000),RANDBETWEEN(5000,100000)))))</f>
        <v>26237</v>
      </c>
      <c r="AW753" s="2">
        <f ca="1">INT(AV753*RANDBETWEEN(30,60)/100)</f>
        <v>8133</v>
      </c>
      <c r="AX753">
        <f ca="1">IF(Z753="ORAL",RANDBETWEEN(1000,10000),IF(OR(Z753="INTRAVENOSA",Z753="INTRAMUSCULAR"),RANDBETWEEN(100,2000),IF(OR(Z753="OFTÁLMICA",Z753="TOPICA (EXTERNA)"),RANDBETWEEN(200,3000),RANDBETWEEN(100,1500))))</f>
        <v>596</v>
      </c>
      <c r="AY753" s="2">
        <f ca="1">INT(AV753*RANDBETWEEN(90,130)/100)</f>
        <v>24138</v>
      </c>
      <c r="AZ753" t="str">
        <f t="shared" ca="1" si="58"/>
        <v>3.5%</v>
      </c>
      <c r="BA753" t="str">
        <f t="shared" ca="1" si="59"/>
        <v>BAJO</v>
      </c>
    </row>
    <row r="754" spans="4:53" x14ac:dyDescent="0.35">
      <c r="D754" t="s">
        <v>4868</v>
      </c>
      <c r="E754" s="1">
        <v>37573</v>
      </c>
      <c r="F754" t="s">
        <v>1258</v>
      </c>
      <c r="G754" t="s">
        <v>108</v>
      </c>
      <c r="H754" t="s">
        <v>1259</v>
      </c>
      <c r="I754">
        <v>19933064</v>
      </c>
      <c r="J754" t="s">
        <v>28</v>
      </c>
      <c r="K754">
        <v>7</v>
      </c>
      <c r="L754" t="s">
        <v>27</v>
      </c>
      <c r="M754" t="s">
        <v>1260</v>
      </c>
      <c r="N754" t="s">
        <v>1261</v>
      </c>
      <c r="O754" t="s">
        <v>4869</v>
      </c>
      <c r="P754" t="s">
        <v>1263</v>
      </c>
      <c r="Q754" s="1">
        <v>39521</v>
      </c>
      <c r="R754" t="s">
        <v>50</v>
      </c>
      <c r="S754" t="s">
        <v>27</v>
      </c>
      <c r="T754" t="s">
        <v>928</v>
      </c>
      <c r="U754" t="s">
        <v>115</v>
      </c>
      <c r="V754" t="s">
        <v>1264</v>
      </c>
      <c r="W754">
        <v>10</v>
      </c>
      <c r="X754">
        <v>19933064</v>
      </c>
      <c r="Y754" t="s">
        <v>1265</v>
      </c>
      <c r="Z754" t="s">
        <v>132</v>
      </c>
      <c r="AA754" t="s">
        <v>24</v>
      </c>
      <c r="AB754" t="s">
        <v>120</v>
      </c>
      <c r="AC754" t="s">
        <v>25</v>
      </c>
      <c r="AD754" t="s">
        <v>121</v>
      </c>
      <c r="AE754">
        <v>50</v>
      </c>
      <c r="AF754" t="s">
        <v>27</v>
      </c>
      <c r="AG754" t="s">
        <v>26</v>
      </c>
      <c r="AH754" t="s">
        <v>6625</v>
      </c>
      <c r="AI754" t="str">
        <f t="shared" si="55"/>
        <v>NO</v>
      </c>
      <c r="AJ754" t="str">
        <f t="shared" si="56"/>
        <v>LABORATORIOS ECAR</v>
      </c>
      <c r="AK754" t="str">
        <f>IF(ISNUMBER(SEARCH("FABRICANTE",AC754)),"FABRICANTE",IF(ISNUMBER(SEARCH("IMPORTADOR",AC754)),"IMPORTADOR","OTRO"))</f>
        <v>FABRICANTE</v>
      </c>
      <c r="AL754" t="str">
        <f>IF(LEFT(Y754,1)="A","Sistema digestivo",IF(LEFT(Y754,1)="B","Sangre",IF(LEFT(Y754,1)="C","Cardiovascular",IF(LEFT(Y754,1)="D","Dermatológico",IF(LEFT(Y754,1)="G","Genitourinario",IF(LEFT(Y754,1)="H","Hormonal",IF(LEFT(Y754,1)="J","Antiinfecciosos",IF(LEFT(Y754,1)="L","Oncológicos",IF(LEFT(Y754,1)="M","Musculoesquelético",IF(LEFT(Y754,1)="N","Sistema nervioso",IF(LEFT(Y754,1)="R","Respiratorio",IF(LEFT(Y754,1)="S","Oftálmico",IF(LEFT(Y754,1)="V","Varios","OTRO")))))))))))))</f>
        <v>Sangre</v>
      </c>
      <c r="AM754" t="str">
        <f>IF(AG754="Vigente","ACTIVO",IF(ISNUMBER(SEARCH("Inactivo",J754)),"INACTIVO","REVISAR"))</f>
        <v>ACTIVO</v>
      </c>
      <c r="AN754" t="str">
        <f ca="1">IF(OR(AF754="",AF754="null"),"",ROUND((AF754-TODAY())/365.25,2))</f>
        <v/>
      </c>
      <c r="AO754" t="str">
        <f ca="1">IF(AND(AG754="Vigente",OR(AF754="",AF754="null",AF754&gt;TODAY())),"SI",IF(AND(NOT(OR(AF754="",AF754="null")),AF754&lt;=TODAY()),"NO",IF(AG754="Vigente","SI","DESCONOCIDO")))</f>
        <v>SI</v>
      </c>
      <c r="AP754" t="str">
        <f>IF(AND(ISNUMBER(SEARCH("IMPORTAR",AA754)),ISNUMBER(SEARCH("FABRICAR",AA754))),"MIXTO",IF(ISNUMBER(SEARCH("IMPORTAR",AA754)),"IMPORTADO",IF(ISNUMBER(SEARCH("FABRICAR",AA754)),"LOCAL","OTRO")))</f>
        <v>LOCAL</v>
      </c>
      <c r="AQ754" t="str">
        <f>IF(AD754="Si","SI",IF(AD754="No","NO",""))</f>
        <v>NO</v>
      </c>
      <c r="AR754" t="str">
        <f>IF(ISNUMBER(SEARCH("®",N754)),"MARCA/INNOVADOR","GENERICO")</f>
        <v>GENERICO</v>
      </c>
      <c r="AS754">
        <f ca="1">IF(AE754&gt;100,RANDBETWEEN(500,5000),IF(AND(AE754&gt;=10,AE754&lt;=100),RANDBETWEEN(100,1000),RANDBETWEEN(10,200)))</f>
        <v>599</v>
      </c>
      <c r="AT754">
        <f t="shared" ca="1" si="57"/>
        <v>155</v>
      </c>
      <c r="AU754">
        <f ca="1">INT(AS754*RANDBETWEEN(120,200)/100)</f>
        <v>862</v>
      </c>
      <c r="AV754" s="2">
        <f ca="1">IF(LEFT(Y754,1)="L",RANDBETWEEN(500000,5000000),IF(LEFT(Y754,1)="C",RANDBETWEEN(5000,50000),IF(LEFT(Y754,1)="N",RANDBETWEEN(10000,150000),IF(LEFT(Y754,1)="J",RANDBETWEEN(8000,200000),RANDBETWEEN(5000,100000)))))</f>
        <v>8633</v>
      </c>
      <c r="AW754" s="2">
        <f ca="1">INT(AV754*RANDBETWEEN(30,60)/100)</f>
        <v>3453</v>
      </c>
      <c r="AX754">
        <f ca="1">IF(Z754="ORAL",RANDBETWEEN(1000,10000),IF(OR(Z754="INTRAVENOSA",Z754="INTRAMUSCULAR"),RANDBETWEEN(100,2000),IF(OR(Z754="OFTÁLMICA",Z754="TOPICA (EXTERNA)"),RANDBETWEEN(200,3000),RANDBETWEEN(100,1500))))</f>
        <v>992</v>
      </c>
      <c r="AY754" s="2">
        <f ca="1">INT(AV754*RANDBETWEEN(90,130)/100)</f>
        <v>10445</v>
      </c>
      <c r="AZ754" t="str">
        <f t="shared" ca="1" si="58"/>
        <v>2.8%</v>
      </c>
      <c r="BA754" t="str">
        <f t="shared" ca="1" si="59"/>
        <v>BAJO</v>
      </c>
    </row>
    <row r="755" spans="4:53" x14ac:dyDescent="0.35">
      <c r="D755" t="s">
        <v>4870</v>
      </c>
      <c r="E755" s="1">
        <v>42901</v>
      </c>
      <c r="F755" t="s">
        <v>4533</v>
      </c>
      <c r="G755" t="s">
        <v>108</v>
      </c>
      <c r="H755" t="s">
        <v>4871</v>
      </c>
      <c r="I755">
        <v>20106761</v>
      </c>
      <c r="J755" t="s">
        <v>28</v>
      </c>
      <c r="K755">
        <v>1</v>
      </c>
      <c r="L755" t="s">
        <v>27</v>
      </c>
      <c r="M755" t="s">
        <v>4872</v>
      </c>
      <c r="N755" t="s">
        <v>4873</v>
      </c>
      <c r="O755" t="s">
        <v>4874</v>
      </c>
      <c r="P755" t="s">
        <v>4875</v>
      </c>
      <c r="Q755" s="1">
        <v>42647</v>
      </c>
      <c r="R755" t="s">
        <v>912</v>
      </c>
      <c r="S755" t="s">
        <v>27</v>
      </c>
      <c r="T755" t="s">
        <v>4876</v>
      </c>
      <c r="U755" t="s">
        <v>115</v>
      </c>
      <c r="V755" t="s">
        <v>4877</v>
      </c>
      <c r="W755" t="s">
        <v>1117</v>
      </c>
      <c r="X755">
        <v>20106761</v>
      </c>
      <c r="Y755" t="s">
        <v>4878</v>
      </c>
      <c r="Z755" t="s">
        <v>566</v>
      </c>
      <c r="AA755" t="s">
        <v>32</v>
      </c>
      <c r="AB755" t="s">
        <v>653</v>
      </c>
      <c r="AC755" t="s">
        <v>25</v>
      </c>
      <c r="AD755" t="s">
        <v>155</v>
      </c>
      <c r="AE755">
        <v>1</v>
      </c>
      <c r="AF755" t="s">
        <v>27</v>
      </c>
      <c r="AG755" t="s">
        <v>26</v>
      </c>
      <c r="AH755" t="s">
        <v>4533</v>
      </c>
      <c r="AI755" t="str">
        <f t="shared" si="55"/>
        <v>NO</v>
      </c>
      <c r="AJ755" t="str">
        <f t="shared" si="56"/>
        <v>FAES FARMA</v>
      </c>
      <c r="AK755" t="str">
        <f>IF(ISNUMBER(SEARCH("FABRICANTE",AC755)),"FABRICANTE",IF(ISNUMBER(SEARCH("IMPORTADOR",AC755)),"IMPORTADOR","OTRO"))</f>
        <v>FABRICANTE</v>
      </c>
      <c r="AL755" t="str">
        <f>IF(LEFT(Y755,1)="A","Sistema digestivo",IF(LEFT(Y755,1)="B","Sangre",IF(LEFT(Y755,1)="C","Cardiovascular",IF(LEFT(Y755,1)="D","Dermatológico",IF(LEFT(Y755,1)="G","Genitourinario",IF(LEFT(Y755,1)="H","Hormonal",IF(LEFT(Y755,1)="J","Antiinfecciosos",IF(LEFT(Y755,1)="L","Oncológicos",IF(LEFT(Y755,1)="M","Musculoesquelético",IF(LEFT(Y755,1)="N","Sistema nervioso",IF(LEFT(Y755,1)="R","Respiratorio",IF(LEFT(Y755,1)="S","Oftálmico",IF(LEFT(Y755,1)="V","Varios","OTRO")))))))))))))</f>
        <v>Sistema digestivo</v>
      </c>
      <c r="AM755" t="str">
        <f>IF(AG755="Vigente","ACTIVO",IF(ISNUMBER(SEARCH("Inactivo",J755)),"INACTIVO","REVISAR"))</f>
        <v>ACTIVO</v>
      </c>
      <c r="AN755" t="str">
        <f ca="1">IF(OR(AF755="",AF755="null"),"",ROUND((AF755-TODAY())/365.25,2))</f>
        <v/>
      </c>
      <c r="AO755" t="str">
        <f ca="1">IF(AND(AG755="Vigente",OR(AF755="",AF755="null",AF755&gt;TODAY())),"SI",IF(AND(NOT(OR(AF755="",AF755="null")),AF755&lt;=TODAY()),"NO",IF(AG755="Vigente","SI","DESCONOCIDO")))</f>
        <v>SI</v>
      </c>
      <c r="AP755" t="str">
        <f>IF(AND(ISNUMBER(SEARCH("IMPORTAR",AA755)),ISNUMBER(SEARCH("FABRICAR",AA755))),"MIXTO",IF(ISNUMBER(SEARCH("IMPORTAR",AA755)),"IMPORTADO",IF(ISNUMBER(SEARCH("FABRICAR",AA755)),"LOCAL","OTRO")))</f>
        <v>IMPORTADO</v>
      </c>
      <c r="AQ755" t="str">
        <f>IF(AD755="Si","SI",IF(AD755="No","NO",""))</f>
        <v>SI</v>
      </c>
      <c r="AR755" t="str">
        <f>IF(ISNUMBER(SEARCH("®",N755)),"MARCA/INNOVADOR","GENERICO")</f>
        <v>MARCA/INNOVADOR</v>
      </c>
      <c r="AS755">
        <f ca="1">IF(AE755&gt;100,RANDBETWEEN(500,5000),IF(AND(AE755&gt;=10,AE755&lt;=100),RANDBETWEEN(100,1000),RANDBETWEEN(10,200)))</f>
        <v>32</v>
      </c>
      <c r="AT755">
        <f t="shared" ca="1" si="57"/>
        <v>8</v>
      </c>
      <c r="AU755">
        <f ca="1">INT(AS755*RANDBETWEEN(120,200)/100)</f>
        <v>39</v>
      </c>
      <c r="AV755" s="2">
        <f ca="1">IF(LEFT(Y755,1)="L",RANDBETWEEN(500000,5000000),IF(LEFT(Y755,1)="C",RANDBETWEEN(5000,50000),IF(LEFT(Y755,1)="N",RANDBETWEEN(10000,150000),IF(LEFT(Y755,1)="J",RANDBETWEEN(8000,200000),RANDBETWEEN(5000,100000)))))</f>
        <v>9047</v>
      </c>
      <c r="AW755" s="2">
        <f ca="1">INT(AV755*RANDBETWEEN(30,60)/100)</f>
        <v>5247</v>
      </c>
      <c r="AX755">
        <f ca="1">IF(Z755="ORAL",RANDBETWEEN(1000,10000),IF(OR(Z755="INTRAVENOSA",Z755="INTRAMUSCULAR"),RANDBETWEEN(100,2000),IF(OR(Z755="OFTÁLMICA",Z755="TOPICA (EXTERNA)"),RANDBETWEEN(200,3000),RANDBETWEEN(100,1500))))</f>
        <v>441</v>
      </c>
      <c r="AY755" s="2">
        <f ca="1">INT(AV755*RANDBETWEEN(90,130)/100)</f>
        <v>11127</v>
      </c>
      <c r="AZ755" t="str">
        <f t="shared" ca="1" si="58"/>
        <v>4.8%</v>
      </c>
      <c r="BA755" t="str">
        <f t="shared" ca="1" si="59"/>
        <v>BAJO</v>
      </c>
    </row>
    <row r="756" spans="4:53" x14ac:dyDescent="0.35">
      <c r="D756" t="s">
        <v>4879</v>
      </c>
      <c r="E756" s="1">
        <v>44876</v>
      </c>
      <c r="F756" t="s">
        <v>4880</v>
      </c>
      <c r="G756" t="s">
        <v>108</v>
      </c>
      <c r="H756" t="s">
        <v>1205</v>
      </c>
      <c r="I756">
        <v>20214914</v>
      </c>
      <c r="J756" t="s">
        <v>28</v>
      </c>
      <c r="K756">
        <v>11</v>
      </c>
      <c r="L756" t="s">
        <v>4881</v>
      </c>
      <c r="M756" t="s">
        <v>4882</v>
      </c>
      <c r="N756" t="s">
        <v>4883</v>
      </c>
      <c r="O756" t="s">
        <v>4884</v>
      </c>
      <c r="P756" t="s">
        <v>4885</v>
      </c>
      <c r="Q756" s="1">
        <v>44834</v>
      </c>
      <c r="R756" t="s">
        <v>73</v>
      </c>
      <c r="S756" t="s">
        <v>27</v>
      </c>
      <c r="T756" t="s">
        <v>991</v>
      </c>
      <c r="U756" t="s">
        <v>247</v>
      </c>
      <c r="V756" t="s">
        <v>4880</v>
      </c>
      <c r="W756">
        <v>3</v>
      </c>
      <c r="X756">
        <v>20214914</v>
      </c>
      <c r="Y756" t="s">
        <v>4886</v>
      </c>
      <c r="Z756" t="s">
        <v>119</v>
      </c>
      <c r="AA756" t="s">
        <v>24</v>
      </c>
      <c r="AB756" t="s">
        <v>653</v>
      </c>
      <c r="AC756" t="s">
        <v>25</v>
      </c>
      <c r="AD756" t="s">
        <v>121</v>
      </c>
      <c r="AE756">
        <v>1</v>
      </c>
      <c r="AF756" t="s">
        <v>27</v>
      </c>
      <c r="AG756" t="s">
        <v>26</v>
      </c>
      <c r="AH756" t="s">
        <v>4880</v>
      </c>
      <c r="AI756" t="str">
        <f t="shared" si="55"/>
        <v>NO</v>
      </c>
      <c r="AJ756" t="str">
        <f t="shared" si="56"/>
        <v>FARMA DE COLOMBIA</v>
      </c>
      <c r="AK756" t="str">
        <f>IF(ISNUMBER(SEARCH("FABRICANTE",AC756)),"FABRICANTE",IF(ISNUMBER(SEARCH("IMPORTADOR",AC756)),"IMPORTADOR","OTRO"))</f>
        <v>FABRICANTE</v>
      </c>
      <c r="AL756" t="str">
        <f>IF(LEFT(Y756,1)="A","Sistema digestivo",IF(LEFT(Y756,1)="B","Sangre",IF(LEFT(Y756,1)="C","Cardiovascular",IF(LEFT(Y756,1)="D","Dermatológico",IF(LEFT(Y756,1)="G","Genitourinario",IF(LEFT(Y756,1)="H","Hormonal",IF(LEFT(Y756,1)="J","Antiinfecciosos",IF(LEFT(Y756,1)="L","Oncológicos",IF(LEFT(Y756,1)="M","Musculoesquelético",IF(LEFT(Y756,1)="N","Sistema nervioso",IF(LEFT(Y756,1)="R","Respiratorio",IF(LEFT(Y756,1)="S","Oftálmico",IF(LEFT(Y756,1)="V","Varios","OTRO")))))))))))))</f>
        <v>Sistema digestivo</v>
      </c>
      <c r="AM756" t="str">
        <f>IF(AG756="Vigente","ACTIVO",IF(ISNUMBER(SEARCH("Inactivo",J756)),"INACTIVO","REVISAR"))</f>
        <v>ACTIVO</v>
      </c>
      <c r="AN756" t="str">
        <f ca="1">IF(OR(AF756="",AF756="null"),"",ROUND((AF756-TODAY())/365.25,2))</f>
        <v/>
      </c>
      <c r="AO756" t="str">
        <f ca="1">IF(AND(AG756="Vigente",OR(AF756="",AF756="null",AF756&gt;TODAY())),"SI",IF(AND(NOT(OR(AF756="",AF756="null")),AF756&lt;=TODAY()),"NO",IF(AG756="Vigente","SI","DESCONOCIDO")))</f>
        <v>SI</v>
      </c>
      <c r="AP756" t="str">
        <f>IF(AND(ISNUMBER(SEARCH("IMPORTAR",AA756)),ISNUMBER(SEARCH("FABRICAR",AA756))),"MIXTO",IF(ISNUMBER(SEARCH("IMPORTAR",AA756)),"IMPORTADO",IF(ISNUMBER(SEARCH("FABRICAR",AA756)),"LOCAL","OTRO")))</f>
        <v>LOCAL</v>
      </c>
      <c r="AQ756" t="str">
        <f>IF(AD756="Si","SI",IF(AD756="No","NO",""))</f>
        <v>NO</v>
      </c>
      <c r="AR756" t="str">
        <f>IF(ISNUMBER(SEARCH("®",N756)),"MARCA/INNOVADOR","GENERICO")</f>
        <v>MARCA/INNOVADOR</v>
      </c>
      <c r="AS756">
        <f ca="1">IF(AE756&gt;100,RANDBETWEEN(500,5000),IF(AND(AE756&gt;=10,AE756&lt;=100),RANDBETWEEN(100,1000),RANDBETWEEN(10,200)))</f>
        <v>68</v>
      </c>
      <c r="AT756">
        <f t="shared" ca="1" si="57"/>
        <v>13</v>
      </c>
      <c r="AU756">
        <f ca="1">INT(AS756*RANDBETWEEN(120,200)/100)</f>
        <v>101</v>
      </c>
      <c r="AV756" s="2">
        <f ca="1">IF(LEFT(Y756,1)="L",RANDBETWEEN(500000,5000000),IF(LEFT(Y756,1)="C",RANDBETWEEN(5000,50000),IF(LEFT(Y756,1)="N",RANDBETWEEN(10000,150000),IF(LEFT(Y756,1)="J",RANDBETWEEN(8000,200000),RANDBETWEEN(5000,100000)))))</f>
        <v>39125</v>
      </c>
      <c r="AW756" s="2">
        <f ca="1">INT(AV756*RANDBETWEEN(30,60)/100)</f>
        <v>17606</v>
      </c>
      <c r="AX756">
        <f ca="1">IF(Z756="ORAL",RANDBETWEEN(1000,10000),IF(OR(Z756="INTRAVENOSA",Z756="INTRAMUSCULAR"),RANDBETWEEN(100,2000),IF(OR(Z756="OFTÁLMICA",Z756="TOPICA (EXTERNA)"),RANDBETWEEN(200,3000),RANDBETWEEN(100,1500))))</f>
        <v>7915</v>
      </c>
      <c r="AY756" s="2">
        <f ca="1">INT(AV756*RANDBETWEEN(90,130)/100)</f>
        <v>50471</v>
      </c>
      <c r="AZ756" t="str">
        <f t="shared" ca="1" si="58"/>
        <v>12.4%</v>
      </c>
      <c r="BA756" t="str">
        <f t="shared" ca="1" si="59"/>
        <v>BAJO</v>
      </c>
    </row>
    <row r="757" spans="4:53" x14ac:dyDescent="0.35">
      <c r="D757" t="s">
        <v>4887</v>
      </c>
      <c r="E757" s="1">
        <v>39840</v>
      </c>
      <c r="F757" t="s">
        <v>70</v>
      </c>
      <c r="G757" t="s">
        <v>108</v>
      </c>
      <c r="H757" t="s">
        <v>367</v>
      </c>
      <c r="I757">
        <v>19993863</v>
      </c>
      <c r="J757" t="s">
        <v>28</v>
      </c>
      <c r="K757">
        <v>2</v>
      </c>
      <c r="L757" t="s">
        <v>2115</v>
      </c>
      <c r="M757" t="s">
        <v>363</v>
      </c>
      <c r="N757" t="s">
        <v>364</v>
      </c>
      <c r="O757" t="s">
        <v>4888</v>
      </c>
      <c r="P757" t="s">
        <v>366</v>
      </c>
      <c r="Q757" s="1">
        <v>39717</v>
      </c>
      <c r="R757" t="s">
        <v>67</v>
      </c>
      <c r="S757" t="s">
        <v>27</v>
      </c>
      <c r="T757" t="s">
        <v>367</v>
      </c>
      <c r="U757" t="s">
        <v>247</v>
      </c>
      <c r="V757" t="s">
        <v>248</v>
      </c>
      <c r="W757" t="s">
        <v>733</v>
      </c>
      <c r="X757">
        <v>19993863</v>
      </c>
      <c r="Y757" t="s">
        <v>249</v>
      </c>
      <c r="Z757" t="s">
        <v>119</v>
      </c>
      <c r="AA757" t="s">
        <v>32</v>
      </c>
      <c r="AB757" t="s">
        <v>250</v>
      </c>
      <c r="AC757" t="s">
        <v>25</v>
      </c>
      <c r="AD757" t="s">
        <v>121</v>
      </c>
      <c r="AE757">
        <v>1</v>
      </c>
      <c r="AF757" s="1">
        <v>401769</v>
      </c>
      <c r="AG757" t="s">
        <v>26</v>
      </c>
      <c r="AH757" t="s">
        <v>6735</v>
      </c>
      <c r="AI757" t="str">
        <f t="shared" si="55"/>
        <v>NO</v>
      </c>
      <c r="AJ757" t="str">
        <f t="shared" si="56"/>
        <v>LABORATORIOS PISA</v>
      </c>
      <c r="AK757" t="str">
        <f>IF(ISNUMBER(SEARCH("FABRICANTE",AC757)),"FABRICANTE",IF(ISNUMBER(SEARCH("IMPORTADOR",AC757)),"IMPORTADOR","OTRO"))</f>
        <v>FABRICANTE</v>
      </c>
      <c r="AL757" t="str">
        <f>IF(LEFT(Y757,1)="A","Sistema digestivo",IF(LEFT(Y757,1)="B","Sangre",IF(LEFT(Y757,1)="C","Cardiovascular",IF(LEFT(Y757,1)="D","Dermatológico",IF(LEFT(Y757,1)="G","Genitourinario",IF(LEFT(Y757,1)="H","Hormonal",IF(LEFT(Y757,1)="J","Antiinfecciosos",IF(LEFT(Y757,1)="L","Oncológicos",IF(LEFT(Y757,1)="M","Musculoesquelético",IF(LEFT(Y757,1)="N","Sistema nervioso",IF(LEFT(Y757,1)="R","Respiratorio",IF(LEFT(Y757,1)="S","Oftálmico",IF(LEFT(Y757,1)="V","Varios","OTRO")))))))))))))</f>
        <v>Sistema digestivo</v>
      </c>
      <c r="AM757" t="str">
        <f>IF(AG757="Vigente","ACTIVO",IF(ISNUMBER(SEARCH("Inactivo",J757)),"INACTIVO","REVISAR"))</f>
        <v>ACTIVO</v>
      </c>
      <c r="AN757">
        <f ca="1">IF(OR(AF757="",AF757="null"),"",ROUND((AF757-TODAY())/365.25,2))</f>
        <v>973.58</v>
      </c>
      <c r="AO757" t="str">
        <f ca="1">IF(AND(AG757="Vigente",OR(AF757="",AF757="null",AF757&gt;TODAY())),"SI",IF(AND(NOT(OR(AF757="",AF757="null")),AF757&lt;=TODAY()),"NO",IF(AG757="Vigente","SI","DESCONOCIDO")))</f>
        <v>SI</v>
      </c>
      <c r="AP757" t="str">
        <f>IF(AND(ISNUMBER(SEARCH("IMPORTAR",AA757)),ISNUMBER(SEARCH("FABRICAR",AA757))),"MIXTO",IF(ISNUMBER(SEARCH("IMPORTAR",AA757)),"IMPORTADO",IF(ISNUMBER(SEARCH("FABRICAR",AA757)),"LOCAL","OTRO")))</f>
        <v>IMPORTADO</v>
      </c>
      <c r="AQ757" t="str">
        <f>IF(AD757="Si","SI",IF(AD757="No","NO",""))</f>
        <v>NO</v>
      </c>
      <c r="AR757" t="str">
        <f>IF(ISNUMBER(SEARCH("®",N757)),"MARCA/INNOVADOR","GENERICO")</f>
        <v>MARCA/INNOVADOR</v>
      </c>
      <c r="AS757">
        <f ca="1">IF(AE757&gt;100,RANDBETWEEN(500,5000),IF(AND(AE757&gt;=10,AE757&lt;=100),RANDBETWEEN(100,1000),RANDBETWEEN(10,200)))</f>
        <v>196</v>
      </c>
      <c r="AT757">
        <f t="shared" ca="1" si="57"/>
        <v>31</v>
      </c>
      <c r="AU757">
        <f ca="1">INT(AS757*RANDBETWEEN(120,200)/100)</f>
        <v>245</v>
      </c>
      <c r="AV757" s="2">
        <f ca="1">IF(LEFT(Y757,1)="L",RANDBETWEEN(500000,5000000),IF(LEFT(Y757,1)="C",RANDBETWEEN(5000,50000),IF(LEFT(Y757,1)="N",RANDBETWEEN(10000,150000),IF(LEFT(Y757,1)="J",RANDBETWEEN(8000,200000),RANDBETWEEN(5000,100000)))))</f>
        <v>11350</v>
      </c>
      <c r="AW757" s="2">
        <f ca="1">INT(AV757*RANDBETWEEN(30,60)/100)</f>
        <v>3859</v>
      </c>
      <c r="AX757">
        <f ca="1">IF(Z757="ORAL",RANDBETWEEN(1000,10000),IF(OR(Z757="INTRAVENOSA",Z757="INTRAMUSCULAR"),RANDBETWEEN(100,2000),IF(OR(Z757="OFTÁLMICA",Z757="TOPICA (EXTERNA)"),RANDBETWEEN(200,3000),RANDBETWEEN(100,1500))))</f>
        <v>4888</v>
      </c>
      <c r="AY757" s="2">
        <f ca="1">INT(AV757*RANDBETWEEN(90,130)/100)</f>
        <v>10669</v>
      </c>
      <c r="AZ757" t="str">
        <f t="shared" ca="1" si="58"/>
        <v>23.5%</v>
      </c>
      <c r="BA757" t="str">
        <f t="shared" ca="1" si="59"/>
        <v>BAJO</v>
      </c>
    </row>
    <row r="758" spans="4:53" x14ac:dyDescent="0.35">
      <c r="D758" t="s">
        <v>4889</v>
      </c>
      <c r="E758" s="1">
        <v>44069</v>
      </c>
      <c r="F758" t="s">
        <v>4890</v>
      </c>
      <c r="G758" t="s">
        <v>108</v>
      </c>
      <c r="H758" t="s">
        <v>1943</v>
      </c>
      <c r="I758">
        <v>20156693</v>
      </c>
      <c r="J758" t="s">
        <v>28</v>
      </c>
      <c r="K758">
        <v>1</v>
      </c>
      <c r="L758" t="s">
        <v>4891</v>
      </c>
      <c r="M758" t="s">
        <v>4892</v>
      </c>
      <c r="N758" t="s">
        <v>4893</v>
      </c>
      <c r="O758" t="s">
        <v>4894</v>
      </c>
      <c r="P758" t="s">
        <v>29</v>
      </c>
      <c r="Q758" s="1">
        <v>43829</v>
      </c>
      <c r="R758" t="s">
        <v>29</v>
      </c>
      <c r="S758" t="s">
        <v>27</v>
      </c>
      <c r="T758" t="s">
        <v>4895</v>
      </c>
      <c r="U758" t="s">
        <v>115</v>
      </c>
      <c r="V758" t="s">
        <v>528</v>
      </c>
      <c r="W758">
        <v>500</v>
      </c>
      <c r="X758">
        <v>20156693</v>
      </c>
      <c r="Y758" t="s">
        <v>529</v>
      </c>
      <c r="Z758" t="s">
        <v>119</v>
      </c>
      <c r="AA758" t="s">
        <v>165</v>
      </c>
      <c r="AB758" t="s">
        <v>120</v>
      </c>
      <c r="AC758" t="s">
        <v>25</v>
      </c>
      <c r="AD758" t="s">
        <v>121</v>
      </c>
      <c r="AE758">
        <v>100</v>
      </c>
      <c r="AF758" t="s">
        <v>27</v>
      </c>
      <c r="AG758" t="s">
        <v>26</v>
      </c>
      <c r="AH758" t="s">
        <v>6830</v>
      </c>
      <c r="AI758" t="str">
        <f t="shared" si="55"/>
        <v>NO</v>
      </c>
      <c r="AJ758" t="str">
        <f t="shared" si="56"/>
        <v>MEDISEG LABORATORIES</v>
      </c>
      <c r="AK758" t="str">
        <f>IF(ISNUMBER(SEARCH("FABRICANTE",AC758)),"FABRICANTE",IF(ISNUMBER(SEARCH("IMPORTADOR",AC758)),"IMPORTADOR","OTRO"))</f>
        <v>FABRICANTE</v>
      </c>
      <c r="AL758" t="str">
        <f>IF(LEFT(Y758,1)="A","Sistema digestivo",IF(LEFT(Y758,1)="B","Sangre",IF(LEFT(Y758,1)="C","Cardiovascular",IF(LEFT(Y758,1)="D","Dermatológico",IF(LEFT(Y758,1)="G","Genitourinario",IF(LEFT(Y758,1)="H","Hormonal",IF(LEFT(Y758,1)="J","Antiinfecciosos",IF(LEFT(Y758,1)="L","Oncológicos",IF(LEFT(Y758,1)="M","Musculoesquelético",IF(LEFT(Y758,1)="N","Sistema nervioso",IF(LEFT(Y758,1)="R","Respiratorio",IF(LEFT(Y758,1)="S","Oftálmico",IF(LEFT(Y758,1)="V","Varios","OTRO")))))))))))))</f>
        <v>Sistema nervioso</v>
      </c>
      <c r="AM758" t="str">
        <f>IF(AG758="Vigente","ACTIVO",IF(ISNUMBER(SEARCH("Inactivo",J758)),"INACTIVO","REVISAR"))</f>
        <v>ACTIVO</v>
      </c>
      <c r="AN758" t="str">
        <f ca="1">IF(OR(AF758="",AF758="null"),"",ROUND((AF758-TODAY())/365.25,2))</f>
        <v/>
      </c>
      <c r="AO758" t="str">
        <f ca="1">IF(AND(AG758="Vigente",OR(AF758="",AF758="null",AF758&gt;TODAY())),"SI",IF(AND(NOT(OR(AF758="",AF758="null")),AF758&lt;=TODAY()),"NO",IF(AG758="Vigente","SI","DESCONOCIDO")))</f>
        <v>SI</v>
      </c>
      <c r="AP758" t="str">
        <f>IF(AND(ISNUMBER(SEARCH("IMPORTAR",AA758)),ISNUMBER(SEARCH("FABRICAR",AA758))),"MIXTO",IF(ISNUMBER(SEARCH("IMPORTAR",AA758)),"IMPORTADO",IF(ISNUMBER(SEARCH("FABRICAR",AA758)),"LOCAL","OTRO")))</f>
        <v>IMPORTADO</v>
      </c>
      <c r="AQ758" t="str">
        <f>IF(AD758="Si","SI",IF(AD758="No","NO",""))</f>
        <v>NO</v>
      </c>
      <c r="AR758" t="str">
        <f>IF(ISNUMBER(SEARCH("®",N758)),"MARCA/INNOVADOR","GENERICO")</f>
        <v>MARCA/INNOVADOR</v>
      </c>
      <c r="AS758">
        <f ca="1">IF(AE758&gt;100,RANDBETWEEN(500,5000),IF(AND(AE758&gt;=10,AE758&lt;=100),RANDBETWEEN(100,1000),RANDBETWEEN(10,200)))</f>
        <v>947</v>
      </c>
      <c r="AT758">
        <f t="shared" ca="1" si="57"/>
        <v>217</v>
      </c>
      <c r="AU758">
        <f ca="1">INT(AS758*RANDBETWEEN(120,200)/100)</f>
        <v>1411</v>
      </c>
      <c r="AV758" s="2">
        <f ca="1">IF(LEFT(Y758,1)="L",RANDBETWEEN(500000,5000000),IF(LEFT(Y758,1)="C",RANDBETWEEN(5000,50000),IF(LEFT(Y758,1)="N",RANDBETWEEN(10000,150000),IF(LEFT(Y758,1)="J",RANDBETWEEN(8000,200000),RANDBETWEEN(5000,100000)))))</f>
        <v>14556</v>
      </c>
      <c r="AW758" s="2">
        <f ca="1">INT(AV758*RANDBETWEEN(30,60)/100)</f>
        <v>8442</v>
      </c>
      <c r="AX758">
        <f ca="1">IF(Z758="ORAL",RANDBETWEEN(1000,10000),IF(OR(Z758="INTRAVENOSA",Z758="INTRAMUSCULAR"),RANDBETWEEN(100,2000),IF(OR(Z758="OFTÁLMICA",Z758="TOPICA (EXTERNA)"),RANDBETWEEN(200,3000),RANDBETWEEN(100,1500))))</f>
        <v>3282</v>
      </c>
      <c r="AY758" s="2">
        <f ca="1">INT(AV758*RANDBETWEEN(90,130)/100)</f>
        <v>17030</v>
      </c>
      <c r="AZ758" t="str">
        <f t="shared" ca="1" si="58"/>
        <v>22.5%</v>
      </c>
      <c r="BA758" t="str">
        <f t="shared" ca="1" si="59"/>
        <v>BAJO</v>
      </c>
    </row>
    <row r="759" spans="4:53" x14ac:dyDescent="0.35">
      <c r="D759" t="s">
        <v>4896</v>
      </c>
      <c r="E759" s="1">
        <v>39346</v>
      </c>
      <c r="F759" t="s">
        <v>4897</v>
      </c>
      <c r="G759" t="s">
        <v>108</v>
      </c>
      <c r="H759" t="s">
        <v>454</v>
      </c>
      <c r="I759">
        <v>19974623</v>
      </c>
      <c r="J759" t="s">
        <v>28</v>
      </c>
      <c r="K759">
        <v>7</v>
      </c>
      <c r="L759" t="s">
        <v>27</v>
      </c>
      <c r="M759" t="s">
        <v>4898</v>
      </c>
      <c r="N759" t="s">
        <v>4899</v>
      </c>
      <c r="O759" t="s">
        <v>4900</v>
      </c>
      <c r="P759" t="s">
        <v>29</v>
      </c>
      <c r="Q759" s="1">
        <v>44474</v>
      </c>
      <c r="R759" t="s">
        <v>29</v>
      </c>
      <c r="S759" s="1">
        <v>45194</v>
      </c>
      <c r="T759" t="s">
        <v>454</v>
      </c>
      <c r="U759" t="s">
        <v>807</v>
      </c>
      <c r="V759" t="s">
        <v>30</v>
      </c>
      <c r="W759">
        <v>100</v>
      </c>
      <c r="X759">
        <v>19974623</v>
      </c>
      <c r="Y759" t="s">
        <v>23</v>
      </c>
      <c r="Z759" t="s">
        <v>119</v>
      </c>
      <c r="AA759" t="s">
        <v>24</v>
      </c>
      <c r="AB759" t="s">
        <v>120</v>
      </c>
      <c r="AC759" t="s">
        <v>25</v>
      </c>
      <c r="AD759" t="s">
        <v>121</v>
      </c>
      <c r="AE759">
        <v>30</v>
      </c>
      <c r="AF759" s="1">
        <v>401769</v>
      </c>
      <c r="AG759" t="s">
        <v>26</v>
      </c>
      <c r="AH759" t="s">
        <v>22</v>
      </c>
      <c r="AI759" t="str">
        <f t="shared" si="55"/>
        <v>NO</v>
      </c>
      <c r="AJ759" t="str">
        <f t="shared" si="56"/>
        <v>PROCAPS</v>
      </c>
      <c r="AK759" t="str">
        <f>IF(ISNUMBER(SEARCH("FABRICANTE",AC759)),"FABRICANTE",IF(ISNUMBER(SEARCH("IMPORTADOR",AC759)),"IMPORTADOR","OTRO"))</f>
        <v>FABRICANTE</v>
      </c>
      <c r="AL759" t="str">
        <f>IF(LEFT(Y759,1)="A","Sistema digestivo",IF(LEFT(Y759,1)="B","Sangre",IF(LEFT(Y759,1)="C","Cardiovascular",IF(LEFT(Y759,1)="D","Dermatológico",IF(LEFT(Y759,1)="G","Genitourinario",IF(LEFT(Y759,1)="H","Hormonal",IF(LEFT(Y759,1)="J","Antiinfecciosos",IF(LEFT(Y759,1)="L","Oncológicos",IF(LEFT(Y759,1)="M","Musculoesquelético",IF(LEFT(Y759,1)="N","Sistema nervioso",IF(LEFT(Y759,1)="R","Respiratorio",IF(LEFT(Y759,1)="S","Oftálmico",IF(LEFT(Y759,1)="V","Varios","OTRO")))))))))))))</f>
        <v>Hormonal</v>
      </c>
      <c r="AM759" t="str">
        <f>IF(AG759="Vigente","ACTIVO",IF(ISNUMBER(SEARCH("Inactivo",J759)),"INACTIVO","REVISAR"))</f>
        <v>ACTIVO</v>
      </c>
      <c r="AN759">
        <f ca="1">IF(OR(AF759="",AF759="null"),"",ROUND((AF759-TODAY())/365.25,2))</f>
        <v>973.58</v>
      </c>
      <c r="AO759" t="str">
        <f ca="1">IF(AND(AG759="Vigente",OR(AF759="",AF759="null",AF759&gt;TODAY())),"SI",IF(AND(NOT(OR(AF759="",AF759="null")),AF759&lt;=TODAY()),"NO",IF(AG759="Vigente","SI","DESCONOCIDO")))</f>
        <v>SI</v>
      </c>
      <c r="AP759" t="str">
        <f>IF(AND(ISNUMBER(SEARCH("IMPORTAR",AA759)),ISNUMBER(SEARCH("FABRICAR",AA759))),"MIXTO",IF(ISNUMBER(SEARCH("IMPORTAR",AA759)),"IMPORTADO",IF(ISNUMBER(SEARCH("FABRICAR",AA759)),"LOCAL","OTRO")))</f>
        <v>LOCAL</v>
      </c>
      <c r="AQ759" t="str">
        <f>IF(AD759="Si","SI",IF(AD759="No","NO",""))</f>
        <v>NO</v>
      </c>
      <c r="AR759" t="str">
        <f>IF(ISNUMBER(SEARCH("®",N759)),"MARCA/INNOVADOR","GENERICO")</f>
        <v>GENERICO</v>
      </c>
      <c r="AS759">
        <f ca="1">IF(AE759&gt;100,RANDBETWEEN(500,5000),IF(AND(AE759&gt;=10,AE759&lt;=100),RANDBETWEEN(100,1000),RANDBETWEEN(10,200)))</f>
        <v>437</v>
      </c>
      <c r="AT759">
        <f t="shared" ca="1" si="57"/>
        <v>122</v>
      </c>
      <c r="AU759">
        <f ca="1">INT(AS759*RANDBETWEEN(120,200)/100)</f>
        <v>572</v>
      </c>
      <c r="AV759" s="2">
        <f ca="1">IF(LEFT(Y759,1)="L",RANDBETWEEN(500000,5000000),IF(LEFT(Y759,1)="C",RANDBETWEEN(5000,50000),IF(LEFT(Y759,1)="N",RANDBETWEEN(10000,150000),IF(LEFT(Y759,1)="J",RANDBETWEEN(8000,200000),RANDBETWEEN(5000,100000)))))</f>
        <v>54214</v>
      </c>
      <c r="AW759" s="2">
        <f ca="1">INT(AV759*RANDBETWEEN(30,60)/100)</f>
        <v>16806</v>
      </c>
      <c r="AX759">
        <f ca="1">IF(Z759="ORAL",RANDBETWEEN(1000,10000),IF(OR(Z759="INTRAVENOSA",Z759="INTRAMUSCULAR"),RANDBETWEEN(100,2000),IF(OR(Z759="OFTÁLMICA",Z759="TOPICA (EXTERNA)"),RANDBETWEEN(200,3000),RANDBETWEEN(100,1500))))</f>
        <v>3564</v>
      </c>
      <c r="AY759" s="2">
        <f ca="1">INT(AV759*RANDBETWEEN(90,130)/100)</f>
        <v>67767</v>
      </c>
      <c r="AZ759" t="str">
        <f t="shared" ca="1" si="58"/>
        <v>13.5%</v>
      </c>
      <c r="BA759" t="str">
        <f t="shared" ca="1" si="59"/>
        <v>BAJO</v>
      </c>
    </row>
    <row r="760" spans="4:53" x14ac:dyDescent="0.35">
      <c r="D760" t="s">
        <v>4901</v>
      </c>
      <c r="E760" s="1">
        <v>43683</v>
      </c>
      <c r="F760" t="s">
        <v>4902</v>
      </c>
      <c r="G760" t="s">
        <v>108</v>
      </c>
      <c r="H760" t="s">
        <v>4903</v>
      </c>
      <c r="I760">
        <v>20156486</v>
      </c>
      <c r="J760" t="s">
        <v>28</v>
      </c>
      <c r="K760">
        <v>1</v>
      </c>
      <c r="L760" t="s">
        <v>27</v>
      </c>
      <c r="M760" t="s">
        <v>4904</v>
      </c>
      <c r="N760" t="s">
        <v>4905</v>
      </c>
      <c r="O760" t="s">
        <v>4906</v>
      </c>
      <c r="P760" t="s">
        <v>33</v>
      </c>
      <c r="Q760" s="1">
        <v>43570</v>
      </c>
      <c r="R760" t="s">
        <v>33</v>
      </c>
      <c r="S760" t="s">
        <v>27</v>
      </c>
      <c r="T760" t="s">
        <v>4907</v>
      </c>
      <c r="U760" t="s">
        <v>115</v>
      </c>
      <c r="V760" t="s">
        <v>1989</v>
      </c>
      <c r="W760">
        <v>50</v>
      </c>
      <c r="X760">
        <v>20156486</v>
      </c>
      <c r="Y760" t="s">
        <v>1990</v>
      </c>
      <c r="Z760" t="s">
        <v>119</v>
      </c>
      <c r="AA760" t="s">
        <v>24</v>
      </c>
      <c r="AB760" t="s">
        <v>120</v>
      </c>
      <c r="AC760" t="s">
        <v>25</v>
      </c>
      <c r="AD760" t="s">
        <v>121</v>
      </c>
      <c r="AE760">
        <v>10</v>
      </c>
      <c r="AF760" t="s">
        <v>27</v>
      </c>
      <c r="AG760" t="s">
        <v>26</v>
      </c>
      <c r="AH760" t="s">
        <v>6689</v>
      </c>
      <c r="AI760" t="str">
        <f t="shared" si="55"/>
        <v>SI</v>
      </c>
      <c r="AJ760" t="str">
        <f t="shared" si="56"/>
        <v>LABORATORIO PROFESIONAL FARMACÉUTICO - LABORATORIOS LAPROFF</v>
      </c>
      <c r="AK760" t="str">
        <f>IF(ISNUMBER(SEARCH("FABRICANTE",AC760)),"FABRICANTE",IF(ISNUMBER(SEARCH("IMPORTADOR",AC760)),"IMPORTADOR","OTRO"))</f>
        <v>FABRICANTE</v>
      </c>
      <c r="AL760" t="str">
        <f>IF(LEFT(Y760,1)="A","Sistema digestivo",IF(LEFT(Y760,1)="B","Sangre",IF(LEFT(Y760,1)="C","Cardiovascular",IF(LEFT(Y760,1)="D","Dermatológico",IF(LEFT(Y760,1)="G","Genitourinario",IF(LEFT(Y760,1)="H","Hormonal",IF(LEFT(Y760,1)="J","Antiinfecciosos",IF(LEFT(Y760,1)="L","Oncológicos",IF(LEFT(Y760,1)="M","Musculoesquelético",IF(LEFT(Y760,1)="N","Sistema nervioso",IF(LEFT(Y760,1)="R","Respiratorio",IF(LEFT(Y760,1)="S","Oftálmico",IF(LEFT(Y760,1)="V","Varios","OTRO")))))))))))))</f>
        <v>Genitourinario</v>
      </c>
      <c r="AM760" t="str">
        <f>IF(AG760="Vigente","ACTIVO",IF(ISNUMBER(SEARCH("Inactivo",J760)),"INACTIVO","REVISAR"))</f>
        <v>ACTIVO</v>
      </c>
      <c r="AN760" t="str">
        <f ca="1">IF(OR(AF760="",AF760="null"),"",ROUND((AF760-TODAY())/365.25,2))</f>
        <v/>
      </c>
      <c r="AO760" t="str">
        <f ca="1">IF(AND(AG760="Vigente",OR(AF760="",AF760="null",AF760&gt;TODAY())),"SI",IF(AND(NOT(OR(AF760="",AF760="null")),AF760&lt;=TODAY()),"NO",IF(AG760="Vigente","SI","DESCONOCIDO")))</f>
        <v>SI</v>
      </c>
      <c r="AP760" t="str">
        <f>IF(AND(ISNUMBER(SEARCH("IMPORTAR",AA760)),ISNUMBER(SEARCH("FABRICAR",AA760))),"MIXTO",IF(ISNUMBER(SEARCH("IMPORTAR",AA760)),"IMPORTADO",IF(ISNUMBER(SEARCH("FABRICAR",AA760)),"LOCAL","OTRO")))</f>
        <v>LOCAL</v>
      </c>
      <c r="AQ760" t="str">
        <f>IF(AD760="Si","SI",IF(AD760="No","NO",""))</f>
        <v>NO</v>
      </c>
      <c r="AR760" t="str">
        <f>IF(ISNUMBER(SEARCH("®",N760)),"MARCA/INNOVADOR","GENERICO")</f>
        <v>GENERICO</v>
      </c>
      <c r="AS760">
        <f ca="1">IF(AE760&gt;100,RANDBETWEEN(500,5000),IF(AND(AE760&gt;=10,AE760&lt;=100),RANDBETWEEN(100,1000),RANDBETWEEN(10,200)))</f>
        <v>680</v>
      </c>
      <c r="AT760">
        <f t="shared" ca="1" si="57"/>
        <v>170</v>
      </c>
      <c r="AU760">
        <f ca="1">INT(AS760*RANDBETWEEN(120,200)/100)</f>
        <v>1339</v>
      </c>
      <c r="AV760" s="2">
        <f ca="1">IF(LEFT(Y760,1)="L",RANDBETWEEN(500000,5000000),IF(LEFT(Y760,1)="C",RANDBETWEEN(5000,50000),IF(LEFT(Y760,1)="N",RANDBETWEEN(10000,150000),IF(LEFT(Y760,1)="J",RANDBETWEEN(8000,200000),RANDBETWEEN(5000,100000)))))</f>
        <v>45247</v>
      </c>
      <c r="AW760" s="2">
        <f ca="1">INT(AV760*RANDBETWEEN(30,60)/100)</f>
        <v>25338</v>
      </c>
      <c r="AX760">
        <f ca="1">IF(Z760="ORAL",RANDBETWEEN(1000,10000),IF(OR(Z760="INTRAVENOSA",Z760="INTRAMUSCULAR"),RANDBETWEEN(100,2000),IF(OR(Z760="OFTÁLMICA",Z760="TOPICA (EXTERNA)"),RANDBETWEEN(200,3000),RANDBETWEEN(100,1500))))</f>
        <v>3108</v>
      </c>
      <c r="AY760" s="2">
        <f ca="1">INT(AV760*RANDBETWEEN(90,130)/100)</f>
        <v>54296</v>
      </c>
      <c r="AZ760" t="str">
        <f t="shared" ca="1" si="58"/>
        <v>14.9%</v>
      </c>
      <c r="BA760" t="str">
        <f t="shared" ca="1" si="59"/>
        <v>BAJO</v>
      </c>
    </row>
    <row r="761" spans="4:53" x14ac:dyDescent="0.35">
      <c r="D761" t="s">
        <v>4908</v>
      </c>
      <c r="E761" s="1">
        <v>36915</v>
      </c>
      <c r="F761" t="s">
        <v>2909</v>
      </c>
      <c r="G761" t="s">
        <v>108</v>
      </c>
      <c r="H761" t="s">
        <v>2662</v>
      </c>
      <c r="I761">
        <v>19908960</v>
      </c>
      <c r="J761" t="s">
        <v>110</v>
      </c>
      <c r="K761">
        <v>4</v>
      </c>
      <c r="L761" t="s">
        <v>27</v>
      </c>
      <c r="M761" t="s">
        <v>4909</v>
      </c>
      <c r="N761" t="s">
        <v>4910</v>
      </c>
      <c r="O761" t="s">
        <v>4911</v>
      </c>
      <c r="P761" t="s">
        <v>29</v>
      </c>
      <c r="Q761" s="1">
        <v>39031</v>
      </c>
      <c r="R761" t="s">
        <v>29</v>
      </c>
      <c r="S761" s="1">
        <v>40427</v>
      </c>
      <c r="T761" t="s">
        <v>320</v>
      </c>
      <c r="U761" t="s">
        <v>115</v>
      </c>
      <c r="V761" t="s">
        <v>321</v>
      </c>
      <c r="W761">
        <v>65</v>
      </c>
      <c r="X761">
        <v>19908960</v>
      </c>
      <c r="Y761" t="s">
        <v>322</v>
      </c>
      <c r="Z761" t="s">
        <v>119</v>
      </c>
      <c r="AA761" t="s">
        <v>24</v>
      </c>
      <c r="AB761" t="s">
        <v>120</v>
      </c>
      <c r="AC761" t="s">
        <v>25</v>
      </c>
      <c r="AD761" t="s">
        <v>121</v>
      </c>
      <c r="AE761">
        <v>100</v>
      </c>
      <c r="AF761" t="s">
        <v>27</v>
      </c>
      <c r="AG761" t="s">
        <v>26</v>
      </c>
      <c r="AH761" t="s">
        <v>976</v>
      </c>
      <c r="AI761" t="str">
        <f t="shared" si="55"/>
        <v>NO</v>
      </c>
      <c r="AJ761" t="str">
        <f t="shared" si="56"/>
        <v>GENFAR</v>
      </c>
      <c r="AK761" t="str">
        <f>IF(ISNUMBER(SEARCH("FABRICANTE",AC761)),"FABRICANTE",IF(ISNUMBER(SEARCH("IMPORTADOR",AC761)),"IMPORTADOR","OTRO"))</f>
        <v>FABRICANTE</v>
      </c>
      <c r="AL761" t="str">
        <f>IF(LEFT(Y761,1)="A","Sistema digestivo",IF(LEFT(Y761,1)="B","Sangre",IF(LEFT(Y761,1)="C","Cardiovascular",IF(LEFT(Y761,1)="D","Dermatológico",IF(LEFT(Y761,1)="G","Genitourinario",IF(LEFT(Y761,1)="H","Hormonal",IF(LEFT(Y761,1)="J","Antiinfecciosos",IF(LEFT(Y761,1)="L","Oncológicos",IF(LEFT(Y761,1)="M","Musculoesquelético",IF(LEFT(Y761,1)="N","Sistema nervioso",IF(LEFT(Y761,1)="R","Respiratorio",IF(LEFT(Y761,1)="S","Oftálmico",IF(LEFT(Y761,1)="V","Varios","OTRO")))))))))))))</f>
        <v>Sistema nervioso</v>
      </c>
      <c r="AM761" t="str">
        <f>IF(AG761="Vigente","ACTIVO",IF(ISNUMBER(SEARCH("Inactivo",J761)),"INACTIVO","REVISAR"))</f>
        <v>ACTIVO</v>
      </c>
      <c r="AN761" t="str">
        <f ca="1">IF(OR(AF761="",AF761="null"),"",ROUND((AF761-TODAY())/365.25,2))</f>
        <v/>
      </c>
      <c r="AO761" t="str">
        <f ca="1">IF(AND(AG761="Vigente",OR(AF761="",AF761="null",AF761&gt;TODAY())),"SI",IF(AND(NOT(OR(AF761="",AF761="null")),AF761&lt;=TODAY()),"NO",IF(AG761="Vigente","SI","DESCONOCIDO")))</f>
        <v>SI</v>
      </c>
      <c r="AP761" t="str">
        <f>IF(AND(ISNUMBER(SEARCH("IMPORTAR",AA761)),ISNUMBER(SEARCH("FABRICAR",AA761))),"MIXTO",IF(ISNUMBER(SEARCH("IMPORTAR",AA761)),"IMPORTADO",IF(ISNUMBER(SEARCH("FABRICAR",AA761)),"LOCAL","OTRO")))</f>
        <v>LOCAL</v>
      </c>
      <c r="AQ761" t="str">
        <f>IF(AD761="Si","SI",IF(AD761="No","NO",""))</f>
        <v>NO</v>
      </c>
      <c r="AR761" t="str">
        <f>IF(ISNUMBER(SEARCH("®",N761)),"MARCA/INNOVADOR","GENERICO")</f>
        <v>GENERICO</v>
      </c>
      <c r="AS761">
        <f ca="1">IF(AE761&gt;100,RANDBETWEEN(500,5000),IF(AND(AE761&gt;=10,AE761&lt;=100),RANDBETWEEN(100,1000),RANDBETWEEN(10,200)))</f>
        <v>233</v>
      </c>
      <c r="AT761">
        <f t="shared" ca="1" si="57"/>
        <v>32</v>
      </c>
      <c r="AU761">
        <f ca="1">INT(AS761*RANDBETWEEN(120,200)/100)</f>
        <v>281</v>
      </c>
      <c r="AV761" s="2">
        <f ca="1">IF(LEFT(Y761,1)="L",RANDBETWEEN(500000,5000000),IF(LEFT(Y761,1)="C",RANDBETWEEN(5000,50000),IF(LEFT(Y761,1)="N",RANDBETWEEN(10000,150000),IF(LEFT(Y761,1)="J",RANDBETWEEN(8000,200000),RANDBETWEEN(5000,100000)))))</f>
        <v>32815</v>
      </c>
      <c r="AW761" s="2">
        <f ca="1">INT(AV761*RANDBETWEEN(30,60)/100)</f>
        <v>17720</v>
      </c>
      <c r="AX761">
        <f ca="1">IF(Z761="ORAL",RANDBETWEEN(1000,10000),IF(OR(Z761="INTRAVENOSA",Z761="INTRAMUSCULAR"),RANDBETWEEN(100,2000),IF(OR(Z761="OFTÁLMICA",Z761="TOPICA (EXTERNA)"),RANDBETWEEN(200,3000),RANDBETWEEN(100,1500))))</f>
        <v>3338</v>
      </c>
      <c r="AY761" s="2">
        <f ca="1">INT(AV761*RANDBETWEEN(90,130)/100)</f>
        <v>36752</v>
      </c>
      <c r="AZ761" t="str">
        <f t="shared" ca="1" si="58"/>
        <v>9.2%</v>
      </c>
      <c r="BA761" t="str">
        <f t="shared" ca="1" si="59"/>
        <v>ALTO</v>
      </c>
    </row>
    <row r="762" spans="4:53" x14ac:dyDescent="0.35">
      <c r="D762" t="s">
        <v>4912</v>
      </c>
      <c r="E762" s="1">
        <v>40108</v>
      </c>
      <c r="F762" t="s">
        <v>4913</v>
      </c>
      <c r="G762" t="s">
        <v>108</v>
      </c>
      <c r="H762" t="s">
        <v>2662</v>
      </c>
      <c r="I762">
        <v>20005954</v>
      </c>
      <c r="J762" t="s">
        <v>28</v>
      </c>
      <c r="K762">
        <v>3</v>
      </c>
      <c r="L762" t="s">
        <v>4914</v>
      </c>
      <c r="M762" t="s">
        <v>4915</v>
      </c>
      <c r="N762" t="s">
        <v>4916</v>
      </c>
      <c r="O762" t="s">
        <v>4917</v>
      </c>
      <c r="P762" t="s">
        <v>4918</v>
      </c>
      <c r="Q762" s="1">
        <v>40409</v>
      </c>
      <c r="R762" t="s">
        <v>33</v>
      </c>
      <c r="S762" t="s">
        <v>27</v>
      </c>
      <c r="T762" t="s">
        <v>4414</v>
      </c>
      <c r="U762" t="s">
        <v>115</v>
      </c>
      <c r="V762" t="s">
        <v>350</v>
      </c>
      <c r="W762">
        <v>30</v>
      </c>
      <c r="X762">
        <v>20005954</v>
      </c>
      <c r="Y762" t="s">
        <v>351</v>
      </c>
      <c r="Z762" t="s">
        <v>119</v>
      </c>
      <c r="AA762" t="s">
        <v>24</v>
      </c>
      <c r="AB762" t="s">
        <v>120</v>
      </c>
      <c r="AC762" t="s">
        <v>25</v>
      </c>
      <c r="AD762" t="s">
        <v>121</v>
      </c>
      <c r="AE762">
        <v>100</v>
      </c>
      <c r="AF762" t="s">
        <v>27</v>
      </c>
      <c r="AG762" t="s">
        <v>26</v>
      </c>
      <c r="AH762" t="s">
        <v>6690</v>
      </c>
      <c r="AI762" t="str">
        <f t="shared" si="55"/>
        <v>NO</v>
      </c>
      <c r="AJ762" t="str">
        <f t="shared" si="56"/>
        <v>OPELLA HEALTHCARE COLOMBIA</v>
      </c>
      <c r="AK762" t="str">
        <f>IF(ISNUMBER(SEARCH("FABRICANTE",AC762)),"FABRICANTE",IF(ISNUMBER(SEARCH("IMPORTADOR",AC762)),"IMPORTADOR","OTRO"))</f>
        <v>FABRICANTE</v>
      </c>
      <c r="AL762" t="str">
        <f>IF(LEFT(Y762,1)="A","Sistema digestivo",IF(LEFT(Y762,1)="B","Sangre",IF(LEFT(Y762,1)="C","Cardiovascular",IF(LEFT(Y762,1)="D","Dermatológico",IF(LEFT(Y762,1)="G","Genitourinario",IF(LEFT(Y762,1)="H","Hormonal",IF(LEFT(Y762,1)="J","Antiinfecciosos",IF(LEFT(Y762,1)="L","Oncológicos",IF(LEFT(Y762,1)="M","Musculoesquelético",IF(LEFT(Y762,1)="N","Sistema nervioso",IF(LEFT(Y762,1)="R","Respiratorio",IF(LEFT(Y762,1)="S","Oftálmico",IF(LEFT(Y762,1)="V","Varios","OTRO")))))))))))))</f>
        <v>Sistema nervioso</v>
      </c>
      <c r="AM762" t="str">
        <f>IF(AG762="Vigente","ACTIVO",IF(ISNUMBER(SEARCH("Inactivo",J762)),"INACTIVO","REVISAR"))</f>
        <v>ACTIVO</v>
      </c>
      <c r="AN762" t="str">
        <f ca="1">IF(OR(AF762="",AF762="null"),"",ROUND((AF762-TODAY())/365.25,2))</f>
        <v/>
      </c>
      <c r="AO762" t="str">
        <f ca="1">IF(AND(AG762="Vigente",OR(AF762="",AF762="null",AF762&gt;TODAY())),"SI",IF(AND(NOT(OR(AF762="",AF762="null")),AF762&lt;=TODAY()),"NO",IF(AG762="Vigente","SI","DESCONOCIDO")))</f>
        <v>SI</v>
      </c>
      <c r="AP762" t="str">
        <f>IF(AND(ISNUMBER(SEARCH("IMPORTAR",AA762)),ISNUMBER(SEARCH("FABRICAR",AA762))),"MIXTO",IF(ISNUMBER(SEARCH("IMPORTAR",AA762)),"IMPORTADO",IF(ISNUMBER(SEARCH("FABRICAR",AA762)),"LOCAL","OTRO")))</f>
        <v>LOCAL</v>
      </c>
      <c r="AQ762" t="str">
        <f>IF(AD762="Si","SI",IF(AD762="No","NO",""))</f>
        <v>NO</v>
      </c>
      <c r="AR762" t="str">
        <f>IF(ISNUMBER(SEARCH("®",N762)),"MARCA/INNOVADOR","GENERICO")</f>
        <v>MARCA/INNOVADOR</v>
      </c>
      <c r="AS762">
        <f ca="1">IF(AE762&gt;100,RANDBETWEEN(500,5000),IF(AND(AE762&gt;=10,AE762&lt;=100),RANDBETWEEN(100,1000),RANDBETWEEN(10,200)))</f>
        <v>506</v>
      </c>
      <c r="AT762">
        <f t="shared" ca="1" si="57"/>
        <v>91</v>
      </c>
      <c r="AU762">
        <f ca="1">INT(AS762*RANDBETWEEN(120,200)/100)</f>
        <v>819</v>
      </c>
      <c r="AV762" s="2">
        <f ca="1">IF(LEFT(Y762,1)="L",RANDBETWEEN(500000,5000000),IF(LEFT(Y762,1)="C",RANDBETWEEN(5000,50000),IF(LEFT(Y762,1)="N",RANDBETWEEN(10000,150000),IF(LEFT(Y762,1)="J",RANDBETWEEN(8000,200000),RANDBETWEEN(5000,100000)))))</f>
        <v>57010</v>
      </c>
      <c r="AW762" s="2">
        <f ca="1">INT(AV762*RANDBETWEEN(30,60)/100)</f>
        <v>21663</v>
      </c>
      <c r="AX762">
        <f ca="1">IF(Z762="ORAL",RANDBETWEEN(1000,10000),IF(OR(Z762="INTRAVENOSA",Z762="INTRAMUSCULAR"),RANDBETWEEN(100,2000),IF(OR(Z762="OFTÁLMICA",Z762="TOPICA (EXTERNA)"),RANDBETWEEN(200,3000),RANDBETWEEN(100,1500))))</f>
        <v>7739</v>
      </c>
      <c r="AY762" s="2">
        <f ca="1">INT(AV762*RANDBETWEEN(90,130)/100)</f>
        <v>51309</v>
      </c>
      <c r="AZ762" t="str">
        <f t="shared" ca="1" si="58"/>
        <v>18.9%</v>
      </c>
      <c r="BA762" t="str">
        <f t="shared" ca="1" si="59"/>
        <v>BAJO</v>
      </c>
    </row>
    <row r="763" spans="4:53" x14ac:dyDescent="0.35">
      <c r="D763" t="s">
        <v>4919</v>
      </c>
      <c r="E763" s="1">
        <v>44760</v>
      </c>
      <c r="F763" t="s">
        <v>2389</v>
      </c>
      <c r="G763" t="s">
        <v>108</v>
      </c>
      <c r="H763" t="s">
        <v>4056</v>
      </c>
      <c r="I763">
        <v>20155908</v>
      </c>
      <c r="J763" t="s">
        <v>28</v>
      </c>
      <c r="K763">
        <v>1</v>
      </c>
      <c r="L763" t="s">
        <v>4920</v>
      </c>
      <c r="M763" t="s">
        <v>4921</v>
      </c>
      <c r="N763" t="s">
        <v>4922</v>
      </c>
      <c r="O763" t="s">
        <v>4923</v>
      </c>
      <c r="P763" t="s">
        <v>33</v>
      </c>
      <c r="Q763" s="1">
        <v>43770</v>
      </c>
      <c r="R763" t="s">
        <v>33</v>
      </c>
      <c r="S763" t="s">
        <v>27</v>
      </c>
      <c r="T763" t="s">
        <v>4056</v>
      </c>
      <c r="U763" t="s">
        <v>115</v>
      </c>
      <c r="V763" t="s">
        <v>2389</v>
      </c>
      <c r="W763">
        <v>500</v>
      </c>
      <c r="X763">
        <v>20155908</v>
      </c>
      <c r="Y763" t="s">
        <v>2394</v>
      </c>
      <c r="Z763" t="s">
        <v>119</v>
      </c>
      <c r="AA763" t="s">
        <v>32</v>
      </c>
      <c r="AB763" t="s">
        <v>120</v>
      </c>
      <c r="AC763" t="s">
        <v>38</v>
      </c>
      <c r="AD763" t="s">
        <v>121</v>
      </c>
      <c r="AE763">
        <v>10</v>
      </c>
      <c r="AF763" t="s">
        <v>27</v>
      </c>
      <c r="AG763" t="s">
        <v>26</v>
      </c>
      <c r="AH763" t="s">
        <v>2389</v>
      </c>
      <c r="AI763" t="str">
        <f t="shared" si="55"/>
        <v>NO</v>
      </c>
      <c r="AJ763" t="str">
        <f t="shared" si="56"/>
        <v>XINETIX PHARMA</v>
      </c>
      <c r="AK763" t="str">
        <f>IF(ISNUMBER(SEARCH("FABRICANTE",AC763)),"FABRICANTE",IF(ISNUMBER(SEARCH("IMPORTADOR",AC763)),"IMPORTADOR","OTRO"))</f>
        <v>IMPORTADOR</v>
      </c>
      <c r="AL763" t="str">
        <f>IF(LEFT(Y763,1)="A","Sistema digestivo",IF(LEFT(Y763,1)="B","Sangre",IF(LEFT(Y763,1)="C","Cardiovascular",IF(LEFT(Y763,1)="D","Dermatológico",IF(LEFT(Y763,1)="G","Genitourinario",IF(LEFT(Y763,1)="H","Hormonal",IF(LEFT(Y763,1)="J","Antiinfecciosos",IF(LEFT(Y763,1)="L","Oncológicos",IF(LEFT(Y763,1)="M","Musculoesquelético",IF(LEFT(Y763,1)="N","Sistema nervioso",IF(LEFT(Y763,1)="R","Respiratorio",IF(LEFT(Y763,1)="S","Oftálmico",IF(LEFT(Y763,1)="V","Varios","OTRO")))))))))))))</f>
        <v>Oncológicos</v>
      </c>
      <c r="AM763" t="str">
        <f>IF(AG763="Vigente","ACTIVO",IF(ISNUMBER(SEARCH("Inactivo",J763)),"INACTIVO","REVISAR"))</f>
        <v>ACTIVO</v>
      </c>
      <c r="AN763" t="str">
        <f ca="1">IF(OR(AF763="",AF763="null"),"",ROUND((AF763-TODAY())/365.25,2))</f>
        <v/>
      </c>
      <c r="AO763" t="str">
        <f ca="1">IF(AND(AG763="Vigente",OR(AF763="",AF763="null",AF763&gt;TODAY())),"SI",IF(AND(NOT(OR(AF763="",AF763="null")),AF763&lt;=TODAY()),"NO",IF(AG763="Vigente","SI","DESCONOCIDO")))</f>
        <v>SI</v>
      </c>
      <c r="AP763" t="str">
        <f>IF(AND(ISNUMBER(SEARCH("IMPORTAR",AA763)),ISNUMBER(SEARCH("FABRICAR",AA763))),"MIXTO",IF(ISNUMBER(SEARCH("IMPORTAR",AA763)),"IMPORTADO",IF(ISNUMBER(SEARCH("FABRICAR",AA763)),"LOCAL","OTRO")))</f>
        <v>IMPORTADO</v>
      </c>
      <c r="AQ763" t="str">
        <f>IF(AD763="Si","SI",IF(AD763="No","NO",""))</f>
        <v>NO</v>
      </c>
      <c r="AR763" t="str">
        <f>IF(ISNUMBER(SEARCH("®",N763)),"MARCA/INNOVADOR","GENERICO")</f>
        <v>MARCA/INNOVADOR</v>
      </c>
      <c r="AS763">
        <f ca="1">IF(AE763&gt;100,RANDBETWEEN(500,5000),IF(AND(AE763&gt;=10,AE763&lt;=100),RANDBETWEEN(100,1000),RANDBETWEEN(10,200)))</f>
        <v>429</v>
      </c>
      <c r="AT763">
        <f t="shared" ca="1" si="57"/>
        <v>81</v>
      </c>
      <c r="AU763">
        <f ca="1">INT(AS763*RANDBETWEEN(120,200)/100)</f>
        <v>858</v>
      </c>
      <c r="AV763" s="2">
        <f ca="1">IF(LEFT(Y763,1)="L",RANDBETWEEN(500000,5000000),IF(LEFT(Y763,1)="C",RANDBETWEEN(5000,50000),IF(LEFT(Y763,1)="N",RANDBETWEEN(10000,150000),IF(LEFT(Y763,1)="J",RANDBETWEEN(8000,200000),RANDBETWEEN(5000,100000)))))</f>
        <v>4765621</v>
      </c>
      <c r="AW763" s="2">
        <f ca="1">INT(AV763*RANDBETWEEN(30,60)/100)</f>
        <v>1429686</v>
      </c>
      <c r="AX763">
        <f ca="1">IF(Z763="ORAL",RANDBETWEEN(1000,10000),IF(OR(Z763="INTRAVENOSA",Z763="INTRAMUSCULAR"),RANDBETWEEN(100,2000),IF(OR(Z763="OFTÁLMICA",Z763="TOPICA (EXTERNA)"),RANDBETWEEN(200,3000),RANDBETWEEN(100,1500))))</f>
        <v>4298</v>
      </c>
      <c r="AY763" s="2">
        <f ca="1">INT(AV763*RANDBETWEEN(90,130)/100)</f>
        <v>4479683</v>
      </c>
      <c r="AZ763" t="str">
        <f t="shared" ca="1" si="58"/>
        <v>24.9%</v>
      </c>
      <c r="BA763" t="str">
        <f t="shared" ca="1" si="59"/>
        <v>BAJO</v>
      </c>
    </row>
    <row r="764" spans="4:53" x14ac:dyDescent="0.35">
      <c r="D764" t="s">
        <v>4924</v>
      </c>
      <c r="E764" s="1">
        <v>41344</v>
      </c>
      <c r="F764" t="s">
        <v>1851</v>
      </c>
      <c r="G764" t="s">
        <v>108</v>
      </c>
      <c r="H764" t="s">
        <v>168</v>
      </c>
      <c r="I764">
        <v>20054785</v>
      </c>
      <c r="J764" t="s">
        <v>28</v>
      </c>
      <c r="K764">
        <v>11</v>
      </c>
      <c r="L764" t="s">
        <v>27</v>
      </c>
      <c r="M764" t="s">
        <v>4925</v>
      </c>
      <c r="N764" t="s">
        <v>4926</v>
      </c>
      <c r="O764" t="s">
        <v>4927</v>
      </c>
      <c r="P764" t="s">
        <v>659</v>
      </c>
      <c r="Q764" s="1">
        <v>41310</v>
      </c>
      <c r="R764" t="s">
        <v>37</v>
      </c>
      <c r="S764" t="s">
        <v>27</v>
      </c>
      <c r="T764" t="s">
        <v>172</v>
      </c>
      <c r="U764" t="s">
        <v>115</v>
      </c>
      <c r="V764" t="s">
        <v>1859</v>
      </c>
      <c r="W764">
        <v>100</v>
      </c>
      <c r="X764">
        <v>20054785</v>
      </c>
      <c r="Y764" t="s">
        <v>1860</v>
      </c>
      <c r="Z764" t="s">
        <v>119</v>
      </c>
      <c r="AA764" t="s">
        <v>24</v>
      </c>
      <c r="AB764" t="s">
        <v>120</v>
      </c>
      <c r="AC764" t="s">
        <v>25</v>
      </c>
      <c r="AD764" t="s">
        <v>155</v>
      </c>
      <c r="AE764">
        <v>2</v>
      </c>
      <c r="AF764" s="1">
        <v>401769</v>
      </c>
      <c r="AG764" t="s">
        <v>26</v>
      </c>
      <c r="AH764" t="s">
        <v>1851</v>
      </c>
      <c r="AI764" t="str">
        <f t="shared" si="55"/>
        <v>NO</v>
      </c>
      <c r="AJ764" t="str">
        <f t="shared" si="56"/>
        <v>NOVAMED</v>
      </c>
      <c r="AK764" t="str">
        <f>IF(ISNUMBER(SEARCH("FABRICANTE",AC764)),"FABRICANTE",IF(ISNUMBER(SEARCH("IMPORTADOR",AC764)),"IMPORTADOR","OTRO"))</f>
        <v>FABRICANTE</v>
      </c>
      <c r="AL764" t="str">
        <f>IF(LEFT(Y764,1)="A","Sistema digestivo",IF(LEFT(Y764,1)="B","Sangre",IF(LEFT(Y764,1)="C","Cardiovascular",IF(LEFT(Y764,1)="D","Dermatológico",IF(LEFT(Y764,1)="G","Genitourinario",IF(LEFT(Y764,1)="H","Hormonal",IF(LEFT(Y764,1)="J","Antiinfecciosos",IF(LEFT(Y764,1)="L","Oncológicos",IF(LEFT(Y764,1)="M","Musculoesquelético",IF(LEFT(Y764,1)="N","Sistema nervioso",IF(LEFT(Y764,1)="R","Respiratorio",IF(LEFT(Y764,1)="S","Oftálmico",IF(LEFT(Y764,1)="V","Varios","OTRO")))))))))))))</f>
        <v>Musculoesquelético</v>
      </c>
      <c r="AM764" t="str">
        <f>IF(AG764="Vigente","ACTIVO",IF(ISNUMBER(SEARCH("Inactivo",J764)),"INACTIVO","REVISAR"))</f>
        <v>ACTIVO</v>
      </c>
      <c r="AN764">
        <f ca="1">IF(OR(AF764="",AF764="null"),"",ROUND((AF764-TODAY())/365.25,2))</f>
        <v>973.58</v>
      </c>
      <c r="AO764" t="str">
        <f ca="1">IF(AND(AG764="Vigente",OR(AF764="",AF764="null",AF764&gt;TODAY())),"SI",IF(AND(NOT(OR(AF764="",AF764="null")),AF764&lt;=TODAY()),"NO",IF(AG764="Vigente","SI","DESCONOCIDO")))</f>
        <v>SI</v>
      </c>
      <c r="AP764" t="str">
        <f>IF(AND(ISNUMBER(SEARCH("IMPORTAR",AA764)),ISNUMBER(SEARCH("FABRICAR",AA764))),"MIXTO",IF(ISNUMBER(SEARCH("IMPORTAR",AA764)),"IMPORTADO",IF(ISNUMBER(SEARCH("FABRICAR",AA764)),"LOCAL","OTRO")))</f>
        <v>LOCAL</v>
      </c>
      <c r="AQ764" t="str">
        <f>IF(AD764="Si","SI",IF(AD764="No","NO",""))</f>
        <v>SI</v>
      </c>
      <c r="AR764" t="str">
        <f>IF(ISNUMBER(SEARCH("®",N764)),"MARCA/INNOVADOR","GENERICO")</f>
        <v>MARCA/INNOVADOR</v>
      </c>
      <c r="AS764">
        <f ca="1">IF(AE764&gt;100,RANDBETWEEN(500,5000),IF(AND(AE764&gt;=10,AE764&lt;=100),RANDBETWEEN(100,1000),RANDBETWEEN(10,200)))</f>
        <v>75</v>
      </c>
      <c r="AT764">
        <f t="shared" ca="1" si="57"/>
        <v>9</v>
      </c>
      <c r="AU764">
        <f ca="1">INT(AS764*RANDBETWEEN(120,200)/100)</f>
        <v>111</v>
      </c>
      <c r="AV764" s="2">
        <f ca="1">IF(LEFT(Y764,1)="L",RANDBETWEEN(500000,5000000),IF(LEFT(Y764,1)="C",RANDBETWEEN(5000,50000),IF(LEFT(Y764,1)="N",RANDBETWEEN(10000,150000),IF(LEFT(Y764,1)="J",RANDBETWEEN(8000,200000),RANDBETWEEN(5000,100000)))))</f>
        <v>18440</v>
      </c>
      <c r="AW764" s="2">
        <f ca="1">INT(AV764*RANDBETWEEN(30,60)/100)</f>
        <v>9773</v>
      </c>
      <c r="AX764">
        <f ca="1">IF(Z764="ORAL",RANDBETWEEN(1000,10000),IF(OR(Z764="INTRAVENOSA",Z764="INTRAMUSCULAR"),RANDBETWEEN(100,2000),IF(OR(Z764="OFTÁLMICA",Z764="TOPICA (EXTERNA)"),RANDBETWEEN(200,3000),RANDBETWEEN(100,1500))))</f>
        <v>2706</v>
      </c>
      <c r="AY764" s="2">
        <f ca="1">INT(AV764*RANDBETWEEN(90,130)/100)</f>
        <v>21206</v>
      </c>
      <c r="AZ764" t="str">
        <f t="shared" ca="1" si="58"/>
        <v>23.9%</v>
      </c>
      <c r="BA764" t="str">
        <f t="shared" ca="1" si="59"/>
        <v>BAJO</v>
      </c>
    </row>
    <row r="765" spans="4:53" x14ac:dyDescent="0.35">
      <c r="D765" t="s">
        <v>4928</v>
      </c>
      <c r="E765" s="1">
        <v>37827</v>
      </c>
      <c r="F765" t="s">
        <v>157</v>
      </c>
      <c r="G765" t="s">
        <v>108</v>
      </c>
      <c r="H765" t="s">
        <v>316</v>
      </c>
      <c r="I765">
        <v>19937061</v>
      </c>
      <c r="J765" t="s">
        <v>110</v>
      </c>
      <c r="K765">
        <v>26</v>
      </c>
      <c r="L765" t="s">
        <v>27</v>
      </c>
      <c r="M765" t="s">
        <v>159</v>
      </c>
      <c r="N765" t="s">
        <v>160</v>
      </c>
      <c r="O765" t="s">
        <v>4929</v>
      </c>
      <c r="P765" t="s">
        <v>37</v>
      </c>
      <c r="Q765" s="1">
        <v>39297</v>
      </c>
      <c r="R765" t="s">
        <v>37</v>
      </c>
      <c r="S765" s="1">
        <v>41614</v>
      </c>
      <c r="T765" t="s">
        <v>80</v>
      </c>
      <c r="U765" t="s">
        <v>115</v>
      </c>
      <c r="V765" t="s">
        <v>162</v>
      </c>
      <c r="W765" t="s">
        <v>163</v>
      </c>
      <c r="X765">
        <v>19937061</v>
      </c>
      <c r="Y765" t="s">
        <v>164</v>
      </c>
      <c r="Z765" t="s">
        <v>119</v>
      </c>
      <c r="AA765" t="s">
        <v>165</v>
      </c>
      <c r="AB765" t="s">
        <v>120</v>
      </c>
      <c r="AC765" t="s">
        <v>25</v>
      </c>
      <c r="AD765" t="s">
        <v>121</v>
      </c>
      <c r="AE765">
        <v>60</v>
      </c>
      <c r="AF765" t="s">
        <v>27</v>
      </c>
      <c r="AG765" t="s">
        <v>26</v>
      </c>
      <c r="AH765" t="s">
        <v>6611</v>
      </c>
      <c r="AI765" t="str">
        <f t="shared" si="55"/>
        <v>SI</v>
      </c>
      <c r="AJ765" t="str">
        <f t="shared" si="56"/>
        <v>TECNOQUIMICAS</v>
      </c>
      <c r="AK765" t="str">
        <f>IF(ISNUMBER(SEARCH("FABRICANTE",AC765)),"FABRICANTE",IF(ISNUMBER(SEARCH("IMPORTADOR",AC765)),"IMPORTADOR","OTRO"))</f>
        <v>FABRICANTE</v>
      </c>
      <c r="AL765" t="str">
        <f>IF(LEFT(Y765,1)="A","Sistema digestivo",IF(LEFT(Y765,1)="B","Sangre",IF(LEFT(Y765,1)="C","Cardiovascular",IF(LEFT(Y765,1)="D","Dermatológico",IF(LEFT(Y765,1)="G","Genitourinario",IF(LEFT(Y765,1)="H","Hormonal",IF(LEFT(Y765,1)="J","Antiinfecciosos",IF(LEFT(Y765,1)="L","Oncológicos",IF(LEFT(Y765,1)="M","Musculoesquelético",IF(LEFT(Y765,1)="N","Sistema nervioso",IF(LEFT(Y765,1)="R","Respiratorio",IF(LEFT(Y765,1)="S","Oftálmico",IF(LEFT(Y765,1)="V","Varios","OTRO")))))))))))))</f>
        <v>Musculoesquelético</v>
      </c>
      <c r="AM765" t="str">
        <f>IF(AG765="Vigente","ACTIVO",IF(ISNUMBER(SEARCH("Inactivo",J765)),"INACTIVO","REVISAR"))</f>
        <v>ACTIVO</v>
      </c>
      <c r="AN765" t="str">
        <f ca="1">IF(OR(AF765="",AF765="null"),"",ROUND((AF765-TODAY())/365.25,2))</f>
        <v/>
      </c>
      <c r="AO765" t="str">
        <f ca="1">IF(AND(AG765="Vigente",OR(AF765="",AF765="null",AF765&gt;TODAY())),"SI",IF(AND(NOT(OR(AF765="",AF765="null")),AF765&lt;=TODAY()),"NO",IF(AG765="Vigente","SI","DESCONOCIDO")))</f>
        <v>SI</v>
      </c>
      <c r="AP765" t="str">
        <f>IF(AND(ISNUMBER(SEARCH("IMPORTAR",AA765)),ISNUMBER(SEARCH("FABRICAR",AA765))),"MIXTO",IF(ISNUMBER(SEARCH("IMPORTAR",AA765)),"IMPORTADO",IF(ISNUMBER(SEARCH("FABRICAR",AA765)),"LOCAL","OTRO")))</f>
        <v>IMPORTADO</v>
      </c>
      <c r="AQ765" t="str">
        <f>IF(AD765="Si","SI",IF(AD765="No","NO",""))</f>
        <v>NO</v>
      </c>
      <c r="AR765" t="str">
        <f>IF(ISNUMBER(SEARCH("®",N765)),"MARCA/INNOVADOR","GENERICO")</f>
        <v>GENERICO</v>
      </c>
      <c r="AS765">
        <f ca="1">IF(AE765&gt;100,RANDBETWEEN(500,5000),IF(AND(AE765&gt;=10,AE765&lt;=100),RANDBETWEEN(100,1000),RANDBETWEEN(10,200)))</f>
        <v>564</v>
      </c>
      <c r="AT765">
        <f t="shared" ca="1" si="57"/>
        <v>146</v>
      </c>
      <c r="AU765">
        <f ca="1">INT(AS765*RANDBETWEEN(120,200)/100)</f>
        <v>744</v>
      </c>
      <c r="AV765" s="2">
        <f ca="1">IF(LEFT(Y765,1)="L",RANDBETWEEN(500000,5000000),IF(LEFT(Y765,1)="C",RANDBETWEEN(5000,50000),IF(LEFT(Y765,1)="N",RANDBETWEEN(10000,150000),IF(LEFT(Y765,1)="J",RANDBETWEEN(8000,200000),RANDBETWEEN(5000,100000)))))</f>
        <v>93635</v>
      </c>
      <c r="AW765" s="2">
        <f ca="1">INT(AV765*RANDBETWEEN(30,60)/100)</f>
        <v>29026</v>
      </c>
      <c r="AX765">
        <f ca="1">IF(Z765="ORAL",RANDBETWEEN(1000,10000),IF(OR(Z765="INTRAVENOSA",Z765="INTRAMUSCULAR"),RANDBETWEEN(100,2000),IF(OR(Z765="OFTÁLMICA",Z765="TOPICA (EXTERNA)"),RANDBETWEEN(200,3000),RANDBETWEEN(100,1500))))</f>
        <v>8992</v>
      </c>
      <c r="AY765" s="2">
        <f ca="1">INT(AV765*RANDBETWEEN(90,130)/100)</f>
        <v>111425</v>
      </c>
      <c r="AZ765" t="str">
        <f t="shared" ca="1" si="58"/>
        <v>24.6%</v>
      </c>
      <c r="BA765" t="str">
        <f t="shared" ca="1" si="59"/>
        <v>ALTO</v>
      </c>
    </row>
    <row r="766" spans="4:53" x14ac:dyDescent="0.35">
      <c r="D766" t="s">
        <v>4930</v>
      </c>
      <c r="E766" s="1">
        <v>36161</v>
      </c>
      <c r="F766" t="s">
        <v>1626</v>
      </c>
      <c r="G766" t="s">
        <v>108</v>
      </c>
      <c r="H766" t="s">
        <v>83</v>
      </c>
      <c r="I766">
        <v>58111</v>
      </c>
      <c r="J766" t="s">
        <v>28</v>
      </c>
      <c r="K766">
        <v>12</v>
      </c>
      <c r="L766" t="s">
        <v>27</v>
      </c>
      <c r="M766" t="s">
        <v>1627</v>
      </c>
      <c r="N766" t="s">
        <v>1628</v>
      </c>
      <c r="O766" t="s">
        <v>4931</v>
      </c>
      <c r="P766" t="s">
        <v>932</v>
      </c>
      <c r="Q766" s="1">
        <v>41907</v>
      </c>
      <c r="R766" t="s">
        <v>932</v>
      </c>
      <c r="S766" t="s">
        <v>27</v>
      </c>
      <c r="T766" t="s">
        <v>83</v>
      </c>
      <c r="U766" t="s">
        <v>115</v>
      </c>
      <c r="V766" t="s">
        <v>933</v>
      </c>
      <c r="W766">
        <v>500</v>
      </c>
      <c r="X766">
        <v>58111</v>
      </c>
      <c r="Y766" t="s">
        <v>934</v>
      </c>
      <c r="Z766" t="s">
        <v>119</v>
      </c>
      <c r="AA766" t="s">
        <v>24</v>
      </c>
      <c r="AB766" t="s">
        <v>120</v>
      </c>
      <c r="AC766" t="s">
        <v>25</v>
      </c>
      <c r="AD766" t="s">
        <v>155</v>
      </c>
      <c r="AE766">
        <v>2</v>
      </c>
      <c r="AF766" t="s">
        <v>27</v>
      </c>
      <c r="AG766" t="s">
        <v>26</v>
      </c>
      <c r="AH766" t="s">
        <v>6757</v>
      </c>
      <c r="AI766" t="str">
        <f t="shared" si="55"/>
        <v>SI</v>
      </c>
      <c r="AJ766" t="str">
        <f t="shared" si="56"/>
        <v>LABORATORIOS LA SANTÉ</v>
      </c>
      <c r="AK766" t="str">
        <f>IF(ISNUMBER(SEARCH("FABRICANTE",AC766)),"FABRICANTE",IF(ISNUMBER(SEARCH("IMPORTADOR",AC766)),"IMPORTADOR","OTRO"))</f>
        <v>FABRICANTE</v>
      </c>
      <c r="AL766" t="str">
        <f>IF(LEFT(Y766,1)="A","Sistema digestivo",IF(LEFT(Y766,1)="B","Sangre",IF(LEFT(Y766,1)="C","Cardiovascular",IF(LEFT(Y766,1)="D","Dermatológico",IF(LEFT(Y766,1)="G","Genitourinario",IF(LEFT(Y766,1)="H","Hormonal",IF(LEFT(Y766,1)="J","Antiinfecciosos",IF(LEFT(Y766,1)="L","Oncológicos",IF(LEFT(Y766,1)="M","Musculoesquelético",IF(LEFT(Y766,1)="N","Sistema nervioso",IF(LEFT(Y766,1)="R","Respiratorio",IF(LEFT(Y766,1)="S","Oftálmico",IF(LEFT(Y766,1)="V","Varios","OTRO")))))))))))))</f>
        <v>Sistema digestivo</v>
      </c>
      <c r="AM766" t="str">
        <f>IF(AG766="Vigente","ACTIVO",IF(ISNUMBER(SEARCH("Inactivo",J766)),"INACTIVO","REVISAR"))</f>
        <v>ACTIVO</v>
      </c>
      <c r="AN766" t="str">
        <f ca="1">IF(OR(AF766="",AF766="null"),"",ROUND((AF766-TODAY())/365.25,2))</f>
        <v/>
      </c>
      <c r="AO766" t="str">
        <f ca="1">IF(AND(AG766="Vigente",OR(AF766="",AF766="null",AF766&gt;TODAY())),"SI",IF(AND(NOT(OR(AF766="",AF766="null")),AF766&lt;=TODAY()),"NO",IF(AG766="Vigente","SI","DESCONOCIDO")))</f>
        <v>SI</v>
      </c>
      <c r="AP766" t="str">
        <f>IF(AND(ISNUMBER(SEARCH("IMPORTAR",AA766)),ISNUMBER(SEARCH("FABRICAR",AA766))),"MIXTO",IF(ISNUMBER(SEARCH("IMPORTAR",AA766)),"IMPORTADO",IF(ISNUMBER(SEARCH("FABRICAR",AA766)),"LOCAL","OTRO")))</f>
        <v>LOCAL</v>
      </c>
      <c r="AQ766" t="str">
        <f>IF(AD766="Si","SI",IF(AD766="No","NO",""))</f>
        <v>SI</v>
      </c>
      <c r="AR766" t="str">
        <f>IF(ISNUMBER(SEARCH("®",N766)),"MARCA/INNOVADOR","GENERICO")</f>
        <v>GENERICO</v>
      </c>
      <c r="AS766">
        <f ca="1">IF(AE766&gt;100,RANDBETWEEN(500,5000),IF(AND(AE766&gt;=10,AE766&lt;=100),RANDBETWEEN(100,1000),RANDBETWEEN(10,200)))</f>
        <v>118</v>
      </c>
      <c r="AT766">
        <f t="shared" ca="1" si="57"/>
        <v>35</v>
      </c>
      <c r="AU766">
        <f ca="1">INT(AS766*RANDBETWEEN(120,200)/100)</f>
        <v>165</v>
      </c>
      <c r="AV766" s="2">
        <f ca="1">IF(LEFT(Y766,1)="L",RANDBETWEEN(500000,5000000),IF(LEFT(Y766,1)="C",RANDBETWEEN(5000,50000),IF(LEFT(Y766,1)="N",RANDBETWEEN(10000,150000),IF(LEFT(Y766,1)="J",RANDBETWEEN(8000,200000),RANDBETWEEN(5000,100000)))))</f>
        <v>18347</v>
      </c>
      <c r="AW766" s="2">
        <f ca="1">INT(AV766*RANDBETWEEN(30,60)/100)</f>
        <v>8806</v>
      </c>
      <c r="AX766">
        <f ca="1">IF(Z766="ORAL",RANDBETWEEN(1000,10000),IF(OR(Z766="INTRAVENOSA",Z766="INTRAMUSCULAR"),RANDBETWEEN(100,2000),IF(OR(Z766="OFTÁLMICA",Z766="TOPICA (EXTERNA)"),RANDBETWEEN(200,3000),RANDBETWEEN(100,1500))))</f>
        <v>2589</v>
      </c>
      <c r="AY766" s="2">
        <f ca="1">INT(AV766*RANDBETWEEN(90,130)/100)</f>
        <v>21465</v>
      </c>
      <c r="AZ766" t="str">
        <f t="shared" ca="1" si="58"/>
        <v>16.6%</v>
      </c>
      <c r="BA766" t="str">
        <f t="shared" ca="1" si="59"/>
        <v>BAJO</v>
      </c>
    </row>
    <row r="767" spans="4:53" x14ac:dyDescent="0.35">
      <c r="D767" t="s">
        <v>4932</v>
      </c>
      <c r="E767" s="1">
        <v>43650</v>
      </c>
      <c r="F767" t="s">
        <v>4933</v>
      </c>
      <c r="G767" t="s">
        <v>108</v>
      </c>
      <c r="H767" t="s">
        <v>4934</v>
      </c>
      <c r="I767">
        <v>20130424</v>
      </c>
      <c r="J767" t="s">
        <v>28</v>
      </c>
      <c r="K767">
        <v>3</v>
      </c>
      <c r="L767" t="s">
        <v>4935</v>
      </c>
      <c r="M767" t="s">
        <v>4936</v>
      </c>
      <c r="N767" t="s">
        <v>4937</v>
      </c>
      <c r="O767" t="s">
        <v>4938</v>
      </c>
      <c r="P767" t="s">
        <v>4939</v>
      </c>
      <c r="Q767" s="1">
        <v>43312</v>
      </c>
      <c r="R767" t="s">
        <v>780</v>
      </c>
      <c r="S767" t="s">
        <v>27</v>
      </c>
      <c r="T767" t="s">
        <v>4056</v>
      </c>
      <c r="U767" t="s">
        <v>115</v>
      </c>
      <c r="V767" t="s">
        <v>3381</v>
      </c>
      <c r="W767">
        <v>4</v>
      </c>
      <c r="X767">
        <v>20130424</v>
      </c>
      <c r="Y767" t="s">
        <v>3382</v>
      </c>
      <c r="Z767" t="s">
        <v>119</v>
      </c>
      <c r="AA767" t="s">
        <v>32</v>
      </c>
      <c r="AB767" t="s">
        <v>120</v>
      </c>
      <c r="AC767" t="s">
        <v>25</v>
      </c>
      <c r="AD767" t="s">
        <v>121</v>
      </c>
      <c r="AE767">
        <v>30</v>
      </c>
      <c r="AF767" t="s">
        <v>27</v>
      </c>
      <c r="AG767" t="s">
        <v>26</v>
      </c>
      <c r="AH767" t="s">
        <v>4933</v>
      </c>
      <c r="AI767" t="str">
        <f t="shared" si="55"/>
        <v>NO</v>
      </c>
      <c r="AJ767" t="str">
        <f t="shared" si="56"/>
        <v>XINETIX PHARMA</v>
      </c>
      <c r="AK767" t="str">
        <f>IF(ISNUMBER(SEARCH("FABRICANTE",AC767)),"FABRICANTE",IF(ISNUMBER(SEARCH("IMPORTADOR",AC767)),"IMPORTADOR","OTRO"))</f>
        <v>FABRICANTE</v>
      </c>
      <c r="AL767" t="str">
        <f>IF(LEFT(Y767,1)="A","Sistema digestivo",IF(LEFT(Y767,1)="B","Sangre",IF(LEFT(Y767,1)="C","Cardiovascular",IF(LEFT(Y767,1)="D","Dermatológico",IF(LEFT(Y767,1)="G","Genitourinario",IF(LEFT(Y767,1)="H","Hormonal",IF(LEFT(Y767,1)="J","Antiinfecciosos",IF(LEFT(Y767,1)="L","Oncológicos",IF(LEFT(Y767,1)="M","Musculoesquelético",IF(LEFT(Y767,1)="N","Sistema nervioso",IF(LEFT(Y767,1)="R","Respiratorio",IF(LEFT(Y767,1)="S","Oftálmico",IF(LEFT(Y767,1)="V","Varios","OTRO")))))))))))))</f>
        <v>Genitourinario</v>
      </c>
      <c r="AM767" t="str">
        <f>IF(AG767="Vigente","ACTIVO",IF(ISNUMBER(SEARCH("Inactivo",J767)),"INACTIVO","REVISAR"))</f>
        <v>ACTIVO</v>
      </c>
      <c r="AN767" t="str">
        <f ca="1">IF(OR(AF767="",AF767="null"),"",ROUND((AF767-TODAY())/365.25,2))</f>
        <v/>
      </c>
      <c r="AO767" t="str">
        <f ca="1">IF(AND(AG767="Vigente",OR(AF767="",AF767="null",AF767&gt;TODAY())),"SI",IF(AND(NOT(OR(AF767="",AF767="null")),AF767&lt;=TODAY()),"NO",IF(AG767="Vigente","SI","DESCONOCIDO")))</f>
        <v>SI</v>
      </c>
      <c r="AP767" t="str">
        <f>IF(AND(ISNUMBER(SEARCH("IMPORTAR",AA767)),ISNUMBER(SEARCH("FABRICAR",AA767))),"MIXTO",IF(ISNUMBER(SEARCH("IMPORTAR",AA767)),"IMPORTADO",IF(ISNUMBER(SEARCH("FABRICAR",AA767)),"LOCAL","OTRO")))</f>
        <v>IMPORTADO</v>
      </c>
      <c r="AQ767" t="str">
        <f>IF(AD767="Si","SI",IF(AD767="No","NO",""))</f>
        <v>NO</v>
      </c>
      <c r="AR767" t="str">
        <f>IF(ISNUMBER(SEARCH("®",N767)),"MARCA/INNOVADOR","GENERICO")</f>
        <v>GENERICO</v>
      </c>
      <c r="AS767">
        <f ca="1">IF(AE767&gt;100,RANDBETWEEN(500,5000),IF(AND(AE767&gt;=10,AE767&lt;=100),RANDBETWEEN(100,1000),RANDBETWEEN(10,200)))</f>
        <v>485</v>
      </c>
      <c r="AT767">
        <f t="shared" ca="1" si="57"/>
        <v>121</v>
      </c>
      <c r="AU767">
        <f ca="1">INT(AS767*RANDBETWEEN(120,200)/100)</f>
        <v>868</v>
      </c>
      <c r="AV767" s="2">
        <f ca="1">IF(LEFT(Y767,1)="L",RANDBETWEEN(500000,5000000),IF(LEFT(Y767,1)="C",RANDBETWEEN(5000,50000),IF(LEFT(Y767,1)="N",RANDBETWEEN(10000,150000),IF(LEFT(Y767,1)="J",RANDBETWEEN(8000,200000),RANDBETWEEN(5000,100000)))))</f>
        <v>59679</v>
      </c>
      <c r="AW767" s="2">
        <f ca="1">INT(AV767*RANDBETWEEN(30,60)/100)</f>
        <v>22678</v>
      </c>
      <c r="AX767">
        <f ca="1">IF(Z767="ORAL",RANDBETWEEN(1000,10000),IF(OR(Z767="INTRAVENOSA",Z767="INTRAMUSCULAR"),RANDBETWEEN(100,2000),IF(OR(Z767="OFTÁLMICA",Z767="TOPICA (EXTERNA)"),RANDBETWEEN(200,3000),RANDBETWEEN(100,1500))))</f>
        <v>3810</v>
      </c>
      <c r="AY767" s="2">
        <f ca="1">INT(AV767*RANDBETWEEN(90,130)/100)</f>
        <v>69824</v>
      </c>
      <c r="AZ767" t="str">
        <f t="shared" ca="1" si="58"/>
        <v>17.1%</v>
      </c>
      <c r="BA767" t="str">
        <f t="shared" ca="1" si="59"/>
        <v>BAJO</v>
      </c>
    </row>
    <row r="768" spans="4:53" x14ac:dyDescent="0.35">
      <c r="D768" t="s">
        <v>4940</v>
      </c>
      <c r="E768" s="1">
        <v>36846</v>
      </c>
      <c r="F768" t="s">
        <v>3416</v>
      </c>
      <c r="G768" t="s">
        <v>108</v>
      </c>
      <c r="H768" t="s">
        <v>549</v>
      </c>
      <c r="I768">
        <v>19908160</v>
      </c>
      <c r="J768" t="s">
        <v>28</v>
      </c>
      <c r="K768">
        <v>1</v>
      </c>
      <c r="L768" t="s">
        <v>4941</v>
      </c>
      <c r="M768" t="s">
        <v>4942</v>
      </c>
      <c r="N768" t="s">
        <v>4943</v>
      </c>
      <c r="O768" t="s">
        <v>4944</v>
      </c>
      <c r="P768" t="s">
        <v>4945</v>
      </c>
      <c r="Q768" s="1">
        <v>39031</v>
      </c>
      <c r="R768" t="s">
        <v>50</v>
      </c>
      <c r="S768" t="s">
        <v>27</v>
      </c>
      <c r="T768" t="s">
        <v>549</v>
      </c>
      <c r="U768" t="s">
        <v>115</v>
      </c>
      <c r="V768" t="s">
        <v>554</v>
      </c>
      <c r="W768">
        <v>960</v>
      </c>
      <c r="X768">
        <v>19908160</v>
      </c>
      <c r="Y768" t="s">
        <v>556</v>
      </c>
      <c r="Z768" t="s">
        <v>260</v>
      </c>
      <c r="AA768" t="s">
        <v>24</v>
      </c>
      <c r="AB768" t="s">
        <v>120</v>
      </c>
      <c r="AC768" t="s">
        <v>25</v>
      </c>
      <c r="AD768" t="s">
        <v>121</v>
      </c>
      <c r="AE768">
        <v>500</v>
      </c>
      <c r="AF768" t="s">
        <v>27</v>
      </c>
      <c r="AG768" t="s">
        <v>26</v>
      </c>
      <c r="AH768" t="s">
        <v>3416</v>
      </c>
      <c r="AI768" t="str">
        <f t="shared" si="55"/>
        <v>NO</v>
      </c>
      <c r="AJ768" t="str">
        <f t="shared" si="56"/>
        <v>LABORATORIOS BAXTER</v>
      </c>
      <c r="AK768" t="str">
        <f>IF(ISNUMBER(SEARCH("FABRICANTE",AC768)),"FABRICANTE",IF(ISNUMBER(SEARCH("IMPORTADOR",AC768)),"IMPORTADOR","OTRO"))</f>
        <v>FABRICANTE</v>
      </c>
      <c r="AL768" t="str">
        <f>IF(LEFT(Y768,1)="A","Sistema digestivo",IF(LEFT(Y768,1)="B","Sangre",IF(LEFT(Y768,1)="C","Cardiovascular",IF(LEFT(Y768,1)="D","Dermatológico",IF(LEFT(Y768,1)="G","Genitourinario",IF(LEFT(Y768,1)="H","Hormonal",IF(LEFT(Y768,1)="J","Antiinfecciosos",IF(LEFT(Y768,1)="L","Oncológicos",IF(LEFT(Y768,1)="M","Musculoesquelético",IF(LEFT(Y768,1)="N","Sistema nervioso",IF(LEFT(Y768,1)="R","Respiratorio",IF(LEFT(Y768,1)="S","Oftálmico",IF(LEFT(Y768,1)="V","Varios","OTRO")))))))))))))</f>
        <v>Sangre</v>
      </c>
      <c r="AM768" t="str">
        <f>IF(AG768="Vigente","ACTIVO",IF(ISNUMBER(SEARCH("Inactivo",J768)),"INACTIVO","REVISAR"))</f>
        <v>ACTIVO</v>
      </c>
      <c r="AN768" t="str">
        <f ca="1">IF(OR(AF768="",AF768="null"),"",ROUND((AF768-TODAY())/365.25,2))</f>
        <v/>
      </c>
      <c r="AO768" t="str">
        <f ca="1">IF(AND(AG768="Vigente",OR(AF768="",AF768="null",AF768&gt;TODAY())),"SI",IF(AND(NOT(OR(AF768="",AF768="null")),AF768&lt;=TODAY()),"NO",IF(AG768="Vigente","SI","DESCONOCIDO")))</f>
        <v>SI</v>
      </c>
      <c r="AP768" t="str">
        <f>IF(AND(ISNUMBER(SEARCH("IMPORTAR",AA768)),ISNUMBER(SEARCH("FABRICAR",AA768))),"MIXTO",IF(ISNUMBER(SEARCH("IMPORTAR",AA768)),"IMPORTADO",IF(ISNUMBER(SEARCH("FABRICAR",AA768)),"LOCAL","OTRO")))</f>
        <v>LOCAL</v>
      </c>
      <c r="AQ768" t="str">
        <f>IF(AD768="Si","SI",IF(AD768="No","NO",""))</f>
        <v>NO</v>
      </c>
      <c r="AR768" t="str">
        <f>IF(ISNUMBER(SEARCH("®",N768)),"MARCA/INNOVADOR","GENERICO")</f>
        <v>GENERICO</v>
      </c>
      <c r="AS768">
        <f ca="1">IF(AE768&gt;100,RANDBETWEEN(500,5000),IF(AND(AE768&gt;=10,AE768&lt;=100),RANDBETWEEN(100,1000),RANDBETWEEN(10,200)))</f>
        <v>2979</v>
      </c>
      <c r="AT768">
        <f t="shared" ca="1" si="57"/>
        <v>774</v>
      </c>
      <c r="AU768">
        <f ca="1">INT(AS768*RANDBETWEEN(120,200)/100)</f>
        <v>5928</v>
      </c>
      <c r="AV768" s="2">
        <f ca="1">IF(LEFT(Y768,1)="L",RANDBETWEEN(500000,5000000),IF(LEFT(Y768,1)="C",RANDBETWEEN(5000,50000),IF(LEFT(Y768,1)="N",RANDBETWEEN(10000,150000),IF(LEFT(Y768,1)="J",RANDBETWEEN(8000,200000),RANDBETWEEN(5000,100000)))))</f>
        <v>46265</v>
      </c>
      <c r="AW768" s="2">
        <f ca="1">INT(AV768*RANDBETWEEN(30,60)/100)</f>
        <v>17580</v>
      </c>
      <c r="AX768">
        <f ca="1">IF(Z768="ORAL",RANDBETWEEN(1000,10000),IF(OR(Z768="INTRAVENOSA",Z768="INTRAMUSCULAR"),RANDBETWEEN(100,2000),IF(OR(Z768="OFTÁLMICA",Z768="TOPICA (EXTERNA)"),RANDBETWEEN(200,3000),RANDBETWEEN(100,1500))))</f>
        <v>1317</v>
      </c>
      <c r="AY768" s="2">
        <f ca="1">INT(AV768*RANDBETWEEN(90,130)/100)</f>
        <v>48115</v>
      </c>
      <c r="AZ768" t="str">
        <f t="shared" ca="1" si="58"/>
        <v>1.6%</v>
      </c>
      <c r="BA768" t="str">
        <f t="shared" ca="1" si="59"/>
        <v>BAJO</v>
      </c>
    </row>
    <row r="769" spans="4:53" x14ac:dyDescent="0.35">
      <c r="D769" t="s">
        <v>4946</v>
      </c>
      <c r="E769" s="1">
        <v>42065</v>
      </c>
      <c r="F769" t="s">
        <v>4947</v>
      </c>
      <c r="G769" t="s">
        <v>108</v>
      </c>
      <c r="H769" t="s">
        <v>1325</v>
      </c>
      <c r="I769">
        <v>20061748</v>
      </c>
      <c r="J769" t="s">
        <v>28</v>
      </c>
      <c r="K769">
        <v>7</v>
      </c>
      <c r="L769" t="s">
        <v>27</v>
      </c>
      <c r="M769" t="s">
        <v>2235</v>
      </c>
      <c r="N769" t="s">
        <v>2236</v>
      </c>
      <c r="O769" t="s">
        <v>2809</v>
      </c>
      <c r="P769" t="s">
        <v>2238</v>
      </c>
      <c r="Q769" s="1">
        <v>43307</v>
      </c>
      <c r="R769" t="s">
        <v>258</v>
      </c>
      <c r="S769" s="1">
        <v>44105</v>
      </c>
      <c r="T769" t="s">
        <v>1329</v>
      </c>
      <c r="U769" t="s">
        <v>247</v>
      </c>
      <c r="V769" t="s">
        <v>64</v>
      </c>
      <c r="W769">
        <v>2</v>
      </c>
      <c r="X769">
        <v>20061748</v>
      </c>
      <c r="Y769" t="s">
        <v>259</v>
      </c>
      <c r="Z769" t="s">
        <v>2240</v>
      </c>
      <c r="AA769" t="s">
        <v>32</v>
      </c>
      <c r="AB769" t="s">
        <v>133</v>
      </c>
      <c r="AC769" t="s">
        <v>38</v>
      </c>
      <c r="AD769" t="s">
        <v>155</v>
      </c>
      <c r="AE769">
        <v>1</v>
      </c>
      <c r="AF769" s="1">
        <v>401769</v>
      </c>
      <c r="AG769" t="s">
        <v>26</v>
      </c>
      <c r="AH769" t="s">
        <v>6654</v>
      </c>
      <c r="AI769" t="str">
        <f t="shared" si="55"/>
        <v>NO</v>
      </c>
      <c r="AJ769" t="str">
        <f t="shared" si="56"/>
        <v>FRESENIUS KABI AB</v>
      </c>
      <c r="AK769" t="str">
        <f>IF(ISNUMBER(SEARCH("FABRICANTE",AC769)),"FABRICANTE",IF(ISNUMBER(SEARCH("IMPORTADOR",AC769)),"IMPORTADOR","OTRO"))</f>
        <v>IMPORTADOR</v>
      </c>
      <c r="AL769" t="str">
        <f>IF(LEFT(Y769,1)="A","Sistema digestivo",IF(LEFT(Y769,1)="B","Sangre",IF(LEFT(Y769,1)="C","Cardiovascular",IF(LEFT(Y769,1)="D","Dermatológico",IF(LEFT(Y769,1)="G","Genitourinario",IF(LEFT(Y769,1)="H","Hormonal",IF(LEFT(Y769,1)="J","Antiinfecciosos",IF(LEFT(Y769,1)="L","Oncológicos",IF(LEFT(Y769,1)="M","Musculoesquelético",IF(LEFT(Y769,1)="N","Sistema nervioso",IF(LEFT(Y769,1)="R","Respiratorio",IF(LEFT(Y769,1)="S","Oftálmico",IF(LEFT(Y769,1)="V","Varios","OTRO")))))))))))))</f>
        <v>Sangre</v>
      </c>
      <c r="AM769" t="str">
        <f>IF(AG769="Vigente","ACTIVO",IF(ISNUMBER(SEARCH("Inactivo",J769)),"INACTIVO","REVISAR"))</f>
        <v>ACTIVO</v>
      </c>
      <c r="AN769">
        <f ca="1">IF(OR(AF769="",AF769="null"),"",ROUND((AF769-TODAY())/365.25,2))</f>
        <v>973.58</v>
      </c>
      <c r="AO769" t="str">
        <f ca="1">IF(AND(AG769="Vigente",OR(AF769="",AF769="null",AF769&gt;TODAY())),"SI",IF(AND(NOT(OR(AF769="",AF769="null")),AF769&lt;=TODAY()),"NO",IF(AG769="Vigente","SI","DESCONOCIDO")))</f>
        <v>SI</v>
      </c>
      <c r="AP769" t="str">
        <f>IF(AND(ISNUMBER(SEARCH("IMPORTAR",AA769)),ISNUMBER(SEARCH("FABRICAR",AA769))),"MIXTO",IF(ISNUMBER(SEARCH("IMPORTAR",AA769)),"IMPORTADO",IF(ISNUMBER(SEARCH("FABRICAR",AA769)),"LOCAL","OTRO")))</f>
        <v>IMPORTADO</v>
      </c>
      <c r="AQ769" t="str">
        <f>IF(AD769="Si","SI",IF(AD769="No","NO",""))</f>
        <v>SI</v>
      </c>
      <c r="AR769" t="str">
        <f>IF(ISNUMBER(SEARCH("®",N769)),"MARCA/INNOVADOR","GENERICO")</f>
        <v>MARCA/INNOVADOR</v>
      </c>
      <c r="AS769">
        <f ca="1">IF(AE769&gt;100,RANDBETWEEN(500,5000),IF(AND(AE769&gt;=10,AE769&lt;=100),RANDBETWEEN(100,1000),RANDBETWEEN(10,200)))</f>
        <v>18</v>
      </c>
      <c r="AT769">
        <f t="shared" ca="1" si="57"/>
        <v>2</v>
      </c>
      <c r="AU769">
        <f ca="1">INT(AS769*RANDBETWEEN(120,200)/100)</f>
        <v>23</v>
      </c>
      <c r="AV769" s="2">
        <f ca="1">IF(LEFT(Y769,1)="L",RANDBETWEEN(500000,5000000),IF(LEFT(Y769,1)="C",RANDBETWEEN(5000,50000),IF(LEFT(Y769,1)="N",RANDBETWEEN(10000,150000),IF(LEFT(Y769,1)="J",RANDBETWEEN(8000,200000),RANDBETWEEN(5000,100000)))))</f>
        <v>14116</v>
      </c>
      <c r="AW769" s="2">
        <f ca="1">INT(AV769*RANDBETWEEN(30,60)/100)</f>
        <v>8187</v>
      </c>
      <c r="AX769">
        <f ca="1">IF(Z769="ORAL",RANDBETWEEN(1000,10000),IF(OR(Z769="INTRAVENOSA",Z769="INTRAMUSCULAR"),RANDBETWEEN(100,2000),IF(OR(Z769="OFTÁLMICA",Z769="TOPICA (EXTERNA)"),RANDBETWEEN(200,3000),RANDBETWEEN(100,1500))))</f>
        <v>508</v>
      </c>
      <c r="AY769" s="2">
        <f ca="1">INT(AV769*RANDBETWEEN(90,130)/100)</f>
        <v>17080</v>
      </c>
      <c r="AZ769" t="str">
        <f t="shared" ca="1" si="58"/>
        <v>2.7%</v>
      </c>
      <c r="BA769" t="str">
        <f t="shared" ca="1" si="59"/>
        <v>BAJO</v>
      </c>
    </row>
    <row r="770" spans="4:53" x14ac:dyDescent="0.35">
      <c r="D770" t="s">
        <v>4948</v>
      </c>
      <c r="E770" s="1">
        <v>44298</v>
      </c>
      <c r="F770" t="s">
        <v>4949</v>
      </c>
      <c r="G770" t="s">
        <v>108</v>
      </c>
      <c r="H770" t="s">
        <v>3640</v>
      </c>
      <c r="I770">
        <v>20138927</v>
      </c>
      <c r="J770" t="s">
        <v>28</v>
      </c>
      <c r="K770">
        <v>16</v>
      </c>
      <c r="L770" t="s">
        <v>4950</v>
      </c>
      <c r="M770" t="s">
        <v>4951</v>
      </c>
      <c r="N770" t="s">
        <v>4952</v>
      </c>
      <c r="O770" t="s">
        <v>4953</v>
      </c>
      <c r="P770" t="s">
        <v>845</v>
      </c>
      <c r="Q770" s="1">
        <v>44104</v>
      </c>
      <c r="R770" t="s">
        <v>29</v>
      </c>
      <c r="S770" s="1">
        <v>44135</v>
      </c>
      <c r="T770" t="s">
        <v>624</v>
      </c>
      <c r="U770" t="s">
        <v>115</v>
      </c>
      <c r="V770" t="s">
        <v>4949</v>
      </c>
      <c r="W770">
        <v>15</v>
      </c>
      <c r="X770">
        <v>20138927</v>
      </c>
      <c r="Y770" t="s">
        <v>4954</v>
      </c>
      <c r="Z770" t="s">
        <v>119</v>
      </c>
      <c r="AA770" t="s">
        <v>32</v>
      </c>
      <c r="AB770" t="s">
        <v>120</v>
      </c>
      <c r="AC770" t="s">
        <v>38</v>
      </c>
      <c r="AD770" t="s">
        <v>121</v>
      </c>
      <c r="AE770">
        <v>56</v>
      </c>
      <c r="AF770" t="s">
        <v>27</v>
      </c>
      <c r="AG770" t="s">
        <v>26</v>
      </c>
      <c r="AH770" t="s">
        <v>4949</v>
      </c>
      <c r="AI770" t="str">
        <f t="shared" si="55"/>
        <v>NO</v>
      </c>
      <c r="AJ770" t="str">
        <f t="shared" si="56"/>
        <v>GALENICUM HEALTH COLOMBIA</v>
      </c>
      <c r="AK770" t="str">
        <f>IF(ISNUMBER(SEARCH("FABRICANTE",AC770)),"FABRICANTE",IF(ISNUMBER(SEARCH("IMPORTADOR",AC770)),"IMPORTADOR","OTRO"))</f>
        <v>IMPORTADOR</v>
      </c>
      <c r="AL770" t="str">
        <f>IF(LEFT(Y770,1)="A","Sistema digestivo",IF(LEFT(Y770,1)="B","Sangre",IF(LEFT(Y770,1)="C","Cardiovascular",IF(LEFT(Y770,1)="D","Dermatológico",IF(LEFT(Y770,1)="G","Genitourinario",IF(LEFT(Y770,1)="H","Hormonal",IF(LEFT(Y770,1)="J","Antiinfecciosos",IF(LEFT(Y770,1)="L","Oncológicos",IF(LEFT(Y770,1)="M","Musculoesquelético",IF(LEFT(Y770,1)="N","Sistema nervioso",IF(LEFT(Y770,1)="R","Respiratorio",IF(LEFT(Y770,1)="S","Oftálmico",IF(LEFT(Y770,1)="V","Varios","OTRO")))))))))))))</f>
        <v>Sistema nervioso</v>
      </c>
      <c r="AM770" t="str">
        <f>IF(AG770="Vigente","ACTIVO",IF(ISNUMBER(SEARCH("Inactivo",J770)),"INACTIVO","REVISAR"))</f>
        <v>ACTIVO</v>
      </c>
      <c r="AN770" t="str">
        <f ca="1">IF(OR(AF770="",AF770="null"),"",ROUND((AF770-TODAY())/365.25,2))</f>
        <v/>
      </c>
      <c r="AO770" t="str">
        <f ca="1">IF(AND(AG770="Vigente",OR(AF770="",AF770="null",AF770&gt;TODAY())),"SI",IF(AND(NOT(OR(AF770="",AF770="null")),AF770&lt;=TODAY()),"NO",IF(AG770="Vigente","SI","DESCONOCIDO")))</f>
        <v>SI</v>
      </c>
      <c r="AP770" t="str">
        <f>IF(AND(ISNUMBER(SEARCH("IMPORTAR",AA770)),ISNUMBER(SEARCH("FABRICAR",AA770))),"MIXTO",IF(ISNUMBER(SEARCH("IMPORTAR",AA770)),"IMPORTADO",IF(ISNUMBER(SEARCH("FABRICAR",AA770)),"LOCAL","OTRO")))</f>
        <v>IMPORTADO</v>
      </c>
      <c r="AQ770" t="str">
        <f>IF(AD770="Si","SI",IF(AD770="No","NO",""))</f>
        <v>NO</v>
      </c>
      <c r="AR770" t="str">
        <f>IF(ISNUMBER(SEARCH("®",N770)),"MARCA/INNOVADOR","GENERICO")</f>
        <v>MARCA/INNOVADOR</v>
      </c>
      <c r="AS770">
        <f ca="1">IF(AE770&gt;100,RANDBETWEEN(500,5000),IF(AND(AE770&gt;=10,AE770&lt;=100),RANDBETWEEN(100,1000),RANDBETWEEN(10,200)))</f>
        <v>800</v>
      </c>
      <c r="AT770">
        <f t="shared" ca="1" si="57"/>
        <v>104</v>
      </c>
      <c r="AU770">
        <f ca="1">INT(AS770*RANDBETWEEN(120,200)/100)</f>
        <v>1528</v>
      </c>
      <c r="AV770" s="2">
        <f ca="1">IF(LEFT(Y770,1)="L",RANDBETWEEN(500000,5000000),IF(LEFT(Y770,1)="C",RANDBETWEEN(5000,50000),IF(LEFT(Y770,1)="N",RANDBETWEEN(10000,150000),IF(LEFT(Y770,1)="J",RANDBETWEEN(8000,200000),RANDBETWEEN(5000,100000)))))</f>
        <v>118979</v>
      </c>
      <c r="AW770" s="2">
        <f ca="1">INT(AV770*RANDBETWEEN(30,60)/100)</f>
        <v>40452</v>
      </c>
      <c r="AX770">
        <f ca="1">IF(Z770="ORAL",RANDBETWEEN(1000,10000),IF(OR(Z770="INTRAVENOSA",Z770="INTRAMUSCULAR"),RANDBETWEEN(100,2000),IF(OR(Z770="OFTÁLMICA",Z770="TOPICA (EXTERNA)"),RANDBETWEEN(200,3000),RANDBETWEEN(100,1500))))</f>
        <v>6250</v>
      </c>
      <c r="AY770" s="2">
        <f ca="1">INT(AV770*RANDBETWEEN(90,130)/100)</f>
        <v>132066</v>
      </c>
      <c r="AZ770" t="str">
        <f t="shared" ca="1" si="58"/>
        <v>23.7%</v>
      </c>
      <c r="BA770" t="str">
        <f t="shared" ca="1" si="59"/>
        <v>BAJO</v>
      </c>
    </row>
    <row r="771" spans="4:53" x14ac:dyDescent="0.35">
      <c r="D771" t="s">
        <v>4955</v>
      </c>
      <c r="E771" s="1">
        <v>41612</v>
      </c>
      <c r="F771" t="s">
        <v>4956</v>
      </c>
      <c r="G771" t="s">
        <v>108</v>
      </c>
      <c r="H771" t="s">
        <v>2092</v>
      </c>
      <c r="I771">
        <v>20059849</v>
      </c>
      <c r="J771" t="s">
        <v>28</v>
      </c>
      <c r="K771">
        <v>2</v>
      </c>
      <c r="L771" t="s">
        <v>4957</v>
      </c>
      <c r="M771" t="s">
        <v>4958</v>
      </c>
      <c r="N771" t="s">
        <v>4959</v>
      </c>
      <c r="O771" t="s">
        <v>4960</v>
      </c>
      <c r="P771" t="s">
        <v>4961</v>
      </c>
      <c r="Q771" s="1">
        <v>41498</v>
      </c>
      <c r="R771" t="s">
        <v>151</v>
      </c>
      <c r="S771" t="s">
        <v>27</v>
      </c>
      <c r="T771" t="s">
        <v>2092</v>
      </c>
      <c r="U771" t="s">
        <v>115</v>
      </c>
      <c r="V771" t="s">
        <v>2475</v>
      </c>
      <c r="W771">
        <v>2</v>
      </c>
      <c r="X771">
        <v>20059849</v>
      </c>
      <c r="Y771" t="s">
        <v>2476</v>
      </c>
      <c r="Z771" t="s">
        <v>1762</v>
      </c>
      <c r="AA771" t="s">
        <v>24</v>
      </c>
      <c r="AB771" t="s">
        <v>133</v>
      </c>
      <c r="AC771" t="s">
        <v>25</v>
      </c>
      <c r="AD771" t="s">
        <v>155</v>
      </c>
      <c r="AE771">
        <v>1</v>
      </c>
      <c r="AF771" t="s">
        <v>27</v>
      </c>
      <c r="AG771" t="s">
        <v>26</v>
      </c>
      <c r="AH771" t="s">
        <v>6691</v>
      </c>
      <c r="AI771" t="str">
        <f t="shared" ref="AI771:AI834" si="60">IF(OR(ISNUMBER(SEARCH("+",F771)),ISNUMBER(SEARCH(".",F771))),"SI","NO")</f>
        <v>SI</v>
      </c>
      <c r="AJ771" t="str">
        <f t="shared" ref="AJ771:AJ834" si="6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771)," S.A.S.",""),"S.A.S.","")," S.A.S",""),"S.A.S","")," S.A.C.I.","")," S.A.C.I","")," SAS","")," S.A.","")," S.A","")," LTDA.","")," LTDA","")," LIMITED","")," LTD.","")," LTD","")," INC.","")," INC","")," GMBH &amp; CO. KG.","")," GMBH","")," LLC","")," A.G.","")," A.G","")," A/S","")," S.R.L.","")," S.R.L","")," S.P.A.","")," DE C.V.","")," AG",""),"  "," "))</f>
        <v>LABORATORIOSOBRA</v>
      </c>
      <c r="AK771" t="str">
        <f>IF(ISNUMBER(SEARCH("FABRICANTE",AC771)),"FABRICANTE",IF(ISNUMBER(SEARCH("IMPORTADOR",AC771)),"IMPORTADOR","OTRO"))</f>
        <v>FABRICANTE</v>
      </c>
      <c r="AL771" t="str">
        <f>IF(LEFT(Y771,1)="A","Sistema digestivo",IF(LEFT(Y771,1)="B","Sangre",IF(LEFT(Y771,1)="C","Cardiovascular",IF(LEFT(Y771,1)="D","Dermatológico",IF(LEFT(Y771,1)="G","Genitourinario",IF(LEFT(Y771,1)="H","Hormonal",IF(LEFT(Y771,1)="J","Antiinfecciosos",IF(LEFT(Y771,1)="L","Oncológicos",IF(LEFT(Y771,1)="M","Musculoesquelético",IF(LEFT(Y771,1)="N","Sistema nervioso",IF(LEFT(Y771,1)="R","Respiratorio",IF(LEFT(Y771,1)="S","Oftálmico",IF(LEFT(Y771,1)="V","Varios","OTRO")))))))))))))</f>
        <v>Oftálmico</v>
      </c>
      <c r="AM771" t="str">
        <f>IF(AG771="Vigente","ACTIVO",IF(ISNUMBER(SEARCH("Inactivo",J771)),"INACTIVO","REVISAR"))</f>
        <v>ACTIVO</v>
      </c>
      <c r="AN771" t="str">
        <f ca="1">IF(OR(AF771="",AF771="null"),"",ROUND((AF771-TODAY())/365.25,2))</f>
        <v/>
      </c>
      <c r="AO771" t="str">
        <f ca="1">IF(AND(AG771="Vigente",OR(AF771="",AF771="null",AF771&gt;TODAY())),"SI",IF(AND(NOT(OR(AF771="",AF771="null")),AF771&lt;=TODAY()),"NO",IF(AG771="Vigente","SI","DESCONOCIDO")))</f>
        <v>SI</v>
      </c>
      <c r="AP771" t="str">
        <f>IF(AND(ISNUMBER(SEARCH("IMPORTAR",AA771)),ISNUMBER(SEARCH("FABRICAR",AA771))),"MIXTO",IF(ISNUMBER(SEARCH("IMPORTAR",AA771)),"IMPORTADO",IF(ISNUMBER(SEARCH("FABRICAR",AA771)),"LOCAL","OTRO")))</f>
        <v>LOCAL</v>
      </c>
      <c r="AQ771" t="str">
        <f>IF(AD771="Si","SI",IF(AD771="No","NO",""))</f>
        <v>SI</v>
      </c>
      <c r="AR771" t="str">
        <f>IF(ISNUMBER(SEARCH("®",N771)),"MARCA/INNOVADOR","GENERICO")</f>
        <v>MARCA/INNOVADOR</v>
      </c>
      <c r="AS771">
        <f ca="1">IF(AE771&gt;100,RANDBETWEEN(500,5000),IF(AND(AE771&gt;=10,AE771&lt;=100),RANDBETWEEN(100,1000),RANDBETWEEN(10,200)))</f>
        <v>186</v>
      </c>
      <c r="AT771">
        <f t="shared" ref="AT771:AT834" ca="1" si="62">INT(AS771*RANDBETWEEN(10,30)/100)</f>
        <v>53</v>
      </c>
      <c r="AU771">
        <f ca="1">INT(AS771*RANDBETWEEN(120,200)/100)</f>
        <v>303</v>
      </c>
      <c r="AV771" s="2">
        <f ca="1">IF(LEFT(Y771,1)="L",RANDBETWEEN(500000,5000000),IF(LEFT(Y771,1)="C",RANDBETWEEN(5000,50000),IF(LEFT(Y771,1)="N",RANDBETWEEN(10000,150000),IF(LEFT(Y771,1)="J",RANDBETWEEN(8000,200000),RANDBETWEEN(5000,100000)))))</f>
        <v>13218</v>
      </c>
      <c r="AW771" s="2">
        <f ca="1">INT(AV771*RANDBETWEEN(30,60)/100)</f>
        <v>5551</v>
      </c>
      <c r="AX771">
        <f ca="1">IF(Z771="ORAL",RANDBETWEEN(1000,10000),IF(OR(Z771="INTRAVENOSA",Z771="INTRAMUSCULAR"),RANDBETWEEN(100,2000),IF(OR(Z771="OFTÁLMICA",Z771="TOPICA (EXTERNA)"),RANDBETWEEN(200,3000),RANDBETWEEN(100,1500))))</f>
        <v>1365</v>
      </c>
      <c r="AY771" s="2">
        <f ca="1">INT(AV771*RANDBETWEEN(90,130)/100)</f>
        <v>11896</v>
      </c>
      <c r="AZ771" t="str">
        <f t="shared" ref="AZ771:AZ834" ca="1" si="63">IF(Z771="ORAL",RANDBETWEEN(50,250)/10,IF(OR(Z771="TOPICA (EXTERNA)",Z771="OFTÁLMICA"),RANDBETWEEN(20,150)/10,IF(OR(Z771="SUBCUTANEA",Z771="INTRAMUSCULAR"),RANDBETWEEN(10,100)/10,IF(Z771="INTRAVENOSA",RANDBETWEEN(1,50)/10,RANDBETWEEN(5,80)/10))))&amp;"%"</f>
        <v>4.1%</v>
      </c>
      <c r="BA771" t="str">
        <f t="shared" ref="BA771:BA834" ca="1" si="64">IF(OR(AG771&lt;&gt;"Vigente",AND(ISNUMBER(AF771),AF771&lt;TODAY()),AND(J771="Inactivo",NOT(ISNUMBER(AF771)))),"ALTO",IF(OR(AND(J771="Inactivo",ISNUMBER(AF771)),AND(ISNUMBER(AF771),AF771&gt;TODAY(),AF771&lt;=TODAY()+1825)),"MEDIO","BAJO"))</f>
        <v>BAJO</v>
      </c>
    </row>
    <row r="772" spans="4:53" x14ac:dyDescent="0.35">
      <c r="D772" t="s">
        <v>4962</v>
      </c>
      <c r="E772" s="1">
        <v>39767</v>
      </c>
      <c r="F772" t="s">
        <v>4963</v>
      </c>
      <c r="G772" t="s">
        <v>108</v>
      </c>
      <c r="H772" t="s">
        <v>454</v>
      </c>
      <c r="I772">
        <v>19994003</v>
      </c>
      <c r="J772" t="s">
        <v>28</v>
      </c>
      <c r="K772">
        <v>4</v>
      </c>
      <c r="L772" t="s">
        <v>27</v>
      </c>
      <c r="M772" t="s">
        <v>2624</v>
      </c>
      <c r="N772" t="s">
        <v>2625</v>
      </c>
      <c r="O772" t="s">
        <v>4964</v>
      </c>
      <c r="P772" t="s">
        <v>97</v>
      </c>
      <c r="Q772" s="1">
        <v>40162</v>
      </c>
      <c r="R772" t="s">
        <v>37</v>
      </c>
      <c r="S772" t="s">
        <v>27</v>
      </c>
      <c r="T772" t="s">
        <v>508</v>
      </c>
      <c r="U772" t="s">
        <v>115</v>
      </c>
      <c r="V772" t="s">
        <v>1343</v>
      </c>
      <c r="W772">
        <v>75</v>
      </c>
      <c r="X772">
        <v>19994003</v>
      </c>
      <c r="Y772" t="s">
        <v>1344</v>
      </c>
      <c r="Z772" t="s">
        <v>119</v>
      </c>
      <c r="AA772" t="s">
        <v>165</v>
      </c>
      <c r="AB772" t="s">
        <v>120</v>
      </c>
      <c r="AC772" t="s">
        <v>38</v>
      </c>
      <c r="AD772" t="s">
        <v>121</v>
      </c>
      <c r="AE772">
        <v>2</v>
      </c>
      <c r="AF772" s="1">
        <v>402133</v>
      </c>
      <c r="AG772" t="s">
        <v>26</v>
      </c>
      <c r="AH772" t="s">
        <v>966</v>
      </c>
      <c r="AI772" t="str">
        <f t="shared" si="60"/>
        <v>NO</v>
      </c>
      <c r="AJ772" t="str">
        <f t="shared" si="61"/>
        <v>PRODUCTORA DE CAPSULAS DE GELATINA. PROCAPS</v>
      </c>
      <c r="AK772" t="str">
        <f>IF(ISNUMBER(SEARCH("FABRICANTE",AC772)),"FABRICANTE",IF(ISNUMBER(SEARCH("IMPORTADOR",AC772)),"IMPORTADOR","OTRO"))</f>
        <v>IMPORTADOR</v>
      </c>
      <c r="AL772" t="str">
        <f>IF(LEFT(Y772,1)="A","Sistema digestivo",IF(LEFT(Y772,1)="B","Sangre",IF(LEFT(Y772,1)="C","Cardiovascular",IF(LEFT(Y772,1)="D","Dermatológico",IF(LEFT(Y772,1)="G","Genitourinario",IF(LEFT(Y772,1)="H","Hormonal",IF(LEFT(Y772,1)="J","Antiinfecciosos",IF(LEFT(Y772,1)="L","Oncológicos",IF(LEFT(Y772,1)="M","Musculoesquelético",IF(LEFT(Y772,1)="N","Sistema nervioso",IF(LEFT(Y772,1)="R","Respiratorio",IF(LEFT(Y772,1)="S","Oftálmico",IF(LEFT(Y772,1)="V","Varios","OTRO")))))))))))))</f>
        <v>Respiratorio</v>
      </c>
      <c r="AM772" t="str">
        <f>IF(AG772="Vigente","ACTIVO",IF(ISNUMBER(SEARCH("Inactivo",J772)),"INACTIVO","REVISAR"))</f>
        <v>ACTIVO</v>
      </c>
      <c r="AN772">
        <f ca="1">IF(OR(AF772="",AF772="null"),"",ROUND((AF772-TODAY())/365.25,2))</f>
        <v>974.58</v>
      </c>
      <c r="AO772" t="str">
        <f ca="1">IF(AND(AG772="Vigente",OR(AF772="",AF772="null",AF772&gt;TODAY())),"SI",IF(AND(NOT(OR(AF772="",AF772="null")),AF772&lt;=TODAY()),"NO",IF(AG772="Vigente","SI","DESCONOCIDO")))</f>
        <v>SI</v>
      </c>
      <c r="AP772" t="str">
        <f>IF(AND(ISNUMBER(SEARCH("IMPORTAR",AA772)),ISNUMBER(SEARCH("FABRICAR",AA772))),"MIXTO",IF(ISNUMBER(SEARCH("IMPORTAR",AA772)),"IMPORTADO",IF(ISNUMBER(SEARCH("FABRICAR",AA772)),"LOCAL","OTRO")))</f>
        <v>IMPORTADO</v>
      </c>
      <c r="AQ772" t="str">
        <f>IF(AD772="Si","SI",IF(AD772="No","NO",""))</f>
        <v>NO</v>
      </c>
      <c r="AR772" t="str">
        <f>IF(ISNUMBER(SEARCH("®",N772)),"MARCA/INNOVADOR","GENERICO")</f>
        <v>GENERICO</v>
      </c>
      <c r="AS772">
        <f ca="1">IF(AE772&gt;100,RANDBETWEEN(500,5000),IF(AND(AE772&gt;=10,AE772&lt;=100),RANDBETWEEN(100,1000),RANDBETWEEN(10,200)))</f>
        <v>21</v>
      </c>
      <c r="AT772">
        <f t="shared" ca="1" si="62"/>
        <v>3</v>
      </c>
      <c r="AU772">
        <f ca="1">INT(AS772*RANDBETWEEN(120,200)/100)</f>
        <v>39</v>
      </c>
      <c r="AV772" s="2">
        <f ca="1">IF(LEFT(Y772,1)="L",RANDBETWEEN(500000,5000000),IF(LEFT(Y772,1)="C",RANDBETWEEN(5000,50000),IF(LEFT(Y772,1)="N",RANDBETWEEN(10000,150000),IF(LEFT(Y772,1)="J",RANDBETWEEN(8000,200000),RANDBETWEEN(5000,100000)))))</f>
        <v>17501</v>
      </c>
      <c r="AW772" s="2">
        <f ca="1">INT(AV772*RANDBETWEEN(30,60)/100)</f>
        <v>10150</v>
      </c>
      <c r="AX772">
        <f ca="1">IF(Z772="ORAL",RANDBETWEEN(1000,10000),IF(OR(Z772="INTRAVENOSA",Z772="INTRAMUSCULAR"),RANDBETWEEN(100,2000),IF(OR(Z772="OFTÁLMICA",Z772="TOPICA (EXTERNA)"),RANDBETWEEN(200,3000),RANDBETWEEN(100,1500))))</f>
        <v>3323</v>
      </c>
      <c r="AY772" s="2">
        <f ca="1">INT(AV772*RANDBETWEEN(90,130)/100)</f>
        <v>16275</v>
      </c>
      <c r="AZ772" t="str">
        <f t="shared" ca="1" si="63"/>
        <v>23.6%</v>
      </c>
      <c r="BA772" t="str">
        <f t="shared" ca="1" si="64"/>
        <v>BAJO</v>
      </c>
    </row>
    <row r="773" spans="4:53" x14ac:dyDescent="0.35">
      <c r="D773" t="s">
        <v>4965</v>
      </c>
      <c r="E773" s="1">
        <v>39241</v>
      </c>
      <c r="F773" t="s">
        <v>998</v>
      </c>
      <c r="G773" t="s">
        <v>247</v>
      </c>
      <c r="H773" t="s">
        <v>760</v>
      </c>
      <c r="I773">
        <v>19974254</v>
      </c>
      <c r="J773" t="s">
        <v>110</v>
      </c>
      <c r="K773">
        <v>3</v>
      </c>
      <c r="L773" t="s">
        <v>27</v>
      </c>
      <c r="M773" t="s">
        <v>761</v>
      </c>
      <c r="N773" t="s">
        <v>762</v>
      </c>
      <c r="O773" t="s">
        <v>4966</v>
      </c>
      <c r="P773" t="s">
        <v>764</v>
      </c>
      <c r="Q773" s="1">
        <v>39233</v>
      </c>
      <c r="R773" t="s">
        <v>211</v>
      </c>
      <c r="S773" s="1">
        <v>44046</v>
      </c>
      <c r="T773" t="s">
        <v>51</v>
      </c>
      <c r="U773" t="s">
        <v>247</v>
      </c>
      <c r="V773" t="s">
        <v>765</v>
      </c>
      <c r="W773">
        <v>4</v>
      </c>
      <c r="X773">
        <v>19974254</v>
      </c>
      <c r="Y773" t="s">
        <v>766</v>
      </c>
      <c r="Z773" t="s">
        <v>213</v>
      </c>
      <c r="AA773" t="s">
        <v>32</v>
      </c>
      <c r="AB773" t="s">
        <v>120</v>
      </c>
      <c r="AC773" t="s">
        <v>25</v>
      </c>
      <c r="AD773" t="s">
        <v>121</v>
      </c>
      <c r="AE773">
        <v>90</v>
      </c>
      <c r="AF773" t="s">
        <v>27</v>
      </c>
      <c r="AG773" t="s">
        <v>26</v>
      </c>
      <c r="AH773" t="s">
        <v>6622</v>
      </c>
      <c r="AI773" t="str">
        <f t="shared" si="60"/>
        <v>SI</v>
      </c>
      <c r="AJ773" t="str">
        <f t="shared" si="61"/>
        <v>BLAU FARMACÉUTICA COLOMBIA</v>
      </c>
      <c r="AK773" t="str">
        <f>IF(ISNUMBER(SEARCH("FABRICANTE",AC773)),"FABRICANTE",IF(ISNUMBER(SEARCH("IMPORTADOR",AC773)),"IMPORTADOR","OTRO"))</f>
        <v>FABRICANTE</v>
      </c>
      <c r="AL773" t="str">
        <f>IF(LEFT(Y773,1)="A","Sistema digestivo",IF(LEFT(Y773,1)="B","Sangre",IF(LEFT(Y773,1)="C","Cardiovascular",IF(LEFT(Y773,1)="D","Dermatológico",IF(LEFT(Y773,1)="G","Genitourinario",IF(LEFT(Y773,1)="H","Hormonal",IF(LEFT(Y773,1)="J","Antiinfecciosos",IF(LEFT(Y773,1)="L","Oncológicos",IF(LEFT(Y773,1)="M","Musculoesquelético",IF(LEFT(Y773,1)="N","Sistema nervioso",IF(LEFT(Y773,1)="R","Respiratorio",IF(LEFT(Y773,1)="S","Oftálmico",IF(LEFT(Y773,1)="V","Varios","OTRO")))))))))))))</f>
        <v>Antiinfecciosos</v>
      </c>
      <c r="AM773" t="str">
        <f>IF(AG773="Vigente","ACTIVO",IF(ISNUMBER(SEARCH("Inactivo",J773)),"INACTIVO","REVISAR"))</f>
        <v>ACTIVO</v>
      </c>
      <c r="AN773" t="str">
        <f ca="1">IF(OR(AF773="",AF773="null"),"",ROUND((AF773-TODAY())/365.25,2))</f>
        <v/>
      </c>
      <c r="AO773" t="str">
        <f ca="1">IF(AND(AG773="Vigente",OR(AF773="",AF773="null",AF773&gt;TODAY())),"SI",IF(AND(NOT(OR(AF773="",AF773="null")),AF773&lt;=TODAY()),"NO",IF(AG773="Vigente","SI","DESCONOCIDO")))</f>
        <v>SI</v>
      </c>
      <c r="AP773" t="str">
        <f>IF(AND(ISNUMBER(SEARCH("IMPORTAR",AA773)),ISNUMBER(SEARCH("FABRICAR",AA773))),"MIXTO",IF(ISNUMBER(SEARCH("IMPORTAR",AA773)),"IMPORTADO",IF(ISNUMBER(SEARCH("FABRICAR",AA773)),"LOCAL","OTRO")))</f>
        <v>IMPORTADO</v>
      </c>
      <c r="AQ773" t="str">
        <f>IF(AD773="Si","SI",IF(AD773="No","NO",""))</f>
        <v>NO</v>
      </c>
      <c r="AR773" t="str">
        <f>IF(ISNUMBER(SEARCH("®",N773)),"MARCA/INNOVADOR","GENERICO")</f>
        <v>MARCA/INNOVADOR</v>
      </c>
      <c r="AS773">
        <f ca="1">IF(AE773&gt;100,RANDBETWEEN(500,5000),IF(AND(AE773&gt;=10,AE773&lt;=100),RANDBETWEEN(100,1000),RANDBETWEEN(10,200)))</f>
        <v>904</v>
      </c>
      <c r="AT773">
        <f t="shared" ca="1" si="62"/>
        <v>162</v>
      </c>
      <c r="AU773">
        <f ca="1">INT(AS773*RANDBETWEEN(120,200)/100)</f>
        <v>1437</v>
      </c>
      <c r="AV773" s="2">
        <f ca="1">IF(LEFT(Y773,1)="L",RANDBETWEEN(500000,5000000),IF(LEFT(Y773,1)="C",RANDBETWEEN(5000,50000),IF(LEFT(Y773,1)="N",RANDBETWEEN(10000,150000),IF(LEFT(Y773,1)="J",RANDBETWEEN(8000,200000),RANDBETWEEN(5000,100000)))))</f>
        <v>118231</v>
      </c>
      <c r="AW773" s="2">
        <f ca="1">INT(AV773*RANDBETWEEN(30,60)/100)</f>
        <v>35469</v>
      </c>
      <c r="AX773">
        <f ca="1">IF(Z773="ORAL",RANDBETWEEN(1000,10000),IF(OR(Z773="INTRAVENOSA",Z773="INTRAMUSCULAR"),RANDBETWEEN(100,2000),IF(OR(Z773="OFTÁLMICA",Z773="TOPICA (EXTERNA)"),RANDBETWEEN(200,3000),RANDBETWEEN(100,1500))))</f>
        <v>155</v>
      </c>
      <c r="AY773" s="2">
        <f ca="1">INT(AV773*RANDBETWEEN(90,130)/100)</f>
        <v>132418</v>
      </c>
      <c r="AZ773" t="str">
        <f t="shared" ca="1" si="63"/>
        <v>6.5%</v>
      </c>
      <c r="BA773" t="str">
        <f t="shared" ca="1" si="64"/>
        <v>ALTO</v>
      </c>
    </row>
    <row r="774" spans="4:53" x14ac:dyDescent="0.35">
      <c r="D774" t="s">
        <v>4967</v>
      </c>
      <c r="E774" s="1">
        <v>43909</v>
      </c>
      <c r="F774" t="s">
        <v>1525</v>
      </c>
      <c r="G774" t="s">
        <v>108</v>
      </c>
      <c r="H774" t="s">
        <v>80</v>
      </c>
      <c r="I774">
        <v>20137789</v>
      </c>
      <c r="J774" t="s">
        <v>28</v>
      </c>
      <c r="K774">
        <v>2</v>
      </c>
      <c r="L774" t="s">
        <v>4968</v>
      </c>
      <c r="M774" t="s">
        <v>1527</v>
      </c>
      <c r="N774" t="s">
        <v>1528</v>
      </c>
      <c r="O774" t="s">
        <v>4969</v>
      </c>
      <c r="P774" t="s">
        <v>29</v>
      </c>
      <c r="Q774" s="1">
        <v>43269</v>
      </c>
      <c r="R774" t="s">
        <v>29</v>
      </c>
      <c r="S774" t="s">
        <v>27</v>
      </c>
      <c r="T774" t="s">
        <v>81</v>
      </c>
      <c r="U774" t="s">
        <v>115</v>
      </c>
      <c r="V774" t="s">
        <v>689</v>
      </c>
      <c r="W774">
        <v>8</v>
      </c>
      <c r="X774">
        <v>20137789</v>
      </c>
      <c r="Y774" t="s">
        <v>690</v>
      </c>
      <c r="Z774" t="s">
        <v>119</v>
      </c>
      <c r="AA774" t="s">
        <v>165</v>
      </c>
      <c r="AB774" t="s">
        <v>120</v>
      </c>
      <c r="AC774" t="s">
        <v>38</v>
      </c>
      <c r="AD774" t="s">
        <v>121</v>
      </c>
      <c r="AE774">
        <v>30</v>
      </c>
      <c r="AF774" t="s">
        <v>27</v>
      </c>
      <c r="AG774" t="s">
        <v>26</v>
      </c>
      <c r="AH774" t="s">
        <v>1525</v>
      </c>
      <c r="AI774" t="str">
        <f t="shared" si="60"/>
        <v>NO</v>
      </c>
      <c r="AJ774" t="str">
        <f t="shared" si="61"/>
        <v>LABORATORIOS MK</v>
      </c>
      <c r="AK774" t="str">
        <f>IF(ISNUMBER(SEARCH("FABRICANTE",AC774)),"FABRICANTE",IF(ISNUMBER(SEARCH("IMPORTADOR",AC774)),"IMPORTADOR","OTRO"))</f>
        <v>IMPORTADOR</v>
      </c>
      <c r="AL774" t="str">
        <f>IF(LEFT(Y774,1)="A","Sistema digestivo",IF(LEFT(Y774,1)="B","Sangre",IF(LEFT(Y774,1)="C","Cardiovascular",IF(LEFT(Y774,1)="D","Dermatológico",IF(LEFT(Y774,1)="G","Genitourinario",IF(LEFT(Y774,1)="H","Hormonal",IF(LEFT(Y774,1)="J","Antiinfecciosos",IF(LEFT(Y774,1)="L","Oncológicos",IF(LEFT(Y774,1)="M","Musculoesquelético",IF(LEFT(Y774,1)="N","Sistema nervioso",IF(LEFT(Y774,1)="R","Respiratorio",IF(LEFT(Y774,1)="S","Oftálmico",IF(LEFT(Y774,1)="V","Varios","OTRO")))))))))))))</f>
        <v>Sistema nervioso</v>
      </c>
      <c r="AM774" t="str">
        <f>IF(AG774="Vigente","ACTIVO",IF(ISNUMBER(SEARCH("Inactivo",J774)),"INACTIVO","REVISAR"))</f>
        <v>ACTIVO</v>
      </c>
      <c r="AN774" t="str">
        <f ca="1">IF(OR(AF774="",AF774="null"),"",ROUND((AF774-TODAY())/365.25,2))</f>
        <v/>
      </c>
      <c r="AO774" t="str">
        <f ca="1">IF(AND(AG774="Vigente",OR(AF774="",AF774="null",AF774&gt;TODAY())),"SI",IF(AND(NOT(OR(AF774="",AF774="null")),AF774&lt;=TODAY()),"NO",IF(AG774="Vigente","SI","DESCONOCIDO")))</f>
        <v>SI</v>
      </c>
      <c r="AP774" t="str">
        <f>IF(AND(ISNUMBER(SEARCH("IMPORTAR",AA774)),ISNUMBER(SEARCH("FABRICAR",AA774))),"MIXTO",IF(ISNUMBER(SEARCH("IMPORTAR",AA774)),"IMPORTADO",IF(ISNUMBER(SEARCH("FABRICAR",AA774)),"LOCAL","OTRO")))</f>
        <v>IMPORTADO</v>
      </c>
      <c r="AQ774" t="str">
        <f>IF(AD774="Si","SI",IF(AD774="No","NO",""))</f>
        <v>NO</v>
      </c>
      <c r="AR774" t="str">
        <f>IF(ISNUMBER(SEARCH("®",N774)),"MARCA/INNOVADOR","GENERICO")</f>
        <v>MARCA/INNOVADOR</v>
      </c>
      <c r="AS774">
        <f ca="1">IF(AE774&gt;100,RANDBETWEEN(500,5000),IF(AND(AE774&gt;=10,AE774&lt;=100),RANDBETWEEN(100,1000),RANDBETWEEN(10,200)))</f>
        <v>970</v>
      </c>
      <c r="AT774">
        <f t="shared" ca="1" si="62"/>
        <v>213</v>
      </c>
      <c r="AU774">
        <f ca="1">INT(AS774*RANDBETWEEN(120,200)/100)</f>
        <v>1231</v>
      </c>
      <c r="AV774" s="2">
        <f ca="1">IF(LEFT(Y774,1)="L",RANDBETWEEN(500000,5000000),IF(LEFT(Y774,1)="C",RANDBETWEEN(5000,50000),IF(LEFT(Y774,1)="N",RANDBETWEEN(10000,150000),IF(LEFT(Y774,1)="J",RANDBETWEEN(8000,200000),RANDBETWEEN(5000,100000)))))</f>
        <v>31007</v>
      </c>
      <c r="AW774" s="2">
        <f ca="1">INT(AV774*RANDBETWEEN(30,60)/100)</f>
        <v>9922</v>
      </c>
      <c r="AX774">
        <f ca="1">IF(Z774="ORAL",RANDBETWEEN(1000,10000),IF(OR(Z774="INTRAVENOSA",Z774="INTRAMUSCULAR"),RANDBETWEEN(100,2000),IF(OR(Z774="OFTÁLMICA",Z774="TOPICA (EXTERNA)"),RANDBETWEEN(200,3000),RANDBETWEEN(100,1500))))</f>
        <v>2546</v>
      </c>
      <c r="AY774" s="2">
        <f ca="1">INT(AV774*RANDBETWEEN(90,130)/100)</f>
        <v>29146</v>
      </c>
      <c r="AZ774" t="str">
        <f t="shared" ca="1" si="63"/>
        <v>23.1%</v>
      </c>
      <c r="BA774" t="str">
        <f t="shared" ca="1" si="64"/>
        <v>BAJO</v>
      </c>
    </row>
    <row r="775" spans="4:53" x14ac:dyDescent="0.35">
      <c r="D775" t="s">
        <v>4970</v>
      </c>
      <c r="E775" s="1">
        <v>45113</v>
      </c>
      <c r="F775" t="s">
        <v>4971</v>
      </c>
      <c r="G775" t="s">
        <v>108</v>
      </c>
      <c r="H775" t="s">
        <v>958</v>
      </c>
      <c r="I775">
        <v>20190047</v>
      </c>
      <c r="J775" t="s">
        <v>28</v>
      </c>
      <c r="K775">
        <v>7</v>
      </c>
      <c r="L775" t="s">
        <v>4972</v>
      </c>
      <c r="M775" t="s">
        <v>3341</v>
      </c>
      <c r="N775" t="s">
        <v>3342</v>
      </c>
      <c r="O775" t="s">
        <v>4973</v>
      </c>
      <c r="P775" t="s">
        <v>33</v>
      </c>
      <c r="Q775" s="1">
        <v>44958</v>
      </c>
      <c r="R775" t="s">
        <v>33</v>
      </c>
      <c r="S775" t="s">
        <v>27</v>
      </c>
      <c r="T775" t="s">
        <v>1403</v>
      </c>
      <c r="U775" t="s">
        <v>115</v>
      </c>
      <c r="V775" t="s">
        <v>3344</v>
      </c>
      <c r="W775">
        <v>325</v>
      </c>
      <c r="X775">
        <v>20190047</v>
      </c>
      <c r="Y775" t="s">
        <v>3345</v>
      </c>
      <c r="Z775" t="s">
        <v>119</v>
      </c>
      <c r="AA775" t="s">
        <v>32</v>
      </c>
      <c r="AB775" t="s">
        <v>120</v>
      </c>
      <c r="AC775" t="s">
        <v>38</v>
      </c>
      <c r="AD775" t="s">
        <v>121</v>
      </c>
      <c r="AE775">
        <v>100</v>
      </c>
      <c r="AF775" t="s">
        <v>27</v>
      </c>
      <c r="AG775" t="s">
        <v>26</v>
      </c>
      <c r="AH775" t="s">
        <v>528</v>
      </c>
      <c r="AI775" t="str">
        <f t="shared" si="60"/>
        <v>NO</v>
      </c>
      <c r="AJ775" t="str">
        <f t="shared" si="61"/>
        <v>MOMENTA FARMACEUTICA</v>
      </c>
      <c r="AK775" t="str">
        <f>IF(ISNUMBER(SEARCH("FABRICANTE",AC775)),"FABRICANTE",IF(ISNUMBER(SEARCH("IMPORTADOR",AC775)),"IMPORTADOR","OTRO"))</f>
        <v>IMPORTADOR</v>
      </c>
      <c r="AL775" t="str">
        <f>IF(LEFT(Y775,1)="A","Sistema digestivo",IF(LEFT(Y775,1)="B","Sangre",IF(LEFT(Y775,1)="C","Cardiovascular",IF(LEFT(Y775,1)="D","Dermatológico",IF(LEFT(Y775,1)="G","Genitourinario",IF(LEFT(Y775,1)="H","Hormonal",IF(LEFT(Y775,1)="J","Antiinfecciosos",IF(LEFT(Y775,1)="L","Oncológicos",IF(LEFT(Y775,1)="M","Musculoesquelético",IF(LEFT(Y775,1)="N","Sistema nervioso",IF(LEFT(Y775,1)="R","Respiratorio",IF(LEFT(Y775,1)="S","Oftálmico",IF(LEFT(Y775,1)="V","Varios","OTRO")))))))))))))</f>
        <v>Sistema nervioso</v>
      </c>
      <c r="AM775" t="str">
        <f>IF(AG775="Vigente","ACTIVO",IF(ISNUMBER(SEARCH("Inactivo",J775)),"INACTIVO","REVISAR"))</f>
        <v>ACTIVO</v>
      </c>
      <c r="AN775" t="str">
        <f ca="1">IF(OR(AF775="",AF775="null"),"",ROUND((AF775-TODAY())/365.25,2))</f>
        <v/>
      </c>
      <c r="AO775" t="str">
        <f ca="1">IF(AND(AG775="Vigente",OR(AF775="",AF775="null",AF775&gt;TODAY())),"SI",IF(AND(NOT(OR(AF775="",AF775="null")),AF775&lt;=TODAY()),"NO",IF(AG775="Vigente","SI","DESCONOCIDO")))</f>
        <v>SI</v>
      </c>
      <c r="AP775" t="str">
        <f>IF(AND(ISNUMBER(SEARCH("IMPORTAR",AA775)),ISNUMBER(SEARCH("FABRICAR",AA775))),"MIXTO",IF(ISNUMBER(SEARCH("IMPORTAR",AA775)),"IMPORTADO",IF(ISNUMBER(SEARCH("FABRICAR",AA775)),"LOCAL","OTRO")))</f>
        <v>IMPORTADO</v>
      </c>
      <c r="AQ775" t="str">
        <f>IF(AD775="Si","SI",IF(AD775="No","NO",""))</f>
        <v>NO</v>
      </c>
      <c r="AR775" t="str">
        <f>IF(ISNUMBER(SEARCH("®",N775)),"MARCA/INNOVADOR","GENERICO")</f>
        <v>MARCA/INNOVADOR</v>
      </c>
      <c r="AS775">
        <f ca="1">IF(AE775&gt;100,RANDBETWEEN(500,5000),IF(AND(AE775&gt;=10,AE775&lt;=100),RANDBETWEEN(100,1000),RANDBETWEEN(10,200)))</f>
        <v>207</v>
      </c>
      <c r="AT775">
        <f t="shared" ca="1" si="62"/>
        <v>33</v>
      </c>
      <c r="AU775">
        <f ca="1">INT(AS775*RANDBETWEEN(120,200)/100)</f>
        <v>298</v>
      </c>
      <c r="AV775" s="2">
        <f ca="1">IF(LEFT(Y775,1)="L",RANDBETWEEN(500000,5000000),IF(LEFT(Y775,1)="C",RANDBETWEEN(5000,50000),IF(LEFT(Y775,1)="N",RANDBETWEEN(10000,150000),IF(LEFT(Y775,1)="J",RANDBETWEEN(8000,200000),RANDBETWEEN(5000,100000)))))</f>
        <v>149558</v>
      </c>
      <c r="AW775" s="2">
        <f ca="1">INT(AV775*RANDBETWEEN(30,60)/100)</f>
        <v>65805</v>
      </c>
      <c r="AX775">
        <f ca="1">IF(Z775="ORAL",RANDBETWEEN(1000,10000),IF(OR(Z775="INTRAVENOSA",Z775="INTRAMUSCULAR"),RANDBETWEEN(100,2000),IF(OR(Z775="OFTÁLMICA",Z775="TOPICA (EXTERNA)"),RANDBETWEEN(200,3000),RANDBETWEEN(100,1500))))</f>
        <v>6870</v>
      </c>
      <c r="AY775" s="2">
        <f ca="1">INT(AV775*RANDBETWEEN(90,130)/100)</f>
        <v>151053</v>
      </c>
      <c r="AZ775" t="str">
        <f t="shared" ca="1" si="63"/>
        <v>9%</v>
      </c>
      <c r="BA775" t="str">
        <f t="shared" ca="1" si="64"/>
        <v>BAJO</v>
      </c>
    </row>
    <row r="776" spans="4:53" x14ac:dyDescent="0.35">
      <c r="D776" t="s">
        <v>4974</v>
      </c>
      <c r="E776" s="1">
        <v>38224</v>
      </c>
      <c r="F776" t="s">
        <v>3708</v>
      </c>
      <c r="G776" t="s">
        <v>108</v>
      </c>
      <c r="H776" t="s">
        <v>1380</v>
      </c>
      <c r="I776">
        <v>19944583</v>
      </c>
      <c r="J776" t="s">
        <v>28</v>
      </c>
      <c r="K776">
        <v>37</v>
      </c>
      <c r="L776" t="s">
        <v>27</v>
      </c>
      <c r="M776" t="s">
        <v>3709</v>
      </c>
      <c r="N776" t="s">
        <v>3710</v>
      </c>
      <c r="O776" t="s">
        <v>4975</v>
      </c>
      <c r="P776" t="s">
        <v>358</v>
      </c>
      <c r="Q776" s="1">
        <v>42157</v>
      </c>
      <c r="R776" t="s">
        <v>37</v>
      </c>
      <c r="S776" t="s">
        <v>27</v>
      </c>
      <c r="T776" t="s">
        <v>172</v>
      </c>
      <c r="U776" t="s">
        <v>115</v>
      </c>
      <c r="V776" t="s">
        <v>933</v>
      </c>
      <c r="W776">
        <v>500</v>
      </c>
      <c r="X776">
        <v>19944583</v>
      </c>
      <c r="Y776" t="s">
        <v>934</v>
      </c>
      <c r="Z776" t="s">
        <v>119</v>
      </c>
      <c r="AA776" t="s">
        <v>24</v>
      </c>
      <c r="AB776" t="s">
        <v>120</v>
      </c>
      <c r="AC776" t="s">
        <v>25</v>
      </c>
      <c r="AD776" t="s">
        <v>121</v>
      </c>
      <c r="AE776">
        <v>100</v>
      </c>
      <c r="AF776" t="s">
        <v>27</v>
      </c>
      <c r="AG776" t="s">
        <v>26</v>
      </c>
      <c r="AH776" t="s">
        <v>6645</v>
      </c>
      <c r="AI776" t="str">
        <f t="shared" si="60"/>
        <v>NO</v>
      </c>
      <c r="AJ776" t="str">
        <f t="shared" si="61"/>
        <v>NOVAMED</v>
      </c>
      <c r="AK776" t="str">
        <f>IF(ISNUMBER(SEARCH("FABRICANTE",AC776)),"FABRICANTE",IF(ISNUMBER(SEARCH("IMPORTADOR",AC776)),"IMPORTADOR","OTRO"))</f>
        <v>FABRICANTE</v>
      </c>
      <c r="AL776" t="str">
        <f>IF(LEFT(Y776,1)="A","Sistema digestivo",IF(LEFT(Y776,1)="B","Sangre",IF(LEFT(Y776,1)="C","Cardiovascular",IF(LEFT(Y776,1)="D","Dermatológico",IF(LEFT(Y776,1)="G","Genitourinario",IF(LEFT(Y776,1)="H","Hormonal",IF(LEFT(Y776,1)="J","Antiinfecciosos",IF(LEFT(Y776,1)="L","Oncológicos",IF(LEFT(Y776,1)="M","Musculoesquelético",IF(LEFT(Y776,1)="N","Sistema nervioso",IF(LEFT(Y776,1)="R","Respiratorio",IF(LEFT(Y776,1)="S","Oftálmico",IF(LEFT(Y776,1)="V","Varios","OTRO")))))))))))))</f>
        <v>Sistema digestivo</v>
      </c>
      <c r="AM776" t="str">
        <f>IF(AG776="Vigente","ACTIVO",IF(ISNUMBER(SEARCH("Inactivo",J776)),"INACTIVO","REVISAR"))</f>
        <v>ACTIVO</v>
      </c>
      <c r="AN776" t="str">
        <f ca="1">IF(OR(AF776="",AF776="null"),"",ROUND((AF776-TODAY())/365.25,2))</f>
        <v/>
      </c>
      <c r="AO776" t="str">
        <f ca="1">IF(AND(AG776="Vigente",OR(AF776="",AF776="null",AF776&gt;TODAY())),"SI",IF(AND(NOT(OR(AF776="",AF776="null")),AF776&lt;=TODAY()),"NO",IF(AG776="Vigente","SI","DESCONOCIDO")))</f>
        <v>SI</v>
      </c>
      <c r="AP776" t="str">
        <f>IF(AND(ISNUMBER(SEARCH("IMPORTAR",AA776)),ISNUMBER(SEARCH("FABRICAR",AA776))),"MIXTO",IF(ISNUMBER(SEARCH("IMPORTAR",AA776)),"IMPORTADO",IF(ISNUMBER(SEARCH("FABRICAR",AA776)),"LOCAL","OTRO")))</f>
        <v>LOCAL</v>
      </c>
      <c r="AQ776" t="str">
        <f>IF(AD776="Si","SI",IF(AD776="No","NO",""))</f>
        <v>NO</v>
      </c>
      <c r="AR776" t="str">
        <f>IF(ISNUMBER(SEARCH("®",N776)),"MARCA/INNOVADOR","GENERICO")</f>
        <v>MARCA/INNOVADOR</v>
      </c>
      <c r="AS776">
        <f ca="1">IF(AE776&gt;100,RANDBETWEEN(500,5000),IF(AND(AE776&gt;=10,AE776&lt;=100),RANDBETWEEN(100,1000),RANDBETWEEN(10,200)))</f>
        <v>887</v>
      </c>
      <c r="AT776">
        <f t="shared" ca="1" si="62"/>
        <v>239</v>
      </c>
      <c r="AU776">
        <f ca="1">INT(AS776*RANDBETWEEN(120,200)/100)</f>
        <v>1374</v>
      </c>
      <c r="AV776" s="2">
        <f ca="1">IF(LEFT(Y776,1)="L",RANDBETWEEN(500000,5000000),IF(LEFT(Y776,1)="C",RANDBETWEEN(5000,50000),IF(LEFT(Y776,1)="N",RANDBETWEEN(10000,150000),IF(LEFT(Y776,1)="J",RANDBETWEEN(8000,200000),RANDBETWEEN(5000,100000)))))</f>
        <v>33473</v>
      </c>
      <c r="AW776" s="2">
        <f ca="1">INT(AV776*RANDBETWEEN(30,60)/100)</f>
        <v>15732</v>
      </c>
      <c r="AX776">
        <f ca="1">IF(Z776="ORAL",RANDBETWEEN(1000,10000),IF(OR(Z776="INTRAVENOSA",Z776="INTRAMUSCULAR"),RANDBETWEEN(100,2000),IF(OR(Z776="OFTÁLMICA",Z776="TOPICA (EXTERNA)"),RANDBETWEEN(200,3000),RANDBETWEEN(100,1500))))</f>
        <v>5427</v>
      </c>
      <c r="AY776" s="2">
        <f ca="1">INT(AV776*RANDBETWEEN(90,130)/100)</f>
        <v>41171</v>
      </c>
      <c r="AZ776" t="str">
        <f t="shared" ca="1" si="63"/>
        <v>19.5%</v>
      </c>
      <c r="BA776" t="str">
        <f t="shared" ca="1" si="64"/>
        <v>BAJO</v>
      </c>
    </row>
    <row r="777" spans="4:53" x14ac:dyDescent="0.35">
      <c r="D777" t="s">
        <v>4976</v>
      </c>
      <c r="E777" s="1">
        <v>36161</v>
      </c>
      <c r="F777" t="s">
        <v>3312</v>
      </c>
      <c r="G777" t="s">
        <v>108</v>
      </c>
      <c r="H777" t="s">
        <v>991</v>
      </c>
      <c r="I777">
        <v>19902785</v>
      </c>
      <c r="J777" t="s">
        <v>28</v>
      </c>
      <c r="K777">
        <v>3</v>
      </c>
      <c r="L777" t="s">
        <v>27</v>
      </c>
      <c r="M777" t="s">
        <v>4977</v>
      </c>
      <c r="N777" t="s">
        <v>4978</v>
      </c>
      <c r="O777" t="s">
        <v>4979</v>
      </c>
      <c r="P777" t="s">
        <v>29</v>
      </c>
      <c r="Q777" s="1">
        <v>39031</v>
      </c>
      <c r="R777" t="s">
        <v>33</v>
      </c>
      <c r="S777" t="s">
        <v>27</v>
      </c>
      <c r="T777" t="s">
        <v>991</v>
      </c>
      <c r="U777" t="s">
        <v>1394</v>
      </c>
      <c r="V777" t="s">
        <v>4980</v>
      </c>
      <c r="W777">
        <v>200</v>
      </c>
      <c r="X777">
        <v>19902785</v>
      </c>
      <c r="Y777" t="s">
        <v>4981</v>
      </c>
      <c r="Z777" t="s">
        <v>119</v>
      </c>
      <c r="AA777" t="s">
        <v>848</v>
      </c>
      <c r="AB777" t="s">
        <v>120</v>
      </c>
      <c r="AC777" t="s">
        <v>38</v>
      </c>
      <c r="AD777" t="s">
        <v>121</v>
      </c>
      <c r="AE777">
        <v>15</v>
      </c>
      <c r="AF777" t="s">
        <v>27</v>
      </c>
      <c r="AG777" t="s">
        <v>26</v>
      </c>
      <c r="AH777" t="s">
        <v>6666</v>
      </c>
      <c r="AI777" t="str">
        <f t="shared" si="60"/>
        <v>NO</v>
      </c>
      <c r="AJ777" t="str">
        <f t="shared" si="61"/>
        <v>FARMA DE COLOMBIA</v>
      </c>
      <c r="AK777" t="str">
        <f>IF(ISNUMBER(SEARCH("FABRICANTE",AC777)),"FABRICANTE",IF(ISNUMBER(SEARCH("IMPORTADOR",AC777)),"IMPORTADOR","OTRO"))</f>
        <v>IMPORTADOR</v>
      </c>
      <c r="AL777" t="str">
        <f>IF(LEFT(Y777,1)="A","Sistema digestivo",IF(LEFT(Y777,1)="B","Sangre",IF(LEFT(Y777,1)="C","Cardiovascular",IF(LEFT(Y777,1)="D","Dermatológico",IF(LEFT(Y777,1)="G","Genitourinario",IF(LEFT(Y777,1)="H","Hormonal",IF(LEFT(Y777,1)="J","Antiinfecciosos",IF(LEFT(Y777,1)="L","Oncológicos",IF(LEFT(Y777,1)="M","Musculoesquelético",IF(LEFT(Y777,1)="N","Sistema nervioso",IF(LEFT(Y777,1)="R","Respiratorio",IF(LEFT(Y777,1)="S","Oftálmico",IF(LEFT(Y777,1)="V","Varios","OTRO")))))))))))))</f>
        <v>Sistema digestivo</v>
      </c>
      <c r="AM777" t="str">
        <f>IF(AG777="Vigente","ACTIVO",IF(ISNUMBER(SEARCH("Inactivo",J777)),"INACTIVO","REVISAR"))</f>
        <v>ACTIVO</v>
      </c>
      <c r="AN777" t="str">
        <f ca="1">IF(OR(AF777="",AF777="null"),"",ROUND((AF777-TODAY())/365.25,2))</f>
        <v/>
      </c>
      <c r="AO777" t="str">
        <f ca="1">IF(AND(AG777="Vigente",OR(AF777="",AF777="null",AF777&gt;TODAY())),"SI",IF(AND(NOT(OR(AF777="",AF777="null")),AF777&lt;=TODAY()),"NO",IF(AG777="Vigente","SI","DESCONOCIDO")))</f>
        <v>SI</v>
      </c>
      <c r="AP777" t="str">
        <f>IF(AND(ISNUMBER(SEARCH("IMPORTAR",AA777)),ISNUMBER(SEARCH("FABRICAR",AA777))),"MIXTO",IF(ISNUMBER(SEARCH("IMPORTAR",AA777)),"IMPORTADO",IF(ISNUMBER(SEARCH("FABRICAR",AA777)),"LOCAL","OTRO")))</f>
        <v>IMPORTADO</v>
      </c>
      <c r="AQ777" t="str">
        <f>IF(AD777="Si","SI",IF(AD777="No","NO",""))</f>
        <v>NO</v>
      </c>
      <c r="AR777" t="str">
        <f>IF(ISNUMBER(SEARCH("®",N777)),"MARCA/INNOVADOR","GENERICO")</f>
        <v>MARCA/INNOVADOR</v>
      </c>
      <c r="AS777">
        <f ca="1">IF(AE777&gt;100,RANDBETWEEN(500,5000),IF(AND(AE777&gt;=10,AE777&lt;=100),RANDBETWEEN(100,1000),RANDBETWEEN(10,200)))</f>
        <v>469</v>
      </c>
      <c r="AT777">
        <f t="shared" ca="1" si="62"/>
        <v>65</v>
      </c>
      <c r="AU777">
        <f ca="1">INT(AS777*RANDBETWEEN(120,200)/100)</f>
        <v>914</v>
      </c>
      <c r="AV777" s="2">
        <f ca="1">IF(LEFT(Y777,1)="L",RANDBETWEEN(500000,5000000),IF(LEFT(Y777,1)="C",RANDBETWEEN(5000,50000),IF(LEFT(Y777,1)="N",RANDBETWEEN(10000,150000),IF(LEFT(Y777,1)="J",RANDBETWEEN(8000,200000),RANDBETWEEN(5000,100000)))))</f>
        <v>32235</v>
      </c>
      <c r="AW777" s="2">
        <f ca="1">INT(AV777*RANDBETWEEN(30,60)/100)</f>
        <v>15472</v>
      </c>
      <c r="AX777">
        <f ca="1">IF(Z777="ORAL",RANDBETWEEN(1000,10000),IF(OR(Z777="INTRAVENOSA",Z777="INTRAMUSCULAR"),RANDBETWEEN(100,2000),IF(OR(Z777="OFTÁLMICA",Z777="TOPICA (EXTERNA)"),RANDBETWEEN(200,3000),RANDBETWEEN(100,1500))))</f>
        <v>1280</v>
      </c>
      <c r="AY777" s="2">
        <f ca="1">INT(AV777*RANDBETWEEN(90,130)/100)</f>
        <v>39326</v>
      </c>
      <c r="AZ777" t="str">
        <f t="shared" ca="1" si="63"/>
        <v>11.5%</v>
      </c>
      <c r="BA777" t="str">
        <f t="shared" ca="1" si="64"/>
        <v>BAJO</v>
      </c>
    </row>
    <row r="778" spans="4:53" x14ac:dyDescent="0.35">
      <c r="D778" t="s">
        <v>4982</v>
      </c>
      <c r="E778" s="1">
        <v>43726</v>
      </c>
      <c r="F778" t="s">
        <v>4983</v>
      </c>
      <c r="G778" t="s">
        <v>108</v>
      </c>
      <c r="H778" t="s">
        <v>4984</v>
      </c>
      <c r="I778">
        <v>20123370</v>
      </c>
      <c r="J778" t="s">
        <v>28</v>
      </c>
      <c r="K778">
        <v>1</v>
      </c>
      <c r="L778" t="s">
        <v>4985</v>
      </c>
      <c r="M778" t="s">
        <v>4986</v>
      </c>
      <c r="N778" t="s">
        <v>4987</v>
      </c>
      <c r="O778" t="s">
        <v>4988</v>
      </c>
      <c r="P778" t="s">
        <v>234</v>
      </c>
      <c r="Q778" s="1">
        <v>43539</v>
      </c>
      <c r="R778" t="s">
        <v>50</v>
      </c>
      <c r="S778" t="s">
        <v>27</v>
      </c>
      <c r="T778" t="s">
        <v>2016</v>
      </c>
      <c r="U778" t="s">
        <v>115</v>
      </c>
      <c r="V778" t="s">
        <v>4983</v>
      </c>
      <c r="W778">
        <v>100</v>
      </c>
      <c r="X778">
        <v>20123370</v>
      </c>
      <c r="Y778" t="s">
        <v>4989</v>
      </c>
      <c r="Z778" t="s">
        <v>132</v>
      </c>
      <c r="AA778" t="s">
        <v>32</v>
      </c>
      <c r="AB778" t="s">
        <v>239</v>
      </c>
      <c r="AC778" t="s">
        <v>25</v>
      </c>
      <c r="AD778" t="s">
        <v>121</v>
      </c>
      <c r="AE778">
        <v>1</v>
      </c>
      <c r="AF778" t="s">
        <v>27</v>
      </c>
      <c r="AG778" t="s">
        <v>26</v>
      </c>
      <c r="AH778" t="s">
        <v>4983</v>
      </c>
      <c r="AI778" t="str">
        <f t="shared" si="60"/>
        <v>NO</v>
      </c>
      <c r="AJ778" t="str">
        <f t="shared" si="61"/>
        <v>JANSSEN CILAG</v>
      </c>
      <c r="AK778" t="str">
        <f>IF(ISNUMBER(SEARCH("FABRICANTE",AC778)),"FABRICANTE",IF(ISNUMBER(SEARCH("IMPORTADOR",AC778)),"IMPORTADOR","OTRO"))</f>
        <v>FABRICANTE</v>
      </c>
      <c r="AL778" t="str">
        <f>IF(LEFT(Y778,1)="A","Sistema digestivo",IF(LEFT(Y778,1)="B","Sangre",IF(LEFT(Y778,1)="C","Cardiovascular",IF(LEFT(Y778,1)="D","Dermatológico",IF(LEFT(Y778,1)="G","Genitourinario",IF(LEFT(Y778,1)="H","Hormonal",IF(LEFT(Y778,1)="J","Antiinfecciosos",IF(LEFT(Y778,1)="L","Oncológicos",IF(LEFT(Y778,1)="M","Musculoesquelético",IF(LEFT(Y778,1)="N","Sistema nervioso",IF(LEFT(Y778,1)="R","Respiratorio",IF(LEFT(Y778,1)="S","Oftálmico",IF(LEFT(Y778,1)="V","Varios","OTRO")))))))))))))</f>
        <v>Oncológicos</v>
      </c>
      <c r="AM778" t="str">
        <f>IF(AG778="Vigente","ACTIVO",IF(ISNUMBER(SEARCH("Inactivo",J778)),"INACTIVO","REVISAR"))</f>
        <v>ACTIVO</v>
      </c>
      <c r="AN778" t="str">
        <f ca="1">IF(OR(AF778="",AF778="null"),"",ROUND((AF778-TODAY())/365.25,2))</f>
        <v/>
      </c>
      <c r="AO778" t="str">
        <f ca="1">IF(AND(AG778="Vigente",OR(AF778="",AF778="null",AF778&gt;TODAY())),"SI",IF(AND(NOT(OR(AF778="",AF778="null")),AF778&lt;=TODAY()),"NO",IF(AG778="Vigente","SI","DESCONOCIDO")))</f>
        <v>SI</v>
      </c>
      <c r="AP778" t="str">
        <f>IF(AND(ISNUMBER(SEARCH("IMPORTAR",AA778)),ISNUMBER(SEARCH("FABRICAR",AA778))),"MIXTO",IF(ISNUMBER(SEARCH("IMPORTAR",AA778)),"IMPORTADO",IF(ISNUMBER(SEARCH("FABRICAR",AA778)),"LOCAL","OTRO")))</f>
        <v>IMPORTADO</v>
      </c>
      <c r="AQ778" t="str">
        <f>IF(AD778="Si","SI",IF(AD778="No","NO",""))</f>
        <v>NO</v>
      </c>
      <c r="AR778" t="str">
        <f>IF(ISNUMBER(SEARCH("®",N778)),"MARCA/INNOVADOR","GENERICO")</f>
        <v>MARCA/INNOVADOR</v>
      </c>
      <c r="AS778">
        <f ca="1">IF(AE778&gt;100,RANDBETWEEN(500,5000),IF(AND(AE778&gt;=10,AE778&lt;=100),RANDBETWEEN(100,1000),RANDBETWEEN(10,200)))</f>
        <v>27</v>
      </c>
      <c r="AT778">
        <f t="shared" ca="1" si="62"/>
        <v>5</v>
      </c>
      <c r="AU778">
        <f ca="1">INT(AS778*RANDBETWEEN(120,200)/100)</f>
        <v>53</v>
      </c>
      <c r="AV778" s="2">
        <f ca="1">IF(LEFT(Y778,1)="L",RANDBETWEEN(500000,5000000),IF(LEFT(Y778,1)="C",RANDBETWEEN(5000,50000),IF(LEFT(Y778,1)="N",RANDBETWEEN(10000,150000),IF(LEFT(Y778,1)="J",RANDBETWEEN(8000,200000),RANDBETWEEN(5000,100000)))))</f>
        <v>3909490</v>
      </c>
      <c r="AW778" s="2">
        <f ca="1">INT(AV778*RANDBETWEEN(30,60)/100)</f>
        <v>1251036</v>
      </c>
      <c r="AX778">
        <f ca="1">IF(Z778="ORAL",RANDBETWEEN(1000,10000),IF(OR(Z778="INTRAVENOSA",Z778="INTRAMUSCULAR"),RANDBETWEEN(100,2000),IF(OR(Z778="OFTÁLMICA",Z778="TOPICA (EXTERNA)"),RANDBETWEEN(200,3000),RANDBETWEEN(100,1500))))</f>
        <v>645</v>
      </c>
      <c r="AY778" s="2">
        <f ca="1">INT(AV778*RANDBETWEEN(90,130)/100)</f>
        <v>4886862</v>
      </c>
      <c r="AZ778" t="str">
        <f t="shared" ca="1" si="63"/>
        <v>7.9%</v>
      </c>
      <c r="BA778" t="str">
        <f t="shared" ca="1" si="64"/>
        <v>BAJO</v>
      </c>
    </row>
    <row r="779" spans="4:53" x14ac:dyDescent="0.35">
      <c r="D779" t="s">
        <v>4990</v>
      </c>
      <c r="E779" s="1">
        <v>43432</v>
      </c>
      <c r="F779" t="s">
        <v>4991</v>
      </c>
      <c r="G779" t="s">
        <v>108</v>
      </c>
      <c r="H779" t="s">
        <v>454</v>
      </c>
      <c r="I779">
        <v>20122093</v>
      </c>
      <c r="J779" t="s">
        <v>110</v>
      </c>
      <c r="K779">
        <v>3</v>
      </c>
      <c r="L779" t="s">
        <v>4371</v>
      </c>
      <c r="M779" t="s">
        <v>4372</v>
      </c>
      <c r="N779" t="s">
        <v>4373</v>
      </c>
      <c r="O779" t="s">
        <v>4374</v>
      </c>
      <c r="P779" t="s">
        <v>659</v>
      </c>
      <c r="Q779" s="1">
        <v>43419</v>
      </c>
      <c r="R779" t="s">
        <v>527</v>
      </c>
      <c r="S779" s="1">
        <v>45274</v>
      </c>
      <c r="T779" t="s">
        <v>1490</v>
      </c>
      <c r="U779" t="s">
        <v>469</v>
      </c>
      <c r="V779" t="s">
        <v>729</v>
      </c>
      <c r="W779">
        <v>440</v>
      </c>
      <c r="X779">
        <v>20122093</v>
      </c>
      <c r="Y779" t="s">
        <v>730</v>
      </c>
      <c r="Z779" t="s">
        <v>119</v>
      </c>
      <c r="AA779" t="s">
        <v>24</v>
      </c>
      <c r="AB779" t="s">
        <v>120</v>
      </c>
      <c r="AC779" t="s">
        <v>25</v>
      </c>
      <c r="AD779" t="s">
        <v>121</v>
      </c>
      <c r="AE779">
        <v>60</v>
      </c>
      <c r="AF779" t="s">
        <v>27</v>
      </c>
      <c r="AG779" t="s">
        <v>26</v>
      </c>
      <c r="AH779" t="s">
        <v>4991</v>
      </c>
      <c r="AI779" t="str">
        <f t="shared" si="60"/>
        <v>NO</v>
      </c>
      <c r="AJ779" t="str">
        <f t="shared" si="61"/>
        <v>LABORATORIO FRANCO COLOMBIANO - LAFRANCOL</v>
      </c>
      <c r="AK779" t="str">
        <f>IF(ISNUMBER(SEARCH("FABRICANTE",AC779)),"FABRICANTE",IF(ISNUMBER(SEARCH("IMPORTADOR",AC779)),"IMPORTADOR","OTRO"))</f>
        <v>FABRICANTE</v>
      </c>
      <c r="AL779" t="str">
        <f>IF(LEFT(Y779,1)="A","Sistema digestivo",IF(LEFT(Y779,1)="B","Sangre",IF(LEFT(Y779,1)="C","Cardiovascular",IF(LEFT(Y779,1)="D","Dermatológico",IF(LEFT(Y779,1)="G","Genitourinario",IF(LEFT(Y779,1)="H","Hormonal",IF(LEFT(Y779,1)="J","Antiinfecciosos",IF(LEFT(Y779,1)="L","Oncológicos",IF(LEFT(Y779,1)="M","Musculoesquelético",IF(LEFT(Y779,1)="N","Sistema nervioso",IF(LEFT(Y779,1)="R","Respiratorio",IF(LEFT(Y779,1)="S","Oftálmico",IF(LEFT(Y779,1)="V","Varios","OTRO")))))))))))))</f>
        <v>Sistema digestivo</v>
      </c>
      <c r="AM779" t="str">
        <f>IF(AG779="Vigente","ACTIVO",IF(ISNUMBER(SEARCH("Inactivo",J779)),"INACTIVO","REVISAR"))</f>
        <v>ACTIVO</v>
      </c>
      <c r="AN779" t="str">
        <f ca="1">IF(OR(AF779="",AF779="null"),"",ROUND((AF779-TODAY())/365.25,2))</f>
        <v/>
      </c>
      <c r="AO779" t="str">
        <f ca="1">IF(AND(AG779="Vigente",OR(AF779="",AF779="null",AF779&gt;TODAY())),"SI",IF(AND(NOT(OR(AF779="",AF779="null")),AF779&lt;=TODAY()),"NO",IF(AG779="Vigente","SI","DESCONOCIDO")))</f>
        <v>SI</v>
      </c>
      <c r="AP779" t="str">
        <f>IF(AND(ISNUMBER(SEARCH("IMPORTAR",AA779)),ISNUMBER(SEARCH("FABRICAR",AA779))),"MIXTO",IF(ISNUMBER(SEARCH("IMPORTAR",AA779)),"IMPORTADO",IF(ISNUMBER(SEARCH("FABRICAR",AA779)),"LOCAL","OTRO")))</f>
        <v>LOCAL</v>
      </c>
      <c r="AQ779" t="str">
        <f>IF(AD779="Si","SI",IF(AD779="No","NO",""))</f>
        <v>NO</v>
      </c>
      <c r="AR779" t="str">
        <f>IF(ISNUMBER(SEARCH("®",N779)),"MARCA/INNOVADOR","GENERICO")</f>
        <v>GENERICO</v>
      </c>
      <c r="AS779">
        <f ca="1">IF(AE779&gt;100,RANDBETWEEN(500,5000),IF(AND(AE779&gt;=10,AE779&lt;=100),RANDBETWEEN(100,1000),RANDBETWEEN(10,200)))</f>
        <v>955</v>
      </c>
      <c r="AT779">
        <f t="shared" ca="1" si="62"/>
        <v>133</v>
      </c>
      <c r="AU779">
        <f ca="1">INT(AS779*RANDBETWEEN(120,200)/100)</f>
        <v>1613</v>
      </c>
      <c r="AV779" s="2">
        <f ca="1">IF(LEFT(Y779,1)="L",RANDBETWEEN(500000,5000000),IF(LEFT(Y779,1)="C",RANDBETWEEN(5000,50000),IF(LEFT(Y779,1)="N",RANDBETWEEN(10000,150000),IF(LEFT(Y779,1)="J",RANDBETWEEN(8000,200000),RANDBETWEEN(5000,100000)))))</f>
        <v>11919</v>
      </c>
      <c r="AW779" s="2">
        <f ca="1">INT(AV779*RANDBETWEEN(30,60)/100)</f>
        <v>5363</v>
      </c>
      <c r="AX779">
        <f ca="1">IF(Z779="ORAL",RANDBETWEEN(1000,10000),IF(OR(Z779="INTRAVENOSA",Z779="INTRAMUSCULAR"),RANDBETWEEN(100,2000),IF(OR(Z779="OFTÁLMICA",Z779="TOPICA (EXTERNA)"),RANDBETWEEN(200,3000),RANDBETWEEN(100,1500))))</f>
        <v>7442</v>
      </c>
      <c r="AY779" s="2">
        <f ca="1">INT(AV779*RANDBETWEEN(90,130)/100)</f>
        <v>13468</v>
      </c>
      <c r="AZ779" t="str">
        <f t="shared" ca="1" si="63"/>
        <v>13.1%</v>
      </c>
      <c r="BA779" t="str">
        <f t="shared" ca="1" si="64"/>
        <v>ALTO</v>
      </c>
    </row>
    <row r="780" spans="4:53" x14ac:dyDescent="0.35">
      <c r="D780" t="s">
        <v>4992</v>
      </c>
      <c r="E780" s="1">
        <v>44454</v>
      </c>
      <c r="F780" t="s">
        <v>4993</v>
      </c>
      <c r="G780" t="s">
        <v>108</v>
      </c>
      <c r="H780" t="s">
        <v>4994</v>
      </c>
      <c r="I780">
        <v>20195518</v>
      </c>
      <c r="J780" t="s">
        <v>28</v>
      </c>
      <c r="K780">
        <v>1</v>
      </c>
      <c r="L780" t="s">
        <v>4995</v>
      </c>
      <c r="M780" t="s">
        <v>4996</v>
      </c>
      <c r="N780" t="s">
        <v>1638</v>
      </c>
      <c r="O780" t="s">
        <v>4997</v>
      </c>
      <c r="P780" t="s">
        <v>234</v>
      </c>
      <c r="Q780" s="1">
        <v>44251</v>
      </c>
      <c r="R780" t="s">
        <v>50</v>
      </c>
      <c r="S780" t="s">
        <v>27</v>
      </c>
      <c r="T780" t="s">
        <v>549</v>
      </c>
      <c r="U780" t="s">
        <v>807</v>
      </c>
      <c r="V780" t="s">
        <v>1638</v>
      </c>
      <c r="W780">
        <v>4</v>
      </c>
      <c r="X780">
        <v>20195518</v>
      </c>
      <c r="Y780" t="s">
        <v>1639</v>
      </c>
      <c r="Z780" t="s">
        <v>260</v>
      </c>
      <c r="AA780" t="s">
        <v>32</v>
      </c>
      <c r="AB780" t="s">
        <v>133</v>
      </c>
      <c r="AC780" t="s">
        <v>25</v>
      </c>
      <c r="AD780" t="s">
        <v>121</v>
      </c>
      <c r="AE780">
        <v>12</v>
      </c>
      <c r="AF780" t="s">
        <v>27</v>
      </c>
      <c r="AG780" t="s">
        <v>26</v>
      </c>
      <c r="AH780" t="s">
        <v>1638</v>
      </c>
      <c r="AI780" t="str">
        <f t="shared" si="60"/>
        <v>NO</v>
      </c>
      <c r="AJ780" t="str">
        <f t="shared" si="61"/>
        <v>LABORATORIOS BAXTER</v>
      </c>
      <c r="AK780" t="str">
        <f>IF(ISNUMBER(SEARCH("FABRICANTE",AC780)),"FABRICANTE",IF(ISNUMBER(SEARCH("IMPORTADOR",AC780)),"IMPORTADOR","OTRO"))</f>
        <v>FABRICANTE</v>
      </c>
      <c r="AL780" t="str">
        <f>IF(LEFT(Y780,1)="A","Sistema digestivo",IF(LEFT(Y780,1)="B","Sangre",IF(LEFT(Y780,1)="C","Cardiovascular",IF(LEFT(Y780,1)="D","Dermatológico",IF(LEFT(Y780,1)="G","Genitourinario",IF(LEFT(Y780,1)="H","Hormonal",IF(LEFT(Y780,1)="J","Antiinfecciosos",IF(LEFT(Y780,1)="L","Oncológicos",IF(LEFT(Y780,1)="M","Musculoesquelético",IF(LEFT(Y780,1)="N","Sistema nervioso",IF(LEFT(Y780,1)="R","Respiratorio",IF(LEFT(Y780,1)="S","Oftálmico",IF(LEFT(Y780,1)="V","Varios","OTRO")))))))))))))</f>
        <v>Sistema nervioso</v>
      </c>
      <c r="AM780" t="str">
        <f>IF(AG780="Vigente","ACTIVO",IF(ISNUMBER(SEARCH("Inactivo",J780)),"INACTIVO","REVISAR"))</f>
        <v>ACTIVO</v>
      </c>
      <c r="AN780" t="str">
        <f ca="1">IF(OR(AF780="",AF780="null"),"",ROUND((AF780-TODAY())/365.25,2))</f>
        <v/>
      </c>
      <c r="AO780" t="str">
        <f ca="1">IF(AND(AG780="Vigente",OR(AF780="",AF780="null",AF780&gt;TODAY())),"SI",IF(AND(NOT(OR(AF780="",AF780="null")),AF780&lt;=TODAY()),"NO",IF(AG780="Vigente","SI","DESCONOCIDO")))</f>
        <v>SI</v>
      </c>
      <c r="AP780" t="str">
        <f>IF(AND(ISNUMBER(SEARCH("IMPORTAR",AA780)),ISNUMBER(SEARCH("FABRICAR",AA780))),"MIXTO",IF(ISNUMBER(SEARCH("IMPORTAR",AA780)),"IMPORTADO",IF(ISNUMBER(SEARCH("FABRICAR",AA780)),"LOCAL","OTRO")))</f>
        <v>IMPORTADO</v>
      </c>
      <c r="AQ780" t="str">
        <f>IF(AD780="Si","SI",IF(AD780="No","NO",""))</f>
        <v>NO</v>
      </c>
      <c r="AR780" t="str">
        <f>IF(ISNUMBER(SEARCH("®",N780)),"MARCA/INNOVADOR","GENERICO")</f>
        <v>GENERICO</v>
      </c>
      <c r="AS780">
        <f ca="1">IF(AE780&gt;100,RANDBETWEEN(500,5000),IF(AND(AE780&gt;=10,AE780&lt;=100),RANDBETWEEN(100,1000),RANDBETWEEN(10,200)))</f>
        <v>281</v>
      </c>
      <c r="AT780">
        <f t="shared" ca="1" si="62"/>
        <v>67</v>
      </c>
      <c r="AU780">
        <f ca="1">INT(AS780*RANDBETWEEN(120,200)/100)</f>
        <v>415</v>
      </c>
      <c r="AV780" s="2">
        <f ca="1">IF(LEFT(Y780,1)="L",RANDBETWEEN(500000,5000000),IF(LEFT(Y780,1)="C",RANDBETWEEN(5000,50000),IF(LEFT(Y780,1)="N",RANDBETWEEN(10000,150000),IF(LEFT(Y780,1)="J",RANDBETWEEN(8000,200000),RANDBETWEEN(5000,100000)))))</f>
        <v>81638</v>
      </c>
      <c r="AW780" s="2">
        <f ca="1">INT(AV780*RANDBETWEEN(30,60)/100)</f>
        <v>44084</v>
      </c>
      <c r="AX780">
        <f ca="1">IF(Z780="ORAL",RANDBETWEEN(1000,10000),IF(OR(Z780="INTRAVENOSA",Z780="INTRAMUSCULAR"),RANDBETWEEN(100,2000),IF(OR(Z780="OFTÁLMICA",Z780="TOPICA (EXTERNA)"),RANDBETWEEN(200,3000),RANDBETWEEN(100,1500))))</f>
        <v>307</v>
      </c>
      <c r="AY780" s="2">
        <f ca="1">INT(AV780*RANDBETWEEN(90,130)/100)</f>
        <v>85719</v>
      </c>
      <c r="AZ780" t="str">
        <f t="shared" ca="1" si="63"/>
        <v>4.8%</v>
      </c>
      <c r="BA780" t="str">
        <f t="shared" ca="1" si="64"/>
        <v>BAJO</v>
      </c>
    </row>
    <row r="781" spans="4:53" x14ac:dyDescent="0.35">
      <c r="D781" t="s">
        <v>4998</v>
      </c>
      <c r="E781" s="1">
        <v>40338</v>
      </c>
      <c r="F781" t="s">
        <v>4999</v>
      </c>
      <c r="G781" t="s">
        <v>108</v>
      </c>
      <c r="H781" t="s">
        <v>454</v>
      </c>
      <c r="I781">
        <v>20018638</v>
      </c>
      <c r="J781" t="s">
        <v>110</v>
      </c>
      <c r="K781">
        <v>3</v>
      </c>
      <c r="L781" t="s">
        <v>27</v>
      </c>
      <c r="M781" t="s">
        <v>5000</v>
      </c>
      <c r="N781" t="s">
        <v>5001</v>
      </c>
      <c r="O781" t="s">
        <v>5002</v>
      </c>
      <c r="P781" t="s">
        <v>527</v>
      </c>
      <c r="Q781" s="1">
        <v>43353</v>
      </c>
      <c r="R781" t="s">
        <v>527</v>
      </c>
      <c r="S781" s="1">
        <v>44006</v>
      </c>
      <c r="T781" t="s">
        <v>454</v>
      </c>
      <c r="U781" t="s">
        <v>115</v>
      </c>
      <c r="V781" t="s">
        <v>321</v>
      </c>
      <c r="W781" t="s">
        <v>1117</v>
      </c>
      <c r="X781">
        <v>20018638</v>
      </c>
      <c r="Y781" t="s">
        <v>322</v>
      </c>
      <c r="Z781" t="s">
        <v>119</v>
      </c>
      <c r="AA781" t="s">
        <v>2200</v>
      </c>
      <c r="AB781" t="s">
        <v>120</v>
      </c>
      <c r="AC781" t="s">
        <v>25</v>
      </c>
      <c r="AD781" t="s">
        <v>121</v>
      </c>
      <c r="AE781">
        <v>150</v>
      </c>
      <c r="AF781" t="s">
        <v>27</v>
      </c>
      <c r="AG781" t="s">
        <v>26</v>
      </c>
      <c r="AH781" t="s">
        <v>4999</v>
      </c>
      <c r="AI781" t="str">
        <f t="shared" si="60"/>
        <v>NO</v>
      </c>
      <c r="AJ781" t="str">
        <f t="shared" si="61"/>
        <v>PROCAPS</v>
      </c>
      <c r="AK781" t="str">
        <f>IF(ISNUMBER(SEARCH("FABRICANTE",AC781)),"FABRICANTE",IF(ISNUMBER(SEARCH("IMPORTADOR",AC781)),"IMPORTADOR","OTRO"))</f>
        <v>FABRICANTE</v>
      </c>
      <c r="AL781" t="str">
        <f>IF(LEFT(Y781,1)="A","Sistema digestivo",IF(LEFT(Y781,1)="B","Sangre",IF(LEFT(Y781,1)="C","Cardiovascular",IF(LEFT(Y781,1)="D","Dermatológico",IF(LEFT(Y781,1)="G","Genitourinario",IF(LEFT(Y781,1)="H","Hormonal",IF(LEFT(Y781,1)="J","Antiinfecciosos",IF(LEFT(Y781,1)="L","Oncológicos",IF(LEFT(Y781,1)="M","Musculoesquelético",IF(LEFT(Y781,1)="N","Sistema nervioso",IF(LEFT(Y781,1)="R","Respiratorio",IF(LEFT(Y781,1)="S","Oftálmico",IF(LEFT(Y781,1)="V","Varios","OTRO")))))))))))))</f>
        <v>Sistema nervioso</v>
      </c>
      <c r="AM781" t="str">
        <f>IF(AG781="Vigente","ACTIVO",IF(ISNUMBER(SEARCH("Inactivo",J781)),"INACTIVO","REVISAR"))</f>
        <v>ACTIVO</v>
      </c>
      <c r="AN781" t="str">
        <f ca="1">IF(OR(AF781="",AF781="null"),"",ROUND((AF781-TODAY())/365.25,2))</f>
        <v/>
      </c>
      <c r="AO781" t="str">
        <f ca="1">IF(AND(AG781="Vigente",OR(AF781="",AF781="null",AF781&gt;TODAY())),"SI",IF(AND(NOT(OR(AF781="",AF781="null")),AF781&lt;=TODAY()),"NO",IF(AG781="Vigente","SI","DESCONOCIDO")))</f>
        <v>SI</v>
      </c>
      <c r="AP781" t="str">
        <f>IF(AND(ISNUMBER(SEARCH("IMPORTAR",AA781)),ISNUMBER(SEARCH("FABRICAR",AA781))),"MIXTO",IF(ISNUMBER(SEARCH("IMPORTAR",AA781)),"IMPORTADO",IF(ISNUMBER(SEARCH("FABRICAR",AA781)),"LOCAL","OTRO")))</f>
        <v>LOCAL</v>
      </c>
      <c r="AQ781" t="str">
        <f>IF(AD781="Si","SI",IF(AD781="No","NO",""))</f>
        <v>NO</v>
      </c>
      <c r="AR781" t="str">
        <f>IF(ISNUMBER(SEARCH("®",N781)),"MARCA/INNOVADOR","GENERICO")</f>
        <v>GENERICO</v>
      </c>
      <c r="AS781">
        <f ca="1">IF(AE781&gt;100,RANDBETWEEN(500,5000),IF(AND(AE781&gt;=10,AE781&lt;=100),RANDBETWEEN(100,1000),RANDBETWEEN(10,200)))</f>
        <v>3969</v>
      </c>
      <c r="AT781">
        <f t="shared" ca="1" si="62"/>
        <v>912</v>
      </c>
      <c r="AU781">
        <f ca="1">INT(AS781*RANDBETWEEN(120,200)/100)</f>
        <v>7144</v>
      </c>
      <c r="AV781" s="2">
        <f ca="1">IF(LEFT(Y781,1)="L",RANDBETWEEN(500000,5000000),IF(LEFT(Y781,1)="C",RANDBETWEEN(5000,50000),IF(LEFT(Y781,1)="N",RANDBETWEEN(10000,150000),IF(LEFT(Y781,1)="J",RANDBETWEEN(8000,200000),RANDBETWEEN(5000,100000)))))</f>
        <v>110551</v>
      </c>
      <c r="AW781" s="2">
        <f ca="1">INT(AV781*RANDBETWEEN(30,60)/100)</f>
        <v>57486</v>
      </c>
      <c r="AX781">
        <f ca="1">IF(Z781="ORAL",RANDBETWEEN(1000,10000),IF(OR(Z781="INTRAVENOSA",Z781="INTRAMUSCULAR"),RANDBETWEEN(100,2000),IF(OR(Z781="OFTÁLMICA",Z781="TOPICA (EXTERNA)"),RANDBETWEEN(200,3000),RANDBETWEEN(100,1500))))</f>
        <v>5521</v>
      </c>
      <c r="AY781" s="2">
        <f ca="1">INT(AV781*RANDBETWEEN(90,130)/100)</f>
        <v>105023</v>
      </c>
      <c r="AZ781" t="str">
        <f t="shared" ca="1" si="63"/>
        <v>21.5%</v>
      </c>
      <c r="BA781" t="str">
        <f t="shared" ca="1" si="64"/>
        <v>ALTO</v>
      </c>
    </row>
    <row r="782" spans="4:53" x14ac:dyDescent="0.35">
      <c r="D782" t="s">
        <v>5003</v>
      </c>
      <c r="E782" s="1">
        <v>37910</v>
      </c>
      <c r="F782" t="s">
        <v>718</v>
      </c>
      <c r="G782" t="s">
        <v>108</v>
      </c>
      <c r="H782" t="s">
        <v>5004</v>
      </c>
      <c r="I782">
        <v>19939607</v>
      </c>
      <c r="J782" t="s">
        <v>110</v>
      </c>
      <c r="K782">
        <v>23</v>
      </c>
      <c r="L782" t="s">
        <v>27</v>
      </c>
      <c r="M782" t="s">
        <v>719</v>
      </c>
      <c r="N782" t="s">
        <v>720</v>
      </c>
      <c r="O782" t="s">
        <v>5005</v>
      </c>
      <c r="P782" t="s">
        <v>181</v>
      </c>
      <c r="Q782" s="1">
        <v>43382</v>
      </c>
      <c r="R782" t="s">
        <v>37</v>
      </c>
      <c r="S782" t="s">
        <v>27</v>
      </c>
      <c r="T782" t="s">
        <v>454</v>
      </c>
      <c r="U782" t="s">
        <v>115</v>
      </c>
      <c r="V782" t="s">
        <v>722</v>
      </c>
      <c r="W782">
        <v>15</v>
      </c>
      <c r="X782">
        <v>19939607</v>
      </c>
      <c r="Y782" t="s">
        <v>723</v>
      </c>
      <c r="Z782" t="s">
        <v>119</v>
      </c>
      <c r="AA782" t="s">
        <v>165</v>
      </c>
      <c r="AB782" t="s">
        <v>120</v>
      </c>
      <c r="AC782" t="s">
        <v>25</v>
      </c>
      <c r="AD782" t="s">
        <v>121</v>
      </c>
      <c r="AE782">
        <v>10</v>
      </c>
      <c r="AF782" t="s">
        <v>27</v>
      </c>
      <c r="AG782" t="s">
        <v>26</v>
      </c>
      <c r="AH782" t="s">
        <v>722</v>
      </c>
      <c r="AI782" t="str">
        <f t="shared" si="60"/>
        <v>SI</v>
      </c>
      <c r="AJ782" t="str">
        <f t="shared" si="61"/>
        <v>PROCAPS</v>
      </c>
      <c r="AK782" t="str">
        <f>IF(ISNUMBER(SEARCH("FABRICANTE",AC782)),"FABRICANTE",IF(ISNUMBER(SEARCH("IMPORTADOR",AC782)),"IMPORTADOR","OTRO"))</f>
        <v>FABRICANTE</v>
      </c>
      <c r="AL782" t="str">
        <f>IF(LEFT(Y782,1)="A","Sistema digestivo",IF(LEFT(Y782,1)="B","Sangre",IF(LEFT(Y782,1)="C","Cardiovascular",IF(LEFT(Y782,1)="D","Dermatológico",IF(LEFT(Y782,1)="G","Genitourinario",IF(LEFT(Y782,1)="H","Hormonal",IF(LEFT(Y782,1)="J","Antiinfecciosos",IF(LEFT(Y782,1)="L","Oncológicos",IF(LEFT(Y782,1)="M","Musculoesquelético",IF(LEFT(Y782,1)="N","Sistema nervioso",IF(LEFT(Y782,1)="R","Respiratorio",IF(LEFT(Y782,1)="S","Oftálmico",IF(LEFT(Y782,1)="V","Varios","OTRO")))))))))))))</f>
        <v>Sistema digestivo</v>
      </c>
      <c r="AM782" t="str">
        <f>IF(AG782="Vigente","ACTIVO",IF(ISNUMBER(SEARCH("Inactivo",J782)),"INACTIVO","REVISAR"))</f>
        <v>ACTIVO</v>
      </c>
      <c r="AN782" t="str">
        <f ca="1">IF(OR(AF782="",AF782="null"),"",ROUND((AF782-TODAY())/365.25,2))</f>
        <v/>
      </c>
      <c r="AO782" t="str">
        <f ca="1">IF(AND(AG782="Vigente",OR(AF782="",AF782="null",AF782&gt;TODAY())),"SI",IF(AND(NOT(OR(AF782="",AF782="null")),AF782&lt;=TODAY()),"NO",IF(AG782="Vigente","SI","DESCONOCIDO")))</f>
        <v>SI</v>
      </c>
      <c r="AP782" t="str">
        <f>IF(AND(ISNUMBER(SEARCH("IMPORTAR",AA782)),ISNUMBER(SEARCH("FABRICAR",AA782))),"MIXTO",IF(ISNUMBER(SEARCH("IMPORTAR",AA782)),"IMPORTADO",IF(ISNUMBER(SEARCH("FABRICAR",AA782)),"LOCAL","OTRO")))</f>
        <v>IMPORTADO</v>
      </c>
      <c r="AQ782" t="str">
        <f>IF(AD782="Si","SI",IF(AD782="No","NO",""))</f>
        <v>NO</v>
      </c>
      <c r="AR782" t="str">
        <f>IF(ISNUMBER(SEARCH("®",N782)),"MARCA/INNOVADOR","GENERICO")</f>
        <v>MARCA/INNOVADOR</v>
      </c>
      <c r="AS782">
        <f ca="1">IF(AE782&gt;100,RANDBETWEEN(500,5000),IF(AND(AE782&gt;=10,AE782&lt;=100),RANDBETWEEN(100,1000),RANDBETWEEN(10,200)))</f>
        <v>839</v>
      </c>
      <c r="AT782">
        <f t="shared" ca="1" si="62"/>
        <v>167</v>
      </c>
      <c r="AU782">
        <f ca="1">INT(AS782*RANDBETWEEN(120,200)/100)</f>
        <v>1568</v>
      </c>
      <c r="AV782" s="2">
        <f ca="1">IF(LEFT(Y782,1)="L",RANDBETWEEN(500000,5000000),IF(LEFT(Y782,1)="C",RANDBETWEEN(5000,50000),IF(LEFT(Y782,1)="N",RANDBETWEEN(10000,150000),IF(LEFT(Y782,1)="J",RANDBETWEEN(8000,200000),RANDBETWEEN(5000,100000)))))</f>
        <v>93698</v>
      </c>
      <c r="AW782" s="2">
        <f ca="1">INT(AV782*RANDBETWEEN(30,60)/100)</f>
        <v>33731</v>
      </c>
      <c r="AX782">
        <f ca="1">IF(Z782="ORAL",RANDBETWEEN(1000,10000),IF(OR(Z782="INTRAVENOSA",Z782="INTRAMUSCULAR"),RANDBETWEEN(100,2000),IF(OR(Z782="OFTÁLMICA",Z782="TOPICA (EXTERNA)"),RANDBETWEEN(200,3000),RANDBETWEEN(100,1500))))</f>
        <v>1982</v>
      </c>
      <c r="AY782" s="2">
        <f ca="1">INT(AV782*RANDBETWEEN(90,130)/100)</f>
        <v>120870</v>
      </c>
      <c r="AZ782" t="str">
        <f t="shared" ca="1" si="63"/>
        <v>20.6%</v>
      </c>
      <c r="BA782" t="str">
        <f t="shared" ca="1" si="64"/>
        <v>ALTO</v>
      </c>
    </row>
    <row r="783" spans="4:53" x14ac:dyDescent="0.35">
      <c r="D783" t="s">
        <v>5006</v>
      </c>
      <c r="E783" s="1">
        <v>39937</v>
      </c>
      <c r="F783" t="s">
        <v>5007</v>
      </c>
      <c r="G783" t="s">
        <v>108</v>
      </c>
      <c r="H783" t="s">
        <v>454</v>
      </c>
      <c r="I783">
        <v>19999305</v>
      </c>
      <c r="J783" t="s">
        <v>28</v>
      </c>
      <c r="K783">
        <v>6</v>
      </c>
      <c r="L783" t="s">
        <v>27</v>
      </c>
      <c r="M783" t="s">
        <v>1680</v>
      </c>
      <c r="N783" t="s">
        <v>1681</v>
      </c>
      <c r="O783" t="s">
        <v>5008</v>
      </c>
      <c r="P783" t="s">
        <v>659</v>
      </c>
      <c r="Q783" s="1">
        <v>40995</v>
      </c>
      <c r="R783" t="s">
        <v>527</v>
      </c>
      <c r="S783" t="s">
        <v>27</v>
      </c>
      <c r="T783" t="s">
        <v>520</v>
      </c>
      <c r="U783" t="s">
        <v>115</v>
      </c>
      <c r="V783" t="s">
        <v>162</v>
      </c>
      <c r="W783">
        <v>200</v>
      </c>
      <c r="X783">
        <v>19999305</v>
      </c>
      <c r="Y783" t="s">
        <v>164</v>
      </c>
      <c r="Z783" t="s">
        <v>119</v>
      </c>
      <c r="AA783" t="s">
        <v>24</v>
      </c>
      <c r="AB783" t="s">
        <v>120</v>
      </c>
      <c r="AC783" t="s">
        <v>25</v>
      </c>
      <c r="AD783" t="s">
        <v>121</v>
      </c>
      <c r="AE783">
        <v>36</v>
      </c>
      <c r="AF783" t="s">
        <v>27</v>
      </c>
      <c r="AG783" t="s">
        <v>26</v>
      </c>
      <c r="AH783" t="s">
        <v>5007</v>
      </c>
      <c r="AI783" t="str">
        <f t="shared" si="60"/>
        <v>NO</v>
      </c>
      <c r="AJ783" t="str">
        <f t="shared" si="61"/>
        <v>HALEON COLOMBIA</v>
      </c>
      <c r="AK783" t="str">
        <f>IF(ISNUMBER(SEARCH("FABRICANTE",AC783)),"FABRICANTE",IF(ISNUMBER(SEARCH("IMPORTADOR",AC783)),"IMPORTADOR","OTRO"))</f>
        <v>FABRICANTE</v>
      </c>
      <c r="AL783" t="str">
        <f>IF(LEFT(Y783,1)="A","Sistema digestivo",IF(LEFT(Y783,1)="B","Sangre",IF(LEFT(Y783,1)="C","Cardiovascular",IF(LEFT(Y783,1)="D","Dermatológico",IF(LEFT(Y783,1)="G","Genitourinario",IF(LEFT(Y783,1)="H","Hormonal",IF(LEFT(Y783,1)="J","Antiinfecciosos",IF(LEFT(Y783,1)="L","Oncológicos",IF(LEFT(Y783,1)="M","Musculoesquelético",IF(LEFT(Y783,1)="N","Sistema nervioso",IF(LEFT(Y783,1)="R","Respiratorio",IF(LEFT(Y783,1)="S","Oftálmico",IF(LEFT(Y783,1)="V","Varios","OTRO")))))))))))))</f>
        <v>Musculoesquelético</v>
      </c>
      <c r="AM783" t="str">
        <f>IF(AG783="Vigente","ACTIVO",IF(ISNUMBER(SEARCH("Inactivo",J783)),"INACTIVO","REVISAR"))</f>
        <v>ACTIVO</v>
      </c>
      <c r="AN783" t="str">
        <f ca="1">IF(OR(AF783="",AF783="null"),"",ROUND((AF783-TODAY())/365.25,2))</f>
        <v/>
      </c>
      <c r="AO783" t="str">
        <f ca="1">IF(AND(AG783="Vigente",OR(AF783="",AF783="null",AF783&gt;TODAY())),"SI",IF(AND(NOT(OR(AF783="",AF783="null")),AF783&lt;=TODAY()),"NO",IF(AG783="Vigente","SI","DESCONOCIDO")))</f>
        <v>SI</v>
      </c>
      <c r="AP783" t="str">
        <f>IF(AND(ISNUMBER(SEARCH("IMPORTAR",AA783)),ISNUMBER(SEARCH("FABRICAR",AA783))),"MIXTO",IF(ISNUMBER(SEARCH("IMPORTAR",AA783)),"IMPORTADO",IF(ISNUMBER(SEARCH("FABRICAR",AA783)),"LOCAL","OTRO")))</f>
        <v>LOCAL</v>
      </c>
      <c r="AQ783" t="str">
        <f>IF(AD783="Si","SI",IF(AD783="No","NO",""))</f>
        <v>NO</v>
      </c>
      <c r="AR783" t="str">
        <f>IF(ISNUMBER(SEARCH("®",N783)),"MARCA/INNOVADOR","GENERICO")</f>
        <v>MARCA/INNOVADOR</v>
      </c>
      <c r="AS783">
        <f ca="1">IF(AE783&gt;100,RANDBETWEEN(500,5000),IF(AND(AE783&gt;=10,AE783&lt;=100),RANDBETWEEN(100,1000),RANDBETWEEN(10,200)))</f>
        <v>959</v>
      </c>
      <c r="AT783">
        <f t="shared" ca="1" si="62"/>
        <v>143</v>
      </c>
      <c r="AU783">
        <f ca="1">INT(AS783*RANDBETWEEN(120,200)/100)</f>
        <v>1333</v>
      </c>
      <c r="AV783" s="2">
        <f ca="1">IF(LEFT(Y783,1)="L",RANDBETWEEN(500000,5000000),IF(LEFT(Y783,1)="C",RANDBETWEEN(5000,50000),IF(LEFT(Y783,1)="N",RANDBETWEEN(10000,150000),IF(LEFT(Y783,1)="J",RANDBETWEEN(8000,200000),RANDBETWEEN(5000,100000)))))</f>
        <v>70018</v>
      </c>
      <c r="AW783" s="2">
        <f ca="1">INT(AV783*RANDBETWEEN(30,60)/100)</f>
        <v>28707</v>
      </c>
      <c r="AX783">
        <f ca="1">IF(Z783="ORAL",RANDBETWEEN(1000,10000),IF(OR(Z783="INTRAVENOSA",Z783="INTRAMUSCULAR"),RANDBETWEEN(100,2000),IF(OR(Z783="OFTÁLMICA",Z783="TOPICA (EXTERNA)"),RANDBETWEEN(200,3000),RANDBETWEEN(100,1500))))</f>
        <v>6590</v>
      </c>
      <c r="AY783" s="2">
        <f ca="1">INT(AV783*RANDBETWEEN(90,130)/100)</f>
        <v>80520</v>
      </c>
      <c r="AZ783" t="str">
        <f t="shared" ca="1" si="63"/>
        <v>21.3%</v>
      </c>
      <c r="BA783" t="str">
        <f t="shared" ca="1" si="64"/>
        <v>BAJO</v>
      </c>
    </row>
    <row r="784" spans="4:53" x14ac:dyDescent="0.35">
      <c r="D784" t="s">
        <v>5009</v>
      </c>
      <c r="E784" s="1">
        <v>39414</v>
      </c>
      <c r="F784" t="s">
        <v>5010</v>
      </c>
      <c r="G784" t="s">
        <v>502</v>
      </c>
      <c r="H784" t="s">
        <v>362</v>
      </c>
      <c r="I784">
        <v>19983525</v>
      </c>
      <c r="J784" t="s">
        <v>28</v>
      </c>
      <c r="K784">
        <v>4</v>
      </c>
      <c r="L784" t="s">
        <v>27</v>
      </c>
      <c r="M784" t="s">
        <v>5011</v>
      </c>
      <c r="N784" t="s">
        <v>5012</v>
      </c>
      <c r="O784" t="s">
        <v>5013</v>
      </c>
      <c r="P784" t="s">
        <v>234</v>
      </c>
      <c r="Q784" s="1">
        <v>39587</v>
      </c>
      <c r="R784" t="s">
        <v>50</v>
      </c>
      <c r="S784" t="s">
        <v>27</v>
      </c>
      <c r="T784" t="s">
        <v>367</v>
      </c>
      <c r="U784" t="s">
        <v>2356</v>
      </c>
      <c r="V784" t="s">
        <v>5014</v>
      </c>
      <c r="W784" t="s">
        <v>1249</v>
      </c>
      <c r="X784">
        <v>19983525</v>
      </c>
      <c r="Y784" t="s">
        <v>5015</v>
      </c>
      <c r="Z784" t="s">
        <v>260</v>
      </c>
      <c r="AA784" t="s">
        <v>32</v>
      </c>
      <c r="AB784" t="s">
        <v>133</v>
      </c>
      <c r="AC784" t="s">
        <v>38</v>
      </c>
      <c r="AD784" t="s">
        <v>121</v>
      </c>
      <c r="AE784">
        <v>100</v>
      </c>
      <c r="AF784" t="s">
        <v>27</v>
      </c>
      <c r="AG784" t="s">
        <v>26</v>
      </c>
      <c r="AH784" t="s">
        <v>5014</v>
      </c>
      <c r="AI784" t="str">
        <f t="shared" si="60"/>
        <v>NO</v>
      </c>
      <c r="AJ784" t="str">
        <f t="shared" si="61"/>
        <v>LABORATORIOS PISA</v>
      </c>
      <c r="AK784" t="str">
        <f>IF(ISNUMBER(SEARCH("FABRICANTE",AC784)),"FABRICANTE",IF(ISNUMBER(SEARCH("IMPORTADOR",AC784)),"IMPORTADOR","OTRO"))</f>
        <v>IMPORTADOR</v>
      </c>
      <c r="AL784" t="str">
        <f>IF(LEFT(Y784,1)="A","Sistema digestivo",IF(LEFT(Y784,1)="B","Sangre",IF(LEFT(Y784,1)="C","Cardiovascular",IF(LEFT(Y784,1)="D","Dermatológico",IF(LEFT(Y784,1)="G","Genitourinario",IF(LEFT(Y784,1)="H","Hormonal",IF(LEFT(Y784,1)="J","Antiinfecciosos",IF(LEFT(Y784,1)="L","Oncológicos",IF(LEFT(Y784,1)="M","Musculoesquelético",IF(LEFT(Y784,1)="N","Sistema nervioso",IF(LEFT(Y784,1)="R","Respiratorio",IF(LEFT(Y784,1)="S","Oftálmico",IF(LEFT(Y784,1)="V","Varios","OTRO")))))))))))))</f>
        <v>Sangre</v>
      </c>
      <c r="AM784" t="str">
        <f>IF(AG784="Vigente","ACTIVO",IF(ISNUMBER(SEARCH("Inactivo",J784)),"INACTIVO","REVISAR"))</f>
        <v>ACTIVO</v>
      </c>
      <c r="AN784" t="str">
        <f ca="1">IF(OR(AF784="",AF784="null"),"",ROUND((AF784-TODAY())/365.25,2))</f>
        <v/>
      </c>
      <c r="AO784" t="str">
        <f ca="1">IF(AND(AG784="Vigente",OR(AF784="",AF784="null",AF784&gt;TODAY())),"SI",IF(AND(NOT(OR(AF784="",AF784="null")),AF784&lt;=TODAY()),"NO",IF(AG784="Vigente","SI","DESCONOCIDO")))</f>
        <v>SI</v>
      </c>
      <c r="AP784" t="str">
        <f>IF(AND(ISNUMBER(SEARCH("IMPORTAR",AA784)),ISNUMBER(SEARCH("FABRICAR",AA784))),"MIXTO",IF(ISNUMBER(SEARCH("IMPORTAR",AA784)),"IMPORTADO",IF(ISNUMBER(SEARCH("FABRICAR",AA784)),"LOCAL","OTRO")))</f>
        <v>IMPORTADO</v>
      </c>
      <c r="AQ784" t="str">
        <f>IF(AD784="Si","SI",IF(AD784="No","NO",""))</f>
        <v>NO</v>
      </c>
      <c r="AR784" t="str">
        <f>IF(ISNUMBER(SEARCH("®",N784)),"MARCA/INNOVADOR","GENERICO")</f>
        <v>GENERICO</v>
      </c>
      <c r="AS784">
        <f ca="1">IF(AE784&gt;100,RANDBETWEEN(500,5000),IF(AND(AE784&gt;=10,AE784&lt;=100),RANDBETWEEN(100,1000),RANDBETWEEN(10,200)))</f>
        <v>633</v>
      </c>
      <c r="AT784">
        <f t="shared" ca="1" si="62"/>
        <v>113</v>
      </c>
      <c r="AU784">
        <f ca="1">INT(AS784*RANDBETWEEN(120,200)/100)</f>
        <v>1057</v>
      </c>
      <c r="AV784" s="2">
        <f ca="1">IF(LEFT(Y784,1)="L",RANDBETWEEN(500000,5000000),IF(LEFT(Y784,1)="C",RANDBETWEEN(5000,50000),IF(LEFT(Y784,1)="N",RANDBETWEEN(10000,150000),IF(LEFT(Y784,1)="J",RANDBETWEEN(8000,200000),RANDBETWEEN(5000,100000)))))</f>
        <v>74536</v>
      </c>
      <c r="AW784" s="2">
        <f ca="1">INT(AV784*RANDBETWEEN(30,60)/100)</f>
        <v>26832</v>
      </c>
      <c r="AX784">
        <f ca="1">IF(Z784="ORAL",RANDBETWEEN(1000,10000),IF(OR(Z784="INTRAVENOSA",Z784="INTRAMUSCULAR"),RANDBETWEEN(100,2000),IF(OR(Z784="OFTÁLMICA",Z784="TOPICA (EXTERNA)"),RANDBETWEEN(200,3000),RANDBETWEEN(100,1500))))</f>
        <v>1827</v>
      </c>
      <c r="AY784" s="2">
        <f ca="1">INT(AV784*RANDBETWEEN(90,130)/100)</f>
        <v>95406</v>
      </c>
      <c r="AZ784" t="str">
        <f t="shared" ca="1" si="63"/>
        <v>4.9%</v>
      </c>
      <c r="BA784" t="str">
        <f t="shared" ca="1" si="64"/>
        <v>BAJO</v>
      </c>
    </row>
    <row r="785" spans="4:53" x14ac:dyDescent="0.35">
      <c r="D785" t="s">
        <v>5016</v>
      </c>
      <c r="E785" s="1">
        <v>39638</v>
      </c>
      <c r="F785" t="s">
        <v>5017</v>
      </c>
      <c r="G785" t="s">
        <v>108</v>
      </c>
      <c r="H785" t="s">
        <v>1227</v>
      </c>
      <c r="I785">
        <v>19987035</v>
      </c>
      <c r="J785" t="s">
        <v>28</v>
      </c>
      <c r="K785">
        <v>2</v>
      </c>
      <c r="L785" t="s">
        <v>27</v>
      </c>
      <c r="M785" t="s">
        <v>5018</v>
      </c>
      <c r="N785" t="s">
        <v>5019</v>
      </c>
      <c r="O785" t="s">
        <v>5020</v>
      </c>
      <c r="P785" t="s">
        <v>1613</v>
      </c>
      <c r="Q785" s="1">
        <v>39491</v>
      </c>
      <c r="R785" t="s">
        <v>37</v>
      </c>
      <c r="S785" t="s">
        <v>27</v>
      </c>
      <c r="T785" t="s">
        <v>1227</v>
      </c>
      <c r="U785" t="s">
        <v>115</v>
      </c>
      <c r="V785" t="s">
        <v>5021</v>
      </c>
      <c r="W785">
        <v>600</v>
      </c>
      <c r="X785">
        <v>19987035</v>
      </c>
      <c r="Y785" t="s">
        <v>5022</v>
      </c>
      <c r="Z785" t="s">
        <v>119</v>
      </c>
      <c r="AA785" t="s">
        <v>32</v>
      </c>
      <c r="AB785" t="s">
        <v>120</v>
      </c>
      <c r="AC785" t="s">
        <v>38</v>
      </c>
      <c r="AD785" t="s">
        <v>121</v>
      </c>
      <c r="AE785">
        <v>90</v>
      </c>
      <c r="AF785" t="s">
        <v>27</v>
      </c>
      <c r="AG785" t="s">
        <v>26</v>
      </c>
      <c r="AH785" t="s">
        <v>5017</v>
      </c>
      <c r="AI785" t="str">
        <f t="shared" si="60"/>
        <v>NO</v>
      </c>
      <c r="AJ785" t="str">
        <f t="shared" si="61"/>
        <v>NATURAL SYSTEMS INTERNATIONAL</v>
      </c>
      <c r="AK785" t="str">
        <f>IF(ISNUMBER(SEARCH("FABRICANTE",AC785)),"FABRICANTE",IF(ISNUMBER(SEARCH("IMPORTADOR",AC785)),"IMPORTADOR","OTRO"))</f>
        <v>IMPORTADOR</v>
      </c>
      <c r="AL785" t="str">
        <f>IF(LEFT(Y785,1)="A","Sistema digestivo",IF(LEFT(Y785,1)="B","Sangre",IF(LEFT(Y785,1)="C","Cardiovascular",IF(LEFT(Y785,1)="D","Dermatológico",IF(LEFT(Y785,1)="G","Genitourinario",IF(LEFT(Y785,1)="H","Hormonal",IF(LEFT(Y785,1)="J","Antiinfecciosos",IF(LEFT(Y785,1)="L","Oncológicos",IF(LEFT(Y785,1)="M","Musculoesquelético",IF(LEFT(Y785,1)="N","Sistema nervioso",IF(LEFT(Y785,1)="R","Respiratorio",IF(LEFT(Y785,1)="S","Oftálmico",IF(LEFT(Y785,1)="V","Varios","OTRO")))))))))))))</f>
        <v>Musculoesquelético</v>
      </c>
      <c r="AM785" t="str">
        <f>IF(AG785="Vigente","ACTIVO",IF(ISNUMBER(SEARCH("Inactivo",J785)),"INACTIVO","REVISAR"))</f>
        <v>ACTIVO</v>
      </c>
      <c r="AN785" t="str">
        <f ca="1">IF(OR(AF785="",AF785="null"),"",ROUND((AF785-TODAY())/365.25,2))</f>
        <v/>
      </c>
      <c r="AO785" t="str">
        <f ca="1">IF(AND(AG785="Vigente",OR(AF785="",AF785="null",AF785&gt;TODAY())),"SI",IF(AND(NOT(OR(AF785="",AF785="null")),AF785&lt;=TODAY()),"NO",IF(AG785="Vigente","SI","DESCONOCIDO")))</f>
        <v>SI</v>
      </c>
      <c r="AP785" t="str">
        <f>IF(AND(ISNUMBER(SEARCH("IMPORTAR",AA785)),ISNUMBER(SEARCH("FABRICAR",AA785))),"MIXTO",IF(ISNUMBER(SEARCH("IMPORTAR",AA785)),"IMPORTADO",IF(ISNUMBER(SEARCH("FABRICAR",AA785)),"LOCAL","OTRO")))</f>
        <v>IMPORTADO</v>
      </c>
      <c r="AQ785" t="str">
        <f>IF(AD785="Si","SI",IF(AD785="No","NO",""))</f>
        <v>NO</v>
      </c>
      <c r="AR785" t="str">
        <f>IF(ISNUMBER(SEARCH("®",N785)),"MARCA/INNOVADOR","GENERICO")</f>
        <v>GENERICO</v>
      </c>
      <c r="AS785">
        <f ca="1">IF(AE785&gt;100,RANDBETWEEN(500,5000),IF(AND(AE785&gt;=10,AE785&lt;=100),RANDBETWEEN(100,1000),RANDBETWEEN(10,200)))</f>
        <v>285</v>
      </c>
      <c r="AT785">
        <f t="shared" ca="1" si="62"/>
        <v>79</v>
      </c>
      <c r="AU785">
        <f ca="1">INT(AS785*RANDBETWEEN(120,200)/100)</f>
        <v>538</v>
      </c>
      <c r="AV785" s="2">
        <f ca="1">IF(LEFT(Y785,1)="L",RANDBETWEEN(500000,5000000),IF(LEFT(Y785,1)="C",RANDBETWEEN(5000,50000),IF(LEFT(Y785,1)="N",RANDBETWEEN(10000,150000),IF(LEFT(Y785,1)="J",RANDBETWEEN(8000,200000),RANDBETWEEN(5000,100000)))))</f>
        <v>81186</v>
      </c>
      <c r="AW785" s="2">
        <f ca="1">INT(AV785*RANDBETWEEN(30,60)/100)</f>
        <v>33286</v>
      </c>
      <c r="AX785">
        <f ca="1">IF(Z785="ORAL",RANDBETWEEN(1000,10000),IF(OR(Z785="INTRAVENOSA",Z785="INTRAMUSCULAR"),RANDBETWEEN(100,2000),IF(OR(Z785="OFTÁLMICA",Z785="TOPICA (EXTERNA)"),RANDBETWEEN(200,3000),RANDBETWEEN(100,1500))))</f>
        <v>1337</v>
      </c>
      <c r="AY785" s="2">
        <f ca="1">INT(AV785*RANDBETWEEN(90,130)/100)</f>
        <v>90928</v>
      </c>
      <c r="AZ785" t="str">
        <f t="shared" ca="1" si="63"/>
        <v>20.4%</v>
      </c>
      <c r="BA785" t="str">
        <f t="shared" ca="1" si="64"/>
        <v>BAJO</v>
      </c>
    </row>
    <row r="786" spans="4:53" x14ac:dyDescent="0.35">
      <c r="D786" t="s">
        <v>5023</v>
      </c>
      <c r="E786" s="1">
        <v>36161</v>
      </c>
      <c r="F786" t="s">
        <v>123</v>
      </c>
      <c r="G786" t="s">
        <v>108</v>
      </c>
      <c r="H786" t="s">
        <v>334</v>
      </c>
      <c r="I786">
        <v>53285</v>
      </c>
      <c r="J786" t="s">
        <v>28</v>
      </c>
      <c r="K786">
        <v>1</v>
      </c>
      <c r="L786" t="s">
        <v>27</v>
      </c>
      <c r="M786" t="s">
        <v>1531</v>
      </c>
      <c r="N786" t="s">
        <v>1532</v>
      </c>
      <c r="O786" t="s">
        <v>5024</v>
      </c>
      <c r="P786" t="s">
        <v>1534</v>
      </c>
      <c r="Q786" s="1">
        <v>39031</v>
      </c>
      <c r="R786" t="s">
        <v>50</v>
      </c>
      <c r="S786" t="s">
        <v>27</v>
      </c>
      <c r="T786" t="s">
        <v>320</v>
      </c>
      <c r="U786" t="s">
        <v>115</v>
      </c>
      <c r="V786" t="s">
        <v>130</v>
      </c>
      <c r="W786">
        <v>50</v>
      </c>
      <c r="X786">
        <v>53285</v>
      </c>
      <c r="Y786" t="s">
        <v>131</v>
      </c>
      <c r="Z786" t="s">
        <v>260</v>
      </c>
      <c r="AA786" t="s">
        <v>24</v>
      </c>
      <c r="AB786" t="s">
        <v>120</v>
      </c>
      <c r="AC786" t="s">
        <v>25</v>
      </c>
      <c r="AD786" t="s">
        <v>121</v>
      </c>
      <c r="AE786">
        <v>5</v>
      </c>
      <c r="AF786" t="s">
        <v>27</v>
      </c>
      <c r="AG786" t="s">
        <v>26</v>
      </c>
      <c r="AH786" t="s">
        <v>123</v>
      </c>
      <c r="AI786" t="str">
        <f t="shared" si="60"/>
        <v>NO</v>
      </c>
      <c r="AJ786" t="str">
        <f t="shared" si="61"/>
        <v>GENFAR</v>
      </c>
      <c r="AK786" t="str">
        <f>IF(ISNUMBER(SEARCH("FABRICANTE",AC786)),"FABRICANTE",IF(ISNUMBER(SEARCH("IMPORTADOR",AC786)),"IMPORTADOR","OTRO"))</f>
        <v>FABRICANTE</v>
      </c>
      <c r="AL786" t="str">
        <f>IF(LEFT(Y786,1)="A","Sistema digestivo",IF(LEFT(Y786,1)="B","Sangre",IF(LEFT(Y786,1)="C","Cardiovascular",IF(LEFT(Y786,1)="D","Dermatológico",IF(LEFT(Y786,1)="G","Genitourinario",IF(LEFT(Y786,1)="H","Hormonal",IF(LEFT(Y786,1)="J","Antiinfecciosos",IF(LEFT(Y786,1)="L","Oncológicos",IF(LEFT(Y786,1)="M","Musculoesquelético",IF(LEFT(Y786,1)="N","Sistema nervioso",IF(LEFT(Y786,1)="R","Respiratorio",IF(LEFT(Y786,1)="S","Oftálmico",IF(LEFT(Y786,1)="V","Varios","OTRO")))))))))))))</f>
        <v>Sistema nervioso</v>
      </c>
      <c r="AM786" t="str">
        <f>IF(AG786="Vigente","ACTIVO",IF(ISNUMBER(SEARCH("Inactivo",J786)),"INACTIVO","REVISAR"))</f>
        <v>ACTIVO</v>
      </c>
      <c r="AN786" t="str">
        <f ca="1">IF(OR(AF786="",AF786="null"),"",ROUND((AF786-TODAY())/365.25,2))</f>
        <v/>
      </c>
      <c r="AO786" t="str">
        <f ca="1">IF(AND(AG786="Vigente",OR(AF786="",AF786="null",AF786&gt;TODAY())),"SI",IF(AND(NOT(OR(AF786="",AF786="null")),AF786&lt;=TODAY()),"NO",IF(AG786="Vigente","SI","DESCONOCIDO")))</f>
        <v>SI</v>
      </c>
      <c r="AP786" t="str">
        <f>IF(AND(ISNUMBER(SEARCH("IMPORTAR",AA786)),ISNUMBER(SEARCH("FABRICAR",AA786))),"MIXTO",IF(ISNUMBER(SEARCH("IMPORTAR",AA786)),"IMPORTADO",IF(ISNUMBER(SEARCH("FABRICAR",AA786)),"LOCAL","OTRO")))</f>
        <v>LOCAL</v>
      </c>
      <c r="AQ786" t="str">
        <f>IF(AD786="Si","SI",IF(AD786="No","NO",""))</f>
        <v>NO</v>
      </c>
      <c r="AR786" t="str">
        <f>IF(ISNUMBER(SEARCH("®",N786)),"MARCA/INNOVADOR","GENERICO")</f>
        <v>GENERICO</v>
      </c>
      <c r="AS786">
        <f ca="1">IF(AE786&gt;100,RANDBETWEEN(500,5000),IF(AND(AE786&gt;=10,AE786&lt;=100),RANDBETWEEN(100,1000),RANDBETWEEN(10,200)))</f>
        <v>26</v>
      </c>
      <c r="AT786">
        <f t="shared" ca="1" si="62"/>
        <v>3</v>
      </c>
      <c r="AU786">
        <f ca="1">INT(AS786*RANDBETWEEN(120,200)/100)</f>
        <v>35</v>
      </c>
      <c r="AV786" s="2">
        <f ca="1">IF(LEFT(Y786,1)="L",RANDBETWEEN(500000,5000000),IF(LEFT(Y786,1)="C",RANDBETWEEN(5000,50000),IF(LEFT(Y786,1)="N",RANDBETWEEN(10000,150000),IF(LEFT(Y786,1)="J",RANDBETWEEN(8000,200000),RANDBETWEEN(5000,100000)))))</f>
        <v>80456</v>
      </c>
      <c r="AW786" s="2">
        <f ca="1">INT(AV786*RANDBETWEEN(30,60)/100)</f>
        <v>30573</v>
      </c>
      <c r="AX786">
        <f ca="1">IF(Z786="ORAL",RANDBETWEEN(1000,10000),IF(OR(Z786="INTRAVENOSA",Z786="INTRAMUSCULAR"),RANDBETWEEN(100,2000),IF(OR(Z786="OFTÁLMICA",Z786="TOPICA (EXTERNA)"),RANDBETWEEN(200,3000),RANDBETWEEN(100,1500))))</f>
        <v>1629</v>
      </c>
      <c r="AY786" s="2">
        <f ca="1">INT(AV786*RANDBETWEEN(90,130)/100)</f>
        <v>96547</v>
      </c>
      <c r="AZ786" t="str">
        <f t="shared" ca="1" si="63"/>
        <v>3.8%</v>
      </c>
      <c r="BA786" t="str">
        <f t="shared" ca="1" si="64"/>
        <v>BAJO</v>
      </c>
    </row>
    <row r="787" spans="4:53" x14ac:dyDescent="0.35">
      <c r="D787" t="s">
        <v>5025</v>
      </c>
      <c r="E787" s="1">
        <v>40661</v>
      </c>
      <c r="F787" t="s">
        <v>5026</v>
      </c>
      <c r="G787" t="s">
        <v>108</v>
      </c>
      <c r="H787" t="s">
        <v>5027</v>
      </c>
      <c r="I787">
        <v>20019923</v>
      </c>
      <c r="J787" t="s">
        <v>28</v>
      </c>
      <c r="K787">
        <v>17</v>
      </c>
      <c r="L787" t="s">
        <v>5028</v>
      </c>
      <c r="M787" t="s">
        <v>5029</v>
      </c>
      <c r="N787" t="s">
        <v>5030</v>
      </c>
      <c r="O787" t="s">
        <v>5031</v>
      </c>
      <c r="P787" t="s">
        <v>5032</v>
      </c>
      <c r="Q787" s="1">
        <v>42873</v>
      </c>
      <c r="R787" t="s">
        <v>47</v>
      </c>
      <c r="S787" t="s">
        <v>27</v>
      </c>
      <c r="T787" t="s">
        <v>3118</v>
      </c>
      <c r="U787" t="s">
        <v>115</v>
      </c>
      <c r="V787" t="s">
        <v>5033</v>
      </c>
      <c r="W787">
        <v>60</v>
      </c>
      <c r="X787">
        <v>20019923</v>
      </c>
      <c r="Y787" t="s">
        <v>5034</v>
      </c>
      <c r="Z787" t="s">
        <v>119</v>
      </c>
      <c r="AA787" t="s">
        <v>32</v>
      </c>
      <c r="AB787" t="s">
        <v>120</v>
      </c>
      <c r="AC787" t="s">
        <v>25</v>
      </c>
      <c r="AD787" t="s">
        <v>155</v>
      </c>
      <c r="AE787">
        <v>10</v>
      </c>
      <c r="AF787" t="s">
        <v>27</v>
      </c>
      <c r="AG787" t="s">
        <v>26</v>
      </c>
      <c r="AH787" t="s">
        <v>5026</v>
      </c>
      <c r="AI787" t="str">
        <f t="shared" si="60"/>
        <v>NO</v>
      </c>
      <c r="AJ787" t="str">
        <f t="shared" si="61"/>
        <v>LES LABORATOIRES SERVIER</v>
      </c>
      <c r="AK787" t="str">
        <f>IF(ISNUMBER(SEARCH("FABRICANTE",AC787)),"FABRICANTE",IF(ISNUMBER(SEARCH("IMPORTADOR",AC787)),"IMPORTADOR","OTRO"))</f>
        <v>FABRICANTE</v>
      </c>
      <c r="AL787" t="str">
        <f>IF(LEFT(Y787,1)="A","Sistema digestivo",IF(LEFT(Y787,1)="B","Sangre",IF(LEFT(Y787,1)="C","Cardiovascular",IF(LEFT(Y787,1)="D","Dermatológico",IF(LEFT(Y787,1)="G","Genitourinario",IF(LEFT(Y787,1)="H","Hormonal",IF(LEFT(Y787,1)="J","Antiinfecciosos",IF(LEFT(Y787,1)="L","Oncológicos",IF(LEFT(Y787,1)="M","Musculoesquelético",IF(LEFT(Y787,1)="N","Sistema nervioso",IF(LEFT(Y787,1)="R","Respiratorio",IF(LEFT(Y787,1)="S","Oftálmico",IF(LEFT(Y787,1)="V","Varios","OTRO")))))))))))))</f>
        <v>Sistema digestivo</v>
      </c>
      <c r="AM787" t="str">
        <f>IF(AG787="Vigente","ACTIVO",IF(ISNUMBER(SEARCH("Inactivo",J787)),"INACTIVO","REVISAR"))</f>
        <v>ACTIVO</v>
      </c>
      <c r="AN787" t="str">
        <f ca="1">IF(OR(AF787="",AF787="null"),"",ROUND((AF787-TODAY())/365.25,2))</f>
        <v/>
      </c>
      <c r="AO787" t="str">
        <f ca="1">IF(AND(AG787="Vigente",OR(AF787="",AF787="null",AF787&gt;TODAY())),"SI",IF(AND(NOT(OR(AF787="",AF787="null")),AF787&lt;=TODAY()),"NO",IF(AG787="Vigente","SI","DESCONOCIDO")))</f>
        <v>SI</v>
      </c>
      <c r="AP787" t="str">
        <f>IF(AND(ISNUMBER(SEARCH("IMPORTAR",AA787)),ISNUMBER(SEARCH("FABRICAR",AA787))),"MIXTO",IF(ISNUMBER(SEARCH("IMPORTAR",AA787)),"IMPORTADO",IF(ISNUMBER(SEARCH("FABRICAR",AA787)),"LOCAL","OTRO")))</f>
        <v>IMPORTADO</v>
      </c>
      <c r="AQ787" t="str">
        <f>IF(AD787="Si","SI",IF(AD787="No","NO",""))</f>
        <v>SI</v>
      </c>
      <c r="AR787" t="str">
        <f>IF(ISNUMBER(SEARCH("®",N787)),"MARCA/INNOVADOR","GENERICO")</f>
        <v>GENERICO</v>
      </c>
      <c r="AS787">
        <f ca="1">IF(AE787&gt;100,RANDBETWEEN(500,5000),IF(AND(AE787&gt;=10,AE787&lt;=100),RANDBETWEEN(100,1000),RANDBETWEEN(10,200)))</f>
        <v>641</v>
      </c>
      <c r="AT787">
        <f t="shared" ca="1" si="62"/>
        <v>89</v>
      </c>
      <c r="AU787">
        <f ca="1">INT(AS787*RANDBETWEEN(120,200)/100)</f>
        <v>916</v>
      </c>
      <c r="AV787" s="2">
        <f ca="1">IF(LEFT(Y787,1)="L",RANDBETWEEN(500000,5000000),IF(LEFT(Y787,1)="C",RANDBETWEEN(5000,50000),IF(LEFT(Y787,1)="N",RANDBETWEEN(10000,150000),IF(LEFT(Y787,1)="J",RANDBETWEEN(8000,200000),RANDBETWEEN(5000,100000)))))</f>
        <v>85995</v>
      </c>
      <c r="AW787" s="2">
        <f ca="1">INT(AV787*RANDBETWEEN(30,60)/100)</f>
        <v>44717</v>
      </c>
      <c r="AX787">
        <f ca="1">IF(Z787="ORAL",RANDBETWEEN(1000,10000),IF(OR(Z787="INTRAVENOSA",Z787="INTRAMUSCULAR"),RANDBETWEEN(100,2000),IF(OR(Z787="OFTÁLMICA",Z787="TOPICA (EXTERNA)"),RANDBETWEEN(200,3000),RANDBETWEEN(100,1500))))</f>
        <v>7857</v>
      </c>
      <c r="AY787" s="2">
        <f ca="1">INT(AV787*RANDBETWEEN(90,130)/100)</f>
        <v>103194</v>
      </c>
      <c r="AZ787" t="str">
        <f t="shared" ca="1" si="63"/>
        <v>8.4%</v>
      </c>
      <c r="BA787" t="str">
        <f t="shared" ca="1" si="64"/>
        <v>BAJO</v>
      </c>
    </row>
    <row r="788" spans="4:53" x14ac:dyDescent="0.35">
      <c r="D788" t="s">
        <v>5035</v>
      </c>
      <c r="E788" s="1">
        <v>38559</v>
      </c>
      <c r="F788" t="s">
        <v>5036</v>
      </c>
      <c r="G788" t="s">
        <v>108</v>
      </c>
      <c r="H788" t="s">
        <v>136</v>
      </c>
      <c r="I788">
        <v>19953021</v>
      </c>
      <c r="J788" t="s">
        <v>28</v>
      </c>
      <c r="K788">
        <v>5</v>
      </c>
      <c r="L788" t="s">
        <v>27</v>
      </c>
      <c r="M788" t="s">
        <v>5037</v>
      </c>
      <c r="N788" t="s">
        <v>5038</v>
      </c>
      <c r="O788" t="s">
        <v>5039</v>
      </c>
      <c r="P788" t="s">
        <v>29</v>
      </c>
      <c r="Q788" s="1">
        <v>42174</v>
      </c>
      <c r="R788" t="s">
        <v>33</v>
      </c>
      <c r="S788" t="s">
        <v>27</v>
      </c>
      <c r="T788" t="s">
        <v>736</v>
      </c>
      <c r="U788" t="s">
        <v>115</v>
      </c>
      <c r="V788" t="s">
        <v>5040</v>
      </c>
      <c r="W788">
        <v>1</v>
      </c>
      <c r="X788">
        <v>19953021</v>
      </c>
      <c r="Y788" t="s">
        <v>5041</v>
      </c>
      <c r="Z788" t="s">
        <v>119</v>
      </c>
      <c r="AA788" t="s">
        <v>32</v>
      </c>
      <c r="AB788" t="s">
        <v>120</v>
      </c>
      <c r="AC788" t="s">
        <v>38</v>
      </c>
      <c r="AD788" t="s">
        <v>155</v>
      </c>
      <c r="AE788">
        <v>14</v>
      </c>
      <c r="AF788" t="s">
        <v>27</v>
      </c>
      <c r="AG788" t="s">
        <v>26</v>
      </c>
      <c r="AH788" t="s">
        <v>6831</v>
      </c>
      <c r="AI788" t="str">
        <f t="shared" si="60"/>
        <v>NO</v>
      </c>
      <c r="AJ788" t="str">
        <f t="shared" si="61"/>
        <v>LABORATORIO FRANCO COLOMBIANO LAFRANCOL</v>
      </c>
      <c r="AK788" t="str">
        <f>IF(ISNUMBER(SEARCH("FABRICANTE",AC788)),"FABRICANTE",IF(ISNUMBER(SEARCH("IMPORTADOR",AC788)),"IMPORTADOR","OTRO"))</f>
        <v>IMPORTADOR</v>
      </c>
      <c r="AL788" t="str">
        <f>IF(LEFT(Y788,1)="A","Sistema digestivo",IF(LEFT(Y788,1)="B","Sangre",IF(LEFT(Y788,1)="C","Cardiovascular",IF(LEFT(Y788,1)="D","Dermatológico",IF(LEFT(Y788,1)="G","Genitourinario",IF(LEFT(Y788,1)="H","Hormonal",IF(LEFT(Y788,1)="J","Antiinfecciosos",IF(LEFT(Y788,1)="L","Oncológicos",IF(LEFT(Y788,1)="M","Musculoesquelético",IF(LEFT(Y788,1)="N","Sistema nervioso",IF(LEFT(Y788,1)="R","Respiratorio",IF(LEFT(Y788,1)="S","Oftálmico",IF(LEFT(Y788,1)="V","Varios","OTRO")))))))))))))</f>
        <v>Genitourinario</v>
      </c>
      <c r="AM788" t="str">
        <f>IF(AG788="Vigente","ACTIVO",IF(ISNUMBER(SEARCH("Inactivo",J788)),"INACTIVO","REVISAR"))</f>
        <v>ACTIVO</v>
      </c>
      <c r="AN788" t="str">
        <f ca="1">IF(OR(AF788="",AF788="null"),"",ROUND((AF788-TODAY())/365.25,2))</f>
        <v/>
      </c>
      <c r="AO788" t="str">
        <f ca="1">IF(AND(AG788="Vigente",OR(AF788="",AF788="null",AF788&gt;TODAY())),"SI",IF(AND(NOT(OR(AF788="",AF788="null")),AF788&lt;=TODAY()),"NO",IF(AG788="Vigente","SI","DESCONOCIDO")))</f>
        <v>SI</v>
      </c>
      <c r="AP788" t="str">
        <f>IF(AND(ISNUMBER(SEARCH("IMPORTAR",AA788)),ISNUMBER(SEARCH("FABRICAR",AA788))),"MIXTO",IF(ISNUMBER(SEARCH("IMPORTAR",AA788)),"IMPORTADO",IF(ISNUMBER(SEARCH("FABRICAR",AA788)),"LOCAL","OTRO")))</f>
        <v>IMPORTADO</v>
      </c>
      <c r="AQ788" t="str">
        <f>IF(AD788="Si","SI",IF(AD788="No","NO",""))</f>
        <v>SI</v>
      </c>
      <c r="AR788" t="str">
        <f>IF(ISNUMBER(SEARCH("®",N788)),"MARCA/INNOVADOR","GENERICO")</f>
        <v>MARCA/INNOVADOR</v>
      </c>
      <c r="AS788">
        <f ca="1">IF(AE788&gt;100,RANDBETWEEN(500,5000),IF(AND(AE788&gt;=10,AE788&lt;=100),RANDBETWEEN(100,1000),RANDBETWEEN(10,200)))</f>
        <v>531</v>
      </c>
      <c r="AT788">
        <f t="shared" ca="1" si="62"/>
        <v>153</v>
      </c>
      <c r="AU788">
        <f ca="1">INT(AS788*RANDBETWEEN(120,200)/100)</f>
        <v>865</v>
      </c>
      <c r="AV788" s="2">
        <f ca="1">IF(LEFT(Y788,1)="L",RANDBETWEEN(500000,5000000),IF(LEFT(Y788,1)="C",RANDBETWEEN(5000,50000),IF(LEFT(Y788,1)="N",RANDBETWEEN(10000,150000),IF(LEFT(Y788,1)="J",RANDBETWEEN(8000,200000),RANDBETWEEN(5000,100000)))))</f>
        <v>63926</v>
      </c>
      <c r="AW788" s="2">
        <f ca="1">INT(AV788*RANDBETWEEN(30,60)/100)</f>
        <v>35159</v>
      </c>
      <c r="AX788">
        <f ca="1">IF(Z788="ORAL",RANDBETWEEN(1000,10000),IF(OR(Z788="INTRAVENOSA",Z788="INTRAMUSCULAR"),RANDBETWEEN(100,2000),IF(OR(Z788="OFTÁLMICA",Z788="TOPICA (EXTERNA)"),RANDBETWEEN(200,3000),RANDBETWEEN(100,1500))))</f>
        <v>6421</v>
      </c>
      <c r="AY788" s="2">
        <f ca="1">INT(AV788*RANDBETWEEN(90,130)/100)</f>
        <v>74793</v>
      </c>
      <c r="AZ788" t="str">
        <f t="shared" ca="1" si="63"/>
        <v>12.5%</v>
      </c>
      <c r="BA788" t="str">
        <f t="shared" ca="1" si="64"/>
        <v>BAJO</v>
      </c>
    </row>
    <row r="789" spans="4:53" x14ac:dyDescent="0.35">
      <c r="D789" t="s">
        <v>5042</v>
      </c>
      <c r="E789" s="1">
        <v>37852</v>
      </c>
      <c r="F789" t="s">
        <v>4947</v>
      </c>
      <c r="G789" t="s">
        <v>502</v>
      </c>
      <c r="H789" t="s">
        <v>1501</v>
      </c>
      <c r="I789">
        <v>19933606</v>
      </c>
      <c r="J789" t="s">
        <v>28</v>
      </c>
      <c r="K789">
        <v>1</v>
      </c>
      <c r="L789" t="s">
        <v>27</v>
      </c>
      <c r="M789" t="s">
        <v>3022</v>
      </c>
      <c r="N789" t="s">
        <v>3023</v>
      </c>
      <c r="O789" t="s">
        <v>5043</v>
      </c>
      <c r="P789" t="s">
        <v>257</v>
      </c>
      <c r="Q789" s="1">
        <v>39031</v>
      </c>
      <c r="R789" t="s">
        <v>50</v>
      </c>
      <c r="S789" t="s">
        <v>27</v>
      </c>
      <c r="T789" t="s">
        <v>3025</v>
      </c>
      <c r="U789" t="s">
        <v>247</v>
      </c>
      <c r="V789" t="s">
        <v>554</v>
      </c>
      <c r="W789" t="s">
        <v>5044</v>
      </c>
      <c r="X789">
        <v>19933606</v>
      </c>
      <c r="Y789" t="s">
        <v>556</v>
      </c>
      <c r="Z789" t="s">
        <v>260</v>
      </c>
      <c r="AA789" t="s">
        <v>32</v>
      </c>
      <c r="AB789" t="s">
        <v>120</v>
      </c>
      <c r="AC789" t="s">
        <v>25</v>
      </c>
      <c r="AD789" t="s">
        <v>121</v>
      </c>
      <c r="AE789">
        <v>100</v>
      </c>
      <c r="AF789" t="s">
        <v>27</v>
      </c>
      <c r="AG789" t="s">
        <v>26</v>
      </c>
      <c r="AH789" t="s">
        <v>6654</v>
      </c>
      <c r="AI789" t="str">
        <f t="shared" si="60"/>
        <v>NO</v>
      </c>
      <c r="AJ789" t="str">
        <f t="shared" si="61"/>
        <v>FRESENIUS KABI DEUTSCHLAND</v>
      </c>
      <c r="AK789" t="str">
        <f>IF(ISNUMBER(SEARCH("FABRICANTE",AC789)),"FABRICANTE",IF(ISNUMBER(SEARCH("IMPORTADOR",AC789)),"IMPORTADOR","OTRO"))</f>
        <v>FABRICANTE</v>
      </c>
      <c r="AL789" t="str">
        <f>IF(LEFT(Y789,1)="A","Sistema digestivo",IF(LEFT(Y789,1)="B","Sangre",IF(LEFT(Y789,1)="C","Cardiovascular",IF(LEFT(Y789,1)="D","Dermatológico",IF(LEFT(Y789,1)="G","Genitourinario",IF(LEFT(Y789,1)="H","Hormonal",IF(LEFT(Y789,1)="J","Antiinfecciosos",IF(LEFT(Y789,1)="L","Oncológicos",IF(LEFT(Y789,1)="M","Musculoesquelético",IF(LEFT(Y789,1)="N","Sistema nervioso",IF(LEFT(Y789,1)="R","Respiratorio",IF(LEFT(Y789,1)="S","Oftálmico",IF(LEFT(Y789,1)="V","Varios","OTRO")))))))))))))</f>
        <v>Sangre</v>
      </c>
      <c r="AM789" t="str">
        <f>IF(AG789="Vigente","ACTIVO",IF(ISNUMBER(SEARCH("Inactivo",J789)),"INACTIVO","REVISAR"))</f>
        <v>ACTIVO</v>
      </c>
      <c r="AN789" t="str">
        <f ca="1">IF(OR(AF789="",AF789="null"),"",ROUND((AF789-TODAY())/365.25,2))</f>
        <v/>
      </c>
      <c r="AO789" t="str">
        <f ca="1">IF(AND(AG789="Vigente",OR(AF789="",AF789="null",AF789&gt;TODAY())),"SI",IF(AND(NOT(OR(AF789="",AF789="null")),AF789&lt;=TODAY()),"NO",IF(AG789="Vigente","SI","DESCONOCIDO")))</f>
        <v>SI</v>
      </c>
      <c r="AP789" t="str">
        <f>IF(AND(ISNUMBER(SEARCH("IMPORTAR",AA789)),ISNUMBER(SEARCH("FABRICAR",AA789))),"MIXTO",IF(ISNUMBER(SEARCH("IMPORTAR",AA789)),"IMPORTADO",IF(ISNUMBER(SEARCH("FABRICAR",AA789)),"LOCAL","OTRO")))</f>
        <v>IMPORTADO</v>
      </c>
      <c r="AQ789" t="str">
        <f>IF(AD789="Si","SI",IF(AD789="No","NO",""))</f>
        <v>NO</v>
      </c>
      <c r="AR789" t="str">
        <f>IF(ISNUMBER(SEARCH("®",N789)),"MARCA/INNOVADOR","GENERICO")</f>
        <v>GENERICO</v>
      </c>
      <c r="AS789">
        <f ca="1">IF(AE789&gt;100,RANDBETWEEN(500,5000),IF(AND(AE789&gt;=10,AE789&lt;=100),RANDBETWEEN(100,1000),RANDBETWEEN(10,200)))</f>
        <v>466</v>
      </c>
      <c r="AT789">
        <f t="shared" ca="1" si="62"/>
        <v>130</v>
      </c>
      <c r="AU789">
        <f ca="1">INT(AS789*RANDBETWEEN(120,200)/100)</f>
        <v>619</v>
      </c>
      <c r="AV789" s="2">
        <f ca="1">IF(LEFT(Y789,1)="L",RANDBETWEEN(500000,5000000),IF(LEFT(Y789,1)="C",RANDBETWEEN(5000,50000),IF(LEFT(Y789,1)="N",RANDBETWEEN(10000,150000),IF(LEFT(Y789,1)="J",RANDBETWEEN(8000,200000),RANDBETWEEN(5000,100000)))))</f>
        <v>54506</v>
      </c>
      <c r="AW789" s="2">
        <f ca="1">INT(AV789*RANDBETWEEN(30,60)/100)</f>
        <v>29433</v>
      </c>
      <c r="AX789">
        <f ca="1">IF(Z789="ORAL",RANDBETWEEN(1000,10000),IF(OR(Z789="INTRAVENOSA",Z789="INTRAMUSCULAR"),RANDBETWEEN(100,2000),IF(OR(Z789="OFTÁLMICA",Z789="TOPICA (EXTERNA)"),RANDBETWEEN(200,3000),RANDBETWEEN(100,1500))))</f>
        <v>1349</v>
      </c>
      <c r="AY789" s="2">
        <f ca="1">INT(AV789*RANDBETWEEN(90,130)/100)</f>
        <v>70857</v>
      </c>
      <c r="AZ789" t="str">
        <f t="shared" ca="1" si="63"/>
        <v>1.9%</v>
      </c>
      <c r="BA789" t="str">
        <f t="shared" ca="1" si="64"/>
        <v>BAJO</v>
      </c>
    </row>
    <row r="790" spans="4:53" x14ac:dyDescent="0.35">
      <c r="D790" t="s">
        <v>5045</v>
      </c>
      <c r="E790" s="1">
        <v>39464</v>
      </c>
      <c r="F790" t="s">
        <v>3770</v>
      </c>
      <c r="G790" t="s">
        <v>108</v>
      </c>
      <c r="H790" t="s">
        <v>454</v>
      </c>
      <c r="I790">
        <v>19973358</v>
      </c>
      <c r="J790" t="s">
        <v>28</v>
      </c>
      <c r="K790">
        <v>6</v>
      </c>
      <c r="L790" t="s">
        <v>3771</v>
      </c>
      <c r="M790" t="s">
        <v>3772</v>
      </c>
      <c r="N790" t="s">
        <v>3773</v>
      </c>
      <c r="O790" t="s">
        <v>5046</v>
      </c>
      <c r="P790" t="s">
        <v>29</v>
      </c>
      <c r="Q790" s="1">
        <v>45156</v>
      </c>
      <c r="R790" t="s">
        <v>29</v>
      </c>
      <c r="S790" t="s">
        <v>27</v>
      </c>
      <c r="T790" t="s">
        <v>1784</v>
      </c>
      <c r="U790" t="s">
        <v>115</v>
      </c>
      <c r="V790" t="s">
        <v>3770</v>
      </c>
      <c r="W790">
        <v>250</v>
      </c>
      <c r="X790">
        <v>19973358</v>
      </c>
      <c r="Y790" t="s">
        <v>3775</v>
      </c>
      <c r="Z790" t="s">
        <v>119</v>
      </c>
      <c r="AA790" t="s">
        <v>24</v>
      </c>
      <c r="AB790" t="s">
        <v>120</v>
      </c>
      <c r="AC790" t="s">
        <v>25</v>
      </c>
      <c r="AD790" t="s">
        <v>121</v>
      </c>
      <c r="AE790">
        <v>180</v>
      </c>
      <c r="AF790" t="s">
        <v>27</v>
      </c>
      <c r="AG790" t="s">
        <v>26</v>
      </c>
      <c r="AH790" t="s">
        <v>3770</v>
      </c>
      <c r="AI790" t="str">
        <f t="shared" si="60"/>
        <v>NO</v>
      </c>
      <c r="AJ790" t="str">
        <f t="shared" si="61"/>
        <v>COLMED</v>
      </c>
      <c r="AK790" t="str">
        <f>IF(ISNUMBER(SEARCH("FABRICANTE",AC790)),"FABRICANTE",IF(ISNUMBER(SEARCH("IMPORTADOR",AC790)),"IMPORTADOR","OTRO"))</f>
        <v>FABRICANTE</v>
      </c>
      <c r="AL790" t="str">
        <f>IF(LEFT(Y790,1)="A","Sistema digestivo",IF(LEFT(Y790,1)="B","Sangre",IF(LEFT(Y790,1)="C","Cardiovascular",IF(LEFT(Y790,1)="D","Dermatológico",IF(LEFT(Y790,1)="G","Genitourinario",IF(LEFT(Y790,1)="H","Hormonal",IF(LEFT(Y790,1)="J","Antiinfecciosos",IF(LEFT(Y790,1)="L","Oncológicos",IF(LEFT(Y790,1)="M","Musculoesquelético",IF(LEFT(Y790,1)="N","Sistema nervioso",IF(LEFT(Y790,1)="R","Respiratorio",IF(LEFT(Y790,1)="S","Oftálmico",IF(LEFT(Y790,1)="V","Varios","OTRO")))))))))))))</f>
        <v>Oftálmico</v>
      </c>
      <c r="AM790" t="str">
        <f>IF(AG790="Vigente","ACTIVO",IF(ISNUMBER(SEARCH("Inactivo",J790)),"INACTIVO","REVISAR"))</f>
        <v>ACTIVO</v>
      </c>
      <c r="AN790" t="str">
        <f ca="1">IF(OR(AF790="",AF790="null"),"",ROUND((AF790-TODAY())/365.25,2))</f>
        <v/>
      </c>
      <c r="AO790" t="str">
        <f ca="1">IF(AND(AG790="Vigente",OR(AF790="",AF790="null",AF790&gt;TODAY())),"SI",IF(AND(NOT(OR(AF790="",AF790="null")),AF790&lt;=TODAY()),"NO",IF(AG790="Vigente","SI","DESCONOCIDO")))</f>
        <v>SI</v>
      </c>
      <c r="AP790" t="str">
        <f>IF(AND(ISNUMBER(SEARCH("IMPORTAR",AA790)),ISNUMBER(SEARCH("FABRICAR",AA790))),"MIXTO",IF(ISNUMBER(SEARCH("IMPORTAR",AA790)),"IMPORTADO",IF(ISNUMBER(SEARCH("FABRICAR",AA790)),"LOCAL","OTRO")))</f>
        <v>LOCAL</v>
      </c>
      <c r="AQ790" t="str">
        <f>IF(AD790="Si","SI",IF(AD790="No","NO",""))</f>
        <v>NO</v>
      </c>
      <c r="AR790" t="str">
        <f>IF(ISNUMBER(SEARCH("®",N790)),"MARCA/INNOVADOR","GENERICO")</f>
        <v>MARCA/INNOVADOR</v>
      </c>
      <c r="AS790">
        <f ca="1">IF(AE790&gt;100,RANDBETWEEN(500,5000),IF(AND(AE790&gt;=10,AE790&lt;=100),RANDBETWEEN(100,1000),RANDBETWEEN(10,200)))</f>
        <v>634</v>
      </c>
      <c r="AT790">
        <f t="shared" ca="1" si="62"/>
        <v>133</v>
      </c>
      <c r="AU790">
        <f ca="1">INT(AS790*RANDBETWEEN(120,200)/100)</f>
        <v>912</v>
      </c>
      <c r="AV790" s="2">
        <f ca="1">IF(LEFT(Y790,1)="L",RANDBETWEEN(500000,5000000),IF(LEFT(Y790,1)="C",RANDBETWEEN(5000,50000),IF(LEFT(Y790,1)="N",RANDBETWEEN(10000,150000),IF(LEFT(Y790,1)="J",RANDBETWEEN(8000,200000),RANDBETWEEN(5000,100000)))))</f>
        <v>97478</v>
      </c>
      <c r="AW790" s="2">
        <f ca="1">INT(AV790*RANDBETWEEN(30,60)/100)</f>
        <v>33142</v>
      </c>
      <c r="AX790">
        <f ca="1">IF(Z790="ORAL",RANDBETWEEN(1000,10000),IF(OR(Z790="INTRAVENOSA",Z790="INTRAMUSCULAR"),RANDBETWEEN(100,2000),IF(OR(Z790="OFTÁLMICA",Z790="TOPICA (EXTERNA)"),RANDBETWEEN(200,3000),RANDBETWEEN(100,1500))))</f>
        <v>3057</v>
      </c>
      <c r="AY790" s="2">
        <f ca="1">INT(AV790*RANDBETWEEN(90,130)/100)</f>
        <v>125746</v>
      </c>
      <c r="AZ790" t="str">
        <f t="shared" ca="1" si="63"/>
        <v>22.6%</v>
      </c>
      <c r="BA790" t="str">
        <f t="shared" ca="1" si="64"/>
        <v>BAJO</v>
      </c>
    </row>
    <row r="791" spans="4:53" x14ac:dyDescent="0.35">
      <c r="D791" t="s">
        <v>5047</v>
      </c>
      <c r="E791" s="1">
        <v>36432</v>
      </c>
      <c r="F791" t="s">
        <v>5048</v>
      </c>
      <c r="G791" t="s">
        <v>108</v>
      </c>
      <c r="H791" t="s">
        <v>5049</v>
      </c>
      <c r="I791">
        <v>19903033</v>
      </c>
      <c r="J791" t="s">
        <v>28</v>
      </c>
      <c r="K791">
        <v>10</v>
      </c>
      <c r="L791" t="s">
        <v>27</v>
      </c>
      <c r="M791" t="s">
        <v>5050</v>
      </c>
      <c r="N791" t="s">
        <v>5051</v>
      </c>
      <c r="O791" t="s">
        <v>5052</v>
      </c>
      <c r="P791" t="s">
        <v>5053</v>
      </c>
      <c r="Q791" s="1">
        <v>45328</v>
      </c>
      <c r="R791" t="s">
        <v>47</v>
      </c>
      <c r="S791" t="s">
        <v>27</v>
      </c>
      <c r="T791" t="s">
        <v>5054</v>
      </c>
      <c r="U791" t="s">
        <v>115</v>
      </c>
      <c r="V791" t="s">
        <v>5055</v>
      </c>
      <c r="W791">
        <v>150</v>
      </c>
      <c r="X791">
        <v>19903033</v>
      </c>
      <c r="Y791" t="s">
        <v>5056</v>
      </c>
      <c r="Z791" t="s">
        <v>119</v>
      </c>
      <c r="AA791" t="s">
        <v>32</v>
      </c>
      <c r="AB791" t="s">
        <v>120</v>
      </c>
      <c r="AC791" t="s">
        <v>25</v>
      </c>
      <c r="AD791" t="s">
        <v>121</v>
      </c>
      <c r="AE791">
        <v>100</v>
      </c>
      <c r="AF791" s="1">
        <v>401769</v>
      </c>
      <c r="AG791" t="s">
        <v>26</v>
      </c>
      <c r="AH791" t="s">
        <v>5048</v>
      </c>
      <c r="AI791" t="str">
        <f t="shared" si="60"/>
        <v>NO</v>
      </c>
      <c r="AJ791" t="str">
        <f t="shared" si="61"/>
        <v>AZIENDE CHIMICHE RIUNITE ANGELLINI FRANCESCO A.C.R.A.F. S.P.A</v>
      </c>
      <c r="AK791" t="str">
        <f>IF(ISNUMBER(SEARCH("FABRICANTE",AC791)),"FABRICANTE",IF(ISNUMBER(SEARCH("IMPORTADOR",AC791)),"IMPORTADOR","OTRO"))</f>
        <v>FABRICANTE</v>
      </c>
      <c r="AL791" t="str">
        <f>IF(LEFT(Y791,1)="A","Sistema digestivo",IF(LEFT(Y791,1)="B","Sangre",IF(LEFT(Y791,1)="C","Cardiovascular",IF(LEFT(Y791,1)="D","Dermatológico",IF(LEFT(Y791,1)="G","Genitourinario",IF(LEFT(Y791,1)="H","Hormonal",IF(LEFT(Y791,1)="J","Antiinfecciosos",IF(LEFT(Y791,1)="L","Oncológicos",IF(LEFT(Y791,1)="M","Musculoesquelético",IF(LEFT(Y791,1)="N","Sistema nervioso",IF(LEFT(Y791,1)="R","Respiratorio",IF(LEFT(Y791,1)="S","Oftálmico",IF(LEFT(Y791,1)="V","Varios","OTRO")))))))))))))</f>
        <v>Sistema nervioso</v>
      </c>
      <c r="AM791" t="str">
        <f>IF(AG791="Vigente","ACTIVO",IF(ISNUMBER(SEARCH("Inactivo",J791)),"INACTIVO","REVISAR"))</f>
        <v>ACTIVO</v>
      </c>
      <c r="AN791">
        <f ca="1">IF(OR(AF791="",AF791="null"),"",ROUND((AF791-TODAY())/365.25,2))</f>
        <v>973.58</v>
      </c>
      <c r="AO791" t="str">
        <f ca="1">IF(AND(AG791="Vigente",OR(AF791="",AF791="null",AF791&gt;TODAY())),"SI",IF(AND(NOT(OR(AF791="",AF791="null")),AF791&lt;=TODAY()),"NO",IF(AG791="Vigente","SI","DESCONOCIDO")))</f>
        <v>SI</v>
      </c>
      <c r="AP791" t="str">
        <f>IF(AND(ISNUMBER(SEARCH("IMPORTAR",AA791)),ISNUMBER(SEARCH("FABRICAR",AA791))),"MIXTO",IF(ISNUMBER(SEARCH("IMPORTAR",AA791)),"IMPORTADO",IF(ISNUMBER(SEARCH("FABRICAR",AA791)),"LOCAL","OTRO")))</f>
        <v>IMPORTADO</v>
      </c>
      <c r="AQ791" t="str">
        <f>IF(AD791="Si","SI",IF(AD791="No","NO",""))</f>
        <v>NO</v>
      </c>
      <c r="AR791" t="str">
        <f>IF(ISNUMBER(SEARCH("®",N791)),"MARCA/INNOVADOR","GENERICO")</f>
        <v>GENERICO</v>
      </c>
      <c r="AS791">
        <f ca="1">IF(AE791&gt;100,RANDBETWEEN(500,5000),IF(AND(AE791&gt;=10,AE791&lt;=100),RANDBETWEEN(100,1000),RANDBETWEEN(10,200)))</f>
        <v>229</v>
      </c>
      <c r="AT791">
        <f t="shared" ca="1" si="62"/>
        <v>25</v>
      </c>
      <c r="AU791">
        <f ca="1">INT(AS791*RANDBETWEEN(120,200)/100)</f>
        <v>428</v>
      </c>
      <c r="AV791" s="2">
        <f ca="1">IF(LEFT(Y791,1)="L",RANDBETWEEN(500000,5000000),IF(LEFT(Y791,1)="C",RANDBETWEEN(5000,50000),IF(LEFT(Y791,1)="N",RANDBETWEEN(10000,150000),IF(LEFT(Y791,1)="J",RANDBETWEEN(8000,200000),RANDBETWEEN(5000,100000)))))</f>
        <v>84477</v>
      </c>
      <c r="AW791" s="2">
        <f ca="1">INT(AV791*RANDBETWEEN(30,60)/100)</f>
        <v>33790</v>
      </c>
      <c r="AX791">
        <f ca="1">IF(Z791="ORAL",RANDBETWEEN(1000,10000),IF(OR(Z791="INTRAVENOSA",Z791="INTRAMUSCULAR"),RANDBETWEEN(100,2000),IF(OR(Z791="OFTÁLMICA",Z791="TOPICA (EXTERNA)"),RANDBETWEEN(200,3000),RANDBETWEEN(100,1500))))</f>
        <v>2933</v>
      </c>
      <c r="AY791" s="2">
        <f ca="1">INT(AV791*RANDBETWEEN(90,130)/100)</f>
        <v>103061</v>
      </c>
      <c r="AZ791" t="str">
        <f t="shared" ca="1" si="63"/>
        <v>11.9%</v>
      </c>
      <c r="BA791" t="str">
        <f t="shared" ca="1" si="64"/>
        <v>BAJO</v>
      </c>
    </row>
    <row r="792" spans="4:53" x14ac:dyDescent="0.35">
      <c r="D792" t="s">
        <v>5057</v>
      </c>
      <c r="E792" s="1">
        <v>41012</v>
      </c>
      <c r="F792" t="s">
        <v>660</v>
      </c>
      <c r="G792" t="s">
        <v>108</v>
      </c>
      <c r="H792" t="s">
        <v>3554</v>
      </c>
      <c r="I792">
        <v>20043747</v>
      </c>
      <c r="J792" t="s">
        <v>110</v>
      </c>
      <c r="K792">
        <v>14</v>
      </c>
      <c r="L792" t="s">
        <v>27</v>
      </c>
      <c r="M792" t="s">
        <v>5058</v>
      </c>
      <c r="N792" t="s">
        <v>5059</v>
      </c>
      <c r="O792" t="s">
        <v>5060</v>
      </c>
      <c r="P792" t="s">
        <v>33</v>
      </c>
      <c r="Q792" s="1">
        <v>41136</v>
      </c>
      <c r="R792" t="s">
        <v>33</v>
      </c>
      <c r="S792" s="1">
        <v>41235</v>
      </c>
      <c r="T792" t="s">
        <v>3554</v>
      </c>
      <c r="U792" t="s">
        <v>115</v>
      </c>
      <c r="V792" t="s">
        <v>116</v>
      </c>
      <c r="W792">
        <v>160</v>
      </c>
      <c r="X792">
        <v>20043747</v>
      </c>
      <c r="Y792" t="s">
        <v>118</v>
      </c>
      <c r="Z792" t="s">
        <v>119</v>
      </c>
      <c r="AA792" t="s">
        <v>24</v>
      </c>
      <c r="AB792" t="s">
        <v>120</v>
      </c>
      <c r="AC792" t="s">
        <v>25</v>
      </c>
      <c r="AD792" t="s">
        <v>121</v>
      </c>
      <c r="AE792">
        <v>60</v>
      </c>
      <c r="AF792" t="s">
        <v>27</v>
      </c>
      <c r="AG792" t="s">
        <v>26</v>
      </c>
      <c r="AH792" t="s">
        <v>660</v>
      </c>
      <c r="AI792" t="str">
        <f t="shared" si="60"/>
        <v>NO</v>
      </c>
      <c r="AJ792" t="str">
        <f t="shared" si="61"/>
        <v>PROCAPS</v>
      </c>
      <c r="AK792" t="str">
        <f>IF(ISNUMBER(SEARCH("FABRICANTE",AC792)),"FABRICANTE",IF(ISNUMBER(SEARCH("IMPORTADOR",AC792)),"IMPORTADOR","OTRO"))</f>
        <v>FABRICANTE</v>
      </c>
      <c r="AL792" t="str">
        <f>IF(LEFT(Y792,1)="A","Sistema digestivo",IF(LEFT(Y792,1)="B","Sangre",IF(LEFT(Y792,1)="C","Cardiovascular",IF(LEFT(Y792,1)="D","Dermatológico",IF(LEFT(Y792,1)="G","Genitourinario",IF(LEFT(Y792,1)="H","Hormonal",IF(LEFT(Y792,1)="J","Antiinfecciosos",IF(LEFT(Y792,1)="L","Oncológicos",IF(LEFT(Y792,1)="M","Musculoesquelético",IF(LEFT(Y792,1)="N","Sistema nervioso",IF(LEFT(Y792,1)="R","Respiratorio",IF(LEFT(Y792,1)="S","Oftálmico",IF(LEFT(Y792,1)="V","Varios","OTRO")))))))))))))</f>
        <v>Cardiovascular</v>
      </c>
      <c r="AM792" t="str">
        <f>IF(AG792="Vigente","ACTIVO",IF(ISNUMBER(SEARCH("Inactivo",J792)),"INACTIVO","REVISAR"))</f>
        <v>ACTIVO</v>
      </c>
      <c r="AN792" t="str">
        <f ca="1">IF(OR(AF792="",AF792="null"),"",ROUND((AF792-TODAY())/365.25,2))</f>
        <v/>
      </c>
      <c r="AO792" t="str">
        <f ca="1">IF(AND(AG792="Vigente",OR(AF792="",AF792="null",AF792&gt;TODAY())),"SI",IF(AND(NOT(OR(AF792="",AF792="null")),AF792&lt;=TODAY()),"NO",IF(AG792="Vigente","SI","DESCONOCIDO")))</f>
        <v>SI</v>
      </c>
      <c r="AP792" t="str">
        <f>IF(AND(ISNUMBER(SEARCH("IMPORTAR",AA792)),ISNUMBER(SEARCH("FABRICAR",AA792))),"MIXTO",IF(ISNUMBER(SEARCH("IMPORTAR",AA792)),"IMPORTADO",IF(ISNUMBER(SEARCH("FABRICAR",AA792)),"LOCAL","OTRO")))</f>
        <v>LOCAL</v>
      </c>
      <c r="AQ792" t="str">
        <f>IF(AD792="Si","SI",IF(AD792="No","NO",""))</f>
        <v>NO</v>
      </c>
      <c r="AR792" t="str">
        <f>IF(ISNUMBER(SEARCH("®",N792)),"MARCA/INNOVADOR","GENERICO")</f>
        <v>MARCA/INNOVADOR</v>
      </c>
      <c r="AS792">
        <f ca="1">IF(AE792&gt;100,RANDBETWEEN(500,5000),IF(AND(AE792&gt;=10,AE792&lt;=100),RANDBETWEEN(100,1000),RANDBETWEEN(10,200)))</f>
        <v>529</v>
      </c>
      <c r="AT792">
        <f t="shared" ca="1" si="62"/>
        <v>116</v>
      </c>
      <c r="AU792">
        <f ca="1">INT(AS792*RANDBETWEEN(120,200)/100)</f>
        <v>698</v>
      </c>
      <c r="AV792" s="2">
        <f ca="1">IF(LEFT(Y792,1)="L",RANDBETWEEN(500000,5000000),IF(LEFT(Y792,1)="C",RANDBETWEEN(5000,50000),IF(LEFT(Y792,1)="N",RANDBETWEEN(10000,150000),IF(LEFT(Y792,1)="J",RANDBETWEEN(8000,200000),RANDBETWEEN(5000,100000)))))</f>
        <v>44403</v>
      </c>
      <c r="AW792" s="2">
        <f ca="1">INT(AV792*RANDBETWEEN(30,60)/100)</f>
        <v>18205</v>
      </c>
      <c r="AX792">
        <f ca="1">IF(Z792="ORAL",RANDBETWEEN(1000,10000),IF(OR(Z792="INTRAVENOSA",Z792="INTRAMUSCULAR"),RANDBETWEEN(100,2000),IF(OR(Z792="OFTÁLMICA",Z792="TOPICA (EXTERNA)"),RANDBETWEEN(200,3000),RANDBETWEEN(100,1500))))</f>
        <v>9234</v>
      </c>
      <c r="AY792" s="2">
        <f ca="1">INT(AV792*RANDBETWEEN(90,130)/100)</f>
        <v>47955</v>
      </c>
      <c r="AZ792" t="str">
        <f t="shared" ca="1" si="63"/>
        <v>7.7%</v>
      </c>
      <c r="BA792" t="str">
        <f t="shared" ca="1" si="64"/>
        <v>ALTO</v>
      </c>
    </row>
    <row r="793" spans="4:53" x14ac:dyDescent="0.35">
      <c r="D793" t="s">
        <v>5061</v>
      </c>
      <c r="E793" s="1">
        <v>40973</v>
      </c>
      <c r="F793" t="s">
        <v>5062</v>
      </c>
      <c r="G793" t="s">
        <v>502</v>
      </c>
      <c r="H793" t="s">
        <v>146</v>
      </c>
      <c r="I793">
        <v>20031393</v>
      </c>
      <c r="J793" t="s">
        <v>28</v>
      </c>
      <c r="K793">
        <v>2</v>
      </c>
      <c r="L793" t="s">
        <v>27</v>
      </c>
      <c r="M793" t="s">
        <v>5063</v>
      </c>
      <c r="N793" t="s">
        <v>5064</v>
      </c>
      <c r="O793" t="s">
        <v>5065</v>
      </c>
      <c r="P793" t="s">
        <v>5066</v>
      </c>
      <c r="Q793" s="1">
        <v>40800</v>
      </c>
      <c r="R793" t="s">
        <v>151</v>
      </c>
      <c r="S793" s="1">
        <v>42822</v>
      </c>
      <c r="T793" t="s">
        <v>80</v>
      </c>
      <c r="U793" t="s">
        <v>115</v>
      </c>
      <c r="V793" t="s">
        <v>4539</v>
      </c>
      <c r="W793">
        <v>5</v>
      </c>
      <c r="X793">
        <v>20031393</v>
      </c>
      <c r="Y793" t="s">
        <v>5067</v>
      </c>
      <c r="Z793" t="s">
        <v>1762</v>
      </c>
      <c r="AA793" t="s">
        <v>24</v>
      </c>
      <c r="AB793" t="s">
        <v>133</v>
      </c>
      <c r="AC793" t="s">
        <v>25</v>
      </c>
      <c r="AD793" t="s">
        <v>155</v>
      </c>
      <c r="AE793">
        <v>5</v>
      </c>
      <c r="AF793" t="s">
        <v>27</v>
      </c>
      <c r="AG793" t="s">
        <v>26</v>
      </c>
      <c r="AH793" t="s">
        <v>6832</v>
      </c>
      <c r="AI793" t="str">
        <f t="shared" si="60"/>
        <v>NO</v>
      </c>
      <c r="AJ793" t="str">
        <f t="shared" si="61"/>
        <v>TECNOQUIMICAS</v>
      </c>
      <c r="AK793" t="str">
        <f>IF(ISNUMBER(SEARCH("FABRICANTE",AC793)),"FABRICANTE",IF(ISNUMBER(SEARCH("IMPORTADOR",AC793)),"IMPORTADOR","OTRO"))</f>
        <v>FABRICANTE</v>
      </c>
      <c r="AL793" t="str">
        <f>IF(LEFT(Y793,1)="A","Sistema digestivo",IF(LEFT(Y793,1)="B","Sangre",IF(LEFT(Y793,1)="C","Cardiovascular",IF(LEFT(Y793,1)="D","Dermatológico",IF(LEFT(Y793,1)="G","Genitourinario",IF(LEFT(Y793,1)="H","Hormonal",IF(LEFT(Y793,1)="J","Antiinfecciosos",IF(LEFT(Y793,1)="L","Oncológicos",IF(LEFT(Y793,1)="M","Musculoesquelético",IF(LEFT(Y793,1)="N","Sistema nervioso",IF(LEFT(Y793,1)="R","Respiratorio",IF(LEFT(Y793,1)="S","Oftálmico",IF(LEFT(Y793,1)="V","Varios","OTRO")))))))))))))</f>
        <v>Oftálmico</v>
      </c>
      <c r="AM793" t="str">
        <f>IF(AG793="Vigente","ACTIVO",IF(ISNUMBER(SEARCH("Inactivo",J793)),"INACTIVO","REVISAR"))</f>
        <v>ACTIVO</v>
      </c>
      <c r="AN793" t="str">
        <f ca="1">IF(OR(AF793="",AF793="null"),"",ROUND((AF793-TODAY())/365.25,2))</f>
        <v/>
      </c>
      <c r="AO793" t="str">
        <f ca="1">IF(AND(AG793="Vigente",OR(AF793="",AF793="null",AF793&gt;TODAY())),"SI",IF(AND(NOT(OR(AF793="",AF793="null")),AF793&lt;=TODAY()),"NO",IF(AG793="Vigente","SI","DESCONOCIDO")))</f>
        <v>SI</v>
      </c>
      <c r="AP793" t="str">
        <f>IF(AND(ISNUMBER(SEARCH("IMPORTAR",AA793)),ISNUMBER(SEARCH("FABRICAR",AA793))),"MIXTO",IF(ISNUMBER(SEARCH("IMPORTAR",AA793)),"IMPORTADO",IF(ISNUMBER(SEARCH("FABRICAR",AA793)),"LOCAL","OTRO")))</f>
        <v>LOCAL</v>
      </c>
      <c r="AQ793" t="str">
        <f>IF(AD793="Si","SI",IF(AD793="No","NO",""))</f>
        <v>SI</v>
      </c>
      <c r="AR793" t="str">
        <f>IF(ISNUMBER(SEARCH("®",N793)),"MARCA/INNOVADOR","GENERICO")</f>
        <v>MARCA/INNOVADOR</v>
      </c>
      <c r="AS793">
        <f ca="1">IF(AE793&gt;100,RANDBETWEEN(500,5000),IF(AND(AE793&gt;=10,AE793&lt;=100),RANDBETWEEN(100,1000),RANDBETWEEN(10,200)))</f>
        <v>200</v>
      </c>
      <c r="AT793">
        <f t="shared" ca="1" si="62"/>
        <v>28</v>
      </c>
      <c r="AU793">
        <f ca="1">INT(AS793*RANDBETWEEN(120,200)/100)</f>
        <v>256</v>
      </c>
      <c r="AV793" s="2">
        <f ca="1">IF(LEFT(Y793,1)="L",RANDBETWEEN(500000,5000000),IF(LEFT(Y793,1)="C",RANDBETWEEN(5000,50000),IF(LEFT(Y793,1)="N",RANDBETWEEN(10000,150000),IF(LEFT(Y793,1)="J",RANDBETWEEN(8000,200000),RANDBETWEEN(5000,100000)))))</f>
        <v>71616</v>
      </c>
      <c r="AW793" s="2">
        <f ca="1">INT(AV793*RANDBETWEEN(30,60)/100)</f>
        <v>21484</v>
      </c>
      <c r="AX793">
        <f ca="1">IF(Z793="ORAL",RANDBETWEEN(1000,10000),IF(OR(Z793="INTRAVENOSA",Z793="INTRAMUSCULAR"),RANDBETWEEN(100,2000),IF(OR(Z793="OFTÁLMICA",Z793="TOPICA (EXTERNA)"),RANDBETWEEN(200,3000),RANDBETWEEN(100,1500))))</f>
        <v>887</v>
      </c>
      <c r="AY793" s="2">
        <f ca="1">INT(AV793*RANDBETWEEN(90,130)/100)</f>
        <v>78061</v>
      </c>
      <c r="AZ793" t="str">
        <f t="shared" ca="1" si="63"/>
        <v>7%</v>
      </c>
      <c r="BA793" t="str">
        <f t="shared" ca="1" si="64"/>
        <v>BAJO</v>
      </c>
    </row>
    <row r="794" spans="4:53" x14ac:dyDescent="0.35">
      <c r="D794" t="s">
        <v>5068</v>
      </c>
      <c r="E794" s="1">
        <v>39430</v>
      </c>
      <c r="F794" t="s">
        <v>3885</v>
      </c>
      <c r="G794" t="s">
        <v>108</v>
      </c>
      <c r="H794" t="s">
        <v>1490</v>
      </c>
      <c r="I794">
        <v>19980628</v>
      </c>
      <c r="J794" t="s">
        <v>110</v>
      </c>
      <c r="K794">
        <v>6</v>
      </c>
      <c r="L794" t="s">
        <v>27</v>
      </c>
      <c r="M794" t="s">
        <v>5069</v>
      </c>
      <c r="N794" t="s">
        <v>5070</v>
      </c>
      <c r="O794" t="s">
        <v>5071</v>
      </c>
      <c r="P794" t="s">
        <v>266</v>
      </c>
      <c r="Q794" s="1">
        <v>43399</v>
      </c>
      <c r="R794" t="s">
        <v>33</v>
      </c>
      <c r="S794" s="1">
        <v>44749</v>
      </c>
      <c r="T794" t="s">
        <v>1490</v>
      </c>
      <c r="U794" t="s">
        <v>115</v>
      </c>
      <c r="V794" t="s">
        <v>640</v>
      </c>
      <c r="W794">
        <v>3</v>
      </c>
      <c r="X794">
        <v>19980628</v>
      </c>
      <c r="Y794" t="s">
        <v>642</v>
      </c>
      <c r="Z794" t="s">
        <v>119</v>
      </c>
      <c r="AA794" t="s">
        <v>24</v>
      </c>
      <c r="AB794" t="s">
        <v>120</v>
      </c>
      <c r="AC794" t="s">
        <v>25</v>
      </c>
      <c r="AD794" t="s">
        <v>155</v>
      </c>
      <c r="AE794">
        <v>84</v>
      </c>
      <c r="AF794" t="s">
        <v>27</v>
      </c>
      <c r="AG794" t="s">
        <v>26</v>
      </c>
      <c r="AH794" t="s">
        <v>3885</v>
      </c>
      <c r="AI794" t="str">
        <f t="shared" si="60"/>
        <v>NO</v>
      </c>
      <c r="AJ794" t="str">
        <f t="shared" si="61"/>
        <v>LABORATORIO FRANCO COLOMBIANO - LAFRANCOL</v>
      </c>
      <c r="AK794" t="str">
        <f>IF(ISNUMBER(SEARCH("FABRICANTE",AC794)),"FABRICANTE",IF(ISNUMBER(SEARCH("IMPORTADOR",AC794)),"IMPORTADOR","OTRO"))</f>
        <v>FABRICANTE</v>
      </c>
      <c r="AL794" t="str">
        <f>IF(LEFT(Y794,1)="A","Sistema digestivo",IF(LEFT(Y794,1)="B","Sangre",IF(LEFT(Y794,1)="C","Cardiovascular",IF(LEFT(Y794,1)="D","Dermatológico",IF(LEFT(Y794,1)="G","Genitourinario",IF(LEFT(Y794,1)="H","Hormonal",IF(LEFT(Y794,1)="J","Antiinfecciosos",IF(LEFT(Y794,1)="L","Oncológicos",IF(LEFT(Y794,1)="M","Musculoesquelético",IF(LEFT(Y794,1)="N","Sistema nervioso",IF(LEFT(Y794,1)="R","Respiratorio",IF(LEFT(Y794,1)="S","Oftálmico",IF(LEFT(Y794,1)="V","Varios","OTRO")))))))))))))</f>
        <v>Genitourinario</v>
      </c>
      <c r="AM794" t="str">
        <f>IF(AG794="Vigente","ACTIVO",IF(ISNUMBER(SEARCH("Inactivo",J794)),"INACTIVO","REVISAR"))</f>
        <v>ACTIVO</v>
      </c>
      <c r="AN794" t="str">
        <f ca="1">IF(OR(AF794="",AF794="null"),"",ROUND((AF794-TODAY())/365.25,2))</f>
        <v/>
      </c>
      <c r="AO794" t="str">
        <f ca="1">IF(AND(AG794="Vigente",OR(AF794="",AF794="null",AF794&gt;TODAY())),"SI",IF(AND(NOT(OR(AF794="",AF794="null")),AF794&lt;=TODAY()),"NO",IF(AG794="Vigente","SI","DESCONOCIDO")))</f>
        <v>SI</v>
      </c>
      <c r="AP794" t="str">
        <f>IF(AND(ISNUMBER(SEARCH("IMPORTAR",AA794)),ISNUMBER(SEARCH("FABRICAR",AA794))),"MIXTO",IF(ISNUMBER(SEARCH("IMPORTAR",AA794)),"IMPORTADO",IF(ISNUMBER(SEARCH("FABRICAR",AA794)),"LOCAL","OTRO")))</f>
        <v>LOCAL</v>
      </c>
      <c r="AQ794" t="str">
        <f>IF(AD794="Si","SI",IF(AD794="No","NO",""))</f>
        <v>SI</v>
      </c>
      <c r="AR794" t="str">
        <f>IF(ISNUMBER(SEARCH("®",N794)),"MARCA/INNOVADOR","GENERICO")</f>
        <v>MARCA/INNOVADOR</v>
      </c>
      <c r="AS794">
        <f ca="1">IF(AE794&gt;100,RANDBETWEEN(500,5000),IF(AND(AE794&gt;=10,AE794&lt;=100),RANDBETWEEN(100,1000),RANDBETWEEN(10,200)))</f>
        <v>732</v>
      </c>
      <c r="AT794">
        <f t="shared" ca="1" si="62"/>
        <v>204</v>
      </c>
      <c r="AU794">
        <f ca="1">INT(AS794*RANDBETWEEN(120,200)/100)</f>
        <v>1427</v>
      </c>
      <c r="AV794" s="2">
        <f ca="1">IF(LEFT(Y794,1)="L",RANDBETWEEN(500000,5000000),IF(LEFT(Y794,1)="C",RANDBETWEEN(5000,50000),IF(LEFT(Y794,1)="N",RANDBETWEEN(10000,150000),IF(LEFT(Y794,1)="J",RANDBETWEEN(8000,200000),RANDBETWEEN(5000,100000)))))</f>
        <v>36216</v>
      </c>
      <c r="AW794" s="2">
        <f ca="1">INT(AV794*RANDBETWEEN(30,60)/100)</f>
        <v>11226</v>
      </c>
      <c r="AX794">
        <f ca="1">IF(Z794="ORAL",RANDBETWEEN(1000,10000),IF(OR(Z794="INTRAVENOSA",Z794="INTRAMUSCULAR"),RANDBETWEEN(100,2000),IF(OR(Z794="OFTÁLMICA",Z794="TOPICA (EXTERNA)"),RANDBETWEEN(200,3000),RANDBETWEEN(100,1500))))</f>
        <v>4814</v>
      </c>
      <c r="AY794" s="2">
        <f ca="1">INT(AV794*RANDBETWEEN(90,130)/100)</f>
        <v>34043</v>
      </c>
      <c r="AZ794" t="str">
        <f t="shared" ca="1" si="63"/>
        <v>11.4%</v>
      </c>
      <c r="BA794" t="str">
        <f t="shared" ca="1" si="64"/>
        <v>ALTO</v>
      </c>
    </row>
    <row r="795" spans="4:53" x14ac:dyDescent="0.35">
      <c r="D795" t="s">
        <v>5072</v>
      </c>
      <c r="E795" s="1">
        <v>41310</v>
      </c>
      <c r="F795" t="s">
        <v>5073</v>
      </c>
      <c r="G795" t="s">
        <v>108</v>
      </c>
      <c r="H795" t="s">
        <v>2584</v>
      </c>
      <c r="I795">
        <v>20047307</v>
      </c>
      <c r="J795" t="s">
        <v>28</v>
      </c>
      <c r="K795">
        <v>3</v>
      </c>
      <c r="L795" t="s">
        <v>27</v>
      </c>
      <c r="M795" t="s">
        <v>5074</v>
      </c>
      <c r="N795" t="s">
        <v>5075</v>
      </c>
      <c r="O795" t="s">
        <v>5076</v>
      </c>
      <c r="P795" t="s">
        <v>5077</v>
      </c>
      <c r="Q795" s="1">
        <v>41072</v>
      </c>
      <c r="R795" t="s">
        <v>5078</v>
      </c>
      <c r="S795" t="s">
        <v>27</v>
      </c>
      <c r="T795" t="s">
        <v>5079</v>
      </c>
      <c r="U795" t="s">
        <v>247</v>
      </c>
      <c r="V795" t="s">
        <v>4149</v>
      </c>
      <c r="W795">
        <v>1</v>
      </c>
      <c r="X795">
        <v>20047307</v>
      </c>
      <c r="Y795" t="s">
        <v>4150</v>
      </c>
      <c r="Z795" t="s">
        <v>119</v>
      </c>
      <c r="AA795" t="s">
        <v>32</v>
      </c>
      <c r="AB795" t="s">
        <v>120</v>
      </c>
      <c r="AC795" t="s">
        <v>38</v>
      </c>
      <c r="AD795" t="s">
        <v>121</v>
      </c>
      <c r="AE795">
        <v>60</v>
      </c>
      <c r="AF795" t="s">
        <v>27</v>
      </c>
      <c r="AG795" t="s">
        <v>26</v>
      </c>
      <c r="AH795" t="s">
        <v>5073</v>
      </c>
      <c r="AI795" t="str">
        <f t="shared" si="60"/>
        <v>NO</v>
      </c>
      <c r="AJ795" t="str">
        <f t="shared" si="61"/>
        <v>BAYER HEALTHCARE</v>
      </c>
      <c r="AK795" t="str">
        <f>IF(ISNUMBER(SEARCH("FABRICANTE",AC795)),"FABRICANTE",IF(ISNUMBER(SEARCH("IMPORTADOR",AC795)),"IMPORTADOR","OTRO"))</f>
        <v>IMPORTADOR</v>
      </c>
      <c r="AL795" t="str">
        <f>IF(LEFT(Y795,1)="A","Sistema digestivo",IF(LEFT(Y795,1)="B","Sangre",IF(LEFT(Y795,1)="C","Cardiovascular",IF(LEFT(Y795,1)="D","Dermatológico",IF(LEFT(Y795,1)="G","Genitourinario",IF(LEFT(Y795,1)="H","Hormonal",IF(LEFT(Y795,1)="J","Antiinfecciosos",IF(LEFT(Y795,1)="L","Oncológicos",IF(LEFT(Y795,1)="M","Musculoesquelético",IF(LEFT(Y795,1)="N","Sistema nervioso",IF(LEFT(Y795,1)="R","Respiratorio",IF(LEFT(Y795,1)="S","Oftálmico",IF(LEFT(Y795,1)="V","Varios","OTRO")))))))))))))</f>
        <v>Sistema digestivo</v>
      </c>
      <c r="AM795" t="str">
        <f>IF(AG795="Vigente","ACTIVO",IF(ISNUMBER(SEARCH("Inactivo",J795)),"INACTIVO","REVISAR"))</f>
        <v>ACTIVO</v>
      </c>
      <c r="AN795" t="str">
        <f ca="1">IF(OR(AF795="",AF795="null"),"",ROUND((AF795-TODAY())/365.25,2))</f>
        <v/>
      </c>
      <c r="AO795" t="str">
        <f ca="1">IF(AND(AG795="Vigente",OR(AF795="",AF795="null",AF795&gt;TODAY())),"SI",IF(AND(NOT(OR(AF795="",AF795="null")),AF795&lt;=TODAY()),"NO",IF(AG795="Vigente","SI","DESCONOCIDO")))</f>
        <v>SI</v>
      </c>
      <c r="AP795" t="str">
        <f>IF(AND(ISNUMBER(SEARCH("IMPORTAR",AA795)),ISNUMBER(SEARCH("FABRICAR",AA795))),"MIXTO",IF(ISNUMBER(SEARCH("IMPORTAR",AA795)),"IMPORTADO",IF(ISNUMBER(SEARCH("FABRICAR",AA795)),"LOCAL","OTRO")))</f>
        <v>IMPORTADO</v>
      </c>
      <c r="AQ795" t="str">
        <f>IF(AD795="Si","SI",IF(AD795="No","NO",""))</f>
        <v>NO</v>
      </c>
      <c r="AR795" t="str">
        <f>IF(ISNUMBER(SEARCH("®",N795)),"MARCA/INNOVADOR","GENERICO")</f>
        <v>MARCA/INNOVADOR</v>
      </c>
      <c r="AS795">
        <f ca="1">IF(AE795&gt;100,RANDBETWEEN(500,5000),IF(AND(AE795&gt;=10,AE795&lt;=100),RANDBETWEEN(100,1000),RANDBETWEEN(10,200)))</f>
        <v>466</v>
      </c>
      <c r="AT795">
        <f t="shared" ca="1" si="62"/>
        <v>88</v>
      </c>
      <c r="AU795">
        <f ca="1">INT(AS795*RANDBETWEEN(120,200)/100)</f>
        <v>712</v>
      </c>
      <c r="AV795" s="2">
        <f ca="1">IF(LEFT(Y795,1)="L",RANDBETWEEN(500000,5000000),IF(LEFT(Y795,1)="C",RANDBETWEEN(5000,50000),IF(LEFT(Y795,1)="N",RANDBETWEEN(10000,150000),IF(LEFT(Y795,1)="J",RANDBETWEEN(8000,200000),RANDBETWEEN(5000,100000)))))</f>
        <v>41051</v>
      </c>
      <c r="AW795" s="2">
        <f ca="1">INT(AV795*RANDBETWEEN(30,60)/100)</f>
        <v>16420</v>
      </c>
      <c r="AX795">
        <f ca="1">IF(Z795="ORAL",RANDBETWEEN(1000,10000),IF(OR(Z795="INTRAVENOSA",Z795="INTRAMUSCULAR"),RANDBETWEEN(100,2000),IF(OR(Z795="OFTÁLMICA",Z795="TOPICA (EXTERNA)"),RANDBETWEEN(200,3000),RANDBETWEEN(100,1500))))</f>
        <v>7902</v>
      </c>
      <c r="AY795" s="2">
        <f ca="1">INT(AV795*RANDBETWEEN(90,130)/100)</f>
        <v>52955</v>
      </c>
      <c r="AZ795" t="str">
        <f t="shared" ca="1" si="63"/>
        <v>12.9%</v>
      </c>
      <c r="BA795" t="str">
        <f t="shared" ca="1" si="64"/>
        <v>BAJO</v>
      </c>
    </row>
    <row r="796" spans="4:53" x14ac:dyDescent="0.35">
      <c r="D796" t="s">
        <v>5080</v>
      </c>
      <c r="E796" s="1">
        <v>40442</v>
      </c>
      <c r="F796" t="s">
        <v>1286</v>
      </c>
      <c r="G796" t="s">
        <v>108</v>
      </c>
      <c r="H796" t="s">
        <v>1287</v>
      </c>
      <c r="I796">
        <v>20020607</v>
      </c>
      <c r="J796" t="s">
        <v>28</v>
      </c>
      <c r="K796">
        <v>3</v>
      </c>
      <c r="L796" t="s">
        <v>27</v>
      </c>
      <c r="M796" t="s">
        <v>1288</v>
      </c>
      <c r="N796" t="s">
        <v>1289</v>
      </c>
      <c r="O796" t="s">
        <v>5081</v>
      </c>
      <c r="P796" t="s">
        <v>553</v>
      </c>
      <c r="Q796" s="1">
        <v>42535</v>
      </c>
      <c r="R796" t="s">
        <v>67</v>
      </c>
      <c r="S796" t="s">
        <v>27</v>
      </c>
      <c r="T796" t="s">
        <v>136</v>
      </c>
      <c r="U796" t="s">
        <v>115</v>
      </c>
      <c r="V796" t="s">
        <v>248</v>
      </c>
      <c r="W796">
        <v>216</v>
      </c>
      <c r="X796">
        <v>20020607</v>
      </c>
      <c r="Y796" t="s">
        <v>249</v>
      </c>
      <c r="Z796" t="s">
        <v>119</v>
      </c>
      <c r="AA796" t="s">
        <v>32</v>
      </c>
      <c r="AB796" t="s">
        <v>250</v>
      </c>
      <c r="AC796" t="s">
        <v>25</v>
      </c>
      <c r="AD796" t="s">
        <v>121</v>
      </c>
      <c r="AE796">
        <v>1</v>
      </c>
      <c r="AF796" t="s">
        <v>27</v>
      </c>
      <c r="AG796" t="s">
        <v>26</v>
      </c>
      <c r="AH796" t="s">
        <v>6750</v>
      </c>
      <c r="AI796" t="str">
        <f t="shared" si="60"/>
        <v>NO</v>
      </c>
      <c r="AJ796" t="str">
        <f t="shared" si="61"/>
        <v>ABBOTT LABORATORIES DE COLOMBIA</v>
      </c>
      <c r="AK796" t="str">
        <f>IF(ISNUMBER(SEARCH("FABRICANTE",AC796)),"FABRICANTE",IF(ISNUMBER(SEARCH("IMPORTADOR",AC796)),"IMPORTADOR","OTRO"))</f>
        <v>FABRICANTE</v>
      </c>
      <c r="AL796" t="str">
        <f>IF(LEFT(Y796,1)="A","Sistema digestivo",IF(LEFT(Y796,1)="B","Sangre",IF(LEFT(Y796,1)="C","Cardiovascular",IF(LEFT(Y796,1)="D","Dermatológico",IF(LEFT(Y796,1)="G","Genitourinario",IF(LEFT(Y796,1)="H","Hormonal",IF(LEFT(Y796,1)="J","Antiinfecciosos",IF(LEFT(Y796,1)="L","Oncológicos",IF(LEFT(Y796,1)="M","Musculoesquelético",IF(LEFT(Y796,1)="N","Sistema nervioso",IF(LEFT(Y796,1)="R","Respiratorio",IF(LEFT(Y796,1)="S","Oftálmico",IF(LEFT(Y796,1)="V","Varios","OTRO")))))))))))))</f>
        <v>Sistema digestivo</v>
      </c>
      <c r="AM796" t="str">
        <f>IF(AG796="Vigente","ACTIVO",IF(ISNUMBER(SEARCH("Inactivo",J796)),"INACTIVO","REVISAR"))</f>
        <v>ACTIVO</v>
      </c>
      <c r="AN796" t="str">
        <f ca="1">IF(OR(AF796="",AF796="null"),"",ROUND((AF796-TODAY())/365.25,2))</f>
        <v/>
      </c>
      <c r="AO796" t="str">
        <f ca="1">IF(AND(AG796="Vigente",OR(AF796="",AF796="null",AF796&gt;TODAY())),"SI",IF(AND(NOT(OR(AF796="",AF796="null")),AF796&lt;=TODAY()),"NO",IF(AG796="Vigente","SI","DESCONOCIDO")))</f>
        <v>SI</v>
      </c>
      <c r="AP796" t="str">
        <f>IF(AND(ISNUMBER(SEARCH("IMPORTAR",AA796)),ISNUMBER(SEARCH("FABRICAR",AA796))),"MIXTO",IF(ISNUMBER(SEARCH("IMPORTAR",AA796)),"IMPORTADO",IF(ISNUMBER(SEARCH("FABRICAR",AA796)),"LOCAL","OTRO")))</f>
        <v>IMPORTADO</v>
      </c>
      <c r="AQ796" t="str">
        <f>IF(AD796="Si","SI",IF(AD796="No","NO",""))</f>
        <v>NO</v>
      </c>
      <c r="AR796" t="str">
        <f>IF(ISNUMBER(SEARCH("®",N796)),"MARCA/INNOVADOR","GENERICO")</f>
        <v>MARCA/INNOVADOR</v>
      </c>
      <c r="AS796">
        <f ca="1">IF(AE796&gt;100,RANDBETWEEN(500,5000),IF(AND(AE796&gt;=10,AE796&lt;=100),RANDBETWEEN(100,1000),RANDBETWEEN(10,200)))</f>
        <v>158</v>
      </c>
      <c r="AT796">
        <f t="shared" ca="1" si="62"/>
        <v>44</v>
      </c>
      <c r="AU796">
        <f ca="1">INT(AS796*RANDBETWEEN(120,200)/100)</f>
        <v>199</v>
      </c>
      <c r="AV796" s="2">
        <f ca="1">IF(LEFT(Y796,1)="L",RANDBETWEEN(500000,5000000),IF(LEFT(Y796,1)="C",RANDBETWEEN(5000,50000),IF(LEFT(Y796,1)="N",RANDBETWEEN(10000,150000),IF(LEFT(Y796,1)="J",RANDBETWEEN(8000,200000),RANDBETWEEN(5000,100000)))))</f>
        <v>47793</v>
      </c>
      <c r="AW796" s="2">
        <f ca="1">INT(AV796*RANDBETWEEN(30,60)/100)</f>
        <v>17205</v>
      </c>
      <c r="AX796">
        <f ca="1">IF(Z796="ORAL",RANDBETWEEN(1000,10000),IF(OR(Z796="INTRAVENOSA",Z796="INTRAMUSCULAR"),RANDBETWEEN(100,2000),IF(OR(Z796="OFTÁLMICA",Z796="TOPICA (EXTERNA)"),RANDBETWEEN(200,3000),RANDBETWEEN(100,1500))))</f>
        <v>6720</v>
      </c>
      <c r="AY796" s="2">
        <f ca="1">INT(AV796*RANDBETWEEN(90,130)/100)</f>
        <v>43491</v>
      </c>
      <c r="AZ796" t="str">
        <f t="shared" ca="1" si="63"/>
        <v>16.4%</v>
      </c>
      <c r="BA796" t="str">
        <f t="shared" ca="1" si="64"/>
        <v>BAJO</v>
      </c>
    </row>
    <row r="797" spans="4:53" x14ac:dyDescent="0.35">
      <c r="D797" t="s">
        <v>5082</v>
      </c>
      <c r="E797" s="1">
        <v>37146</v>
      </c>
      <c r="F797" t="s">
        <v>5083</v>
      </c>
      <c r="G797" t="s">
        <v>108</v>
      </c>
      <c r="H797" t="s">
        <v>114</v>
      </c>
      <c r="I797">
        <v>19915484</v>
      </c>
      <c r="J797" t="s">
        <v>28</v>
      </c>
      <c r="K797">
        <v>3</v>
      </c>
      <c r="L797" t="s">
        <v>27</v>
      </c>
      <c r="M797" t="s">
        <v>5084</v>
      </c>
      <c r="N797" t="s">
        <v>5085</v>
      </c>
      <c r="O797" t="s">
        <v>5086</v>
      </c>
      <c r="P797" t="s">
        <v>37</v>
      </c>
      <c r="Q797" s="1">
        <v>40772</v>
      </c>
      <c r="R797" t="s">
        <v>37</v>
      </c>
      <c r="S797" t="s">
        <v>27</v>
      </c>
      <c r="T797" t="s">
        <v>114</v>
      </c>
      <c r="U797" t="s">
        <v>115</v>
      </c>
      <c r="V797" t="s">
        <v>3066</v>
      </c>
      <c r="W797">
        <v>300</v>
      </c>
      <c r="X797">
        <v>19915484</v>
      </c>
      <c r="Y797" t="s">
        <v>3071</v>
      </c>
      <c r="Z797" t="s">
        <v>119</v>
      </c>
      <c r="AA797" t="s">
        <v>24</v>
      </c>
      <c r="AB797" t="s">
        <v>120</v>
      </c>
      <c r="AC797" t="s">
        <v>25</v>
      </c>
      <c r="AD797" t="s">
        <v>121</v>
      </c>
      <c r="AE797">
        <v>4</v>
      </c>
      <c r="AF797" t="s">
        <v>27</v>
      </c>
      <c r="AG797" t="s">
        <v>26</v>
      </c>
      <c r="AH797" t="s">
        <v>5083</v>
      </c>
      <c r="AI797" t="str">
        <f t="shared" si="60"/>
        <v>NO</v>
      </c>
      <c r="AJ797" t="str">
        <f t="shared" si="61"/>
        <v>LABORATORIOS LEGRAND</v>
      </c>
      <c r="AK797" t="str">
        <f>IF(ISNUMBER(SEARCH("FABRICANTE",AC797)),"FABRICANTE",IF(ISNUMBER(SEARCH("IMPORTADOR",AC797)),"IMPORTADOR","OTRO"))</f>
        <v>FABRICANTE</v>
      </c>
      <c r="AL797" t="str">
        <f>IF(LEFT(Y797,1)="A","Sistema digestivo",IF(LEFT(Y797,1)="B","Sangre",IF(LEFT(Y797,1)="C","Cardiovascular",IF(LEFT(Y797,1)="D","Dermatológico",IF(LEFT(Y797,1)="G","Genitourinario",IF(LEFT(Y797,1)="H","Hormonal",IF(LEFT(Y797,1)="J","Antiinfecciosos",IF(LEFT(Y797,1)="L","Oncológicos",IF(LEFT(Y797,1)="M","Musculoesquelético",IF(LEFT(Y797,1)="N","Sistema nervioso",IF(LEFT(Y797,1)="R","Respiratorio",IF(LEFT(Y797,1)="S","Oftálmico",IF(LEFT(Y797,1)="V","Varios","OTRO")))))))))))))</f>
        <v>Sistema nervioso</v>
      </c>
      <c r="AM797" t="str">
        <f>IF(AG797="Vigente","ACTIVO",IF(ISNUMBER(SEARCH("Inactivo",J797)),"INACTIVO","REVISAR"))</f>
        <v>ACTIVO</v>
      </c>
      <c r="AN797" t="str">
        <f ca="1">IF(OR(AF797="",AF797="null"),"",ROUND((AF797-TODAY())/365.25,2))</f>
        <v/>
      </c>
      <c r="AO797" t="str">
        <f ca="1">IF(AND(AG797="Vigente",OR(AF797="",AF797="null",AF797&gt;TODAY())),"SI",IF(AND(NOT(OR(AF797="",AF797="null")),AF797&lt;=TODAY()),"NO",IF(AG797="Vigente","SI","DESCONOCIDO")))</f>
        <v>SI</v>
      </c>
      <c r="AP797" t="str">
        <f>IF(AND(ISNUMBER(SEARCH("IMPORTAR",AA797)),ISNUMBER(SEARCH("FABRICAR",AA797))),"MIXTO",IF(ISNUMBER(SEARCH("IMPORTAR",AA797)),"IMPORTADO",IF(ISNUMBER(SEARCH("FABRICAR",AA797)),"LOCAL","OTRO")))</f>
        <v>LOCAL</v>
      </c>
      <c r="AQ797" t="str">
        <f>IF(AD797="Si","SI",IF(AD797="No","NO",""))</f>
        <v>NO</v>
      </c>
      <c r="AR797" t="str">
        <f>IF(ISNUMBER(SEARCH("®",N797)),"MARCA/INNOVADOR","GENERICO")</f>
        <v>MARCA/INNOVADOR</v>
      </c>
      <c r="AS797">
        <f ca="1">IF(AE797&gt;100,RANDBETWEEN(500,5000),IF(AND(AE797&gt;=10,AE797&lt;=100),RANDBETWEEN(100,1000),RANDBETWEEN(10,200)))</f>
        <v>32</v>
      </c>
      <c r="AT797">
        <f t="shared" ca="1" si="62"/>
        <v>3</v>
      </c>
      <c r="AU797">
        <f ca="1">INT(AS797*RANDBETWEEN(120,200)/100)</f>
        <v>56</v>
      </c>
      <c r="AV797" s="2">
        <f ca="1">IF(LEFT(Y797,1)="L",RANDBETWEEN(500000,5000000),IF(LEFT(Y797,1)="C",RANDBETWEEN(5000,50000),IF(LEFT(Y797,1)="N",RANDBETWEEN(10000,150000),IF(LEFT(Y797,1)="J",RANDBETWEEN(8000,200000),RANDBETWEEN(5000,100000)))))</f>
        <v>109357</v>
      </c>
      <c r="AW797" s="2">
        <f ca="1">INT(AV797*RANDBETWEEN(30,60)/100)</f>
        <v>45929</v>
      </c>
      <c r="AX797">
        <f ca="1">IF(Z797="ORAL",RANDBETWEEN(1000,10000),IF(OR(Z797="INTRAVENOSA",Z797="INTRAMUSCULAR"),RANDBETWEEN(100,2000),IF(OR(Z797="OFTÁLMICA",Z797="TOPICA (EXTERNA)"),RANDBETWEEN(200,3000),RANDBETWEEN(100,1500))))</f>
        <v>7764</v>
      </c>
      <c r="AY797" s="2">
        <f ca="1">INT(AV797*RANDBETWEEN(90,130)/100)</f>
        <v>103889</v>
      </c>
      <c r="AZ797" t="str">
        <f t="shared" ca="1" si="63"/>
        <v>8.3%</v>
      </c>
      <c r="BA797" t="str">
        <f t="shared" ca="1" si="64"/>
        <v>BAJO</v>
      </c>
    </row>
    <row r="798" spans="4:53" x14ac:dyDescent="0.35">
      <c r="D798" t="s">
        <v>5087</v>
      </c>
      <c r="E798" s="1">
        <v>45779</v>
      </c>
      <c r="F798" t="s">
        <v>735</v>
      </c>
      <c r="G798" t="s">
        <v>108</v>
      </c>
      <c r="H798" t="s">
        <v>5088</v>
      </c>
      <c r="I798">
        <v>20217755</v>
      </c>
      <c r="J798" t="s">
        <v>28</v>
      </c>
      <c r="K798">
        <v>12</v>
      </c>
      <c r="L798" t="s">
        <v>27</v>
      </c>
      <c r="M798" t="s">
        <v>5089</v>
      </c>
      <c r="N798" t="s">
        <v>5090</v>
      </c>
      <c r="O798" t="s">
        <v>5091</v>
      </c>
      <c r="P798" t="s">
        <v>3813</v>
      </c>
      <c r="Q798" s="1">
        <v>45059</v>
      </c>
      <c r="R798" t="s">
        <v>3813</v>
      </c>
      <c r="S798" t="s">
        <v>27</v>
      </c>
      <c r="T798" t="s">
        <v>2584</v>
      </c>
      <c r="U798" t="s">
        <v>115</v>
      </c>
      <c r="V798" t="s">
        <v>1073</v>
      </c>
      <c r="W798">
        <v>660</v>
      </c>
      <c r="X798">
        <v>20217755</v>
      </c>
      <c r="Y798" t="s">
        <v>1077</v>
      </c>
      <c r="Z798" t="s">
        <v>119</v>
      </c>
      <c r="AA798" t="s">
        <v>32</v>
      </c>
      <c r="AB798" t="s">
        <v>120</v>
      </c>
      <c r="AC798" t="s">
        <v>25</v>
      </c>
      <c r="AD798" t="s">
        <v>155</v>
      </c>
      <c r="AE798">
        <v>4</v>
      </c>
      <c r="AF798" s="1">
        <v>47619</v>
      </c>
      <c r="AG798" t="s">
        <v>26</v>
      </c>
      <c r="AH798" t="s">
        <v>302</v>
      </c>
      <c r="AI798" t="str">
        <f t="shared" si="60"/>
        <v>NO</v>
      </c>
      <c r="AJ798" t="str">
        <f t="shared" si="61"/>
        <v>BAYER</v>
      </c>
      <c r="AK798" t="str">
        <f>IF(ISNUMBER(SEARCH("FABRICANTE",AC798)),"FABRICANTE",IF(ISNUMBER(SEARCH("IMPORTADOR",AC798)),"IMPORTADOR","OTRO"))</f>
        <v>FABRICANTE</v>
      </c>
      <c r="AL798" t="str">
        <f>IF(LEFT(Y798,1)="A","Sistema digestivo",IF(LEFT(Y798,1)="B","Sangre",IF(LEFT(Y798,1)="C","Cardiovascular",IF(LEFT(Y798,1)="D","Dermatológico",IF(LEFT(Y798,1)="G","Genitourinario",IF(LEFT(Y798,1)="H","Hormonal",IF(LEFT(Y798,1)="J","Antiinfecciosos",IF(LEFT(Y798,1)="L","Oncológicos",IF(LEFT(Y798,1)="M","Musculoesquelético",IF(LEFT(Y798,1)="N","Sistema nervioso",IF(LEFT(Y798,1)="R","Respiratorio",IF(LEFT(Y798,1)="S","Oftálmico",IF(LEFT(Y798,1)="V","Varios","OTRO")))))))))))))</f>
        <v>Musculoesquelético</v>
      </c>
      <c r="AM798" t="str">
        <f>IF(AG798="Vigente","ACTIVO",IF(ISNUMBER(SEARCH("Inactivo",J798)),"INACTIVO","REVISAR"))</f>
        <v>ACTIVO</v>
      </c>
      <c r="AN798">
        <f ca="1">IF(OR(AF798="",AF798="null"),"",ROUND((AF798-TODAY())/365.25,2))</f>
        <v>3.97</v>
      </c>
      <c r="AO798" t="str">
        <f ca="1">IF(AND(AG798="Vigente",OR(AF798="",AF798="null",AF798&gt;TODAY())),"SI",IF(AND(NOT(OR(AF798="",AF798="null")),AF798&lt;=TODAY()),"NO",IF(AG798="Vigente","SI","DESCONOCIDO")))</f>
        <v>SI</v>
      </c>
      <c r="AP798" t="str">
        <f>IF(AND(ISNUMBER(SEARCH("IMPORTAR",AA798)),ISNUMBER(SEARCH("FABRICAR",AA798))),"MIXTO",IF(ISNUMBER(SEARCH("IMPORTAR",AA798)),"IMPORTADO",IF(ISNUMBER(SEARCH("FABRICAR",AA798)),"LOCAL","OTRO")))</f>
        <v>IMPORTADO</v>
      </c>
      <c r="AQ798" t="str">
        <f>IF(AD798="Si","SI",IF(AD798="No","NO",""))</f>
        <v>SI</v>
      </c>
      <c r="AR798" t="str">
        <f>IF(ISNUMBER(SEARCH("®",N798)),"MARCA/INNOVADOR","GENERICO")</f>
        <v>MARCA/INNOVADOR</v>
      </c>
      <c r="AS798">
        <f ca="1">IF(AE798&gt;100,RANDBETWEEN(500,5000),IF(AND(AE798&gt;=10,AE798&lt;=100),RANDBETWEEN(100,1000),RANDBETWEEN(10,200)))</f>
        <v>145</v>
      </c>
      <c r="AT798">
        <f t="shared" ca="1" si="62"/>
        <v>27</v>
      </c>
      <c r="AU798">
        <f ca="1">INT(AS798*RANDBETWEEN(120,200)/100)</f>
        <v>220</v>
      </c>
      <c r="AV798" s="2">
        <f ca="1">IF(LEFT(Y798,1)="L",RANDBETWEEN(500000,5000000),IF(LEFT(Y798,1)="C",RANDBETWEEN(5000,50000),IF(LEFT(Y798,1)="N",RANDBETWEEN(10000,150000),IF(LEFT(Y798,1)="J",RANDBETWEEN(8000,200000),RANDBETWEEN(5000,100000)))))</f>
        <v>92525</v>
      </c>
      <c r="AW798" s="2">
        <f ca="1">INT(AV798*RANDBETWEEN(30,60)/100)</f>
        <v>27757</v>
      </c>
      <c r="AX798">
        <f ca="1">IF(Z798="ORAL",RANDBETWEEN(1000,10000),IF(OR(Z798="INTRAVENOSA",Z798="INTRAMUSCULAR"),RANDBETWEEN(100,2000),IF(OR(Z798="OFTÁLMICA",Z798="TOPICA (EXTERNA)"),RANDBETWEEN(200,3000),RANDBETWEEN(100,1500))))</f>
        <v>3935</v>
      </c>
      <c r="AY798" s="2">
        <f ca="1">INT(AV798*RANDBETWEEN(90,130)/100)</f>
        <v>104553</v>
      </c>
      <c r="AZ798" t="str">
        <f t="shared" ca="1" si="63"/>
        <v>24.8%</v>
      </c>
      <c r="BA798" t="str">
        <f t="shared" ca="1" si="64"/>
        <v>MEDIO</v>
      </c>
    </row>
    <row r="799" spans="4:53" x14ac:dyDescent="0.35">
      <c r="D799" t="s">
        <v>5092</v>
      </c>
      <c r="E799" s="1">
        <v>37784</v>
      </c>
      <c r="F799" t="s">
        <v>4377</v>
      </c>
      <c r="G799" t="s">
        <v>108</v>
      </c>
      <c r="H799" t="s">
        <v>5093</v>
      </c>
      <c r="I799">
        <v>19936459</v>
      </c>
      <c r="J799" t="s">
        <v>110</v>
      </c>
      <c r="K799">
        <v>3</v>
      </c>
      <c r="L799" t="s">
        <v>27</v>
      </c>
      <c r="M799" t="s">
        <v>4379</v>
      </c>
      <c r="N799" t="s">
        <v>4380</v>
      </c>
      <c r="O799" t="s">
        <v>5094</v>
      </c>
      <c r="P799" t="s">
        <v>29</v>
      </c>
      <c r="Q799" s="1">
        <v>39031</v>
      </c>
      <c r="R799" t="s">
        <v>29</v>
      </c>
      <c r="S799" s="1">
        <v>43796</v>
      </c>
      <c r="T799" t="s">
        <v>4378</v>
      </c>
      <c r="U799" t="s">
        <v>115</v>
      </c>
      <c r="V799" t="s">
        <v>186</v>
      </c>
      <c r="W799">
        <v>10</v>
      </c>
      <c r="X799">
        <v>19936459</v>
      </c>
      <c r="Y799" t="s">
        <v>4382</v>
      </c>
      <c r="Z799" t="s">
        <v>119</v>
      </c>
      <c r="AA799" t="s">
        <v>32</v>
      </c>
      <c r="AB799" t="s">
        <v>120</v>
      </c>
      <c r="AC799" t="s">
        <v>25</v>
      </c>
      <c r="AD799" t="s">
        <v>121</v>
      </c>
      <c r="AE799">
        <v>14</v>
      </c>
      <c r="AF799" t="s">
        <v>27</v>
      </c>
      <c r="AG799" t="s">
        <v>26</v>
      </c>
      <c r="AH799" t="s">
        <v>949</v>
      </c>
      <c r="AI799" t="str">
        <f t="shared" si="60"/>
        <v>NO</v>
      </c>
      <c r="AJ799" t="str">
        <f t="shared" si="61"/>
        <v>ORGANON COLOMBIA</v>
      </c>
      <c r="AK799" t="str">
        <f>IF(ISNUMBER(SEARCH("FABRICANTE",AC799)),"FABRICANTE",IF(ISNUMBER(SEARCH("IMPORTADOR",AC799)),"IMPORTADOR","OTRO"))</f>
        <v>FABRICANTE</v>
      </c>
      <c r="AL799" t="str">
        <f>IF(LEFT(Y799,1)="A","Sistema digestivo",IF(LEFT(Y799,1)="B","Sangre",IF(LEFT(Y799,1)="C","Cardiovascular",IF(LEFT(Y799,1)="D","Dermatológico",IF(LEFT(Y799,1)="G","Genitourinario",IF(LEFT(Y799,1)="H","Hormonal",IF(LEFT(Y799,1)="J","Antiinfecciosos",IF(LEFT(Y799,1)="L","Oncológicos",IF(LEFT(Y799,1)="M","Musculoesquelético",IF(LEFT(Y799,1)="N","Sistema nervioso",IF(LEFT(Y799,1)="R","Respiratorio",IF(LEFT(Y799,1)="S","Oftálmico",IF(LEFT(Y799,1)="V","Varios","OTRO")))))))))))))</f>
        <v>Cardiovascular</v>
      </c>
      <c r="AM799" t="str">
        <f>IF(AG799="Vigente","ACTIVO",IF(ISNUMBER(SEARCH("Inactivo",J799)),"INACTIVO","REVISAR"))</f>
        <v>ACTIVO</v>
      </c>
      <c r="AN799" t="str">
        <f ca="1">IF(OR(AF799="",AF799="null"),"",ROUND((AF799-TODAY())/365.25,2))</f>
        <v/>
      </c>
      <c r="AO799" t="str">
        <f ca="1">IF(AND(AG799="Vigente",OR(AF799="",AF799="null",AF799&gt;TODAY())),"SI",IF(AND(NOT(OR(AF799="",AF799="null")),AF799&lt;=TODAY()),"NO",IF(AG799="Vigente","SI","DESCONOCIDO")))</f>
        <v>SI</v>
      </c>
      <c r="AP799" t="str">
        <f>IF(AND(ISNUMBER(SEARCH("IMPORTAR",AA799)),ISNUMBER(SEARCH("FABRICAR",AA799))),"MIXTO",IF(ISNUMBER(SEARCH("IMPORTAR",AA799)),"IMPORTADO",IF(ISNUMBER(SEARCH("FABRICAR",AA799)),"LOCAL","OTRO")))</f>
        <v>IMPORTADO</v>
      </c>
      <c r="AQ799" t="str">
        <f>IF(AD799="Si","SI",IF(AD799="No","NO",""))</f>
        <v>NO</v>
      </c>
      <c r="AR799" t="str">
        <f>IF(ISNUMBER(SEARCH("®",N799)),"MARCA/INNOVADOR","GENERICO")</f>
        <v>MARCA/INNOVADOR</v>
      </c>
      <c r="AS799">
        <f ca="1">IF(AE799&gt;100,RANDBETWEEN(500,5000),IF(AND(AE799&gt;=10,AE799&lt;=100),RANDBETWEEN(100,1000),RANDBETWEEN(10,200)))</f>
        <v>480</v>
      </c>
      <c r="AT799">
        <f t="shared" ca="1" si="62"/>
        <v>139</v>
      </c>
      <c r="AU799">
        <f ca="1">INT(AS799*RANDBETWEEN(120,200)/100)</f>
        <v>729</v>
      </c>
      <c r="AV799" s="2">
        <f ca="1">IF(LEFT(Y799,1)="L",RANDBETWEEN(500000,5000000),IF(LEFT(Y799,1)="C",RANDBETWEEN(5000,50000),IF(LEFT(Y799,1)="N",RANDBETWEEN(10000,150000),IF(LEFT(Y799,1)="J",RANDBETWEEN(8000,200000),RANDBETWEEN(5000,100000)))))</f>
        <v>45170</v>
      </c>
      <c r="AW799" s="2">
        <f ca="1">INT(AV799*RANDBETWEEN(30,60)/100)</f>
        <v>16712</v>
      </c>
      <c r="AX799">
        <f ca="1">IF(Z799="ORAL",RANDBETWEEN(1000,10000),IF(OR(Z799="INTRAVENOSA",Z799="INTRAMUSCULAR"),RANDBETWEEN(100,2000),IF(OR(Z799="OFTÁLMICA",Z799="TOPICA (EXTERNA)"),RANDBETWEEN(200,3000),RANDBETWEEN(100,1500))))</f>
        <v>2217</v>
      </c>
      <c r="AY799" s="2">
        <f ca="1">INT(AV799*RANDBETWEEN(90,130)/100)</f>
        <v>48331</v>
      </c>
      <c r="AZ799" t="str">
        <f t="shared" ca="1" si="63"/>
        <v>18.2%</v>
      </c>
      <c r="BA799" t="str">
        <f t="shared" ca="1" si="64"/>
        <v>ALTO</v>
      </c>
    </row>
    <row r="800" spans="4:53" x14ac:dyDescent="0.35">
      <c r="D800" t="s">
        <v>5095</v>
      </c>
      <c r="E800" s="1">
        <v>34579</v>
      </c>
      <c r="F800" t="s">
        <v>1975</v>
      </c>
      <c r="G800" t="s">
        <v>2701</v>
      </c>
      <c r="H800" t="s">
        <v>5096</v>
      </c>
      <c r="I800">
        <v>50423</v>
      </c>
      <c r="J800" t="s">
        <v>28</v>
      </c>
      <c r="K800">
        <v>17</v>
      </c>
      <c r="L800" t="s">
        <v>27</v>
      </c>
      <c r="M800" t="s">
        <v>5097</v>
      </c>
      <c r="N800" t="s">
        <v>1975</v>
      </c>
      <c r="O800" t="s">
        <v>5098</v>
      </c>
      <c r="P800" t="s">
        <v>5099</v>
      </c>
      <c r="Q800" s="1">
        <v>39245</v>
      </c>
      <c r="R800" t="s">
        <v>1818</v>
      </c>
      <c r="S800" t="s">
        <v>27</v>
      </c>
      <c r="T800" t="s">
        <v>5100</v>
      </c>
      <c r="U800" t="s">
        <v>1808</v>
      </c>
      <c r="V800" t="s">
        <v>1819</v>
      </c>
      <c r="W800">
        <v>99</v>
      </c>
      <c r="X800">
        <v>50423</v>
      </c>
      <c r="Y800" t="s">
        <v>1820</v>
      </c>
      <c r="Z800" t="s">
        <v>1168</v>
      </c>
      <c r="AA800" t="s">
        <v>24</v>
      </c>
      <c r="AB800" t="s">
        <v>1983</v>
      </c>
      <c r="AC800" t="s">
        <v>25</v>
      </c>
      <c r="AD800" t="s">
        <v>121</v>
      </c>
      <c r="AE800">
        <v>50000</v>
      </c>
      <c r="AF800" t="s">
        <v>27</v>
      </c>
      <c r="AG800" t="s">
        <v>26</v>
      </c>
      <c r="AH800" t="s">
        <v>1975</v>
      </c>
      <c r="AI800" t="str">
        <f t="shared" si="60"/>
        <v>NO</v>
      </c>
      <c r="AJ800" t="str">
        <f t="shared" si="61"/>
        <v>OXIGENOS DE COLOMBIA - OXICOL</v>
      </c>
      <c r="AK800" t="str">
        <f>IF(ISNUMBER(SEARCH("FABRICANTE",AC800)),"FABRICANTE",IF(ISNUMBER(SEARCH("IMPORTADOR",AC800)),"IMPORTADOR","OTRO"))</f>
        <v>FABRICANTE</v>
      </c>
      <c r="AL800" t="str">
        <f>IF(LEFT(Y800,1)="A","Sistema digestivo",IF(LEFT(Y800,1)="B","Sangre",IF(LEFT(Y800,1)="C","Cardiovascular",IF(LEFT(Y800,1)="D","Dermatológico",IF(LEFT(Y800,1)="G","Genitourinario",IF(LEFT(Y800,1)="H","Hormonal",IF(LEFT(Y800,1)="J","Antiinfecciosos",IF(LEFT(Y800,1)="L","Oncológicos",IF(LEFT(Y800,1)="M","Musculoesquelético",IF(LEFT(Y800,1)="N","Sistema nervioso",IF(LEFT(Y800,1)="R","Respiratorio",IF(LEFT(Y800,1)="S","Oftálmico",IF(LEFT(Y800,1)="V","Varios","OTRO")))))))))))))</f>
        <v>Varios</v>
      </c>
      <c r="AM800" t="str">
        <f>IF(AG800="Vigente","ACTIVO",IF(ISNUMBER(SEARCH("Inactivo",J800)),"INACTIVO","REVISAR"))</f>
        <v>ACTIVO</v>
      </c>
      <c r="AN800" t="str">
        <f ca="1">IF(OR(AF800="",AF800="null"),"",ROUND((AF800-TODAY())/365.25,2))</f>
        <v/>
      </c>
      <c r="AO800" t="str">
        <f ca="1">IF(AND(AG800="Vigente",OR(AF800="",AF800="null",AF800&gt;TODAY())),"SI",IF(AND(NOT(OR(AF800="",AF800="null")),AF800&lt;=TODAY()),"NO",IF(AG800="Vigente","SI","DESCONOCIDO")))</f>
        <v>SI</v>
      </c>
      <c r="AP800" t="str">
        <f>IF(AND(ISNUMBER(SEARCH("IMPORTAR",AA800)),ISNUMBER(SEARCH("FABRICAR",AA800))),"MIXTO",IF(ISNUMBER(SEARCH("IMPORTAR",AA800)),"IMPORTADO",IF(ISNUMBER(SEARCH("FABRICAR",AA800)),"LOCAL","OTRO")))</f>
        <v>LOCAL</v>
      </c>
      <c r="AQ800" t="str">
        <f>IF(AD800="Si","SI",IF(AD800="No","NO",""))</f>
        <v>NO</v>
      </c>
      <c r="AR800" t="str">
        <f>IF(ISNUMBER(SEARCH("®",N800)),"MARCA/INNOVADOR","GENERICO")</f>
        <v>GENERICO</v>
      </c>
      <c r="AS800">
        <f ca="1">IF(AE800&gt;100,RANDBETWEEN(500,5000),IF(AND(AE800&gt;=10,AE800&lt;=100),RANDBETWEEN(100,1000),RANDBETWEEN(10,200)))</f>
        <v>3097</v>
      </c>
      <c r="AT800">
        <f t="shared" ca="1" si="62"/>
        <v>743</v>
      </c>
      <c r="AU800">
        <f ca="1">INT(AS800*RANDBETWEEN(120,200)/100)</f>
        <v>5048</v>
      </c>
      <c r="AV800" s="2">
        <f ca="1">IF(LEFT(Y800,1)="L",RANDBETWEEN(500000,5000000),IF(LEFT(Y800,1)="C",RANDBETWEEN(5000,50000),IF(LEFT(Y800,1)="N",RANDBETWEEN(10000,150000),IF(LEFT(Y800,1)="J",RANDBETWEEN(8000,200000),RANDBETWEEN(5000,100000)))))</f>
        <v>18769</v>
      </c>
      <c r="AW800" s="2">
        <f ca="1">INT(AV800*RANDBETWEEN(30,60)/100)</f>
        <v>10510</v>
      </c>
      <c r="AX800">
        <f ca="1">IF(Z800="ORAL",RANDBETWEEN(1000,10000),IF(OR(Z800="INTRAVENOSA",Z800="INTRAMUSCULAR"),RANDBETWEEN(100,2000),IF(OR(Z800="OFTÁLMICA",Z800="TOPICA (EXTERNA)"),RANDBETWEEN(200,3000),RANDBETWEEN(100,1500))))</f>
        <v>292</v>
      </c>
      <c r="AY800" s="2">
        <f ca="1">INT(AV800*RANDBETWEEN(90,130)/100)</f>
        <v>20270</v>
      </c>
      <c r="AZ800" t="str">
        <f t="shared" ca="1" si="63"/>
        <v>7.4%</v>
      </c>
      <c r="BA800" t="str">
        <f t="shared" ca="1" si="64"/>
        <v>BAJO</v>
      </c>
    </row>
    <row r="801" spans="4:53" x14ac:dyDescent="0.35">
      <c r="D801" t="s">
        <v>5101</v>
      </c>
      <c r="E801" s="1">
        <v>43551</v>
      </c>
      <c r="F801" t="s">
        <v>1673</v>
      </c>
      <c r="G801" t="s">
        <v>108</v>
      </c>
      <c r="H801" t="s">
        <v>39</v>
      </c>
      <c r="I801">
        <v>20135121</v>
      </c>
      <c r="J801" t="s">
        <v>28</v>
      </c>
      <c r="K801">
        <v>5</v>
      </c>
      <c r="L801" t="s">
        <v>5102</v>
      </c>
      <c r="M801" t="s">
        <v>5103</v>
      </c>
      <c r="N801" t="s">
        <v>5104</v>
      </c>
      <c r="O801" t="s">
        <v>5105</v>
      </c>
      <c r="P801" t="s">
        <v>5106</v>
      </c>
      <c r="Q801" s="1">
        <v>43539</v>
      </c>
      <c r="R801" t="s">
        <v>33</v>
      </c>
      <c r="S801" t="s">
        <v>27</v>
      </c>
      <c r="T801" t="s">
        <v>40</v>
      </c>
      <c r="U801" t="s">
        <v>115</v>
      </c>
      <c r="V801" t="s">
        <v>1673</v>
      </c>
      <c r="W801">
        <v>90</v>
      </c>
      <c r="X801">
        <v>20135121</v>
      </c>
      <c r="Y801" t="s">
        <v>1677</v>
      </c>
      <c r="Z801" t="s">
        <v>119</v>
      </c>
      <c r="AA801" t="s">
        <v>32</v>
      </c>
      <c r="AB801" t="s">
        <v>120</v>
      </c>
      <c r="AC801" t="s">
        <v>38</v>
      </c>
      <c r="AD801" t="s">
        <v>155</v>
      </c>
      <c r="AE801">
        <v>30</v>
      </c>
      <c r="AF801" t="s">
        <v>27</v>
      </c>
      <c r="AG801" t="s">
        <v>26</v>
      </c>
      <c r="AH801" t="s">
        <v>1673</v>
      </c>
      <c r="AI801" t="str">
        <f t="shared" si="60"/>
        <v>NO</v>
      </c>
      <c r="AJ801" t="str">
        <f t="shared" si="61"/>
        <v>HETERO LABS</v>
      </c>
      <c r="AK801" t="str">
        <f>IF(ISNUMBER(SEARCH("FABRICANTE",AC801)),"FABRICANTE",IF(ISNUMBER(SEARCH("IMPORTADOR",AC801)),"IMPORTADOR","OTRO"))</f>
        <v>IMPORTADOR</v>
      </c>
      <c r="AL801" t="str">
        <f>IF(LEFT(Y801,1)="A","Sistema digestivo",IF(LEFT(Y801,1)="B","Sangre",IF(LEFT(Y801,1)="C","Cardiovascular",IF(LEFT(Y801,1)="D","Dermatológico",IF(LEFT(Y801,1)="G","Genitourinario",IF(LEFT(Y801,1)="H","Hormonal",IF(LEFT(Y801,1)="J","Antiinfecciosos",IF(LEFT(Y801,1)="L","Oncológicos",IF(LEFT(Y801,1)="M","Musculoesquelético",IF(LEFT(Y801,1)="N","Sistema nervioso",IF(LEFT(Y801,1)="R","Respiratorio",IF(LEFT(Y801,1)="S","Oftálmico",IF(LEFT(Y801,1)="V","Varios","OTRO")))))))))))))</f>
        <v>Musculoesquelético</v>
      </c>
      <c r="AM801" t="str">
        <f>IF(AG801="Vigente","ACTIVO",IF(ISNUMBER(SEARCH("Inactivo",J801)),"INACTIVO","REVISAR"))</f>
        <v>ACTIVO</v>
      </c>
      <c r="AN801" t="str">
        <f ca="1">IF(OR(AF801="",AF801="null"),"",ROUND((AF801-TODAY())/365.25,2))</f>
        <v/>
      </c>
      <c r="AO801" t="str">
        <f ca="1">IF(AND(AG801="Vigente",OR(AF801="",AF801="null",AF801&gt;TODAY())),"SI",IF(AND(NOT(OR(AF801="",AF801="null")),AF801&lt;=TODAY()),"NO",IF(AG801="Vigente","SI","DESCONOCIDO")))</f>
        <v>SI</v>
      </c>
      <c r="AP801" t="str">
        <f>IF(AND(ISNUMBER(SEARCH("IMPORTAR",AA801)),ISNUMBER(SEARCH("FABRICAR",AA801))),"MIXTO",IF(ISNUMBER(SEARCH("IMPORTAR",AA801)),"IMPORTADO",IF(ISNUMBER(SEARCH("FABRICAR",AA801)),"LOCAL","OTRO")))</f>
        <v>IMPORTADO</v>
      </c>
      <c r="AQ801" t="str">
        <f>IF(AD801="Si","SI",IF(AD801="No","NO",""))</f>
        <v>SI</v>
      </c>
      <c r="AR801" t="str">
        <f>IF(ISNUMBER(SEARCH("®",N801)),"MARCA/INNOVADOR","GENERICO")</f>
        <v>MARCA/INNOVADOR</v>
      </c>
      <c r="AS801">
        <f ca="1">IF(AE801&gt;100,RANDBETWEEN(500,5000),IF(AND(AE801&gt;=10,AE801&lt;=100),RANDBETWEEN(100,1000),RANDBETWEEN(10,200)))</f>
        <v>946</v>
      </c>
      <c r="AT801">
        <f t="shared" ca="1" si="62"/>
        <v>170</v>
      </c>
      <c r="AU801">
        <f ca="1">INT(AS801*RANDBETWEEN(120,200)/100)</f>
        <v>1674</v>
      </c>
      <c r="AV801" s="2">
        <f ca="1">IF(LEFT(Y801,1)="L",RANDBETWEEN(500000,5000000),IF(LEFT(Y801,1)="C",RANDBETWEEN(5000,50000),IF(LEFT(Y801,1)="N",RANDBETWEEN(10000,150000),IF(LEFT(Y801,1)="J",RANDBETWEEN(8000,200000),RANDBETWEEN(5000,100000)))))</f>
        <v>16647</v>
      </c>
      <c r="AW801" s="2">
        <f ca="1">INT(AV801*RANDBETWEEN(30,60)/100)</f>
        <v>5327</v>
      </c>
      <c r="AX801">
        <f ca="1">IF(Z801="ORAL",RANDBETWEEN(1000,10000),IF(OR(Z801="INTRAVENOSA",Z801="INTRAMUSCULAR"),RANDBETWEEN(100,2000),IF(OR(Z801="OFTÁLMICA",Z801="TOPICA (EXTERNA)"),RANDBETWEEN(200,3000),RANDBETWEEN(100,1500))))</f>
        <v>6462</v>
      </c>
      <c r="AY801" s="2">
        <f ca="1">INT(AV801*RANDBETWEEN(90,130)/100)</f>
        <v>21141</v>
      </c>
      <c r="AZ801" t="str">
        <f t="shared" ca="1" si="63"/>
        <v>13.1%</v>
      </c>
      <c r="BA801" t="str">
        <f t="shared" ca="1" si="64"/>
        <v>BAJO</v>
      </c>
    </row>
    <row r="802" spans="4:53" x14ac:dyDescent="0.35">
      <c r="D802" t="s">
        <v>5107</v>
      </c>
      <c r="E802" s="1">
        <v>38096</v>
      </c>
      <c r="F802" t="s">
        <v>5108</v>
      </c>
      <c r="G802" t="s">
        <v>108</v>
      </c>
      <c r="H802" t="s">
        <v>454</v>
      </c>
      <c r="I802">
        <v>19942493</v>
      </c>
      <c r="J802" t="s">
        <v>28</v>
      </c>
      <c r="K802">
        <v>3</v>
      </c>
      <c r="L802" t="s">
        <v>27</v>
      </c>
      <c r="M802" t="s">
        <v>5109</v>
      </c>
      <c r="N802" t="s">
        <v>5110</v>
      </c>
      <c r="O802" t="s">
        <v>5111</v>
      </c>
      <c r="P802" t="s">
        <v>1061</v>
      </c>
      <c r="Q802" s="1">
        <v>39031</v>
      </c>
      <c r="R802" t="s">
        <v>527</v>
      </c>
      <c r="S802" t="s">
        <v>27</v>
      </c>
      <c r="T802" t="s">
        <v>454</v>
      </c>
      <c r="U802" t="s">
        <v>115</v>
      </c>
      <c r="V802" t="s">
        <v>2981</v>
      </c>
      <c r="W802" t="s">
        <v>3675</v>
      </c>
      <c r="X802">
        <v>19942493</v>
      </c>
      <c r="Y802" t="s">
        <v>2983</v>
      </c>
      <c r="Z802" t="s">
        <v>119</v>
      </c>
      <c r="AA802" t="s">
        <v>2200</v>
      </c>
      <c r="AB802" t="s">
        <v>120</v>
      </c>
      <c r="AC802" t="s">
        <v>25</v>
      </c>
      <c r="AD802" t="s">
        <v>121</v>
      </c>
      <c r="AE802">
        <v>30</v>
      </c>
      <c r="AF802" t="s">
        <v>27</v>
      </c>
      <c r="AG802" t="s">
        <v>26</v>
      </c>
      <c r="AH802" t="s">
        <v>6833</v>
      </c>
      <c r="AI802" t="str">
        <f t="shared" si="60"/>
        <v>SI</v>
      </c>
      <c r="AJ802" t="str">
        <f t="shared" si="61"/>
        <v>PROCAPS</v>
      </c>
      <c r="AK802" t="str">
        <f>IF(ISNUMBER(SEARCH("FABRICANTE",AC802)),"FABRICANTE",IF(ISNUMBER(SEARCH("IMPORTADOR",AC802)),"IMPORTADOR","OTRO"))</f>
        <v>FABRICANTE</v>
      </c>
      <c r="AL802" t="str">
        <f>IF(LEFT(Y802,1)="A","Sistema digestivo",IF(LEFT(Y802,1)="B","Sangre",IF(LEFT(Y802,1)="C","Cardiovascular",IF(LEFT(Y802,1)="D","Dermatológico",IF(LEFT(Y802,1)="G","Genitourinario",IF(LEFT(Y802,1)="H","Hormonal",IF(LEFT(Y802,1)="J","Antiinfecciosos",IF(LEFT(Y802,1)="L","Oncológicos",IF(LEFT(Y802,1)="M","Musculoesquelético",IF(LEFT(Y802,1)="N","Sistema nervioso",IF(LEFT(Y802,1)="R","Respiratorio",IF(LEFT(Y802,1)="S","Oftálmico",IF(LEFT(Y802,1)="V","Varios","OTRO")))))))))))))</f>
        <v>Sistema digestivo</v>
      </c>
      <c r="AM802" t="str">
        <f>IF(AG802="Vigente","ACTIVO",IF(ISNUMBER(SEARCH("Inactivo",J802)),"INACTIVO","REVISAR"))</f>
        <v>ACTIVO</v>
      </c>
      <c r="AN802" t="str">
        <f ca="1">IF(OR(AF802="",AF802="null"),"",ROUND((AF802-TODAY())/365.25,2))</f>
        <v/>
      </c>
      <c r="AO802" t="str">
        <f ca="1">IF(AND(AG802="Vigente",OR(AF802="",AF802="null",AF802&gt;TODAY())),"SI",IF(AND(NOT(OR(AF802="",AF802="null")),AF802&lt;=TODAY()),"NO",IF(AG802="Vigente","SI","DESCONOCIDO")))</f>
        <v>SI</v>
      </c>
      <c r="AP802" t="str">
        <f>IF(AND(ISNUMBER(SEARCH("IMPORTAR",AA802)),ISNUMBER(SEARCH("FABRICAR",AA802))),"MIXTO",IF(ISNUMBER(SEARCH("IMPORTAR",AA802)),"IMPORTADO",IF(ISNUMBER(SEARCH("FABRICAR",AA802)),"LOCAL","OTRO")))</f>
        <v>LOCAL</v>
      </c>
      <c r="AQ802" t="str">
        <f>IF(AD802="Si","SI",IF(AD802="No","NO",""))</f>
        <v>NO</v>
      </c>
      <c r="AR802" t="str">
        <f>IF(ISNUMBER(SEARCH("®",N802)),"MARCA/INNOVADOR","GENERICO")</f>
        <v>GENERICO</v>
      </c>
      <c r="AS802">
        <f ca="1">IF(AE802&gt;100,RANDBETWEEN(500,5000),IF(AND(AE802&gt;=10,AE802&lt;=100),RANDBETWEEN(100,1000),RANDBETWEEN(10,200)))</f>
        <v>117</v>
      </c>
      <c r="AT802">
        <f t="shared" ca="1" si="62"/>
        <v>26</v>
      </c>
      <c r="AU802">
        <f ca="1">INT(AS802*RANDBETWEEN(120,200)/100)</f>
        <v>159</v>
      </c>
      <c r="AV802" s="2">
        <f ca="1">IF(LEFT(Y802,1)="L",RANDBETWEEN(500000,5000000),IF(LEFT(Y802,1)="C",RANDBETWEEN(5000,50000),IF(LEFT(Y802,1)="N",RANDBETWEEN(10000,150000),IF(LEFT(Y802,1)="J",RANDBETWEEN(8000,200000),RANDBETWEEN(5000,100000)))))</f>
        <v>34685</v>
      </c>
      <c r="AW802" s="2">
        <f ca="1">INT(AV802*RANDBETWEEN(30,60)/100)</f>
        <v>14914</v>
      </c>
      <c r="AX802">
        <f ca="1">IF(Z802="ORAL",RANDBETWEEN(1000,10000),IF(OR(Z802="INTRAVENOSA",Z802="INTRAMUSCULAR"),RANDBETWEEN(100,2000),IF(OR(Z802="OFTÁLMICA",Z802="TOPICA (EXTERNA)"),RANDBETWEEN(200,3000),RANDBETWEEN(100,1500))))</f>
        <v>9943</v>
      </c>
      <c r="AY802" s="2">
        <f ca="1">INT(AV802*RANDBETWEEN(90,130)/100)</f>
        <v>37112</v>
      </c>
      <c r="AZ802" t="str">
        <f t="shared" ca="1" si="63"/>
        <v>7.8%</v>
      </c>
      <c r="BA802" t="str">
        <f t="shared" ca="1" si="64"/>
        <v>BAJO</v>
      </c>
    </row>
    <row r="803" spans="4:53" x14ac:dyDescent="0.35">
      <c r="D803" t="s">
        <v>5112</v>
      </c>
      <c r="E803" s="1">
        <v>41494</v>
      </c>
      <c r="F803" t="s">
        <v>5113</v>
      </c>
      <c r="G803" t="s">
        <v>108</v>
      </c>
      <c r="H803" t="s">
        <v>4433</v>
      </c>
      <c r="I803">
        <v>20049941</v>
      </c>
      <c r="J803" t="s">
        <v>28</v>
      </c>
      <c r="K803">
        <v>6</v>
      </c>
      <c r="L803" t="s">
        <v>27</v>
      </c>
      <c r="M803" t="s">
        <v>5114</v>
      </c>
      <c r="N803" t="s">
        <v>5115</v>
      </c>
      <c r="O803" t="s">
        <v>5116</v>
      </c>
      <c r="P803" t="s">
        <v>47</v>
      </c>
      <c r="Q803" s="1">
        <v>41166</v>
      </c>
      <c r="R803" t="s">
        <v>47</v>
      </c>
      <c r="S803" t="s">
        <v>27</v>
      </c>
      <c r="T803" t="s">
        <v>5117</v>
      </c>
      <c r="U803" t="s">
        <v>115</v>
      </c>
      <c r="V803" t="s">
        <v>4438</v>
      </c>
      <c r="W803">
        <v>150</v>
      </c>
      <c r="X803">
        <v>20049941</v>
      </c>
      <c r="Y803" t="s">
        <v>4439</v>
      </c>
      <c r="Z803" t="s">
        <v>119</v>
      </c>
      <c r="AA803" t="s">
        <v>32</v>
      </c>
      <c r="AB803" t="s">
        <v>120</v>
      </c>
      <c r="AC803" t="s">
        <v>25</v>
      </c>
      <c r="AD803" t="s">
        <v>121</v>
      </c>
      <c r="AE803">
        <v>30</v>
      </c>
      <c r="AF803" t="s">
        <v>27</v>
      </c>
      <c r="AG803" t="s">
        <v>26</v>
      </c>
      <c r="AH803" t="s">
        <v>4438</v>
      </c>
      <c r="AI803" t="str">
        <f t="shared" si="60"/>
        <v>SI</v>
      </c>
      <c r="AJ803" t="str">
        <f t="shared" si="61"/>
        <v>GRUNENTHAL.</v>
      </c>
      <c r="AK803" t="str">
        <f>IF(ISNUMBER(SEARCH("FABRICANTE",AC803)),"FABRICANTE",IF(ISNUMBER(SEARCH("IMPORTADOR",AC803)),"IMPORTADOR","OTRO"))</f>
        <v>FABRICANTE</v>
      </c>
      <c r="AL803" t="str">
        <f>IF(LEFT(Y803,1)="A","Sistema digestivo",IF(LEFT(Y803,1)="B","Sangre",IF(LEFT(Y803,1)="C","Cardiovascular",IF(LEFT(Y803,1)="D","Dermatológico",IF(LEFT(Y803,1)="G","Genitourinario",IF(LEFT(Y803,1)="H","Hormonal",IF(LEFT(Y803,1)="J","Antiinfecciosos",IF(LEFT(Y803,1)="L","Oncológicos",IF(LEFT(Y803,1)="M","Musculoesquelético",IF(LEFT(Y803,1)="N","Sistema nervioso",IF(LEFT(Y803,1)="R","Respiratorio",IF(LEFT(Y803,1)="S","Oftálmico",IF(LEFT(Y803,1)="V","Varios","OTRO")))))))))))))</f>
        <v>Sistema nervioso</v>
      </c>
      <c r="AM803" t="str">
        <f>IF(AG803="Vigente","ACTIVO",IF(ISNUMBER(SEARCH("Inactivo",J803)),"INACTIVO","REVISAR"))</f>
        <v>ACTIVO</v>
      </c>
      <c r="AN803" t="str">
        <f ca="1">IF(OR(AF803="",AF803="null"),"",ROUND((AF803-TODAY())/365.25,2))</f>
        <v/>
      </c>
      <c r="AO803" t="str">
        <f ca="1">IF(AND(AG803="Vigente",OR(AF803="",AF803="null",AF803&gt;TODAY())),"SI",IF(AND(NOT(OR(AF803="",AF803="null")),AF803&lt;=TODAY()),"NO",IF(AG803="Vigente","SI","DESCONOCIDO")))</f>
        <v>SI</v>
      </c>
      <c r="AP803" t="str">
        <f>IF(AND(ISNUMBER(SEARCH("IMPORTAR",AA803)),ISNUMBER(SEARCH("FABRICAR",AA803))),"MIXTO",IF(ISNUMBER(SEARCH("IMPORTAR",AA803)),"IMPORTADO",IF(ISNUMBER(SEARCH("FABRICAR",AA803)),"LOCAL","OTRO")))</f>
        <v>IMPORTADO</v>
      </c>
      <c r="AQ803" t="str">
        <f>IF(AD803="Si","SI",IF(AD803="No","NO",""))</f>
        <v>NO</v>
      </c>
      <c r="AR803" t="str">
        <f>IF(ISNUMBER(SEARCH("®",N803)),"MARCA/INNOVADOR","GENERICO")</f>
        <v>MARCA/INNOVADOR</v>
      </c>
      <c r="AS803">
        <f ca="1">IF(AE803&gt;100,RANDBETWEEN(500,5000),IF(AND(AE803&gt;=10,AE803&lt;=100),RANDBETWEEN(100,1000),RANDBETWEEN(10,200)))</f>
        <v>399</v>
      </c>
      <c r="AT803">
        <f t="shared" ca="1" si="62"/>
        <v>39</v>
      </c>
      <c r="AU803">
        <f ca="1">INT(AS803*RANDBETWEEN(120,200)/100)</f>
        <v>646</v>
      </c>
      <c r="AV803" s="2">
        <f ca="1">IF(LEFT(Y803,1)="L",RANDBETWEEN(500000,5000000),IF(LEFT(Y803,1)="C",RANDBETWEEN(5000,50000),IF(LEFT(Y803,1)="N",RANDBETWEEN(10000,150000),IF(LEFT(Y803,1)="J",RANDBETWEEN(8000,200000),RANDBETWEEN(5000,100000)))))</f>
        <v>87416</v>
      </c>
      <c r="AW803" s="2">
        <f ca="1">INT(AV803*RANDBETWEEN(30,60)/100)</f>
        <v>27098</v>
      </c>
      <c r="AX803">
        <f ca="1">IF(Z803="ORAL",RANDBETWEEN(1000,10000),IF(OR(Z803="INTRAVENOSA",Z803="INTRAMUSCULAR"),RANDBETWEEN(100,2000),IF(OR(Z803="OFTÁLMICA",Z803="TOPICA (EXTERNA)"),RANDBETWEEN(200,3000),RANDBETWEEN(100,1500))))</f>
        <v>2232</v>
      </c>
      <c r="AY803" s="2">
        <f ca="1">INT(AV803*RANDBETWEEN(90,130)/100)</f>
        <v>86541</v>
      </c>
      <c r="AZ803" t="str">
        <f t="shared" ca="1" si="63"/>
        <v>23.6%</v>
      </c>
      <c r="BA803" t="str">
        <f t="shared" ca="1" si="64"/>
        <v>BAJO</v>
      </c>
    </row>
    <row r="804" spans="4:53" x14ac:dyDescent="0.35">
      <c r="D804" t="s">
        <v>5118</v>
      </c>
      <c r="E804" s="1">
        <v>45162</v>
      </c>
      <c r="F804" t="s">
        <v>2915</v>
      </c>
      <c r="G804" t="s">
        <v>108</v>
      </c>
      <c r="H804" t="s">
        <v>2916</v>
      </c>
      <c r="I804">
        <v>20151614</v>
      </c>
      <c r="J804" t="s">
        <v>28</v>
      </c>
      <c r="K804">
        <v>6</v>
      </c>
      <c r="L804" t="s">
        <v>27</v>
      </c>
      <c r="M804" t="s">
        <v>2917</v>
      </c>
      <c r="N804" t="s">
        <v>2918</v>
      </c>
      <c r="O804" t="s">
        <v>5119</v>
      </c>
      <c r="P804" t="s">
        <v>2920</v>
      </c>
      <c r="Q804" s="1">
        <v>45085</v>
      </c>
      <c r="R804" t="s">
        <v>912</v>
      </c>
      <c r="S804" t="s">
        <v>27</v>
      </c>
      <c r="T804" t="s">
        <v>354</v>
      </c>
      <c r="U804" t="s">
        <v>247</v>
      </c>
      <c r="V804" t="s">
        <v>2921</v>
      </c>
      <c r="W804">
        <v>2</v>
      </c>
      <c r="X804">
        <v>20151614</v>
      </c>
      <c r="Y804" t="s">
        <v>2922</v>
      </c>
      <c r="Z804" t="s">
        <v>566</v>
      </c>
      <c r="AA804" t="s">
        <v>32</v>
      </c>
      <c r="AB804" t="s">
        <v>653</v>
      </c>
      <c r="AC804" t="s">
        <v>25</v>
      </c>
      <c r="AD804" t="s">
        <v>121</v>
      </c>
      <c r="AE804">
        <v>6</v>
      </c>
      <c r="AF804" t="s">
        <v>27</v>
      </c>
      <c r="AG804" t="s">
        <v>26</v>
      </c>
      <c r="AH804" t="s">
        <v>2915</v>
      </c>
      <c r="AI804" t="str">
        <f t="shared" si="60"/>
        <v>NO</v>
      </c>
      <c r="AJ804" t="str">
        <f t="shared" si="61"/>
        <v>PFIZER</v>
      </c>
      <c r="AK804" t="str">
        <f>IF(ISNUMBER(SEARCH("FABRICANTE",AC804)),"FABRICANTE",IF(ISNUMBER(SEARCH("IMPORTADOR",AC804)),"IMPORTADOR","OTRO"))</f>
        <v>FABRICANTE</v>
      </c>
      <c r="AL804" t="str">
        <f>IF(LEFT(Y804,1)="A","Sistema digestivo",IF(LEFT(Y804,1)="B","Sangre",IF(LEFT(Y804,1)="C","Cardiovascular",IF(LEFT(Y804,1)="D","Dermatológico",IF(LEFT(Y804,1)="G","Genitourinario",IF(LEFT(Y804,1)="H","Hormonal",IF(LEFT(Y804,1)="J","Antiinfecciosos",IF(LEFT(Y804,1)="L","Oncológicos",IF(LEFT(Y804,1)="M","Musculoesquelético",IF(LEFT(Y804,1)="N","Sistema nervioso",IF(LEFT(Y804,1)="R","Respiratorio",IF(LEFT(Y804,1)="S","Oftálmico",IF(LEFT(Y804,1)="V","Varios","OTRO")))))))))))))</f>
        <v>Dermatológico</v>
      </c>
      <c r="AM804" t="str">
        <f>IF(AG804="Vigente","ACTIVO",IF(ISNUMBER(SEARCH("Inactivo",J804)),"INACTIVO","REVISAR"))</f>
        <v>ACTIVO</v>
      </c>
      <c r="AN804" t="str">
        <f ca="1">IF(OR(AF804="",AF804="null"),"",ROUND((AF804-TODAY())/365.25,2))</f>
        <v/>
      </c>
      <c r="AO804" t="str">
        <f ca="1">IF(AND(AG804="Vigente",OR(AF804="",AF804="null",AF804&gt;TODAY())),"SI",IF(AND(NOT(OR(AF804="",AF804="null")),AF804&lt;=TODAY()),"NO",IF(AG804="Vigente","SI","DESCONOCIDO")))</f>
        <v>SI</v>
      </c>
      <c r="AP804" t="str">
        <f>IF(AND(ISNUMBER(SEARCH("IMPORTAR",AA804)),ISNUMBER(SEARCH("FABRICAR",AA804))),"MIXTO",IF(ISNUMBER(SEARCH("IMPORTAR",AA804)),"IMPORTADO",IF(ISNUMBER(SEARCH("FABRICAR",AA804)),"LOCAL","OTRO")))</f>
        <v>IMPORTADO</v>
      </c>
      <c r="AQ804" t="str">
        <f>IF(AD804="Si","SI",IF(AD804="No","NO",""))</f>
        <v>NO</v>
      </c>
      <c r="AR804" t="str">
        <f>IF(ISNUMBER(SEARCH("®",N804)),"MARCA/INNOVADOR","GENERICO")</f>
        <v>MARCA/INNOVADOR</v>
      </c>
      <c r="AS804">
        <f ca="1">IF(AE804&gt;100,RANDBETWEEN(500,5000),IF(AND(AE804&gt;=10,AE804&lt;=100),RANDBETWEEN(100,1000),RANDBETWEEN(10,200)))</f>
        <v>74</v>
      </c>
      <c r="AT804">
        <f t="shared" ca="1" si="62"/>
        <v>18</v>
      </c>
      <c r="AU804">
        <f ca="1">INT(AS804*RANDBETWEEN(120,200)/100)</f>
        <v>113</v>
      </c>
      <c r="AV804" s="2">
        <f ca="1">IF(LEFT(Y804,1)="L",RANDBETWEEN(500000,5000000),IF(LEFT(Y804,1)="C",RANDBETWEEN(5000,50000),IF(LEFT(Y804,1)="N",RANDBETWEEN(10000,150000),IF(LEFT(Y804,1)="J",RANDBETWEEN(8000,200000),RANDBETWEEN(5000,100000)))))</f>
        <v>26564</v>
      </c>
      <c r="AW804" s="2">
        <f ca="1">INT(AV804*RANDBETWEEN(30,60)/100)</f>
        <v>15938</v>
      </c>
      <c r="AX804">
        <f ca="1">IF(Z804="ORAL",RANDBETWEEN(1000,10000),IF(OR(Z804="INTRAVENOSA",Z804="INTRAMUSCULAR"),RANDBETWEEN(100,2000),IF(OR(Z804="OFTÁLMICA",Z804="TOPICA (EXTERNA)"),RANDBETWEEN(200,3000),RANDBETWEEN(100,1500))))</f>
        <v>509</v>
      </c>
      <c r="AY804" s="2">
        <f ca="1">INT(AV804*RANDBETWEEN(90,130)/100)</f>
        <v>31611</v>
      </c>
      <c r="AZ804" t="str">
        <f t="shared" ca="1" si="63"/>
        <v>7.5%</v>
      </c>
      <c r="BA804" t="str">
        <f t="shared" ca="1" si="64"/>
        <v>BAJO</v>
      </c>
    </row>
    <row r="805" spans="4:53" x14ac:dyDescent="0.35">
      <c r="D805" t="s">
        <v>5120</v>
      </c>
      <c r="E805" s="1">
        <v>42620</v>
      </c>
      <c r="F805" t="s">
        <v>5121</v>
      </c>
      <c r="G805" t="s">
        <v>108</v>
      </c>
      <c r="H805" t="s">
        <v>454</v>
      </c>
      <c r="I805">
        <v>20104380</v>
      </c>
      <c r="J805" t="s">
        <v>28</v>
      </c>
      <c r="K805">
        <v>2</v>
      </c>
      <c r="L805" t="s">
        <v>27</v>
      </c>
      <c r="M805" t="s">
        <v>5122</v>
      </c>
      <c r="N805" t="s">
        <v>5123</v>
      </c>
      <c r="O805" t="s">
        <v>5124</v>
      </c>
      <c r="P805" t="s">
        <v>33</v>
      </c>
      <c r="Q805" s="1">
        <v>42608</v>
      </c>
      <c r="R805" t="s">
        <v>200</v>
      </c>
      <c r="S805" s="1">
        <v>44470</v>
      </c>
      <c r="T805" t="s">
        <v>454</v>
      </c>
      <c r="U805" t="s">
        <v>115</v>
      </c>
      <c r="V805" t="s">
        <v>5125</v>
      </c>
      <c r="W805">
        <v>600</v>
      </c>
      <c r="X805">
        <v>20104380</v>
      </c>
      <c r="Y805" t="s">
        <v>5126</v>
      </c>
      <c r="Z805" t="s">
        <v>119</v>
      </c>
      <c r="AA805" t="s">
        <v>24</v>
      </c>
      <c r="AB805" t="s">
        <v>120</v>
      </c>
      <c r="AC805" t="s">
        <v>25</v>
      </c>
      <c r="AD805" t="s">
        <v>121</v>
      </c>
      <c r="AE805">
        <v>20</v>
      </c>
      <c r="AF805" t="s">
        <v>27</v>
      </c>
      <c r="AG805" t="s">
        <v>26</v>
      </c>
      <c r="AH805" t="s">
        <v>6692</v>
      </c>
      <c r="AI805" t="str">
        <f t="shared" si="60"/>
        <v>NO</v>
      </c>
      <c r="AJ805" t="str">
        <f t="shared" si="61"/>
        <v>PROCAPS</v>
      </c>
      <c r="AK805" t="str">
        <f>IF(ISNUMBER(SEARCH("FABRICANTE",AC805)),"FABRICANTE",IF(ISNUMBER(SEARCH("IMPORTADOR",AC805)),"IMPORTADOR","OTRO"))</f>
        <v>FABRICANTE</v>
      </c>
      <c r="AL805" t="str">
        <f>IF(LEFT(Y805,1)="A","Sistema digestivo",IF(LEFT(Y805,1)="B","Sangre",IF(LEFT(Y805,1)="C","Cardiovascular",IF(LEFT(Y805,1)="D","Dermatológico",IF(LEFT(Y805,1)="G","Genitourinario",IF(LEFT(Y805,1)="H","Hormonal",IF(LEFT(Y805,1)="J","Antiinfecciosos",IF(LEFT(Y805,1)="L","Oncológicos",IF(LEFT(Y805,1)="M","Musculoesquelético",IF(LEFT(Y805,1)="N","Sistema nervioso",IF(LEFT(Y805,1)="R","Respiratorio",IF(LEFT(Y805,1)="S","Oftálmico",IF(LEFT(Y805,1)="V","Varios","OTRO")))))))))))))</f>
        <v>Sistema digestivo</v>
      </c>
      <c r="AM805" t="str">
        <f>IF(AG805="Vigente","ACTIVO",IF(ISNUMBER(SEARCH("Inactivo",J805)),"INACTIVO","REVISAR"))</f>
        <v>ACTIVO</v>
      </c>
      <c r="AN805" t="str">
        <f ca="1">IF(OR(AF805="",AF805="null"),"",ROUND((AF805-TODAY())/365.25,2))</f>
        <v/>
      </c>
      <c r="AO805" t="str">
        <f ca="1">IF(AND(AG805="Vigente",OR(AF805="",AF805="null",AF805&gt;TODAY())),"SI",IF(AND(NOT(OR(AF805="",AF805="null")),AF805&lt;=TODAY()),"NO",IF(AG805="Vigente","SI","DESCONOCIDO")))</f>
        <v>SI</v>
      </c>
      <c r="AP805" t="str">
        <f>IF(AND(ISNUMBER(SEARCH("IMPORTAR",AA805)),ISNUMBER(SEARCH("FABRICAR",AA805))),"MIXTO",IF(ISNUMBER(SEARCH("IMPORTAR",AA805)),"IMPORTADO",IF(ISNUMBER(SEARCH("FABRICAR",AA805)),"LOCAL","OTRO")))</f>
        <v>LOCAL</v>
      </c>
      <c r="AQ805" t="str">
        <f>IF(AD805="Si","SI",IF(AD805="No","NO",""))</f>
        <v>NO</v>
      </c>
      <c r="AR805" t="str">
        <f>IF(ISNUMBER(SEARCH("®",N805)),"MARCA/INNOVADOR","GENERICO")</f>
        <v>MARCA/INNOVADOR</v>
      </c>
      <c r="AS805">
        <f ca="1">IF(AE805&gt;100,RANDBETWEEN(500,5000),IF(AND(AE805&gt;=10,AE805&lt;=100),RANDBETWEEN(100,1000),RANDBETWEEN(10,200)))</f>
        <v>844</v>
      </c>
      <c r="AT805">
        <f t="shared" ca="1" si="62"/>
        <v>151</v>
      </c>
      <c r="AU805">
        <f ca="1">INT(AS805*RANDBETWEEN(120,200)/100)</f>
        <v>1071</v>
      </c>
      <c r="AV805" s="2">
        <f ca="1">IF(LEFT(Y805,1)="L",RANDBETWEEN(500000,5000000),IF(LEFT(Y805,1)="C",RANDBETWEEN(5000,50000),IF(LEFT(Y805,1)="N",RANDBETWEEN(10000,150000),IF(LEFT(Y805,1)="J",RANDBETWEEN(8000,200000),RANDBETWEEN(5000,100000)))))</f>
        <v>27780</v>
      </c>
      <c r="AW805" s="2">
        <f ca="1">INT(AV805*RANDBETWEEN(30,60)/100)</f>
        <v>10556</v>
      </c>
      <c r="AX805">
        <f ca="1">IF(Z805="ORAL",RANDBETWEEN(1000,10000),IF(OR(Z805="INTRAVENOSA",Z805="INTRAMUSCULAR"),RANDBETWEEN(100,2000),IF(OR(Z805="OFTÁLMICA",Z805="TOPICA (EXTERNA)"),RANDBETWEEN(200,3000),RANDBETWEEN(100,1500))))</f>
        <v>4967</v>
      </c>
      <c r="AY805" s="2">
        <f ca="1">INT(AV805*RANDBETWEEN(90,130)/100)</f>
        <v>35002</v>
      </c>
      <c r="AZ805" t="str">
        <f t="shared" ca="1" si="63"/>
        <v>10.3%</v>
      </c>
      <c r="BA805" t="str">
        <f t="shared" ca="1" si="64"/>
        <v>BAJO</v>
      </c>
    </row>
    <row r="806" spans="4:53" x14ac:dyDescent="0.35">
      <c r="D806" t="s">
        <v>5127</v>
      </c>
      <c r="E806" s="1">
        <v>41862</v>
      </c>
      <c r="F806" t="s">
        <v>1482</v>
      </c>
      <c r="G806" t="s">
        <v>108</v>
      </c>
      <c r="H806" t="s">
        <v>187</v>
      </c>
      <c r="I806">
        <v>20065504</v>
      </c>
      <c r="J806" t="s">
        <v>28</v>
      </c>
      <c r="K806">
        <v>20</v>
      </c>
      <c r="L806" t="s">
        <v>27</v>
      </c>
      <c r="M806" t="s">
        <v>5128</v>
      </c>
      <c r="N806" t="s">
        <v>5129</v>
      </c>
      <c r="O806" t="s">
        <v>5130</v>
      </c>
      <c r="P806" t="s">
        <v>266</v>
      </c>
      <c r="Q806" s="1">
        <v>41835</v>
      </c>
      <c r="R806" t="s">
        <v>33</v>
      </c>
      <c r="S806" t="s">
        <v>27</v>
      </c>
      <c r="T806" t="s">
        <v>81</v>
      </c>
      <c r="U806" t="s">
        <v>115</v>
      </c>
      <c r="V806" t="s">
        <v>1487</v>
      </c>
      <c r="W806">
        <v>5</v>
      </c>
      <c r="X806">
        <v>20065504</v>
      </c>
      <c r="Y806" t="s">
        <v>1488</v>
      </c>
      <c r="Z806" t="s">
        <v>119</v>
      </c>
      <c r="AA806" t="s">
        <v>24</v>
      </c>
      <c r="AB806" t="s">
        <v>120</v>
      </c>
      <c r="AC806" t="s">
        <v>25</v>
      </c>
      <c r="AD806" t="s">
        <v>121</v>
      </c>
      <c r="AE806">
        <v>2</v>
      </c>
      <c r="AF806" t="s">
        <v>27</v>
      </c>
      <c r="AG806" t="s">
        <v>26</v>
      </c>
      <c r="AH806" t="s">
        <v>1482</v>
      </c>
      <c r="AI806" t="str">
        <f t="shared" si="60"/>
        <v>NO</v>
      </c>
      <c r="AJ806" t="str">
        <f t="shared" si="61"/>
        <v>LABORATORIOS MK</v>
      </c>
      <c r="AK806" t="str">
        <f>IF(ISNUMBER(SEARCH("FABRICANTE",AC806)),"FABRICANTE",IF(ISNUMBER(SEARCH("IMPORTADOR",AC806)),"IMPORTADOR","OTRO"))</f>
        <v>FABRICANTE</v>
      </c>
      <c r="AL806" t="str">
        <f>IF(LEFT(Y806,1)="A","Sistema digestivo",IF(LEFT(Y806,1)="B","Sangre",IF(LEFT(Y806,1)="C","Cardiovascular",IF(LEFT(Y806,1)="D","Dermatológico",IF(LEFT(Y806,1)="G","Genitourinario",IF(LEFT(Y806,1)="H","Hormonal",IF(LEFT(Y806,1)="J","Antiinfecciosos",IF(LEFT(Y806,1)="L","Oncológicos",IF(LEFT(Y806,1)="M","Musculoesquelético",IF(LEFT(Y806,1)="N","Sistema nervioso",IF(LEFT(Y806,1)="R","Respiratorio",IF(LEFT(Y806,1)="S","Oftálmico",IF(LEFT(Y806,1)="V","Varios","OTRO")))))))))))))</f>
        <v>Genitourinario</v>
      </c>
      <c r="AM806" t="str">
        <f>IF(AG806="Vigente","ACTIVO",IF(ISNUMBER(SEARCH("Inactivo",J806)),"INACTIVO","REVISAR"))</f>
        <v>ACTIVO</v>
      </c>
      <c r="AN806" t="str">
        <f ca="1">IF(OR(AF806="",AF806="null"),"",ROUND((AF806-TODAY())/365.25,2))</f>
        <v/>
      </c>
      <c r="AO806" t="str">
        <f ca="1">IF(AND(AG806="Vigente",OR(AF806="",AF806="null",AF806&gt;TODAY())),"SI",IF(AND(NOT(OR(AF806="",AF806="null")),AF806&lt;=TODAY()),"NO",IF(AG806="Vigente","SI","DESCONOCIDO")))</f>
        <v>SI</v>
      </c>
      <c r="AP806" t="str">
        <f>IF(AND(ISNUMBER(SEARCH("IMPORTAR",AA806)),ISNUMBER(SEARCH("FABRICAR",AA806))),"MIXTO",IF(ISNUMBER(SEARCH("IMPORTAR",AA806)),"IMPORTADO",IF(ISNUMBER(SEARCH("FABRICAR",AA806)),"LOCAL","OTRO")))</f>
        <v>LOCAL</v>
      </c>
      <c r="AQ806" t="str">
        <f>IF(AD806="Si","SI",IF(AD806="No","NO",""))</f>
        <v>NO</v>
      </c>
      <c r="AR806" t="str">
        <f>IF(ISNUMBER(SEARCH("®",N806)),"MARCA/INNOVADOR","GENERICO")</f>
        <v>GENERICO</v>
      </c>
      <c r="AS806">
        <f ca="1">IF(AE806&gt;100,RANDBETWEEN(500,5000),IF(AND(AE806&gt;=10,AE806&lt;=100),RANDBETWEEN(100,1000),RANDBETWEEN(10,200)))</f>
        <v>69</v>
      </c>
      <c r="AT806">
        <f t="shared" ca="1" si="62"/>
        <v>20</v>
      </c>
      <c r="AU806">
        <f ca="1">INT(AS806*RANDBETWEEN(120,200)/100)</f>
        <v>102</v>
      </c>
      <c r="AV806" s="2">
        <f ca="1">IF(LEFT(Y806,1)="L",RANDBETWEEN(500000,5000000),IF(LEFT(Y806,1)="C",RANDBETWEEN(5000,50000),IF(LEFT(Y806,1)="N",RANDBETWEEN(10000,150000),IF(LEFT(Y806,1)="J",RANDBETWEEN(8000,200000),RANDBETWEEN(5000,100000)))))</f>
        <v>62153</v>
      </c>
      <c r="AW806" s="2">
        <f ca="1">INT(AV806*RANDBETWEEN(30,60)/100)</f>
        <v>35427</v>
      </c>
      <c r="AX806">
        <f ca="1">IF(Z806="ORAL",RANDBETWEEN(1000,10000),IF(OR(Z806="INTRAVENOSA",Z806="INTRAMUSCULAR"),RANDBETWEEN(100,2000),IF(OR(Z806="OFTÁLMICA",Z806="TOPICA (EXTERNA)"),RANDBETWEEN(200,3000),RANDBETWEEN(100,1500))))</f>
        <v>8850</v>
      </c>
      <c r="AY806" s="2">
        <f ca="1">INT(AV806*RANDBETWEEN(90,130)/100)</f>
        <v>60288</v>
      </c>
      <c r="AZ806" t="str">
        <f t="shared" ca="1" si="63"/>
        <v>20.2%</v>
      </c>
      <c r="BA806" t="str">
        <f t="shared" ca="1" si="64"/>
        <v>BAJO</v>
      </c>
    </row>
    <row r="807" spans="4:53" x14ac:dyDescent="0.35">
      <c r="D807" t="s">
        <v>5131</v>
      </c>
      <c r="E807" s="1">
        <v>42254</v>
      </c>
      <c r="F807" t="s">
        <v>5132</v>
      </c>
      <c r="G807" t="s">
        <v>108</v>
      </c>
      <c r="H807" t="s">
        <v>3435</v>
      </c>
      <c r="I807">
        <v>20087447</v>
      </c>
      <c r="J807" t="s">
        <v>28</v>
      </c>
      <c r="K807">
        <v>7</v>
      </c>
      <c r="L807" t="s">
        <v>27</v>
      </c>
      <c r="M807" t="s">
        <v>5133</v>
      </c>
      <c r="N807" t="s">
        <v>5134</v>
      </c>
      <c r="O807" t="s">
        <v>5135</v>
      </c>
      <c r="P807" t="s">
        <v>5136</v>
      </c>
      <c r="Q807" s="1">
        <v>42145</v>
      </c>
      <c r="R807" t="s">
        <v>5137</v>
      </c>
      <c r="S807" s="1">
        <v>44097</v>
      </c>
      <c r="T807" t="s">
        <v>5138</v>
      </c>
      <c r="U807" t="s">
        <v>247</v>
      </c>
      <c r="V807" t="s">
        <v>5139</v>
      </c>
      <c r="W807">
        <v>8</v>
      </c>
      <c r="X807">
        <v>20087447</v>
      </c>
      <c r="Y807" t="s">
        <v>5140</v>
      </c>
      <c r="Z807" t="s">
        <v>119</v>
      </c>
      <c r="AA807" t="s">
        <v>32</v>
      </c>
      <c r="AB807" t="s">
        <v>250</v>
      </c>
      <c r="AC807" t="s">
        <v>38</v>
      </c>
      <c r="AD807" t="s">
        <v>155</v>
      </c>
      <c r="AE807">
        <v>20</v>
      </c>
      <c r="AF807" t="s">
        <v>27</v>
      </c>
      <c r="AG807" t="s">
        <v>26</v>
      </c>
      <c r="AH807" t="s">
        <v>6834</v>
      </c>
      <c r="AI807" t="str">
        <f t="shared" si="60"/>
        <v>NO</v>
      </c>
      <c r="AJ807" t="str">
        <f t="shared" si="61"/>
        <v>TECNOFARMA COLOMBIA</v>
      </c>
      <c r="AK807" t="str">
        <f>IF(ISNUMBER(SEARCH("FABRICANTE",AC807)),"FABRICANTE",IF(ISNUMBER(SEARCH("IMPORTADOR",AC807)),"IMPORTADOR","OTRO"))</f>
        <v>IMPORTADOR</v>
      </c>
      <c r="AL807" t="str">
        <f>IF(LEFT(Y807,1)="A","Sistema digestivo",IF(LEFT(Y807,1)="B","Sangre",IF(LEFT(Y807,1)="C","Cardiovascular",IF(LEFT(Y807,1)="D","Dermatológico",IF(LEFT(Y807,1)="G","Genitourinario",IF(LEFT(Y807,1)="H","Hormonal",IF(LEFT(Y807,1)="J","Antiinfecciosos",IF(LEFT(Y807,1)="L","Oncológicos",IF(LEFT(Y807,1)="M","Musculoesquelético",IF(LEFT(Y807,1)="N","Sistema nervioso",IF(LEFT(Y807,1)="R","Respiratorio",IF(LEFT(Y807,1)="S","Oftálmico",IF(LEFT(Y807,1)="V","Varios","OTRO")))))))))))))</f>
        <v>Sistema digestivo</v>
      </c>
      <c r="AM807" t="str">
        <f>IF(AG807="Vigente","ACTIVO",IF(ISNUMBER(SEARCH("Inactivo",J807)),"INACTIVO","REVISAR"))</f>
        <v>ACTIVO</v>
      </c>
      <c r="AN807" t="str">
        <f ca="1">IF(OR(AF807="",AF807="null"),"",ROUND((AF807-TODAY())/365.25,2))</f>
        <v/>
      </c>
      <c r="AO807" t="str">
        <f ca="1">IF(AND(AG807="Vigente",OR(AF807="",AF807="null",AF807&gt;TODAY())),"SI",IF(AND(NOT(OR(AF807="",AF807="null")),AF807&lt;=TODAY()),"NO",IF(AG807="Vigente","SI","DESCONOCIDO")))</f>
        <v>SI</v>
      </c>
      <c r="AP807" t="str">
        <f>IF(AND(ISNUMBER(SEARCH("IMPORTAR",AA807)),ISNUMBER(SEARCH("FABRICAR",AA807))),"MIXTO",IF(ISNUMBER(SEARCH("IMPORTAR",AA807)),"IMPORTADO",IF(ISNUMBER(SEARCH("FABRICAR",AA807)),"LOCAL","OTRO")))</f>
        <v>IMPORTADO</v>
      </c>
      <c r="AQ807" t="str">
        <f>IF(AD807="Si","SI",IF(AD807="No","NO",""))</f>
        <v>SI</v>
      </c>
      <c r="AR807" t="str">
        <f>IF(ISNUMBER(SEARCH("®",N807)),"MARCA/INNOVADOR","GENERICO")</f>
        <v>GENERICO</v>
      </c>
      <c r="AS807">
        <f ca="1">IF(AE807&gt;100,RANDBETWEEN(500,5000),IF(AND(AE807&gt;=10,AE807&lt;=100),RANDBETWEEN(100,1000),RANDBETWEEN(10,200)))</f>
        <v>967</v>
      </c>
      <c r="AT807">
        <f t="shared" ca="1" si="62"/>
        <v>174</v>
      </c>
      <c r="AU807">
        <f ca="1">INT(AS807*RANDBETWEEN(120,200)/100)</f>
        <v>1904</v>
      </c>
      <c r="AV807" s="2">
        <f ca="1">IF(LEFT(Y807,1)="L",RANDBETWEEN(500000,5000000),IF(LEFT(Y807,1)="C",RANDBETWEEN(5000,50000),IF(LEFT(Y807,1)="N",RANDBETWEEN(10000,150000),IF(LEFT(Y807,1)="J",RANDBETWEEN(8000,200000),RANDBETWEEN(5000,100000)))))</f>
        <v>22736</v>
      </c>
      <c r="AW807" s="2">
        <f ca="1">INT(AV807*RANDBETWEEN(30,60)/100)</f>
        <v>11595</v>
      </c>
      <c r="AX807">
        <f ca="1">IF(Z807="ORAL",RANDBETWEEN(1000,10000),IF(OR(Z807="INTRAVENOSA",Z807="INTRAMUSCULAR"),RANDBETWEEN(100,2000),IF(OR(Z807="OFTÁLMICA",Z807="TOPICA (EXTERNA)"),RANDBETWEEN(200,3000),RANDBETWEEN(100,1500))))</f>
        <v>4275</v>
      </c>
      <c r="AY807" s="2">
        <f ca="1">INT(AV807*RANDBETWEEN(90,130)/100)</f>
        <v>27055</v>
      </c>
      <c r="AZ807" t="str">
        <f t="shared" ca="1" si="63"/>
        <v>6.1%</v>
      </c>
      <c r="BA807" t="str">
        <f t="shared" ca="1" si="64"/>
        <v>BAJO</v>
      </c>
    </row>
    <row r="808" spans="4:53" x14ac:dyDescent="0.35">
      <c r="D808" t="s">
        <v>5141</v>
      </c>
      <c r="E808" s="1">
        <v>45733</v>
      </c>
      <c r="F808" t="s">
        <v>5142</v>
      </c>
      <c r="G808" t="s">
        <v>108</v>
      </c>
      <c r="H808" t="s">
        <v>5143</v>
      </c>
      <c r="I808">
        <v>20194287</v>
      </c>
      <c r="J808" t="s">
        <v>28</v>
      </c>
      <c r="K808">
        <v>3</v>
      </c>
      <c r="L808" t="s">
        <v>27</v>
      </c>
      <c r="M808" t="s">
        <v>5144</v>
      </c>
      <c r="N808" t="s">
        <v>5145</v>
      </c>
      <c r="O808" t="s">
        <v>5146</v>
      </c>
      <c r="P808" t="s">
        <v>659</v>
      </c>
      <c r="Q808" s="1">
        <v>45684</v>
      </c>
      <c r="R808" t="s">
        <v>37</v>
      </c>
      <c r="S808" t="s">
        <v>27</v>
      </c>
      <c r="T808" t="s">
        <v>5147</v>
      </c>
      <c r="U808" t="s">
        <v>115</v>
      </c>
      <c r="V808" t="s">
        <v>5148</v>
      </c>
      <c r="W808">
        <v>250</v>
      </c>
      <c r="X808">
        <v>20194287</v>
      </c>
      <c r="Y808" t="s">
        <v>5149</v>
      </c>
      <c r="Z808" t="s">
        <v>119</v>
      </c>
      <c r="AA808" t="s">
        <v>32</v>
      </c>
      <c r="AB808" t="s">
        <v>120</v>
      </c>
      <c r="AC808" t="s">
        <v>25</v>
      </c>
      <c r="AD808" t="s">
        <v>155</v>
      </c>
      <c r="AE808">
        <v>30</v>
      </c>
      <c r="AF808" s="1">
        <v>47574</v>
      </c>
      <c r="AG808" t="s">
        <v>26</v>
      </c>
      <c r="AH808" t="s">
        <v>6835</v>
      </c>
      <c r="AI808" t="str">
        <f t="shared" si="60"/>
        <v>NO</v>
      </c>
      <c r="AJ808" t="str">
        <f t="shared" si="61"/>
        <v>AVALON PHARMACEUTICAL</v>
      </c>
      <c r="AK808" t="str">
        <f>IF(ISNUMBER(SEARCH("FABRICANTE",AC808)),"FABRICANTE",IF(ISNUMBER(SEARCH("IMPORTADOR",AC808)),"IMPORTADOR","OTRO"))</f>
        <v>FABRICANTE</v>
      </c>
      <c r="AL808" t="str">
        <f>IF(LEFT(Y808,1)="A","Sistema digestivo",IF(LEFT(Y808,1)="B","Sangre",IF(LEFT(Y808,1)="C","Cardiovascular",IF(LEFT(Y808,1)="D","Dermatológico",IF(LEFT(Y808,1)="G","Genitourinario",IF(LEFT(Y808,1)="H","Hormonal",IF(LEFT(Y808,1)="J","Antiinfecciosos",IF(LEFT(Y808,1)="L","Oncológicos",IF(LEFT(Y808,1)="M","Musculoesquelético",IF(LEFT(Y808,1)="N","Sistema nervioso",IF(LEFT(Y808,1)="R","Respiratorio",IF(LEFT(Y808,1)="S","Oftálmico",IF(LEFT(Y808,1)="V","Varios","OTRO")))))))))))))</f>
        <v>Oncológicos</v>
      </c>
      <c r="AM808" t="str">
        <f>IF(AG808="Vigente","ACTIVO",IF(ISNUMBER(SEARCH("Inactivo",J808)),"INACTIVO","REVISAR"))</f>
        <v>ACTIVO</v>
      </c>
      <c r="AN808">
        <f ca="1">IF(OR(AF808="",AF808="null"),"",ROUND((AF808-TODAY())/365.25,2))</f>
        <v>3.85</v>
      </c>
      <c r="AO808" t="str">
        <f ca="1">IF(AND(AG808="Vigente",OR(AF808="",AF808="null",AF808&gt;TODAY())),"SI",IF(AND(NOT(OR(AF808="",AF808="null")),AF808&lt;=TODAY()),"NO",IF(AG808="Vigente","SI","DESCONOCIDO")))</f>
        <v>SI</v>
      </c>
      <c r="AP808" t="str">
        <f>IF(AND(ISNUMBER(SEARCH("IMPORTAR",AA808)),ISNUMBER(SEARCH("FABRICAR",AA808))),"MIXTO",IF(ISNUMBER(SEARCH("IMPORTAR",AA808)),"IMPORTADO",IF(ISNUMBER(SEARCH("FABRICAR",AA808)),"LOCAL","OTRO")))</f>
        <v>IMPORTADO</v>
      </c>
      <c r="AQ808" t="str">
        <f>IF(AD808="Si","SI",IF(AD808="No","NO",""))</f>
        <v>SI</v>
      </c>
      <c r="AR808" t="str">
        <f>IF(ISNUMBER(SEARCH("®",N808)),"MARCA/INNOVADOR","GENERICO")</f>
        <v>MARCA/INNOVADOR</v>
      </c>
      <c r="AS808">
        <f ca="1">IF(AE808&gt;100,RANDBETWEEN(500,5000),IF(AND(AE808&gt;=10,AE808&lt;=100),RANDBETWEEN(100,1000),RANDBETWEEN(10,200)))</f>
        <v>365</v>
      </c>
      <c r="AT808">
        <f t="shared" ca="1" si="62"/>
        <v>83</v>
      </c>
      <c r="AU808">
        <f ca="1">INT(AS808*RANDBETWEEN(120,200)/100)</f>
        <v>536</v>
      </c>
      <c r="AV808" s="2">
        <f ca="1">IF(LEFT(Y808,1)="L",RANDBETWEEN(500000,5000000),IF(LEFT(Y808,1)="C",RANDBETWEEN(5000,50000),IF(LEFT(Y808,1)="N",RANDBETWEEN(10000,150000),IF(LEFT(Y808,1)="J",RANDBETWEEN(8000,200000),RANDBETWEEN(5000,100000)))))</f>
        <v>3938013</v>
      </c>
      <c r="AW808" s="2">
        <f ca="1">INT(AV808*RANDBETWEEN(30,60)/100)</f>
        <v>1850866</v>
      </c>
      <c r="AX808">
        <f ca="1">IF(Z808="ORAL",RANDBETWEEN(1000,10000),IF(OR(Z808="INTRAVENOSA",Z808="INTRAMUSCULAR"),RANDBETWEEN(100,2000),IF(OR(Z808="OFTÁLMICA",Z808="TOPICA (EXTERNA)"),RANDBETWEEN(200,3000),RANDBETWEEN(100,1500))))</f>
        <v>9403</v>
      </c>
      <c r="AY808" s="2">
        <f ca="1">INT(AV808*RANDBETWEEN(90,130)/100)</f>
        <v>4843755</v>
      </c>
      <c r="AZ808" t="str">
        <f t="shared" ca="1" si="63"/>
        <v>22.7%</v>
      </c>
      <c r="BA808" t="str">
        <f t="shared" ca="1" si="64"/>
        <v>MEDIO</v>
      </c>
    </row>
    <row r="809" spans="4:53" x14ac:dyDescent="0.35">
      <c r="D809" t="s">
        <v>5150</v>
      </c>
      <c r="E809" s="1">
        <v>40528</v>
      </c>
      <c r="F809" t="s">
        <v>5151</v>
      </c>
      <c r="G809" t="s">
        <v>108</v>
      </c>
      <c r="H809" t="s">
        <v>5152</v>
      </c>
      <c r="I809">
        <v>20020735</v>
      </c>
      <c r="J809" t="s">
        <v>28</v>
      </c>
      <c r="K809">
        <v>2</v>
      </c>
      <c r="L809" t="s">
        <v>5153</v>
      </c>
      <c r="M809" t="s">
        <v>5154</v>
      </c>
      <c r="N809" t="s">
        <v>5155</v>
      </c>
      <c r="O809" t="s">
        <v>5156</v>
      </c>
      <c r="P809" t="s">
        <v>5157</v>
      </c>
      <c r="Q809" s="1">
        <v>42228</v>
      </c>
      <c r="R809" t="s">
        <v>375</v>
      </c>
      <c r="S809" t="s">
        <v>27</v>
      </c>
      <c r="T809" t="s">
        <v>2016</v>
      </c>
      <c r="U809" t="s">
        <v>115</v>
      </c>
      <c r="V809" t="s">
        <v>2021</v>
      </c>
      <c r="W809">
        <v>150</v>
      </c>
      <c r="X809">
        <v>20020735</v>
      </c>
      <c r="Y809" t="s">
        <v>2023</v>
      </c>
      <c r="Z809" t="s">
        <v>213</v>
      </c>
      <c r="AA809" t="s">
        <v>32</v>
      </c>
      <c r="AB809" t="s">
        <v>120</v>
      </c>
      <c r="AC809" t="s">
        <v>25</v>
      </c>
      <c r="AD809" t="s">
        <v>121</v>
      </c>
      <c r="AE809">
        <v>1</v>
      </c>
      <c r="AF809" s="1">
        <v>401769</v>
      </c>
      <c r="AG809" t="s">
        <v>26</v>
      </c>
      <c r="AH809" t="s">
        <v>2021</v>
      </c>
      <c r="AI809" t="str">
        <f t="shared" si="60"/>
        <v>NO</v>
      </c>
      <c r="AJ809" t="str">
        <f t="shared" si="61"/>
        <v>JANSSEN CILAG</v>
      </c>
      <c r="AK809" t="str">
        <f>IF(ISNUMBER(SEARCH("FABRICANTE",AC809)),"FABRICANTE",IF(ISNUMBER(SEARCH("IMPORTADOR",AC809)),"IMPORTADOR","OTRO"))</f>
        <v>FABRICANTE</v>
      </c>
      <c r="AL809" t="str">
        <f>IF(LEFT(Y809,1)="A","Sistema digestivo",IF(LEFT(Y809,1)="B","Sangre",IF(LEFT(Y809,1)="C","Cardiovascular",IF(LEFT(Y809,1)="D","Dermatológico",IF(LEFT(Y809,1)="G","Genitourinario",IF(LEFT(Y809,1)="H","Hormonal",IF(LEFT(Y809,1)="J","Antiinfecciosos",IF(LEFT(Y809,1)="L","Oncológicos",IF(LEFT(Y809,1)="M","Musculoesquelético",IF(LEFT(Y809,1)="N","Sistema nervioso",IF(LEFT(Y809,1)="R","Respiratorio",IF(LEFT(Y809,1)="S","Oftálmico",IF(LEFT(Y809,1)="V","Varios","OTRO")))))))))))))</f>
        <v>Sistema nervioso</v>
      </c>
      <c r="AM809" t="str">
        <f>IF(AG809="Vigente","ACTIVO",IF(ISNUMBER(SEARCH("Inactivo",J809)),"INACTIVO","REVISAR"))</f>
        <v>ACTIVO</v>
      </c>
      <c r="AN809">
        <f ca="1">IF(OR(AF809="",AF809="null"),"",ROUND((AF809-TODAY())/365.25,2))</f>
        <v>973.58</v>
      </c>
      <c r="AO809" t="str">
        <f ca="1">IF(AND(AG809="Vigente",OR(AF809="",AF809="null",AF809&gt;TODAY())),"SI",IF(AND(NOT(OR(AF809="",AF809="null")),AF809&lt;=TODAY()),"NO",IF(AG809="Vigente","SI","DESCONOCIDO")))</f>
        <v>SI</v>
      </c>
      <c r="AP809" t="str">
        <f>IF(AND(ISNUMBER(SEARCH("IMPORTAR",AA809)),ISNUMBER(SEARCH("FABRICAR",AA809))),"MIXTO",IF(ISNUMBER(SEARCH("IMPORTAR",AA809)),"IMPORTADO",IF(ISNUMBER(SEARCH("FABRICAR",AA809)),"LOCAL","OTRO")))</f>
        <v>IMPORTADO</v>
      </c>
      <c r="AQ809" t="str">
        <f>IF(AD809="Si","SI",IF(AD809="No","NO",""))</f>
        <v>NO</v>
      </c>
      <c r="AR809" t="str">
        <f>IF(ISNUMBER(SEARCH("®",N809)),"MARCA/INNOVADOR","GENERICO")</f>
        <v>MARCA/INNOVADOR</v>
      </c>
      <c r="AS809">
        <f ca="1">IF(AE809&gt;100,RANDBETWEEN(500,5000),IF(AND(AE809&gt;=10,AE809&lt;=100),RANDBETWEEN(100,1000),RANDBETWEEN(10,200)))</f>
        <v>23</v>
      </c>
      <c r="AT809">
        <f t="shared" ca="1" si="62"/>
        <v>5</v>
      </c>
      <c r="AU809">
        <f ca="1">INT(AS809*RANDBETWEEN(120,200)/100)</f>
        <v>31</v>
      </c>
      <c r="AV809" s="2">
        <f ca="1">IF(LEFT(Y809,1)="L",RANDBETWEEN(500000,5000000),IF(LEFT(Y809,1)="C",RANDBETWEEN(5000,50000),IF(LEFT(Y809,1)="N",RANDBETWEEN(10000,150000),IF(LEFT(Y809,1)="J",RANDBETWEEN(8000,200000),RANDBETWEEN(5000,100000)))))</f>
        <v>73776</v>
      </c>
      <c r="AW809" s="2">
        <f ca="1">INT(AV809*RANDBETWEEN(30,60)/100)</f>
        <v>33199</v>
      </c>
      <c r="AX809">
        <f ca="1">IF(Z809="ORAL",RANDBETWEEN(1000,10000),IF(OR(Z809="INTRAVENOSA",Z809="INTRAMUSCULAR"),RANDBETWEEN(100,2000),IF(OR(Z809="OFTÁLMICA",Z809="TOPICA (EXTERNA)"),RANDBETWEEN(200,3000),RANDBETWEEN(100,1500))))</f>
        <v>1582</v>
      </c>
      <c r="AY809" s="2">
        <f ca="1">INT(AV809*RANDBETWEEN(90,130)/100)</f>
        <v>72300</v>
      </c>
      <c r="AZ809" t="str">
        <f t="shared" ca="1" si="63"/>
        <v>10%</v>
      </c>
      <c r="BA809" t="str">
        <f t="shared" ca="1" si="64"/>
        <v>BAJO</v>
      </c>
    </row>
    <row r="810" spans="4:53" x14ac:dyDescent="0.35">
      <c r="D810" t="s">
        <v>5158</v>
      </c>
      <c r="E810" s="1">
        <v>42198</v>
      </c>
      <c r="F810" t="s">
        <v>5159</v>
      </c>
      <c r="G810" t="s">
        <v>108</v>
      </c>
      <c r="H810" t="s">
        <v>114</v>
      </c>
      <c r="I810">
        <v>20082896</v>
      </c>
      <c r="J810" t="s">
        <v>28</v>
      </c>
      <c r="K810">
        <v>7</v>
      </c>
      <c r="L810" t="s">
        <v>27</v>
      </c>
      <c r="M810" t="s">
        <v>5160</v>
      </c>
      <c r="N810" t="s">
        <v>5161</v>
      </c>
      <c r="O810" t="s">
        <v>5162</v>
      </c>
      <c r="P810" t="s">
        <v>33</v>
      </c>
      <c r="Q810" s="1">
        <v>42149</v>
      </c>
      <c r="R810" t="s">
        <v>33</v>
      </c>
      <c r="S810" s="1">
        <v>44048</v>
      </c>
      <c r="T810" t="s">
        <v>114</v>
      </c>
      <c r="U810" t="s">
        <v>115</v>
      </c>
      <c r="V810" t="s">
        <v>3431</v>
      </c>
      <c r="W810">
        <v>325</v>
      </c>
      <c r="X810">
        <v>20082896</v>
      </c>
      <c r="Y810" t="s">
        <v>3432</v>
      </c>
      <c r="Z810" t="s">
        <v>119</v>
      </c>
      <c r="AA810" t="s">
        <v>165</v>
      </c>
      <c r="AB810" t="s">
        <v>120</v>
      </c>
      <c r="AC810" t="s">
        <v>25</v>
      </c>
      <c r="AD810" t="s">
        <v>121</v>
      </c>
      <c r="AE810">
        <v>90</v>
      </c>
      <c r="AF810" t="s">
        <v>27</v>
      </c>
      <c r="AG810" t="s">
        <v>26</v>
      </c>
      <c r="AH810" t="s">
        <v>6836</v>
      </c>
      <c r="AI810" t="str">
        <f t="shared" si="60"/>
        <v>SI</v>
      </c>
      <c r="AJ810" t="str">
        <f t="shared" si="61"/>
        <v>LABORATORIOS LEGRAND</v>
      </c>
      <c r="AK810" t="str">
        <f>IF(ISNUMBER(SEARCH("FABRICANTE",AC810)),"FABRICANTE",IF(ISNUMBER(SEARCH("IMPORTADOR",AC810)),"IMPORTADOR","OTRO"))</f>
        <v>FABRICANTE</v>
      </c>
      <c r="AL810" t="str">
        <f>IF(LEFT(Y810,1)="A","Sistema digestivo",IF(LEFT(Y810,1)="B","Sangre",IF(LEFT(Y810,1)="C","Cardiovascular",IF(LEFT(Y810,1)="D","Dermatológico",IF(LEFT(Y810,1)="G","Genitourinario",IF(LEFT(Y810,1)="H","Hormonal",IF(LEFT(Y810,1)="J","Antiinfecciosos",IF(LEFT(Y810,1)="L","Oncológicos",IF(LEFT(Y810,1)="M","Musculoesquelético",IF(LEFT(Y810,1)="N","Sistema nervioso",IF(LEFT(Y810,1)="R","Respiratorio",IF(LEFT(Y810,1)="S","Oftálmico",IF(LEFT(Y810,1)="V","Varios","OTRO")))))))))))))</f>
        <v>Sistema nervioso</v>
      </c>
      <c r="AM810" t="str">
        <f>IF(AG810="Vigente","ACTIVO",IF(ISNUMBER(SEARCH("Inactivo",J810)),"INACTIVO","REVISAR"))</f>
        <v>ACTIVO</v>
      </c>
      <c r="AN810" t="str">
        <f ca="1">IF(OR(AF810="",AF810="null"),"",ROUND((AF810-TODAY())/365.25,2))</f>
        <v/>
      </c>
      <c r="AO810" t="str">
        <f ca="1">IF(AND(AG810="Vigente",OR(AF810="",AF810="null",AF810&gt;TODAY())),"SI",IF(AND(NOT(OR(AF810="",AF810="null")),AF810&lt;=TODAY()),"NO",IF(AG810="Vigente","SI","DESCONOCIDO")))</f>
        <v>SI</v>
      </c>
      <c r="AP810" t="str">
        <f>IF(AND(ISNUMBER(SEARCH("IMPORTAR",AA810)),ISNUMBER(SEARCH("FABRICAR",AA810))),"MIXTO",IF(ISNUMBER(SEARCH("IMPORTAR",AA810)),"IMPORTADO",IF(ISNUMBER(SEARCH("FABRICAR",AA810)),"LOCAL","OTRO")))</f>
        <v>IMPORTADO</v>
      </c>
      <c r="AQ810" t="str">
        <f>IF(AD810="Si","SI",IF(AD810="No","NO",""))</f>
        <v>NO</v>
      </c>
      <c r="AR810" t="str">
        <f>IF(ISNUMBER(SEARCH("®",N810)),"MARCA/INNOVADOR","GENERICO")</f>
        <v>MARCA/INNOVADOR</v>
      </c>
      <c r="AS810">
        <f ca="1">IF(AE810&gt;100,RANDBETWEEN(500,5000),IF(AND(AE810&gt;=10,AE810&lt;=100),RANDBETWEEN(100,1000),RANDBETWEEN(10,200)))</f>
        <v>203</v>
      </c>
      <c r="AT810">
        <f t="shared" ca="1" si="62"/>
        <v>30</v>
      </c>
      <c r="AU810">
        <f ca="1">INT(AS810*RANDBETWEEN(120,200)/100)</f>
        <v>397</v>
      </c>
      <c r="AV810" s="2">
        <f ca="1">IF(LEFT(Y810,1)="L",RANDBETWEEN(500000,5000000),IF(LEFT(Y810,1)="C",RANDBETWEEN(5000,50000),IF(LEFT(Y810,1)="N",RANDBETWEEN(10000,150000),IF(LEFT(Y810,1)="J",RANDBETWEEN(8000,200000),RANDBETWEEN(5000,100000)))))</f>
        <v>21557</v>
      </c>
      <c r="AW810" s="2">
        <f ca="1">INT(AV810*RANDBETWEEN(30,60)/100)</f>
        <v>8622</v>
      </c>
      <c r="AX810">
        <f ca="1">IF(Z810="ORAL",RANDBETWEEN(1000,10000),IF(OR(Z810="INTRAVENOSA",Z810="INTRAMUSCULAR"),RANDBETWEEN(100,2000),IF(OR(Z810="OFTÁLMICA",Z810="TOPICA (EXTERNA)"),RANDBETWEEN(200,3000),RANDBETWEEN(100,1500))))</f>
        <v>5305</v>
      </c>
      <c r="AY810" s="2">
        <f ca="1">INT(AV810*RANDBETWEEN(90,130)/100)</f>
        <v>22850</v>
      </c>
      <c r="AZ810" t="str">
        <f t="shared" ca="1" si="63"/>
        <v>16.7%</v>
      </c>
      <c r="BA810" t="str">
        <f t="shared" ca="1" si="64"/>
        <v>BAJO</v>
      </c>
    </row>
    <row r="811" spans="4:53" x14ac:dyDescent="0.35">
      <c r="D811" t="s">
        <v>5163</v>
      </c>
      <c r="E811" s="1">
        <v>36161</v>
      </c>
      <c r="F811" t="s">
        <v>966</v>
      </c>
      <c r="G811" t="s">
        <v>108</v>
      </c>
      <c r="H811" t="s">
        <v>2584</v>
      </c>
      <c r="I811">
        <v>19909497</v>
      </c>
      <c r="J811" t="s">
        <v>110</v>
      </c>
      <c r="K811">
        <v>2</v>
      </c>
      <c r="L811" t="s">
        <v>27</v>
      </c>
      <c r="M811" t="s">
        <v>5164</v>
      </c>
      <c r="N811" t="s">
        <v>5165</v>
      </c>
      <c r="O811" t="s">
        <v>5166</v>
      </c>
      <c r="P811" t="s">
        <v>29</v>
      </c>
      <c r="Q811" s="1">
        <v>39031</v>
      </c>
      <c r="R811" t="s">
        <v>29</v>
      </c>
      <c r="S811" s="1">
        <v>42354</v>
      </c>
      <c r="T811" t="s">
        <v>2584</v>
      </c>
      <c r="U811" t="s">
        <v>115</v>
      </c>
      <c r="V811" t="s">
        <v>321</v>
      </c>
      <c r="W811">
        <v>5</v>
      </c>
      <c r="X811">
        <v>19909497</v>
      </c>
      <c r="Y811" t="s">
        <v>322</v>
      </c>
      <c r="Z811" t="s">
        <v>119</v>
      </c>
      <c r="AA811" t="s">
        <v>32</v>
      </c>
      <c r="AB811" t="s">
        <v>120</v>
      </c>
      <c r="AC811" t="s">
        <v>38</v>
      </c>
      <c r="AD811" t="s">
        <v>155</v>
      </c>
      <c r="AE811">
        <v>1</v>
      </c>
      <c r="AF811" t="s">
        <v>27</v>
      </c>
      <c r="AG811" t="s">
        <v>26</v>
      </c>
      <c r="AH811" t="s">
        <v>966</v>
      </c>
      <c r="AI811" t="str">
        <f t="shared" si="60"/>
        <v>NO</v>
      </c>
      <c r="AJ811" t="str">
        <f t="shared" si="61"/>
        <v>BAYER</v>
      </c>
      <c r="AK811" t="str">
        <f>IF(ISNUMBER(SEARCH("FABRICANTE",AC811)),"FABRICANTE",IF(ISNUMBER(SEARCH("IMPORTADOR",AC811)),"IMPORTADOR","OTRO"))</f>
        <v>IMPORTADOR</v>
      </c>
      <c r="AL811" t="str">
        <f>IF(LEFT(Y811,1)="A","Sistema digestivo",IF(LEFT(Y811,1)="B","Sangre",IF(LEFT(Y811,1)="C","Cardiovascular",IF(LEFT(Y811,1)="D","Dermatológico",IF(LEFT(Y811,1)="G","Genitourinario",IF(LEFT(Y811,1)="H","Hormonal",IF(LEFT(Y811,1)="J","Antiinfecciosos",IF(LEFT(Y811,1)="L","Oncológicos",IF(LEFT(Y811,1)="M","Musculoesquelético",IF(LEFT(Y811,1)="N","Sistema nervioso",IF(LEFT(Y811,1)="R","Respiratorio",IF(LEFT(Y811,1)="S","Oftálmico",IF(LEFT(Y811,1)="V","Varios","OTRO")))))))))))))</f>
        <v>Sistema nervioso</v>
      </c>
      <c r="AM811" t="str">
        <f>IF(AG811="Vigente","ACTIVO",IF(ISNUMBER(SEARCH("Inactivo",J811)),"INACTIVO","REVISAR"))</f>
        <v>ACTIVO</v>
      </c>
      <c r="AN811" t="str">
        <f ca="1">IF(OR(AF811="",AF811="null"),"",ROUND((AF811-TODAY())/365.25,2))</f>
        <v/>
      </c>
      <c r="AO811" t="str">
        <f ca="1">IF(AND(AG811="Vigente",OR(AF811="",AF811="null",AF811&gt;TODAY())),"SI",IF(AND(NOT(OR(AF811="",AF811="null")),AF811&lt;=TODAY()),"NO",IF(AG811="Vigente","SI","DESCONOCIDO")))</f>
        <v>SI</v>
      </c>
      <c r="AP811" t="str">
        <f>IF(AND(ISNUMBER(SEARCH("IMPORTAR",AA811)),ISNUMBER(SEARCH("FABRICAR",AA811))),"MIXTO",IF(ISNUMBER(SEARCH("IMPORTAR",AA811)),"IMPORTADO",IF(ISNUMBER(SEARCH("FABRICAR",AA811)),"LOCAL","OTRO")))</f>
        <v>IMPORTADO</v>
      </c>
      <c r="AQ811" t="str">
        <f>IF(AD811="Si","SI",IF(AD811="No","NO",""))</f>
        <v>SI</v>
      </c>
      <c r="AR811" t="str">
        <f>IF(ISNUMBER(SEARCH("®",N811)),"MARCA/INNOVADOR","GENERICO")</f>
        <v>MARCA/INNOVADOR</v>
      </c>
      <c r="AS811">
        <f ca="1">IF(AE811&gt;100,RANDBETWEEN(500,5000),IF(AND(AE811&gt;=10,AE811&lt;=100),RANDBETWEEN(100,1000),RANDBETWEEN(10,200)))</f>
        <v>183</v>
      </c>
      <c r="AT811">
        <f t="shared" ca="1" si="62"/>
        <v>54</v>
      </c>
      <c r="AU811">
        <f ca="1">INT(AS811*RANDBETWEEN(120,200)/100)</f>
        <v>285</v>
      </c>
      <c r="AV811" s="2">
        <f ca="1">IF(LEFT(Y811,1)="L",RANDBETWEEN(500000,5000000),IF(LEFT(Y811,1)="C",RANDBETWEEN(5000,50000),IF(LEFT(Y811,1)="N",RANDBETWEEN(10000,150000),IF(LEFT(Y811,1)="J",RANDBETWEEN(8000,200000),RANDBETWEEN(5000,100000)))))</f>
        <v>59728</v>
      </c>
      <c r="AW811" s="2">
        <f ca="1">INT(AV811*RANDBETWEEN(30,60)/100)</f>
        <v>34642</v>
      </c>
      <c r="AX811">
        <f ca="1">IF(Z811="ORAL",RANDBETWEEN(1000,10000),IF(OR(Z811="INTRAVENOSA",Z811="INTRAMUSCULAR"),RANDBETWEEN(100,2000),IF(OR(Z811="OFTÁLMICA",Z811="TOPICA (EXTERNA)"),RANDBETWEEN(200,3000),RANDBETWEEN(100,1500))))</f>
        <v>2009</v>
      </c>
      <c r="AY811" s="2">
        <f ca="1">INT(AV811*RANDBETWEEN(90,130)/100)</f>
        <v>65103</v>
      </c>
      <c r="AZ811" t="str">
        <f t="shared" ca="1" si="63"/>
        <v>13.2%</v>
      </c>
      <c r="BA811" t="str">
        <f t="shared" ca="1" si="64"/>
        <v>ALTO</v>
      </c>
    </row>
    <row r="812" spans="4:53" x14ac:dyDescent="0.35">
      <c r="D812" t="s">
        <v>5167</v>
      </c>
      <c r="E812" s="1">
        <v>44167</v>
      </c>
      <c r="F812" t="s">
        <v>5168</v>
      </c>
      <c r="G812" t="s">
        <v>108</v>
      </c>
      <c r="H812" t="s">
        <v>5169</v>
      </c>
      <c r="I812">
        <v>20165479</v>
      </c>
      <c r="J812" t="s">
        <v>28</v>
      </c>
      <c r="K812">
        <v>11</v>
      </c>
      <c r="L812" t="s">
        <v>5170</v>
      </c>
      <c r="M812" t="s">
        <v>5171</v>
      </c>
      <c r="N812" t="s">
        <v>5172</v>
      </c>
      <c r="O812" t="s">
        <v>5173</v>
      </c>
      <c r="P812" t="s">
        <v>5174</v>
      </c>
      <c r="Q812" s="1">
        <v>44133</v>
      </c>
      <c r="R812" t="s">
        <v>43</v>
      </c>
      <c r="S812" t="s">
        <v>27</v>
      </c>
      <c r="T812" t="s">
        <v>5175</v>
      </c>
      <c r="U812" t="s">
        <v>5176</v>
      </c>
      <c r="V812" t="s">
        <v>883</v>
      </c>
      <c r="W812">
        <v>63</v>
      </c>
      <c r="X812">
        <v>20165479</v>
      </c>
      <c r="Y812" t="s">
        <v>885</v>
      </c>
      <c r="Z812" t="s">
        <v>566</v>
      </c>
      <c r="AA812" t="s">
        <v>32</v>
      </c>
      <c r="AB812" t="s">
        <v>120</v>
      </c>
      <c r="AC812" t="s">
        <v>38</v>
      </c>
      <c r="AD812" t="s">
        <v>121</v>
      </c>
      <c r="AE812">
        <v>1</v>
      </c>
      <c r="AF812" t="s">
        <v>27</v>
      </c>
      <c r="AG812" t="s">
        <v>26</v>
      </c>
      <c r="AH812" t="s">
        <v>5168</v>
      </c>
      <c r="AI812" t="str">
        <f t="shared" si="60"/>
        <v>NO</v>
      </c>
      <c r="AJ812" t="str">
        <f t="shared" si="61"/>
        <v>GOJO INDUSTRIES</v>
      </c>
      <c r="AK812" t="str">
        <f>IF(ISNUMBER(SEARCH("FABRICANTE",AC812)),"FABRICANTE",IF(ISNUMBER(SEARCH("IMPORTADOR",AC812)),"IMPORTADOR","OTRO"))</f>
        <v>IMPORTADOR</v>
      </c>
      <c r="AL812" t="str">
        <f>IF(LEFT(Y812,1)="A","Sistema digestivo",IF(LEFT(Y812,1)="B","Sangre",IF(LEFT(Y812,1)="C","Cardiovascular",IF(LEFT(Y812,1)="D","Dermatológico",IF(LEFT(Y812,1)="G","Genitourinario",IF(LEFT(Y812,1)="H","Hormonal",IF(LEFT(Y812,1)="J","Antiinfecciosos",IF(LEFT(Y812,1)="L","Oncológicos",IF(LEFT(Y812,1)="M","Musculoesquelético",IF(LEFT(Y812,1)="N","Sistema nervioso",IF(LEFT(Y812,1)="R","Respiratorio",IF(LEFT(Y812,1)="S","Oftálmico",IF(LEFT(Y812,1)="V","Varios","OTRO")))))))))))))</f>
        <v>Dermatológico</v>
      </c>
      <c r="AM812" t="str">
        <f>IF(AG812="Vigente","ACTIVO",IF(ISNUMBER(SEARCH("Inactivo",J812)),"INACTIVO","REVISAR"))</f>
        <v>ACTIVO</v>
      </c>
      <c r="AN812" t="str">
        <f ca="1">IF(OR(AF812="",AF812="null"),"",ROUND((AF812-TODAY())/365.25,2))</f>
        <v/>
      </c>
      <c r="AO812" t="str">
        <f ca="1">IF(AND(AG812="Vigente",OR(AF812="",AF812="null",AF812&gt;TODAY())),"SI",IF(AND(NOT(OR(AF812="",AF812="null")),AF812&lt;=TODAY()),"NO",IF(AG812="Vigente","SI","DESCONOCIDO")))</f>
        <v>SI</v>
      </c>
      <c r="AP812" t="str">
        <f>IF(AND(ISNUMBER(SEARCH("IMPORTAR",AA812)),ISNUMBER(SEARCH("FABRICAR",AA812))),"MIXTO",IF(ISNUMBER(SEARCH("IMPORTAR",AA812)),"IMPORTADO",IF(ISNUMBER(SEARCH("FABRICAR",AA812)),"LOCAL","OTRO")))</f>
        <v>IMPORTADO</v>
      </c>
      <c r="AQ812" t="str">
        <f>IF(AD812="Si","SI",IF(AD812="No","NO",""))</f>
        <v>NO</v>
      </c>
      <c r="AR812" t="str">
        <f>IF(ISNUMBER(SEARCH("®",N812)),"MARCA/INNOVADOR","GENERICO")</f>
        <v>MARCA/INNOVADOR</v>
      </c>
      <c r="AS812">
        <f ca="1">IF(AE812&gt;100,RANDBETWEEN(500,5000),IF(AND(AE812&gt;=10,AE812&lt;=100),RANDBETWEEN(100,1000),RANDBETWEEN(10,200)))</f>
        <v>119</v>
      </c>
      <c r="AT812">
        <f t="shared" ca="1" si="62"/>
        <v>16</v>
      </c>
      <c r="AU812">
        <f ca="1">INT(AS812*RANDBETWEEN(120,200)/100)</f>
        <v>189</v>
      </c>
      <c r="AV812" s="2">
        <f ca="1">IF(LEFT(Y812,1)="L",RANDBETWEEN(500000,5000000),IF(LEFT(Y812,1)="C",RANDBETWEEN(5000,50000),IF(LEFT(Y812,1)="N",RANDBETWEEN(10000,150000),IF(LEFT(Y812,1)="J",RANDBETWEEN(8000,200000),RANDBETWEEN(5000,100000)))))</f>
        <v>91057</v>
      </c>
      <c r="AW812" s="2">
        <f ca="1">INT(AV812*RANDBETWEEN(30,60)/100)</f>
        <v>29138</v>
      </c>
      <c r="AX812">
        <f ca="1">IF(Z812="ORAL",RANDBETWEEN(1000,10000),IF(OR(Z812="INTRAVENOSA",Z812="INTRAMUSCULAR"),RANDBETWEEN(100,2000),IF(OR(Z812="OFTÁLMICA",Z812="TOPICA (EXTERNA)"),RANDBETWEEN(200,3000),RANDBETWEEN(100,1500))))</f>
        <v>2453</v>
      </c>
      <c r="AY812" s="2">
        <f ca="1">INT(AV812*RANDBETWEEN(90,130)/100)</f>
        <v>112000</v>
      </c>
      <c r="AZ812" t="str">
        <f t="shared" ca="1" si="63"/>
        <v>3.9%</v>
      </c>
      <c r="BA812" t="str">
        <f t="shared" ca="1" si="64"/>
        <v>BAJO</v>
      </c>
    </row>
    <row r="813" spans="4:53" x14ac:dyDescent="0.35">
      <c r="D813" t="s">
        <v>5177</v>
      </c>
      <c r="E813" s="1">
        <v>42030</v>
      </c>
      <c r="F813" t="s">
        <v>5178</v>
      </c>
      <c r="G813" t="s">
        <v>108</v>
      </c>
      <c r="H813" t="s">
        <v>5179</v>
      </c>
      <c r="I813">
        <v>20070347</v>
      </c>
      <c r="J813" t="s">
        <v>28</v>
      </c>
      <c r="K813">
        <v>1</v>
      </c>
      <c r="L813" t="s">
        <v>27</v>
      </c>
      <c r="M813" t="s">
        <v>5180</v>
      </c>
      <c r="N813" t="s">
        <v>5181</v>
      </c>
      <c r="O813" t="s">
        <v>5182</v>
      </c>
      <c r="P813" t="s">
        <v>5183</v>
      </c>
      <c r="Q813" s="1">
        <v>41828</v>
      </c>
      <c r="R813" t="s">
        <v>258</v>
      </c>
      <c r="S813" t="s">
        <v>27</v>
      </c>
      <c r="T813" t="s">
        <v>5179</v>
      </c>
      <c r="U813" t="s">
        <v>115</v>
      </c>
      <c r="V813" t="s">
        <v>5178</v>
      </c>
      <c r="W813">
        <v>10</v>
      </c>
      <c r="X813">
        <v>20070347</v>
      </c>
      <c r="Y813" t="s">
        <v>5184</v>
      </c>
      <c r="Z813" t="s">
        <v>260</v>
      </c>
      <c r="AA813" t="s">
        <v>32</v>
      </c>
      <c r="AB813" t="s">
        <v>133</v>
      </c>
      <c r="AC813" t="s">
        <v>38</v>
      </c>
      <c r="AD813" t="s">
        <v>121</v>
      </c>
      <c r="AE813">
        <v>5</v>
      </c>
      <c r="AF813" t="s">
        <v>27</v>
      </c>
      <c r="AG813" t="s">
        <v>26</v>
      </c>
      <c r="AH813" t="s">
        <v>5178</v>
      </c>
      <c r="AI813" t="str">
        <f t="shared" si="60"/>
        <v>NO</v>
      </c>
      <c r="AJ813" t="str">
        <f t="shared" si="61"/>
        <v>SERANEST PHARMA</v>
      </c>
      <c r="AK813" t="str">
        <f>IF(ISNUMBER(SEARCH("FABRICANTE",AC813)),"FABRICANTE",IF(ISNUMBER(SEARCH("IMPORTADOR",AC813)),"IMPORTADOR","OTRO"))</f>
        <v>IMPORTADOR</v>
      </c>
      <c r="AL813" t="str">
        <f>IF(LEFT(Y813,1)="A","Sistema digestivo",IF(LEFT(Y813,1)="B","Sangre",IF(LEFT(Y813,1)="C","Cardiovascular",IF(LEFT(Y813,1)="D","Dermatológico",IF(LEFT(Y813,1)="G","Genitourinario",IF(LEFT(Y813,1)="H","Hormonal",IF(LEFT(Y813,1)="J","Antiinfecciosos",IF(LEFT(Y813,1)="L","Oncológicos",IF(LEFT(Y813,1)="M","Musculoesquelético",IF(LEFT(Y813,1)="N","Sistema nervioso",IF(LEFT(Y813,1)="R","Respiratorio",IF(LEFT(Y813,1)="S","Oftálmico",IF(LEFT(Y813,1)="V","Varios","OTRO")))))))))))))</f>
        <v>Sistema nervioso</v>
      </c>
      <c r="AM813" t="str">
        <f>IF(AG813="Vigente","ACTIVO",IF(ISNUMBER(SEARCH("Inactivo",J813)),"INACTIVO","REVISAR"))</f>
        <v>ACTIVO</v>
      </c>
      <c r="AN813" t="str">
        <f ca="1">IF(OR(AF813="",AF813="null"),"",ROUND((AF813-TODAY())/365.25,2))</f>
        <v/>
      </c>
      <c r="AO813" t="str">
        <f ca="1">IF(AND(AG813="Vigente",OR(AF813="",AF813="null",AF813&gt;TODAY())),"SI",IF(AND(NOT(OR(AF813="",AF813="null")),AF813&lt;=TODAY()),"NO",IF(AG813="Vigente","SI","DESCONOCIDO")))</f>
        <v>SI</v>
      </c>
      <c r="AP813" t="str">
        <f>IF(AND(ISNUMBER(SEARCH("IMPORTAR",AA813)),ISNUMBER(SEARCH("FABRICAR",AA813))),"MIXTO",IF(ISNUMBER(SEARCH("IMPORTAR",AA813)),"IMPORTADO",IF(ISNUMBER(SEARCH("FABRICAR",AA813)),"LOCAL","OTRO")))</f>
        <v>IMPORTADO</v>
      </c>
      <c r="AQ813" t="str">
        <f>IF(AD813="Si","SI",IF(AD813="No","NO",""))</f>
        <v>NO</v>
      </c>
      <c r="AR813" t="str">
        <f>IF(ISNUMBER(SEARCH("®",N813)),"MARCA/INNOVADOR","GENERICO")</f>
        <v>GENERICO</v>
      </c>
      <c r="AS813">
        <f ca="1">IF(AE813&gt;100,RANDBETWEEN(500,5000),IF(AND(AE813&gt;=10,AE813&lt;=100),RANDBETWEEN(100,1000),RANDBETWEEN(10,200)))</f>
        <v>29</v>
      </c>
      <c r="AT813">
        <f t="shared" ca="1" si="62"/>
        <v>7</v>
      </c>
      <c r="AU813">
        <f ca="1">INT(AS813*RANDBETWEEN(120,200)/100)</f>
        <v>38</v>
      </c>
      <c r="AV813" s="2">
        <f ca="1">IF(LEFT(Y813,1)="L",RANDBETWEEN(500000,5000000),IF(LEFT(Y813,1)="C",RANDBETWEEN(5000,50000),IF(LEFT(Y813,1)="N",RANDBETWEEN(10000,150000),IF(LEFT(Y813,1)="J",RANDBETWEEN(8000,200000),RANDBETWEEN(5000,100000)))))</f>
        <v>140807</v>
      </c>
      <c r="AW813" s="2">
        <f ca="1">INT(AV813*RANDBETWEEN(30,60)/100)</f>
        <v>50690</v>
      </c>
      <c r="AX813">
        <f ca="1">IF(Z813="ORAL",RANDBETWEEN(1000,10000),IF(OR(Z813="INTRAVENOSA",Z813="INTRAMUSCULAR"),RANDBETWEEN(100,2000),IF(OR(Z813="OFTÁLMICA",Z813="TOPICA (EXTERNA)"),RANDBETWEEN(200,3000),RANDBETWEEN(100,1500))))</f>
        <v>519</v>
      </c>
      <c r="AY813" s="2">
        <f ca="1">INT(AV813*RANDBETWEEN(90,130)/100)</f>
        <v>167560</v>
      </c>
      <c r="AZ813" t="str">
        <f t="shared" ca="1" si="63"/>
        <v>4.5%</v>
      </c>
      <c r="BA813" t="str">
        <f t="shared" ca="1" si="64"/>
        <v>BAJO</v>
      </c>
    </row>
    <row r="814" spans="4:53" x14ac:dyDescent="0.35">
      <c r="D814" t="s">
        <v>5185</v>
      </c>
      <c r="E814" s="1">
        <v>37943</v>
      </c>
      <c r="F814" t="s">
        <v>5186</v>
      </c>
      <c r="G814" t="s">
        <v>108</v>
      </c>
      <c r="H814" t="s">
        <v>5187</v>
      </c>
      <c r="I814">
        <v>19937980</v>
      </c>
      <c r="J814" t="s">
        <v>28</v>
      </c>
      <c r="K814">
        <v>4</v>
      </c>
      <c r="L814" t="s">
        <v>27</v>
      </c>
      <c r="M814" t="s">
        <v>5188</v>
      </c>
      <c r="N814" t="s">
        <v>5189</v>
      </c>
      <c r="O814" t="s">
        <v>5190</v>
      </c>
      <c r="P814" t="s">
        <v>5191</v>
      </c>
      <c r="Q814" s="1">
        <v>40228</v>
      </c>
      <c r="R814" t="s">
        <v>5192</v>
      </c>
      <c r="S814" t="s">
        <v>27</v>
      </c>
      <c r="T814" t="s">
        <v>2941</v>
      </c>
      <c r="U814" t="s">
        <v>115</v>
      </c>
      <c r="V814" t="s">
        <v>5186</v>
      </c>
      <c r="W814" t="s">
        <v>3675</v>
      </c>
      <c r="X814">
        <v>19937980</v>
      </c>
      <c r="Y814" t="s">
        <v>5193</v>
      </c>
      <c r="Z814" t="s">
        <v>1762</v>
      </c>
      <c r="AA814" t="s">
        <v>32</v>
      </c>
      <c r="AB814" t="s">
        <v>120</v>
      </c>
      <c r="AC814" t="s">
        <v>25</v>
      </c>
      <c r="AD814" t="s">
        <v>155</v>
      </c>
      <c r="AE814">
        <v>5</v>
      </c>
      <c r="AF814" t="s">
        <v>27</v>
      </c>
      <c r="AG814" t="s">
        <v>26</v>
      </c>
      <c r="AH814" t="s">
        <v>5186</v>
      </c>
      <c r="AI814" t="str">
        <f t="shared" si="60"/>
        <v>NO</v>
      </c>
      <c r="AJ814" t="str">
        <f t="shared" si="61"/>
        <v>ABBVIE</v>
      </c>
      <c r="AK814" t="str">
        <f>IF(ISNUMBER(SEARCH("FABRICANTE",AC814)),"FABRICANTE",IF(ISNUMBER(SEARCH("IMPORTADOR",AC814)),"IMPORTADOR","OTRO"))</f>
        <v>FABRICANTE</v>
      </c>
      <c r="AL814" t="str">
        <f>IF(LEFT(Y814,1)="A","Sistema digestivo",IF(LEFT(Y814,1)="B","Sangre",IF(LEFT(Y814,1)="C","Cardiovascular",IF(LEFT(Y814,1)="D","Dermatológico",IF(LEFT(Y814,1)="G","Genitourinario",IF(LEFT(Y814,1)="H","Hormonal",IF(LEFT(Y814,1)="J","Antiinfecciosos",IF(LEFT(Y814,1)="L","Oncológicos",IF(LEFT(Y814,1)="M","Musculoesquelético",IF(LEFT(Y814,1)="N","Sistema nervioso",IF(LEFT(Y814,1)="R","Respiratorio",IF(LEFT(Y814,1)="S","Oftálmico",IF(LEFT(Y814,1)="V","Varios","OTRO")))))))))))))</f>
        <v>Oncológicos</v>
      </c>
      <c r="AM814" t="str">
        <f>IF(AG814="Vigente","ACTIVO",IF(ISNUMBER(SEARCH("Inactivo",J814)),"INACTIVO","REVISAR"))</f>
        <v>ACTIVO</v>
      </c>
      <c r="AN814" t="str">
        <f ca="1">IF(OR(AF814="",AF814="null"),"",ROUND((AF814-TODAY())/365.25,2))</f>
        <v/>
      </c>
      <c r="AO814" t="str">
        <f ca="1">IF(AND(AG814="Vigente",OR(AF814="",AF814="null",AF814&gt;TODAY())),"SI",IF(AND(NOT(OR(AF814="",AF814="null")),AF814&lt;=TODAY()),"NO",IF(AG814="Vigente","SI","DESCONOCIDO")))</f>
        <v>SI</v>
      </c>
      <c r="AP814" t="str">
        <f>IF(AND(ISNUMBER(SEARCH("IMPORTAR",AA814)),ISNUMBER(SEARCH("FABRICAR",AA814))),"MIXTO",IF(ISNUMBER(SEARCH("IMPORTAR",AA814)),"IMPORTADO",IF(ISNUMBER(SEARCH("FABRICAR",AA814)),"LOCAL","OTRO")))</f>
        <v>IMPORTADO</v>
      </c>
      <c r="AQ814" t="str">
        <f>IF(AD814="Si","SI",IF(AD814="No","NO",""))</f>
        <v>SI</v>
      </c>
      <c r="AR814" t="str">
        <f>IF(ISNUMBER(SEARCH("®",N814)),"MARCA/INNOVADOR","GENERICO")</f>
        <v>MARCA/INNOVADOR</v>
      </c>
      <c r="AS814">
        <f ca="1">IF(AE814&gt;100,RANDBETWEEN(500,5000),IF(AND(AE814&gt;=10,AE814&lt;=100),RANDBETWEEN(100,1000),RANDBETWEEN(10,200)))</f>
        <v>105</v>
      </c>
      <c r="AT814">
        <f t="shared" ca="1" si="62"/>
        <v>24</v>
      </c>
      <c r="AU814">
        <f ca="1">INT(AS814*RANDBETWEEN(120,200)/100)</f>
        <v>141</v>
      </c>
      <c r="AV814" s="2">
        <f ca="1">IF(LEFT(Y814,1)="L",RANDBETWEEN(500000,5000000),IF(LEFT(Y814,1)="C",RANDBETWEEN(5000,50000),IF(LEFT(Y814,1)="N",RANDBETWEEN(10000,150000),IF(LEFT(Y814,1)="J",RANDBETWEEN(8000,200000),RANDBETWEEN(5000,100000)))))</f>
        <v>1533203</v>
      </c>
      <c r="AW814" s="2">
        <f ca="1">INT(AV814*RANDBETWEEN(30,60)/100)</f>
        <v>720605</v>
      </c>
      <c r="AX814">
        <f ca="1">IF(Z814="ORAL",RANDBETWEEN(1000,10000),IF(OR(Z814="INTRAVENOSA",Z814="INTRAMUSCULAR"),RANDBETWEEN(100,2000),IF(OR(Z814="OFTÁLMICA",Z814="TOPICA (EXTERNA)"),RANDBETWEEN(200,3000),RANDBETWEEN(100,1500))))</f>
        <v>121</v>
      </c>
      <c r="AY814" s="2">
        <f ca="1">INT(AV814*RANDBETWEEN(90,130)/100)</f>
        <v>1671191</v>
      </c>
      <c r="AZ814" t="str">
        <f t="shared" ca="1" si="63"/>
        <v>5.5%</v>
      </c>
      <c r="BA814" t="str">
        <f t="shared" ca="1" si="64"/>
        <v>BAJO</v>
      </c>
    </row>
    <row r="815" spans="4:53" x14ac:dyDescent="0.35">
      <c r="D815" t="s">
        <v>5194</v>
      </c>
      <c r="E815" s="1">
        <v>41975</v>
      </c>
      <c r="F815" t="s">
        <v>4036</v>
      </c>
      <c r="G815" t="s">
        <v>108</v>
      </c>
      <c r="H815" t="s">
        <v>1501</v>
      </c>
      <c r="I815">
        <v>20061746</v>
      </c>
      <c r="J815" t="s">
        <v>110</v>
      </c>
      <c r="K815">
        <v>6</v>
      </c>
      <c r="L815" t="s">
        <v>27</v>
      </c>
      <c r="M815" t="s">
        <v>1326</v>
      </c>
      <c r="N815" t="s">
        <v>1327</v>
      </c>
      <c r="O815" t="s">
        <v>2632</v>
      </c>
      <c r="P815" t="s">
        <v>234</v>
      </c>
      <c r="Q815" s="1">
        <v>43236</v>
      </c>
      <c r="R815" t="s">
        <v>258</v>
      </c>
      <c r="S815" t="s">
        <v>27</v>
      </c>
      <c r="T815" t="s">
        <v>1329</v>
      </c>
      <c r="U815" t="s">
        <v>115</v>
      </c>
      <c r="V815" t="s">
        <v>64</v>
      </c>
      <c r="W815" t="s">
        <v>5195</v>
      </c>
      <c r="X815">
        <v>20061746</v>
      </c>
      <c r="Y815" t="s">
        <v>259</v>
      </c>
      <c r="Z815" t="s">
        <v>260</v>
      </c>
      <c r="AA815" t="s">
        <v>32</v>
      </c>
      <c r="AB815" t="s">
        <v>133</v>
      </c>
      <c r="AC815" t="s">
        <v>25</v>
      </c>
      <c r="AD815" t="s">
        <v>155</v>
      </c>
      <c r="AE815">
        <v>1</v>
      </c>
      <c r="AF815" s="1">
        <v>401769</v>
      </c>
      <c r="AG815" t="s">
        <v>26</v>
      </c>
      <c r="AH815" t="s">
        <v>6680</v>
      </c>
      <c r="AI815" t="str">
        <f t="shared" si="60"/>
        <v>NO</v>
      </c>
      <c r="AJ815" t="str">
        <f t="shared" si="61"/>
        <v>FRESENIUS KABI AB</v>
      </c>
      <c r="AK815" t="str">
        <f>IF(ISNUMBER(SEARCH("FABRICANTE",AC815)),"FABRICANTE",IF(ISNUMBER(SEARCH("IMPORTADOR",AC815)),"IMPORTADOR","OTRO"))</f>
        <v>FABRICANTE</v>
      </c>
      <c r="AL815" t="str">
        <f>IF(LEFT(Y815,1)="A","Sistema digestivo",IF(LEFT(Y815,1)="B","Sangre",IF(LEFT(Y815,1)="C","Cardiovascular",IF(LEFT(Y815,1)="D","Dermatológico",IF(LEFT(Y815,1)="G","Genitourinario",IF(LEFT(Y815,1)="H","Hormonal",IF(LEFT(Y815,1)="J","Antiinfecciosos",IF(LEFT(Y815,1)="L","Oncológicos",IF(LEFT(Y815,1)="M","Musculoesquelético",IF(LEFT(Y815,1)="N","Sistema nervioso",IF(LEFT(Y815,1)="R","Respiratorio",IF(LEFT(Y815,1)="S","Oftálmico",IF(LEFT(Y815,1)="V","Varios","OTRO")))))))))))))</f>
        <v>Sangre</v>
      </c>
      <c r="AM815" t="str">
        <f>IF(AG815="Vigente","ACTIVO",IF(ISNUMBER(SEARCH("Inactivo",J815)),"INACTIVO","REVISAR"))</f>
        <v>ACTIVO</v>
      </c>
      <c r="AN815">
        <f ca="1">IF(OR(AF815="",AF815="null"),"",ROUND((AF815-TODAY())/365.25,2))</f>
        <v>973.58</v>
      </c>
      <c r="AO815" t="str">
        <f ca="1">IF(AND(AG815="Vigente",OR(AF815="",AF815="null",AF815&gt;TODAY())),"SI",IF(AND(NOT(OR(AF815="",AF815="null")),AF815&lt;=TODAY()),"NO",IF(AG815="Vigente","SI","DESCONOCIDO")))</f>
        <v>SI</v>
      </c>
      <c r="AP815" t="str">
        <f>IF(AND(ISNUMBER(SEARCH("IMPORTAR",AA815)),ISNUMBER(SEARCH("FABRICAR",AA815))),"MIXTO",IF(ISNUMBER(SEARCH("IMPORTAR",AA815)),"IMPORTADO",IF(ISNUMBER(SEARCH("FABRICAR",AA815)),"LOCAL","OTRO")))</f>
        <v>IMPORTADO</v>
      </c>
      <c r="AQ815" t="str">
        <f>IF(AD815="Si","SI",IF(AD815="No","NO",""))</f>
        <v>SI</v>
      </c>
      <c r="AR815" t="str">
        <f>IF(ISNUMBER(SEARCH("®",N815)),"MARCA/INNOVADOR","GENERICO")</f>
        <v>MARCA/INNOVADOR</v>
      </c>
      <c r="AS815">
        <f ca="1">IF(AE815&gt;100,RANDBETWEEN(500,5000),IF(AND(AE815&gt;=10,AE815&lt;=100),RANDBETWEEN(100,1000),RANDBETWEEN(10,200)))</f>
        <v>53</v>
      </c>
      <c r="AT815">
        <f t="shared" ca="1" si="62"/>
        <v>5</v>
      </c>
      <c r="AU815">
        <f ca="1">INT(AS815*RANDBETWEEN(120,200)/100)</f>
        <v>76</v>
      </c>
      <c r="AV815" s="2">
        <f ca="1">IF(LEFT(Y815,1)="L",RANDBETWEEN(500000,5000000),IF(LEFT(Y815,1)="C",RANDBETWEEN(5000,50000),IF(LEFT(Y815,1)="N",RANDBETWEEN(10000,150000),IF(LEFT(Y815,1)="J",RANDBETWEEN(8000,200000),RANDBETWEEN(5000,100000)))))</f>
        <v>17146</v>
      </c>
      <c r="AW815" s="2">
        <f ca="1">INT(AV815*RANDBETWEEN(30,60)/100)</f>
        <v>8230</v>
      </c>
      <c r="AX815">
        <f ca="1">IF(Z815="ORAL",RANDBETWEEN(1000,10000),IF(OR(Z815="INTRAVENOSA",Z815="INTRAMUSCULAR"),RANDBETWEEN(100,2000),IF(OR(Z815="OFTÁLMICA",Z815="TOPICA (EXTERNA)"),RANDBETWEEN(200,3000),RANDBETWEEN(100,1500))))</f>
        <v>470</v>
      </c>
      <c r="AY815" s="2">
        <f ca="1">INT(AV815*RANDBETWEEN(90,130)/100)</f>
        <v>17317</v>
      </c>
      <c r="AZ815" t="str">
        <f t="shared" ca="1" si="63"/>
        <v>2.7%</v>
      </c>
      <c r="BA815" t="str">
        <f t="shared" ca="1" si="64"/>
        <v>MEDIO</v>
      </c>
    </row>
    <row r="816" spans="4:53" x14ac:dyDescent="0.35">
      <c r="D816" t="s">
        <v>5196</v>
      </c>
      <c r="E816" s="1">
        <v>35787</v>
      </c>
      <c r="F816" t="s">
        <v>2242</v>
      </c>
      <c r="G816" t="s">
        <v>108</v>
      </c>
      <c r="H816" t="s">
        <v>681</v>
      </c>
      <c r="I816">
        <v>208141</v>
      </c>
      <c r="J816" t="s">
        <v>28</v>
      </c>
      <c r="K816">
        <v>24</v>
      </c>
      <c r="L816" t="s">
        <v>5197</v>
      </c>
      <c r="M816" t="s">
        <v>550</v>
      </c>
      <c r="N816" t="s">
        <v>551</v>
      </c>
      <c r="O816" t="s">
        <v>5198</v>
      </c>
      <c r="P816" t="s">
        <v>553</v>
      </c>
      <c r="Q816" s="1">
        <v>39225</v>
      </c>
      <c r="R816" t="s">
        <v>50</v>
      </c>
      <c r="S816" t="s">
        <v>27</v>
      </c>
      <c r="T816" t="s">
        <v>549</v>
      </c>
      <c r="U816" t="s">
        <v>247</v>
      </c>
      <c r="V816" t="s">
        <v>554</v>
      </c>
      <c r="W816" t="s">
        <v>2244</v>
      </c>
      <c r="X816">
        <v>208141</v>
      </c>
      <c r="Y816" t="s">
        <v>556</v>
      </c>
      <c r="Z816" t="s">
        <v>260</v>
      </c>
      <c r="AA816" t="s">
        <v>32</v>
      </c>
      <c r="AB816" t="s">
        <v>120</v>
      </c>
      <c r="AC816" t="s">
        <v>25</v>
      </c>
      <c r="AD816" t="s">
        <v>121</v>
      </c>
      <c r="AE816">
        <v>1</v>
      </c>
      <c r="AF816" t="s">
        <v>27</v>
      </c>
      <c r="AG816" t="s">
        <v>26</v>
      </c>
      <c r="AH816" t="s">
        <v>6770</v>
      </c>
      <c r="AI816" t="str">
        <f t="shared" si="60"/>
        <v>NO</v>
      </c>
      <c r="AJ816" t="str">
        <f t="shared" si="61"/>
        <v>LABORATORIOS BAXTER</v>
      </c>
      <c r="AK816" t="str">
        <f>IF(ISNUMBER(SEARCH("FABRICANTE",AC816)),"FABRICANTE",IF(ISNUMBER(SEARCH("IMPORTADOR",AC816)),"IMPORTADOR","OTRO"))</f>
        <v>FABRICANTE</v>
      </c>
      <c r="AL816" t="str">
        <f>IF(LEFT(Y816,1)="A","Sistema digestivo",IF(LEFT(Y816,1)="B","Sangre",IF(LEFT(Y816,1)="C","Cardiovascular",IF(LEFT(Y816,1)="D","Dermatológico",IF(LEFT(Y816,1)="G","Genitourinario",IF(LEFT(Y816,1)="H","Hormonal",IF(LEFT(Y816,1)="J","Antiinfecciosos",IF(LEFT(Y816,1)="L","Oncológicos",IF(LEFT(Y816,1)="M","Musculoesquelético",IF(LEFT(Y816,1)="N","Sistema nervioso",IF(LEFT(Y816,1)="R","Respiratorio",IF(LEFT(Y816,1)="S","Oftálmico",IF(LEFT(Y816,1)="V","Varios","OTRO")))))))))))))</f>
        <v>Sangre</v>
      </c>
      <c r="AM816" t="str">
        <f>IF(AG816="Vigente","ACTIVO",IF(ISNUMBER(SEARCH("Inactivo",J816)),"INACTIVO","REVISAR"))</f>
        <v>ACTIVO</v>
      </c>
      <c r="AN816" t="str">
        <f ca="1">IF(OR(AF816="",AF816="null"),"",ROUND((AF816-TODAY())/365.25,2))</f>
        <v/>
      </c>
      <c r="AO816" t="str">
        <f ca="1">IF(AND(AG816="Vigente",OR(AF816="",AF816="null",AF816&gt;TODAY())),"SI",IF(AND(NOT(OR(AF816="",AF816="null")),AF816&lt;=TODAY()),"NO",IF(AG816="Vigente","SI","DESCONOCIDO")))</f>
        <v>SI</v>
      </c>
      <c r="AP816" t="str">
        <f>IF(AND(ISNUMBER(SEARCH("IMPORTAR",AA816)),ISNUMBER(SEARCH("FABRICAR",AA816))),"MIXTO",IF(ISNUMBER(SEARCH("IMPORTAR",AA816)),"IMPORTADO",IF(ISNUMBER(SEARCH("FABRICAR",AA816)),"LOCAL","OTRO")))</f>
        <v>IMPORTADO</v>
      </c>
      <c r="AQ816" t="str">
        <f>IF(AD816="Si","SI",IF(AD816="No","NO",""))</f>
        <v>NO</v>
      </c>
      <c r="AR816" t="str">
        <f>IF(ISNUMBER(SEARCH("®",N816)),"MARCA/INNOVADOR","GENERICO")</f>
        <v>GENERICO</v>
      </c>
      <c r="AS816">
        <f ca="1">IF(AE816&gt;100,RANDBETWEEN(500,5000),IF(AND(AE816&gt;=10,AE816&lt;=100),RANDBETWEEN(100,1000),RANDBETWEEN(10,200)))</f>
        <v>173</v>
      </c>
      <c r="AT816">
        <f t="shared" ca="1" si="62"/>
        <v>51</v>
      </c>
      <c r="AU816">
        <f ca="1">INT(AS816*RANDBETWEEN(120,200)/100)</f>
        <v>228</v>
      </c>
      <c r="AV816" s="2">
        <f ca="1">IF(LEFT(Y816,1)="L",RANDBETWEEN(500000,5000000),IF(LEFT(Y816,1)="C",RANDBETWEEN(5000,50000),IF(LEFT(Y816,1)="N",RANDBETWEEN(10000,150000),IF(LEFT(Y816,1)="J",RANDBETWEEN(8000,200000),RANDBETWEEN(5000,100000)))))</f>
        <v>84680</v>
      </c>
      <c r="AW816" s="2">
        <f ca="1">INT(AV816*RANDBETWEEN(30,60)/100)</f>
        <v>48267</v>
      </c>
      <c r="AX816">
        <f ca="1">IF(Z816="ORAL",RANDBETWEEN(1000,10000),IF(OR(Z816="INTRAVENOSA",Z816="INTRAMUSCULAR"),RANDBETWEEN(100,2000),IF(OR(Z816="OFTÁLMICA",Z816="TOPICA (EXTERNA)"),RANDBETWEEN(200,3000),RANDBETWEEN(100,1500))))</f>
        <v>1262</v>
      </c>
      <c r="AY816" s="2">
        <f ca="1">INT(AV816*RANDBETWEEN(90,130)/100)</f>
        <v>108390</v>
      </c>
      <c r="AZ816" t="str">
        <f t="shared" ca="1" si="63"/>
        <v>1%</v>
      </c>
      <c r="BA816" t="str">
        <f t="shared" ca="1" si="64"/>
        <v>BAJO</v>
      </c>
    </row>
    <row r="817" spans="4:53" x14ac:dyDescent="0.35">
      <c r="D817" t="s">
        <v>5199</v>
      </c>
      <c r="E817" s="1">
        <v>39568</v>
      </c>
      <c r="F817" t="s">
        <v>5200</v>
      </c>
      <c r="G817" t="s">
        <v>108</v>
      </c>
      <c r="H817" t="s">
        <v>801</v>
      </c>
      <c r="I817">
        <v>19983100</v>
      </c>
      <c r="J817" t="s">
        <v>28</v>
      </c>
      <c r="K817">
        <v>6</v>
      </c>
      <c r="L817" t="s">
        <v>27</v>
      </c>
      <c r="M817" t="s">
        <v>802</v>
      </c>
      <c r="N817" t="s">
        <v>803</v>
      </c>
      <c r="O817" t="s">
        <v>5201</v>
      </c>
      <c r="P817" t="s">
        <v>805</v>
      </c>
      <c r="Q817" s="1">
        <v>42541</v>
      </c>
      <c r="R817" t="s">
        <v>50</v>
      </c>
      <c r="S817" t="s">
        <v>27</v>
      </c>
      <c r="T817" t="s">
        <v>806</v>
      </c>
      <c r="U817" t="s">
        <v>807</v>
      </c>
      <c r="V817" t="s">
        <v>808</v>
      </c>
      <c r="W817">
        <v>25</v>
      </c>
      <c r="X817">
        <v>19983100</v>
      </c>
      <c r="Y817" t="s">
        <v>809</v>
      </c>
      <c r="Z817" t="s">
        <v>213</v>
      </c>
      <c r="AA817" t="s">
        <v>32</v>
      </c>
      <c r="AB817" t="s">
        <v>239</v>
      </c>
      <c r="AC817" t="s">
        <v>38</v>
      </c>
      <c r="AD817" t="s">
        <v>121</v>
      </c>
      <c r="AE817">
        <v>10</v>
      </c>
      <c r="AF817" s="1">
        <v>401769</v>
      </c>
      <c r="AG817" t="s">
        <v>26</v>
      </c>
      <c r="AH817" t="s">
        <v>6737</v>
      </c>
      <c r="AI817" t="str">
        <f t="shared" si="60"/>
        <v>NO</v>
      </c>
      <c r="AJ817" t="str">
        <f t="shared" si="61"/>
        <v>MERCK SHARP &amp; DOHME</v>
      </c>
      <c r="AK817" t="str">
        <f>IF(ISNUMBER(SEARCH("FABRICANTE",AC817)),"FABRICANTE",IF(ISNUMBER(SEARCH("IMPORTADOR",AC817)),"IMPORTADOR","OTRO"))</f>
        <v>IMPORTADOR</v>
      </c>
      <c r="AL817" t="str">
        <f>IF(LEFT(Y817,1)="A","Sistema digestivo",IF(LEFT(Y817,1)="B","Sangre",IF(LEFT(Y817,1)="C","Cardiovascular",IF(LEFT(Y817,1)="D","Dermatológico",IF(LEFT(Y817,1)="G","Genitourinario",IF(LEFT(Y817,1)="H","Hormonal",IF(LEFT(Y817,1)="J","Antiinfecciosos",IF(LEFT(Y817,1)="L","Oncológicos",IF(LEFT(Y817,1)="M","Musculoesquelético",IF(LEFT(Y817,1)="N","Sistema nervioso",IF(LEFT(Y817,1)="R","Respiratorio",IF(LEFT(Y817,1)="S","Oftálmico",IF(LEFT(Y817,1)="V","Varios","OTRO")))))))))))))</f>
        <v>Antiinfecciosos</v>
      </c>
      <c r="AM817" t="str">
        <f>IF(AG817="Vigente","ACTIVO",IF(ISNUMBER(SEARCH("Inactivo",J817)),"INACTIVO","REVISAR"))</f>
        <v>ACTIVO</v>
      </c>
      <c r="AN817">
        <f ca="1">IF(OR(AF817="",AF817="null"),"",ROUND((AF817-TODAY())/365.25,2))</f>
        <v>973.58</v>
      </c>
      <c r="AO817" t="str">
        <f ca="1">IF(AND(AG817="Vigente",OR(AF817="",AF817="null",AF817&gt;TODAY())),"SI",IF(AND(NOT(OR(AF817="",AF817="null")),AF817&lt;=TODAY()),"NO",IF(AG817="Vigente","SI","DESCONOCIDO")))</f>
        <v>SI</v>
      </c>
      <c r="AP817" t="str">
        <f>IF(AND(ISNUMBER(SEARCH("IMPORTAR",AA817)),ISNUMBER(SEARCH("FABRICAR",AA817))),"MIXTO",IF(ISNUMBER(SEARCH("IMPORTAR",AA817)),"IMPORTADO",IF(ISNUMBER(SEARCH("FABRICAR",AA817)),"LOCAL","OTRO")))</f>
        <v>IMPORTADO</v>
      </c>
      <c r="AQ817" t="str">
        <f>IF(AD817="Si","SI",IF(AD817="No","NO",""))</f>
        <v>NO</v>
      </c>
      <c r="AR817" t="str">
        <f>IF(ISNUMBER(SEARCH("®",N817)),"MARCA/INNOVADOR","GENERICO")</f>
        <v>MARCA/INNOVADOR</v>
      </c>
      <c r="AS817">
        <f ca="1">IF(AE817&gt;100,RANDBETWEEN(500,5000),IF(AND(AE817&gt;=10,AE817&lt;=100),RANDBETWEEN(100,1000),RANDBETWEEN(10,200)))</f>
        <v>343</v>
      </c>
      <c r="AT817">
        <f t="shared" ca="1" si="62"/>
        <v>85</v>
      </c>
      <c r="AU817">
        <f ca="1">INT(AS817*RANDBETWEEN(120,200)/100)</f>
        <v>421</v>
      </c>
      <c r="AV817" s="2">
        <f ca="1">IF(LEFT(Y817,1)="L",RANDBETWEEN(500000,5000000),IF(LEFT(Y817,1)="C",RANDBETWEEN(5000,50000),IF(LEFT(Y817,1)="N",RANDBETWEEN(10000,150000),IF(LEFT(Y817,1)="J",RANDBETWEEN(8000,200000),RANDBETWEEN(5000,100000)))))</f>
        <v>188026</v>
      </c>
      <c r="AW817" s="2">
        <f ca="1">INT(AV817*RANDBETWEEN(30,60)/100)</f>
        <v>92132</v>
      </c>
      <c r="AX817">
        <f ca="1">IF(Z817="ORAL",RANDBETWEEN(1000,10000),IF(OR(Z817="INTRAVENOSA",Z817="INTRAMUSCULAR"),RANDBETWEEN(100,2000),IF(OR(Z817="OFTÁLMICA",Z817="TOPICA (EXTERNA)"),RANDBETWEEN(200,3000),RANDBETWEEN(100,1500))))</f>
        <v>328</v>
      </c>
      <c r="AY817" s="2">
        <f ca="1">INT(AV817*RANDBETWEEN(90,130)/100)</f>
        <v>206828</v>
      </c>
      <c r="AZ817" t="str">
        <f t="shared" ca="1" si="63"/>
        <v>2.1%</v>
      </c>
      <c r="BA817" t="str">
        <f t="shared" ca="1" si="64"/>
        <v>BAJO</v>
      </c>
    </row>
    <row r="818" spans="4:53" x14ac:dyDescent="0.35">
      <c r="D818" t="s">
        <v>5202</v>
      </c>
      <c r="E818" s="1">
        <v>40240</v>
      </c>
      <c r="F818" t="s">
        <v>5203</v>
      </c>
      <c r="G818" t="s">
        <v>108</v>
      </c>
      <c r="H818" t="s">
        <v>1426</v>
      </c>
      <c r="I818">
        <v>20002706</v>
      </c>
      <c r="J818" t="s">
        <v>28</v>
      </c>
      <c r="K818">
        <v>27</v>
      </c>
      <c r="L818" t="s">
        <v>27</v>
      </c>
      <c r="M818" t="s">
        <v>5204</v>
      </c>
      <c r="N818" t="s">
        <v>5205</v>
      </c>
      <c r="O818" t="s">
        <v>5206</v>
      </c>
      <c r="P818" t="s">
        <v>5207</v>
      </c>
      <c r="Q818" s="1">
        <v>43936</v>
      </c>
      <c r="R818" t="s">
        <v>37</v>
      </c>
      <c r="S818" t="s">
        <v>27</v>
      </c>
      <c r="T818" t="s">
        <v>428</v>
      </c>
      <c r="U818" t="s">
        <v>115</v>
      </c>
      <c r="V818" t="s">
        <v>321</v>
      </c>
      <c r="W818">
        <v>5</v>
      </c>
      <c r="X818">
        <v>20002706</v>
      </c>
      <c r="Y818" t="s">
        <v>322</v>
      </c>
      <c r="Z818" t="s">
        <v>119</v>
      </c>
      <c r="AA818" t="s">
        <v>24</v>
      </c>
      <c r="AB818" t="s">
        <v>120</v>
      </c>
      <c r="AC818" t="s">
        <v>25</v>
      </c>
      <c r="AD818" t="s">
        <v>155</v>
      </c>
      <c r="AE818">
        <v>100</v>
      </c>
      <c r="AF818" t="s">
        <v>27</v>
      </c>
      <c r="AG818" t="s">
        <v>26</v>
      </c>
      <c r="AH818" t="s">
        <v>5203</v>
      </c>
      <c r="AI818" t="str">
        <f t="shared" si="60"/>
        <v>NO</v>
      </c>
      <c r="AJ818" t="str">
        <f t="shared" si="61"/>
        <v>LABORATORIOS SIEGFRIED</v>
      </c>
      <c r="AK818" t="str">
        <f>IF(ISNUMBER(SEARCH("FABRICANTE",AC818)),"FABRICANTE",IF(ISNUMBER(SEARCH("IMPORTADOR",AC818)),"IMPORTADOR","OTRO"))</f>
        <v>FABRICANTE</v>
      </c>
      <c r="AL818" t="str">
        <f>IF(LEFT(Y818,1)="A","Sistema digestivo",IF(LEFT(Y818,1)="B","Sangre",IF(LEFT(Y818,1)="C","Cardiovascular",IF(LEFT(Y818,1)="D","Dermatológico",IF(LEFT(Y818,1)="G","Genitourinario",IF(LEFT(Y818,1)="H","Hormonal",IF(LEFT(Y818,1)="J","Antiinfecciosos",IF(LEFT(Y818,1)="L","Oncológicos",IF(LEFT(Y818,1)="M","Musculoesquelético",IF(LEFT(Y818,1)="N","Sistema nervioso",IF(LEFT(Y818,1)="R","Respiratorio",IF(LEFT(Y818,1)="S","Oftálmico",IF(LEFT(Y818,1)="V","Varios","OTRO")))))))))))))</f>
        <v>Sistema nervioso</v>
      </c>
      <c r="AM818" t="str">
        <f>IF(AG818="Vigente","ACTIVO",IF(ISNUMBER(SEARCH("Inactivo",J818)),"INACTIVO","REVISAR"))</f>
        <v>ACTIVO</v>
      </c>
      <c r="AN818" t="str">
        <f ca="1">IF(OR(AF818="",AF818="null"),"",ROUND((AF818-TODAY())/365.25,2))</f>
        <v/>
      </c>
      <c r="AO818" t="str">
        <f ca="1">IF(AND(AG818="Vigente",OR(AF818="",AF818="null",AF818&gt;TODAY())),"SI",IF(AND(NOT(OR(AF818="",AF818="null")),AF818&lt;=TODAY()),"NO",IF(AG818="Vigente","SI","DESCONOCIDO")))</f>
        <v>SI</v>
      </c>
      <c r="AP818" t="str">
        <f>IF(AND(ISNUMBER(SEARCH("IMPORTAR",AA818)),ISNUMBER(SEARCH("FABRICAR",AA818))),"MIXTO",IF(ISNUMBER(SEARCH("IMPORTAR",AA818)),"IMPORTADO",IF(ISNUMBER(SEARCH("FABRICAR",AA818)),"LOCAL","OTRO")))</f>
        <v>LOCAL</v>
      </c>
      <c r="AQ818" t="str">
        <f>IF(AD818="Si","SI",IF(AD818="No","NO",""))</f>
        <v>SI</v>
      </c>
      <c r="AR818" t="str">
        <f>IF(ISNUMBER(SEARCH("®",N818)),"MARCA/INNOVADOR","GENERICO")</f>
        <v>MARCA/INNOVADOR</v>
      </c>
      <c r="AS818">
        <f ca="1">IF(AE818&gt;100,RANDBETWEEN(500,5000),IF(AND(AE818&gt;=10,AE818&lt;=100),RANDBETWEEN(100,1000),RANDBETWEEN(10,200)))</f>
        <v>986</v>
      </c>
      <c r="AT818">
        <f t="shared" ca="1" si="62"/>
        <v>108</v>
      </c>
      <c r="AU818">
        <f ca="1">INT(AS818*RANDBETWEEN(120,200)/100)</f>
        <v>1222</v>
      </c>
      <c r="AV818" s="2">
        <f ca="1">IF(LEFT(Y818,1)="L",RANDBETWEEN(500000,5000000),IF(LEFT(Y818,1)="C",RANDBETWEEN(5000,50000),IF(LEFT(Y818,1)="N",RANDBETWEEN(10000,150000),IF(LEFT(Y818,1)="J",RANDBETWEEN(8000,200000),RANDBETWEEN(5000,100000)))))</f>
        <v>70151</v>
      </c>
      <c r="AW818" s="2">
        <f ca="1">INT(AV818*RANDBETWEEN(30,60)/100)</f>
        <v>25254</v>
      </c>
      <c r="AX818">
        <f ca="1">IF(Z818="ORAL",RANDBETWEEN(1000,10000),IF(OR(Z818="INTRAVENOSA",Z818="INTRAMUSCULAR"),RANDBETWEEN(100,2000),IF(OR(Z818="OFTÁLMICA",Z818="TOPICA (EXTERNA)"),RANDBETWEEN(200,3000),RANDBETWEEN(100,1500))))</f>
        <v>2197</v>
      </c>
      <c r="AY818" s="2">
        <f ca="1">INT(AV818*RANDBETWEEN(90,130)/100)</f>
        <v>66643</v>
      </c>
      <c r="AZ818" t="str">
        <f t="shared" ca="1" si="63"/>
        <v>14.6%</v>
      </c>
      <c r="BA818" t="str">
        <f t="shared" ca="1" si="64"/>
        <v>BAJO</v>
      </c>
    </row>
    <row r="819" spans="4:53" x14ac:dyDescent="0.35">
      <c r="D819" t="s">
        <v>5208</v>
      </c>
      <c r="E819" s="1">
        <v>36161</v>
      </c>
      <c r="F819" t="s">
        <v>3632</v>
      </c>
      <c r="G819" t="s">
        <v>108</v>
      </c>
      <c r="H819" t="s">
        <v>1700</v>
      </c>
      <c r="I819">
        <v>19903694</v>
      </c>
      <c r="J819" t="s">
        <v>28</v>
      </c>
      <c r="K819">
        <v>1</v>
      </c>
      <c r="L819" t="s">
        <v>27</v>
      </c>
      <c r="M819" t="s">
        <v>3633</v>
      </c>
      <c r="N819" t="s">
        <v>3634</v>
      </c>
      <c r="O819" t="s">
        <v>5209</v>
      </c>
      <c r="P819" t="s">
        <v>3636</v>
      </c>
      <c r="Q819" s="1">
        <v>39031</v>
      </c>
      <c r="R819" t="s">
        <v>50</v>
      </c>
      <c r="S819" t="s">
        <v>27</v>
      </c>
      <c r="T819" t="s">
        <v>2030</v>
      </c>
      <c r="U819" t="s">
        <v>115</v>
      </c>
      <c r="V819" t="s">
        <v>3637</v>
      </c>
      <c r="W819">
        <v>20</v>
      </c>
      <c r="X819">
        <v>19903694</v>
      </c>
      <c r="Y819" t="s">
        <v>3638</v>
      </c>
      <c r="Z819" t="s">
        <v>260</v>
      </c>
      <c r="AA819" t="s">
        <v>24</v>
      </c>
      <c r="AB819" t="s">
        <v>120</v>
      </c>
      <c r="AC819" t="s">
        <v>25</v>
      </c>
      <c r="AD819" t="s">
        <v>121</v>
      </c>
      <c r="AE819">
        <v>1</v>
      </c>
      <c r="AF819" t="s">
        <v>27</v>
      </c>
      <c r="AG819" t="s">
        <v>26</v>
      </c>
      <c r="AH819" t="s">
        <v>3632</v>
      </c>
      <c r="AI819" t="str">
        <f t="shared" si="60"/>
        <v>NO</v>
      </c>
      <c r="AJ819" t="str">
        <f t="shared" si="61"/>
        <v>LABORATORIOS RYAN DE COLOMBIA S.EN C.</v>
      </c>
      <c r="AK819" t="str">
        <f>IF(ISNUMBER(SEARCH("FABRICANTE",AC819)),"FABRICANTE",IF(ISNUMBER(SEARCH("IMPORTADOR",AC819)),"IMPORTADOR","OTRO"))</f>
        <v>FABRICANTE</v>
      </c>
      <c r="AL819" t="str">
        <f>IF(LEFT(Y819,1)="A","Sistema digestivo",IF(LEFT(Y819,1)="B","Sangre",IF(LEFT(Y819,1)="C","Cardiovascular",IF(LEFT(Y819,1)="D","Dermatológico",IF(LEFT(Y819,1)="G","Genitourinario",IF(LEFT(Y819,1)="H","Hormonal",IF(LEFT(Y819,1)="J","Antiinfecciosos",IF(LEFT(Y819,1)="L","Oncológicos",IF(LEFT(Y819,1)="M","Musculoesquelético",IF(LEFT(Y819,1)="N","Sistema nervioso",IF(LEFT(Y819,1)="R","Respiratorio",IF(LEFT(Y819,1)="S","Oftálmico",IF(LEFT(Y819,1)="V","Varios","OTRO")))))))))))))</f>
        <v>Sistema digestivo</v>
      </c>
      <c r="AM819" t="str">
        <f>IF(AG819="Vigente","ACTIVO",IF(ISNUMBER(SEARCH("Inactivo",J819)),"INACTIVO","REVISAR"))</f>
        <v>ACTIVO</v>
      </c>
      <c r="AN819" t="str">
        <f ca="1">IF(OR(AF819="",AF819="null"),"",ROUND((AF819-TODAY())/365.25,2))</f>
        <v/>
      </c>
      <c r="AO819" t="str">
        <f ca="1">IF(AND(AG819="Vigente",OR(AF819="",AF819="null",AF819&gt;TODAY())),"SI",IF(AND(NOT(OR(AF819="",AF819="null")),AF819&lt;=TODAY()),"NO",IF(AG819="Vigente","SI","DESCONOCIDO")))</f>
        <v>SI</v>
      </c>
      <c r="AP819" t="str">
        <f>IF(AND(ISNUMBER(SEARCH("IMPORTAR",AA819)),ISNUMBER(SEARCH("FABRICAR",AA819))),"MIXTO",IF(ISNUMBER(SEARCH("IMPORTAR",AA819)),"IMPORTADO",IF(ISNUMBER(SEARCH("FABRICAR",AA819)),"LOCAL","OTRO")))</f>
        <v>LOCAL</v>
      </c>
      <c r="AQ819" t="str">
        <f>IF(AD819="Si","SI",IF(AD819="No","NO",""))</f>
        <v>NO</v>
      </c>
      <c r="AR819" t="str">
        <f>IF(ISNUMBER(SEARCH("®",N819)),"MARCA/INNOVADOR","GENERICO")</f>
        <v>GENERICO</v>
      </c>
      <c r="AS819">
        <f ca="1">IF(AE819&gt;100,RANDBETWEEN(500,5000),IF(AND(AE819&gt;=10,AE819&lt;=100),RANDBETWEEN(100,1000),RANDBETWEEN(10,200)))</f>
        <v>118</v>
      </c>
      <c r="AT819">
        <f t="shared" ca="1" si="62"/>
        <v>14</v>
      </c>
      <c r="AU819">
        <f ca="1">INT(AS819*RANDBETWEEN(120,200)/100)</f>
        <v>169</v>
      </c>
      <c r="AV819" s="2">
        <f ca="1">IF(LEFT(Y819,1)="L",RANDBETWEEN(500000,5000000),IF(LEFT(Y819,1)="C",RANDBETWEEN(5000,50000),IF(LEFT(Y819,1)="N",RANDBETWEEN(10000,150000),IF(LEFT(Y819,1)="J",RANDBETWEEN(8000,200000),RANDBETWEEN(5000,100000)))))</f>
        <v>53401</v>
      </c>
      <c r="AW819" s="2">
        <f ca="1">INT(AV819*RANDBETWEEN(30,60)/100)</f>
        <v>16020</v>
      </c>
      <c r="AX819">
        <f ca="1">IF(Z819="ORAL",RANDBETWEEN(1000,10000),IF(OR(Z819="INTRAVENOSA",Z819="INTRAMUSCULAR"),RANDBETWEEN(100,2000),IF(OR(Z819="OFTÁLMICA",Z819="TOPICA (EXTERNA)"),RANDBETWEEN(200,3000),RANDBETWEEN(100,1500))))</f>
        <v>102</v>
      </c>
      <c r="AY819" s="2">
        <f ca="1">INT(AV819*RANDBETWEEN(90,130)/100)</f>
        <v>50196</v>
      </c>
      <c r="AZ819" t="str">
        <f t="shared" ca="1" si="63"/>
        <v>0.6%</v>
      </c>
      <c r="BA819" t="str">
        <f t="shared" ca="1" si="64"/>
        <v>BAJO</v>
      </c>
    </row>
    <row r="820" spans="4:53" x14ac:dyDescent="0.35">
      <c r="D820" t="s">
        <v>5210</v>
      </c>
      <c r="E820" s="1">
        <v>45435</v>
      </c>
      <c r="F820" t="s">
        <v>5211</v>
      </c>
      <c r="G820" t="s">
        <v>108</v>
      </c>
      <c r="H820" t="s">
        <v>1329</v>
      </c>
      <c r="I820">
        <v>20205350</v>
      </c>
      <c r="J820" t="s">
        <v>28</v>
      </c>
      <c r="K820">
        <v>10</v>
      </c>
      <c r="L820" t="s">
        <v>27</v>
      </c>
      <c r="M820" t="s">
        <v>3779</v>
      </c>
      <c r="N820" t="s">
        <v>3780</v>
      </c>
      <c r="O820" t="s">
        <v>5212</v>
      </c>
      <c r="P820" t="s">
        <v>3782</v>
      </c>
      <c r="Q820" s="1">
        <v>44445</v>
      </c>
      <c r="R820" t="s">
        <v>258</v>
      </c>
      <c r="S820" t="s">
        <v>27</v>
      </c>
      <c r="T820" t="s">
        <v>1329</v>
      </c>
      <c r="U820" t="s">
        <v>1982</v>
      </c>
      <c r="V820" t="s">
        <v>64</v>
      </c>
      <c r="W820">
        <v>42</v>
      </c>
      <c r="X820">
        <v>20205350</v>
      </c>
      <c r="Y820" t="s">
        <v>259</v>
      </c>
      <c r="Z820" t="s">
        <v>260</v>
      </c>
      <c r="AA820" t="s">
        <v>32</v>
      </c>
      <c r="AB820" t="s">
        <v>133</v>
      </c>
      <c r="AC820" t="s">
        <v>25</v>
      </c>
      <c r="AD820" t="s">
        <v>155</v>
      </c>
      <c r="AE820">
        <v>1</v>
      </c>
      <c r="AF820" s="1">
        <v>401769</v>
      </c>
      <c r="AG820" t="s">
        <v>26</v>
      </c>
      <c r="AH820" t="s">
        <v>5014</v>
      </c>
      <c r="AI820" t="str">
        <f t="shared" si="60"/>
        <v>SI</v>
      </c>
      <c r="AJ820" t="str">
        <f t="shared" si="61"/>
        <v>FRESENIUS KABI AB</v>
      </c>
      <c r="AK820" t="str">
        <f>IF(ISNUMBER(SEARCH("FABRICANTE",AC820)),"FABRICANTE",IF(ISNUMBER(SEARCH("IMPORTADOR",AC820)),"IMPORTADOR","OTRO"))</f>
        <v>FABRICANTE</v>
      </c>
      <c r="AL820" t="str">
        <f>IF(LEFT(Y820,1)="A","Sistema digestivo",IF(LEFT(Y820,1)="B","Sangre",IF(LEFT(Y820,1)="C","Cardiovascular",IF(LEFT(Y820,1)="D","Dermatológico",IF(LEFT(Y820,1)="G","Genitourinario",IF(LEFT(Y820,1)="H","Hormonal",IF(LEFT(Y820,1)="J","Antiinfecciosos",IF(LEFT(Y820,1)="L","Oncológicos",IF(LEFT(Y820,1)="M","Musculoesquelético",IF(LEFT(Y820,1)="N","Sistema nervioso",IF(LEFT(Y820,1)="R","Respiratorio",IF(LEFT(Y820,1)="S","Oftálmico",IF(LEFT(Y820,1)="V","Varios","OTRO")))))))))))))</f>
        <v>Sangre</v>
      </c>
      <c r="AM820" t="str">
        <f>IF(AG820="Vigente","ACTIVO",IF(ISNUMBER(SEARCH("Inactivo",J820)),"INACTIVO","REVISAR"))</f>
        <v>ACTIVO</v>
      </c>
      <c r="AN820">
        <f ca="1">IF(OR(AF820="",AF820="null"),"",ROUND((AF820-TODAY())/365.25,2))</f>
        <v>973.58</v>
      </c>
      <c r="AO820" t="str">
        <f ca="1">IF(AND(AG820="Vigente",OR(AF820="",AF820="null",AF820&gt;TODAY())),"SI",IF(AND(NOT(OR(AF820="",AF820="null")),AF820&lt;=TODAY()),"NO",IF(AG820="Vigente","SI","DESCONOCIDO")))</f>
        <v>SI</v>
      </c>
      <c r="AP820" t="str">
        <f>IF(AND(ISNUMBER(SEARCH("IMPORTAR",AA820)),ISNUMBER(SEARCH("FABRICAR",AA820))),"MIXTO",IF(ISNUMBER(SEARCH("IMPORTAR",AA820)),"IMPORTADO",IF(ISNUMBER(SEARCH("FABRICAR",AA820)),"LOCAL","OTRO")))</f>
        <v>IMPORTADO</v>
      </c>
      <c r="AQ820" t="str">
        <f>IF(AD820="Si","SI",IF(AD820="No","NO",""))</f>
        <v>SI</v>
      </c>
      <c r="AR820" t="str">
        <f>IF(ISNUMBER(SEARCH("®",N820)),"MARCA/INNOVADOR","GENERICO")</f>
        <v>MARCA/INNOVADOR</v>
      </c>
      <c r="AS820">
        <f ca="1">IF(AE820&gt;100,RANDBETWEEN(500,5000),IF(AND(AE820&gt;=10,AE820&lt;=100),RANDBETWEEN(100,1000),RANDBETWEEN(10,200)))</f>
        <v>23</v>
      </c>
      <c r="AT820">
        <f t="shared" ca="1" si="62"/>
        <v>6</v>
      </c>
      <c r="AU820">
        <f ca="1">INT(AS820*RANDBETWEEN(120,200)/100)</f>
        <v>39</v>
      </c>
      <c r="AV820" s="2">
        <f ca="1">IF(LEFT(Y820,1)="L",RANDBETWEEN(500000,5000000),IF(LEFT(Y820,1)="C",RANDBETWEEN(5000,50000),IF(LEFT(Y820,1)="N",RANDBETWEEN(10000,150000),IF(LEFT(Y820,1)="J",RANDBETWEEN(8000,200000),RANDBETWEEN(5000,100000)))))</f>
        <v>65223</v>
      </c>
      <c r="AW820" s="2">
        <f ca="1">INT(AV820*RANDBETWEEN(30,60)/100)</f>
        <v>21523</v>
      </c>
      <c r="AX820">
        <f ca="1">IF(Z820="ORAL",RANDBETWEEN(1000,10000),IF(OR(Z820="INTRAVENOSA",Z820="INTRAMUSCULAR"),RANDBETWEEN(100,2000),IF(OR(Z820="OFTÁLMICA",Z820="TOPICA (EXTERNA)"),RANDBETWEEN(200,3000),RANDBETWEEN(100,1500))))</f>
        <v>893</v>
      </c>
      <c r="AY820" s="2">
        <f ca="1">INT(AV820*RANDBETWEEN(90,130)/100)</f>
        <v>80224</v>
      </c>
      <c r="AZ820" t="str">
        <f t="shared" ca="1" si="63"/>
        <v>1.4%</v>
      </c>
      <c r="BA820" t="str">
        <f t="shared" ca="1" si="64"/>
        <v>BAJO</v>
      </c>
    </row>
    <row r="821" spans="4:53" x14ac:dyDescent="0.35">
      <c r="D821" t="s">
        <v>5213</v>
      </c>
      <c r="E821" s="1">
        <v>34018</v>
      </c>
      <c r="F821" t="s">
        <v>5214</v>
      </c>
      <c r="G821" t="s">
        <v>108</v>
      </c>
      <c r="H821" t="s">
        <v>5215</v>
      </c>
      <c r="I821">
        <v>39815</v>
      </c>
      <c r="J821" t="s">
        <v>28</v>
      </c>
      <c r="K821">
        <v>1</v>
      </c>
      <c r="L821" t="s">
        <v>27</v>
      </c>
      <c r="M821" t="s">
        <v>5216</v>
      </c>
      <c r="N821" t="s">
        <v>5217</v>
      </c>
      <c r="O821" t="s">
        <v>5218</v>
      </c>
      <c r="P821" t="s">
        <v>754</v>
      </c>
      <c r="Q821" s="1">
        <v>39031</v>
      </c>
      <c r="R821" t="s">
        <v>67</v>
      </c>
      <c r="S821" t="s">
        <v>27</v>
      </c>
      <c r="T821" t="s">
        <v>349</v>
      </c>
      <c r="U821" t="s">
        <v>115</v>
      </c>
      <c r="V821" t="s">
        <v>350</v>
      </c>
      <c r="W821">
        <v>300</v>
      </c>
      <c r="X821">
        <v>39815</v>
      </c>
      <c r="Y821" t="s">
        <v>351</v>
      </c>
      <c r="Z821" t="s">
        <v>119</v>
      </c>
      <c r="AA821" t="s">
        <v>32</v>
      </c>
      <c r="AB821" t="s">
        <v>133</v>
      </c>
      <c r="AC821" t="s">
        <v>25</v>
      </c>
      <c r="AD821" t="s">
        <v>121</v>
      </c>
      <c r="AE821">
        <v>1</v>
      </c>
      <c r="AF821" t="s">
        <v>27</v>
      </c>
      <c r="AG821" t="s">
        <v>26</v>
      </c>
      <c r="AH821" t="s">
        <v>6693</v>
      </c>
      <c r="AI821" t="str">
        <f t="shared" si="60"/>
        <v>NO</v>
      </c>
      <c r="AJ821" t="str">
        <f t="shared" si="61"/>
        <v>DAMUZI COMPANY</v>
      </c>
      <c r="AK821" t="str">
        <f>IF(ISNUMBER(SEARCH("FABRICANTE",AC821)),"FABRICANTE",IF(ISNUMBER(SEARCH("IMPORTADOR",AC821)),"IMPORTADOR","OTRO"))</f>
        <v>FABRICANTE</v>
      </c>
      <c r="AL821" t="str">
        <f>IF(LEFT(Y821,1)="A","Sistema digestivo",IF(LEFT(Y821,1)="B","Sangre",IF(LEFT(Y821,1)="C","Cardiovascular",IF(LEFT(Y821,1)="D","Dermatológico",IF(LEFT(Y821,1)="G","Genitourinario",IF(LEFT(Y821,1)="H","Hormonal",IF(LEFT(Y821,1)="J","Antiinfecciosos",IF(LEFT(Y821,1)="L","Oncológicos",IF(LEFT(Y821,1)="M","Musculoesquelético",IF(LEFT(Y821,1)="N","Sistema nervioso",IF(LEFT(Y821,1)="R","Respiratorio",IF(LEFT(Y821,1)="S","Oftálmico",IF(LEFT(Y821,1)="V","Varios","OTRO")))))))))))))</f>
        <v>Sistema nervioso</v>
      </c>
      <c r="AM821" t="str">
        <f>IF(AG821="Vigente","ACTIVO",IF(ISNUMBER(SEARCH("Inactivo",J821)),"INACTIVO","REVISAR"))</f>
        <v>ACTIVO</v>
      </c>
      <c r="AN821" t="str">
        <f ca="1">IF(OR(AF821="",AF821="null"),"",ROUND((AF821-TODAY())/365.25,2))</f>
        <v/>
      </c>
      <c r="AO821" t="str">
        <f ca="1">IF(AND(AG821="Vigente",OR(AF821="",AF821="null",AF821&gt;TODAY())),"SI",IF(AND(NOT(OR(AF821="",AF821="null")),AF821&lt;=TODAY()),"NO",IF(AG821="Vigente","SI","DESCONOCIDO")))</f>
        <v>SI</v>
      </c>
      <c r="AP821" t="str">
        <f>IF(AND(ISNUMBER(SEARCH("IMPORTAR",AA821)),ISNUMBER(SEARCH("FABRICAR",AA821))),"MIXTO",IF(ISNUMBER(SEARCH("IMPORTAR",AA821)),"IMPORTADO",IF(ISNUMBER(SEARCH("FABRICAR",AA821)),"LOCAL","OTRO")))</f>
        <v>IMPORTADO</v>
      </c>
      <c r="AQ821" t="str">
        <f>IF(AD821="Si","SI",IF(AD821="No","NO",""))</f>
        <v>NO</v>
      </c>
      <c r="AR821" t="str">
        <f>IF(ISNUMBER(SEARCH("®",N821)),"MARCA/INNOVADOR","GENERICO")</f>
        <v>MARCA/INNOVADOR</v>
      </c>
      <c r="AS821">
        <f ca="1">IF(AE821&gt;100,RANDBETWEEN(500,5000),IF(AND(AE821&gt;=10,AE821&lt;=100),RANDBETWEEN(100,1000),RANDBETWEEN(10,200)))</f>
        <v>185</v>
      </c>
      <c r="AT821">
        <f t="shared" ca="1" si="62"/>
        <v>40</v>
      </c>
      <c r="AU821">
        <f ca="1">INT(AS821*RANDBETWEEN(120,200)/100)</f>
        <v>290</v>
      </c>
      <c r="AV821" s="2">
        <f ca="1">IF(LEFT(Y821,1)="L",RANDBETWEEN(500000,5000000),IF(LEFT(Y821,1)="C",RANDBETWEEN(5000,50000),IF(LEFT(Y821,1)="N",RANDBETWEEN(10000,150000),IF(LEFT(Y821,1)="J",RANDBETWEEN(8000,200000),RANDBETWEEN(5000,100000)))))</f>
        <v>120976</v>
      </c>
      <c r="AW821" s="2">
        <f ca="1">INT(AV821*RANDBETWEEN(30,60)/100)</f>
        <v>48390</v>
      </c>
      <c r="AX821">
        <f ca="1">IF(Z821="ORAL",RANDBETWEEN(1000,10000),IF(OR(Z821="INTRAVENOSA",Z821="INTRAMUSCULAR"),RANDBETWEEN(100,2000),IF(OR(Z821="OFTÁLMICA",Z821="TOPICA (EXTERNA)"),RANDBETWEEN(200,3000),RANDBETWEEN(100,1500))))</f>
        <v>4252</v>
      </c>
      <c r="AY821" s="2">
        <f ca="1">INT(AV821*RANDBETWEEN(90,130)/100)</f>
        <v>124605</v>
      </c>
      <c r="AZ821" t="str">
        <f t="shared" ca="1" si="63"/>
        <v>24.7%</v>
      </c>
      <c r="BA821" t="str">
        <f t="shared" ca="1" si="64"/>
        <v>BAJO</v>
      </c>
    </row>
    <row r="822" spans="4:53" x14ac:dyDescent="0.35">
      <c r="D822" t="s">
        <v>5219</v>
      </c>
      <c r="E822" s="1">
        <v>45470</v>
      </c>
      <c r="F822" t="s">
        <v>5220</v>
      </c>
      <c r="G822" t="s">
        <v>108</v>
      </c>
      <c r="H822" t="s">
        <v>201</v>
      </c>
      <c r="I822">
        <v>20232817</v>
      </c>
      <c r="J822" t="s">
        <v>28</v>
      </c>
      <c r="K822">
        <v>4</v>
      </c>
      <c r="L822" t="s">
        <v>5221</v>
      </c>
      <c r="M822" t="s">
        <v>5222</v>
      </c>
      <c r="N822" t="s">
        <v>5223</v>
      </c>
      <c r="O822" t="s">
        <v>5224</v>
      </c>
      <c r="P822" t="s">
        <v>33</v>
      </c>
      <c r="Q822" s="1">
        <v>45252</v>
      </c>
      <c r="R822" t="s">
        <v>33</v>
      </c>
      <c r="S822" t="s">
        <v>27</v>
      </c>
      <c r="T822" t="s">
        <v>5225</v>
      </c>
      <c r="U822" t="s">
        <v>115</v>
      </c>
      <c r="V822" t="s">
        <v>59</v>
      </c>
      <c r="W822" s="2">
        <v>102397</v>
      </c>
      <c r="X822">
        <v>20232817</v>
      </c>
      <c r="Y822" t="s">
        <v>58</v>
      </c>
      <c r="Z822" t="s">
        <v>119</v>
      </c>
      <c r="AA822" t="s">
        <v>32</v>
      </c>
      <c r="AB822" t="s">
        <v>120</v>
      </c>
      <c r="AC822" t="s">
        <v>25</v>
      </c>
      <c r="AD822" t="s">
        <v>155</v>
      </c>
      <c r="AE822">
        <v>10</v>
      </c>
      <c r="AF822" s="1">
        <v>47311</v>
      </c>
      <c r="AG822" t="s">
        <v>26</v>
      </c>
      <c r="AH822" t="s">
        <v>6694</v>
      </c>
      <c r="AI822" t="str">
        <f t="shared" si="60"/>
        <v>NO</v>
      </c>
      <c r="AJ822" t="str">
        <f t="shared" si="61"/>
        <v>ASOFARMAI. Y C.</v>
      </c>
      <c r="AK822" t="str">
        <f>IF(ISNUMBER(SEARCH("FABRICANTE",AC822)),"FABRICANTE",IF(ISNUMBER(SEARCH("IMPORTADOR",AC822)),"IMPORTADOR","OTRO"))</f>
        <v>FABRICANTE</v>
      </c>
      <c r="AL822" t="str">
        <f>IF(LEFT(Y822,1)="A","Sistema digestivo",IF(LEFT(Y822,1)="B","Sangre",IF(LEFT(Y822,1)="C","Cardiovascular",IF(LEFT(Y822,1)="D","Dermatológico",IF(LEFT(Y822,1)="G","Genitourinario",IF(LEFT(Y822,1)="H","Hormonal",IF(LEFT(Y822,1)="J","Antiinfecciosos",IF(LEFT(Y822,1)="L","Oncológicos",IF(LEFT(Y822,1)="M","Musculoesquelético",IF(LEFT(Y822,1)="N","Sistema nervioso",IF(LEFT(Y822,1)="R","Respiratorio",IF(LEFT(Y822,1)="S","Oftálmico",IF(LEFT(Y822,1)="V","Varios","OTRO")))))))))))))</f>
        <v>Cardiovascular</v>
      </c>
      <c r="AM822" t="str">
        <f>IF(AG822="Vigente","ACTIVO",IF(ISNUMBER(SEARCH("Inactivo",J822)),"INACTIVO","REVISAR"))</f>
        <v>ACTIVO</v>
      </c>
      <c r="AN822">
        <f ca="1">IF(OR(AF822="",AF822="null"),"",ROUND((AF822-TODAY())/365.25,2))</f>
        <v>3.13</v>
      </c>
      <c r="AO822" t="str">
        <f ca="1">IF(AND(AG822="Vigente",OR(AF822="",AF822="null",AF822&gt;TODAY())),"SI",IF(AND(NOT(OR(AF822="",AF822="null")),AF822&lt;=TODAY()),"NO",IF(AG822="Vigente","SI","DESCONOCIDO")))</f>
        <v>SI</v>
      </c>
      <c r="AP822" t="str">
        <f>IF(AND(ISNUMBER(SEARCH("IMPORTAR",AA822)),ISNUMBER(SEARCH("FABRICAR",AA822))),"MIXTO",IF(ISNUMBER(SEARCH("IMPORTAR",AA822)),"IMPORTADO",IF(ISNUMBER(SEARCH("FABRICAR",AA822)),"LOCAL","OTRO")))</f>
        <v>IMPORTADO</v>
      </c>
      <c r="AQ822" t="str">
        <f>IF(AD822="Si","SI",IF(AD822="No","NO",""))</f>
        <v>SI</v>
      </c>
      <c r="AR822" t="str">
        <f>IF(ISNUMBER(SEARCH("®",N822)),"MARCA/INNOVADOR","GENERICO")</f>
        <v>MARCA/INNOVADOR</v>
      </c>
      <c r="AS822">
        <f ca="1">IF(AE822&gt;100,RANDBETWEEN(500,5000),IF(AND(AE822&gt;=10,AE822&lt;=100),RANDBETWEEN(100,1000),RANDBETWEEN(10,200)))</f>
        <v>920</v>
      </c>
      <c r="AT822">
        <f t="shared" ca="1" si="62"/>
        <v>138</v>
      </c>
      <c r="AU822">
        <f ca="1">INT(AS822*RANDBETWEEN(120,200)/100)</f>
        <v>1370</v>
      </c>
      <c r="AV822" s="2">
        <f ca="1">IF(LEFT(Y822,1)="L",RANDBETWEEN(500000,5000000),IF(LEFT(Y822,1)="C",RANDBETWEEN(5000,50000),IF(LEFT(Y822,1)="N",RANDBETWEEN(10000,150000),IF(LEFT(Y822,1)="J",RANDBETWEEN(8000,200000),RANDBETWEEN(5000,100000)))))</f>
        <v>39277</v>
      </c>
      <c r="AW822" s="2">
        <f ca="1">INT(AV822*RANDBETWEEN(30,60)/100)</f>
        <v>15710</v>
      </c>
      <c r="AX822">
        <f ca="1">IF(Z822="ORAL",RANDBETWEEN(1000,10000),IF(OR(Z822="INTRAVENOSA",Z822="INTRAMUSCULAR"),RANDBETWEEN(100,2000),IF(OR(Z822="OFTÁLMICA",Z822="TOPICA (EXTERNA)"),RANDBETWEEN(200,3000),RANDBETWEEN(100,1500))))</f>
        <v>3278</v>
      </c>
      <c r="AY822" s="2">
        <f ca="1">INT(AV822*RANDBETWEEN(90,130)/100)</f>
        <v>39669</v>
      </c>
      <c r="AZ822" t="str">
        <f t="shared" ca="1" si="63"/>
        <v>23.8%</v>
      </c>
      <c r="BA822" t="str">
        <f t="shared" ca="1" si="64"/>
        <v>MEDIO</v>
      </c>
    </row>
    <row r="823" spans="4:53" x14ac:dyDescent="0.35">
      <c r="D823" t="s">
        <v>5226</v>
      </c>
      <c r="E823" s="1">
        <v>36473</v>
      </c>
      <c r="F823" t="s">
        <v>5227</v>
      </c>
      <c r="G823" t="s">
        <v>108</v>
      </c>
      <c r="H823" t="s">
        <v>354</v>
      </c>
      <c r="I823">
        <v>19905001</v>
      </c>
      <c r="J823" t="s">
        <v>28</v>
      </c>
      <c r="K823">
        <v>1</v>
      </c>
      <c r="L823" t="s">
        <v>5228</v>
      </c>
      <c r="M823" t="s">
        <v>5229</v>
      </c>
      <c r="N823" t="s">
        <v>5230</v>
      </c>
      <c r="O823" t="s">
        <v>5231</v>
      </c>
      <c r="P823" t="s">
        <v>5232</v>
      </c>
      <c r="Q823" s="1">
        <v>39031</v>
      </c>
      <c r="R823" t="s">
        <v>50</v>
      </c>
      <c r="S823" t="s">
        <v>27</v>
      </c>
      <c r="T823" t="s">
        <v>354</v>
      </c>
      <c r="U823" t="s">
        <v>469</v>
      </c>
      <c r="V823" t="s">
        <v>5233</v>
      </c>
      <c r="W823">
        <v>2500</v>
      </c>
      <c r="X823">
        <v>19905001</v>
      </c>
      <c r="Y823" t="s">
        <v>5234</v>
      </c>
      <c r="Z823" t="s">
        <v>2240</v>
      </c>
      <c r="AA823" t="s">
        <v>32</v>
      </c>
      <c r="AB823" t="s">
        <v>239</v>
      </c>
      <c r="AC823" t="s">
        <v>38</v>
      </c>
      <c r="AD823" t="s">
        <v>121</v>
      </c>
      <c r="AE823">
        <v>1</v>
      </c>
      <c r="AF823" t="s">
        <v>27</v>
      </c>
      <c r="AG823" t="s">
        <v>26</v>
      </c>
      <c r="AH823" t="s">
        <v>6695</v>
      </c>
      <c r="AI823" t="str">
        <f t="shared" si="60"/>
        <v>NO</v>
      </c>
      <c r="AJ823" t="str">
        <f t="shared" si="61"/>
        <v>PFIZER</v>
      </c>
      <c r="AK823" t="str">
        <f>IF(ISNUMBER(SEARCH("FABRICANTE",AC823)),"FABRICANTE",IF(ISNUMBER(SEARCH("IMPORTADOR",AC823)),"IMPORTADOR","OTRO"))</f>
        <v>IMPORTADOR</v>
      </c>
      <c r="AL823" t="str">
        <f>IF(LEFT(Y823,1)="A","Sistema digestivo",IF(LEFT(Y823,1)="B","Sangre",IF(LEFT(Y823,1)="C","Cardiovascular",IF(LEFT(Y823,1)="D","Dermatológico",IF(LEFT(Y823,1)="G","Genitourinario",IF(LEFT(Y823,1)="H","Hormonal",IF(LEFT(Y823,1)="J","Antiinfecciosos",IF(LEFT(Y823,1)="L","Oncológicos",IF(LEFT(Y823,1)="M","Musculoesquelético",IF(LEFT(Y823,1)="N","Sistema nervioso",IF(LEFT(Y823,1)="R","Respiratorio",IF(LEFT(Y823,1)="S","Oftálmico",IF(LEFT(Y823,1)="V","Varios","OTRO")))))))))))))</f>
        <v>Sangre</v>
      </c>
      <c r="AM823" t="str">
        <f>IF(AG823="Vigente","ACTIVO",IF(ISNUMBER(SEARCH("Inactivo",J823)),"INACTIVO","REVISAR"))</f>
        <v>ACTIVO</v>
      </c>
      <c r="AN823" t="str">
        <f ca="1">IF(OR(AF823="",AF823="null"),"",ROUND((AF823-TODAY())/365.25,2))</f>
        <v/>
      </c>
      <c r="AO823" t="str">
        <f ca="1">IF(AND(AG823="Vigente",OR(AF823="",AF823="null",AF823&gt;TODAY())),"SI",IF(AND(NOT(OR(AF823="",AF823="null")),AF823&lt;=TODAY()),"NO",IF(AG823="Vigente","SI","DESCONOCIDO")))</f>
        <v>SI</v>
      </c>
      <c r="AP823" t="str">
        <f>IF(AND(ISNUMBER(SEARCH("IMPORTAR",AA823)),ISNUMBER(SEARCH("FABRICAR",AA823))),"MIXTO",IF(ISNUMBER(SEARCH("IMPORTAR",AA823)),"IMPORTADO",IF(ISNUMBER(SEARCH("FABRICAR",AA823)),"LOCAL","OTRO")))</f>
        <v>IMPORTADO</v>
      </c>
      <c r="AQ823" t="str">
        <f>IF(AD823="Si","SI",IF(AD823="No","NO",""))</f>
        <v>NO</v>
      </c>
      <c r="AR823" t="str">
        <f>IF(ISNUMBER(SEARCH("®",N823)),"MARCA/INNOVADOR","GENERICO")</f>
        <v>MARCA/INNOVADOR</v>
      </c>
      <c r="AS823">
        <f ca="1">IF(AE823&gt;100,RANDBETWEEN(500,5000),IF(AND(AE823&gt;=10,AE823&lt;=100),RANDBETWEEN(100,1000),RANDBETWEEN(10,200)))</f>
        <v>188</v>
      </c>
      <c r="AT823">
        <f t="shared" ca="1" si="62"/>
        <v>48</v>
      </c>
      <c r="AU823">
        <f ca="1">INT(AS823*RANDBETWEEN(120,200)/100)</f>
        <v>360</v>
      </c>
      <c r="AV823" s="2">
        <f ca="1">IF(LEFT(Y823,1)="L",RANDBETWEEN(500000,5000000),IF(LEFT(Y823,1)="C",RANDBETWEEN(5000,50000),IF(LEFT(Y823,1)="N",RANDBETWEEN(10000,150000),IF(LEFT(Y823,1)="J",RANDBETWEEN(8000,200000),RANDBETWEEN(5000,100000)))))</f>
        <v>66978</v>
      </c>
      <c r="AW823" s="2">
        <f ca="1">INT(AV823*RANDBETWEEN(30,60)/100)</f>
        <v>38847</v>
      </c>
      <c r="AX823">
        <f ca="1">IF(Z823="ORAL",RANDBETWEEN(1000,10000),IF(OR(Z823="INTRAVENOSA",Z823="INTRAMUSCULAR"),RANDBETWEEN(100,2000),IF(OR(Z823="OFTÁLMICA",Z823="TOPICA (EXTERNA)"),RANDBETWEEN(200,3000),RANDBETWEEN(100,1500))))</f>
        <v>138</v>
      </c>
      <c r="AY823" s="2">
        <f ca="1">INT(AV823*RANDBETWEEN(90,130)/100)</f>
        <v>85731</v>
      </c>
      <c r="AZ823" t="str">
        <f t="shared" ca="1" si="63"/>
        <v>1.7%</v>
      </c>
      <c r="BA823" t="str">
        <f t="shared" ca="1" si="64"/>
        <v>BAJO</v>
      </c>
    </row>
    <row r="824" spans="4:53" x14ac:dyDescent="0.35">
      <c r="D824" t="s">
        <v>5235</v>
      </c>
      <c r="E824" s="1">
        <v>41253</v>
      </c>
      <c r="F824" t="s">
        <v>5236</v>
      </c>
      <c r="G824" t="s">
        <v>108</v>
      </c>
      <c r="H824" t="s">
        <v>168</v>
      </c>
      <c r="I824">
        <v>20050909</v>
      </c>
      <c r="J824" t="s">
        <v>28</v>
      </c>
      <c r="K824">
        <v>24</v>
      </c>
      <c r="L824" t="s">
        <v>27</v>
      </c>
      <c r="M824" t="s">
        <v>5237</v>
      </c>
      <c r="N824" t="s">
        <v>5238</v>
      </c>
      <c r="O824" t="s">
        <v>5239</v>
      </c>
      <c r="P824" t="s">
        <v>29</v>
      </c>
      <c r="Q824" s="1">
        <v>41213</v>
      </c>
      <c r="R824" t="s">
        <v>29</v>
      </c>
      <c r="S824" t="s">
        <v>27</v>
      </c>
      <c r="T824" t="s">
        <v>172</v>
      </c>
      <c r="U824" t="s">
        <v>115</v>
      </c>
      <c r="V824" t="s">
        <v>5240</v>
      </c>
      <c r="W824">
        <v>10</v>
      </c>
      <c r="X824">
        <v>20050909</v>
      </c>
      <c r="Y824" t="s">
        <v>5241</v>
      </c>
      <c r="Z824" t="s">
        <v>119</v>
      </c>
      <c r="AA824" t="s">
        <v>24</v>
      </c>
      <c r="AB824" t="s">
        <v>120</v>
      </c>
      <c r="AC824" t="s">
        <v>25</v>
      </c>
      <c r="AD824" t="s">
        <v>121</v>
      </c>
      <c r="AE824">
        <v>10</v>
      </c>
      <c r="AF824" t="s">
        <v>27</v>
      </c>
      <c r="AG824" t="s">
        <v>26</v>
      </c>
      <c r="AH824" t="s">
        <v>6696</v>
      </c>
      <c r="AI824" t="str">
        <f t="shared" si="60"/>
        <v>NO</v>
      </c>
      <c r="AJ824" t="str">
        <f t="shared" si="61"/>
        <v>NOVAMED</v>
      </c>
      <c r="AK824" t="str">
        <f>IF(ISNUMBER(SEARCH("FABRICANTE",AC824)),"FABRICANTE",IF(ISNUMBER(SEARCH("IMPORTADOR",AC824)),"IMPORTADOR","OTRO"))</f>
        <v>FABRICANTE</v>
      </c>
      <c r="AL824" t="str">
        <f>IF(LEFT(Y824,1)="A","Sistema digestivo",IF(LEFT(Y824,1)="B","Sangre",IF(LEFT(Y824,1)="C","Cardiovascular",IF(LEFT(Y824,1)="D","Dermatológico",IF(LEFT(Y824,1)="G","Genitourinario",IF(LEFT(Y824,1)="H","Hormonal",IF(LEFT(Y824,1)="J","Antiinfecciosos",IF(LEFT(Y824,1)="L","Oncológicos",IF(LEFT(Y824,1)="M","Musculoesquelético",IF(LEFT(Y824,1)="N","Sistema nervioso",IF(LEFT(Y824,1)="R","Respiratorio",IF(LEFT(Y824,1)="S","Oftálmico",IF(LEFT(Y824,1)="V","Varios","OTRO")))))))))))))</f>
        <v>Sistema digestivo</v>
      </c>
      <c r="AM824" t="str">
        <f>IF(AG824="Vigente","ACTIVO",IF(ISNUMBER(SEARCH("Inactivo",J824)),"INACTIVO","REVISAR"))</f>
        <v>ACTIVO</v>
      </c>
      <c r="AN824" t="str">
        <f ca="1">IF(OR(AF824="",AF824="null"),"",ROUND((AF824-TODAY())/365.25,2))</f>
        <v/>
      </c>
      <c r="AO824" t="str">
        <f ca="1">IF(AND(AG824="Vigente",OR(AF824="",AF824="null",AF824&gt;TODAY())),"SI",IF(AND(NOT(OR(AF824="",AF824="null")),AF824&lt;=TODAY()),"NO",IF(AG824="Vigente","SI","DESCONOCIDO")))</f>
        <v>SI</v>
      </c>
      <c r="AP824" t="str">
        <f>IF(AND(ISNUMBER(SEARCH("IMPORTAR",AA824)),ISNUMBER(SEARCH("FABRICAR",AA824))),"MIXTO",IF(ISNUMBER(SEARCH("IMPORTAR",AA824)),"IMPORTADO",IF(ISNUMBER(SEARCH("FABRICAR",AA824)),"LOCAL","OTRO")))</f>
        <v>LOCAL</v>
      </c>
      <c r="AQ824" t="str">
        <f>IF(AD824="Si","SI",IF(AD824="No","NO",""))</f>
        <v>NO</v>
      </c>
      <c r="AR824" t="str">
        <f>IF(ISNUMBER(SEARCH("®",N824)),"MARCA/INNOVADOR","GENERICO")</f>
        <v>MARCA/INNOVADOR</v>
      </c>
      <c r="AS824">
        <f ca="1">IF(AE824&gt;100,RANDBETWEEN(500,5000),IF(AND(AE824&gt;=10,AE824&lt;=100),RANDBETWEEN(100,1000),RANDBETWEEN(10,200)))</f>
        <v>117</v>
      </c>
      <c r="AT824">
        <f t="shared" ca="1" si="62"/>
        <v>26</v>
      </c>
      <c r="AU824">
        <f ca="1">INT(AS824*RANDBETWEEN(120,200)/100)</f>
        <v>171</v>
      </c>
      <c r="AV824" s="2">
        <f ca="1">IF(LEFT(Y824,1)="L",RANDBETWEEN(500000,5000000),IF(LEFT(Y824,1)="C",RANDBETWEEN(5000,50000),IF(LEFT(Y824,1)="N",RANDBETWEEN(10000,150000),IF(LEFT(Y824,1)="J",RANDBETWEEN(8000,200000),RANDBETWEEN(5000,100000)))))</f>
        <v>45862</v>
      </c>
      <c r="AW824" s="2">
        <f ca="1">INT(AV824*RANDBETWEEN(30,60)/100)</f>
        <v>16968</v>
      </c>
      <c r="AX824">
        <f ca="1">IF(Z824="ORAL",RANDBETWEEN(1000,10000),IF(OR(Z824="INTRAVENOSA",Z824="INTRAMUSCULAR"),RANDBETWEEN(100,2000),IF(OR(Z824="OFTÁLMICA",Z824="TOPICA (EXTERNA)"),RANDBETWEEN(200,3000),RANDBETWEEN(100,1500))))</f>
        <v>6507</v>
      </c>
      <c r="AY824" s="2">
        <f ca="1">INT(AV824*RANDBETWEEN(90,130)/100)</f>
        <v>44944</v>
      </c>
      <c r="AZ824" t="str">
        <f t="shared" ca="1" si="63"/>
        <v>20.5%</v>
      </c>
      <c r="BA824" t="str">
        <f t="shared" ca="1" si="64"/>
        <v>BAJO</v>
      </c>
    </row>
    <row r="825" spans="4:53" x14ac:dyDescent="0.35">
      <c r="D825" t="s">
        <v>5242</v>
      </c>
      <c r="E825" s="1">
        <v>42198</v>
      </c>
      <c r="F825" t="s">
        <v>2508</v>
      </c>
      <c r="G825" t="s">
        <v>108</v>
      </c>
      <c r="H825" t="s">
        <v>114</v>
      </c>
      <c r="I825">
        <v>20082896</v>
      </c>
      <c r="J825" t="s">
        <v>28</v>
      </c>
      <c r="K825">
        <v>19</v>
      </c>
      <c r="L825" t="s">
        <v>27</v>
      </c>
      <c r="M825" t="s">
        <v>5160</v>
      </c>
      <c r="N825" t="s">
        <v>5161</v>
      </c>
      <c r="O825" t="s">
        <v>5243</v>
      </c>
      <c r="P825" t="s">
        <v>33</v>
      </c>
      <c r="Q825" s="1">
        <v>42549</v>
      </c>
      <c r="R825" t="s">
        <v>33</v>
      </c>
      <c r="S825" s="1">
        <v>44048</v>
      </c>
      <c r="T825" t="s">
        <v>114</v>
      </c>
      <c r="U825" t="s">
        <v>115</v>
      </c>
      <c r="V825" t="s">
        <v>3431</v>
      </c>
      <c r="W825">
        <v>5</v>
      </c>
      <c r="X825">
        <v>20082896</v>
      </c>
      <c r="Y825" t="s">
        <v>3432</v>
      </c>
      <c r="Z825" t="s">
        <v>119</v>
      </c>
      <c r="AA825" t="s">
        <v>165</v>
      </c>
      <c r="AB825" t="s">
        <v>120</v>
      </c>
      <c r="AC825" t="s">
        <v>25</v>
      </c>
      <c r="AD825" t="s">
        <v>121</v>
      </c>
      <c r="AE825">
        <v>90</v>
      </c>
      <c r="AF825" t="s">
        <v>27</v>
      </c>
      <c r="AG825" t="s">
        <v>26</v>
      </c>
      <c r="AH825" t="s">
        <v>2508</v>
      </c>
      <c r="AI825" t="str">
        <f t="shared" si="60"/>
        <v>NO</v>
      </c>
      <c r="AJ825" t="str">
        <f t="shared" si="61"/>
        <v>LABORATORIOS LEGRAND</v>
      </c>
      <c r="AK825" t="str">
        <f>IF(ISNUMBER(SEARCH("FABRICANTE",AC825)),"FABRICANTE",IF(ISNUMBER(SEARCH("IMPORTADOR",AC825)),"IMPORTADOR","OTRO"))</f>
        <v>FABRICANTE</v>
      </c>
      <c r="AL825" t="str">
        <f>IF(LEFT(Y825,1)="A","Sistema digestivo",IF(LEFT(Y825,1)="B","Sangre",IF(LEFT(Y825,1)="C","Cardiovascular",IF(LEFT(Y825,1)="D","Dermatológico",IF(LEFT(Y825,1)="G","Genitourinario",IF(LEFT(Y825,1)="H","Hormonal",IF(LEFT(Y825,1)="J","Antiinfecciosos",IF(LEFT(Y825,1)="L","Oncológicos",IF(LEFT(Y825,1)="M","Musculoesquelético",IF(LEFT(Y825,1)="N","Sistema nervioso",IF(LEFT(Y825,1)="R","Respiratorio",IF(LEFT(Y825,1)="S","Oftálmico",IF(LEFT(Y825,1)="V","Varios","OTRO")))))))))))))</f>
        <v>Sistema nervioso</v>
      </c>
      <c r="AM825" t="str">
        <f>IF(AG825="Vigente","ACTIVO",IF(ISNUMBER(SEARCH("Inactivo",J825)),"INACTIVO","REVISAR"))</f>
        <v>ACTIVO</v>
      </c>
      <c r="AN825" t="str">
        <f ca="1">IF(OR(AF825="",AF825="null"),"",ROUND((AF825-TODAY())/365.25,2))</f>
        <v/>
      </c>
      <c r="AO825" t="str">
        <f ca="1">IF(AND(AG825="Vigente",OR(AF825="",AF825="null",AF825&gt;TODAY())),"SI",IF(AND(NOT(OR(AF825="",AF825="null")),AF825&lt;=TODAY()),"NO",IF(AG825="Vigente","SI","DESCONOCIDO")))</f>
        <v>SI</v>
      </c>
      <c r="AP825" t="str">
        <f>IF(AND(ISNUMBER(SEARCH("IMPORTAR",AA825)),ISNUMBER(SEARCH("FABRICAR",AA825))),"MIXTO",IF(ISNUMBER(SEARCH("IMPORTAR",AA825)),"IMPORTADO",IF(ISNUMBER(SEARCH("FABRICAR",AA825)),"LOCAL","OTRO")))</f>
        <v>IMPORTADO</v>
      </c>
      <c r="AQ825" t="str">
        <f>IF(AD825="Si","SI",IF(AD825="No","NO",""))</f>
        <v>NO</v>
      </c>
      <c r="AR825" t="str">
        <f>IF(ISNUMBER(SEARCH("®",N825)),"MARCA/INNOVADOR","GENERICO")</f>
        <v>MARCA/INNOVADOR</v>
      </c>
      <c r="AS825">
        <f ca="1">IF(AE825&gt;100,RANDBETWEEN(500,5000),IF(AND(AE825&gt;=10,AE825&lt;=100),RANDBETWEEN(100,1000),RANDBETWEEN(10,200)))</f>
        <v>189</v>
      </c>
      <c r="AT825">
        <f t="shared" ca="1" si="62"/>
        <v>43</v>
      </c>
      <c r="AU825">
        <f ca="1">INT(AS825*RANDBETWEEN(120,200)/100)</f>
        <v>342</v>
      </c>
      <c r="AV825" s="2">
        <f ca="1">IF(LEFT(Y825,1)="L",RANDBETWEEN(500000,5000000),IF(LEFT(Y825,1)="C",RANDBETWEEN(5000,50000),IF(LEFT(Y825,1)="N",RANDBETWEEN(10000,150000),IF(LEFT(Y825,1)="J",RANDBETWEEN(8000,200000),RANDBETWEEN(5000,100000)))))</f>
        <v>127946</v>
      </c>
      <c r="AW825" s="2">
        <f ca="1">INT(AV825*RANDBETWEEN(30,60)/100)</f>
        <v>72929</v>
      </c>
      <c r="AX825">
        <f ca="1">IF(Z825="ORAL",RANDBETWEEN(1000,10000),IF(OR(Z825="INTRAVENOSA",Z825="INTRAMUSCULAR"),RANDBETWEEN(100,2000),IF(OR(Z825="OFTÁLMICA",Z825="TOPICA (EXTERNA)"),RANDBETWEEN(200,3000),RANDBETWEEN(100,1500))))</f>
        <v>8245</v>
      </c>
      <c r="AY825" s="2">
        <f ca="1">INT(AV825*RANDBETWEEN(90,130)/100)</f>
        <v>136902</v>
      </c>
      <c r="AZ825" t="str">
        <f t="shared" ca="1" si="63"/>
        <v>11.3%</v>
      </c>
      <c r="BA825" t="str">
        <f t="shared" ca="1" si="64"/>
        <v>BAJO</v>
      </c>
    </row>
    <row r="826" spans="4:53" x14ac:dyDescent="0.35">
      <c r="D826" t="s">
        <v>5244</v>
      </c>
      <c r="E826" s="1">
        <v>41330</v>
      </c>
      <c r="F826" t="s">
        <v>2909</v>
      </c>
      <c r="G826" t="s">
        <v>108</v>
      </c>
      <c r="H826" t="s">
        <v>187</v>
      </c>
      <c r="I826">
        <v>20040731</v>
      </c>
      <c r="J826" t="s">
        <v>28</v>
      </c>
      <c r="K826">
        <v>28</v>
      </c>
      <c r="L826" t="s">
        <v>27</v>
      </c>
      <c r="M826" t="s">
        <v>3268</v>
      </c>
      <c r="N826" t="s">
        <v>3269</v>
      </c>
      <c r="O826" t="s">
        <v>5245</v>
      </c>
      <c r="P826" t="s">
        <v>1061</v>
      </c>
      <c r="Q826" s="1">
        <v>42312</v>
      </c>
      <c r="R826" t="s">
        <v>527</v>
      </c>
      <c r="S826" t="s">
        <v>27</v>
      </c>
      <c r="T826" t="s">
        <v>80</v>
      </c>
      <c r="U826" t="s">
        <v>115</v>
      </c>
      <c r="V826" t="s">
        <v>515</v>
      </c>
      <c r="W826">
        <v>65</v>
      </c>
      <c r="X826">
        <v>20040731</v>
      </c>
      <c r="Y826" t="s">
        <v>1567</v>
      </c>
      <c r="Z826" t="s">
        <v>119</v>
      </c>
      <c r="AA826" t="s">
        <v>24</v>
      </c>
      <c r="AB826" t="s">
        <v>120</v>
      </c>
      <c r="AC826" t="s">
        <v>25</v>
      </c>
      <c r="AD826" t="s">
        <v>121</v>
      </c>
      <c r="AE826">
        <v>7</v>
      </c>
      <c r="AF826" t="s">
        <v>27</v>
      </c>
      <c r="AG826" t="s">
        <v>26</v>
      </c>
      <c r="AH826" t="s">
        <v>976</v>
      </c>
      <c r="AI826" t="str">
        <f t="shared" si="60"/>
        <v>NO</v>
      </c>
      <c r="AJ826" t="str">
        <f t="shared" si="61"/>
        <v>TECNOQUIMICAS</v>
      </c>
      <c r="AK826" t="str">
        <f>IF(ISNUMBER(SEARCH("FABRICANTE",AC826)),"FABRICANTE",IF(ISNUMBER(SEARCH("IMPORTADOR",AC826)),"IMPORTADOR","OTRO"))</f>
        <v>FABRICANTE</v>
      </c>
      <c r="AL826" t="str">
        <f>IF(LEFT(Y826,1)="A","Sistema digestivo",IF(LEFT(Y826,1)="B","Sangre",IF(LEFT(Y826,1)="C","Cardiovascular",IF(LEFT(Y826,1)="D","Dermatológico",IF(LEFT(Y826,1)="G","Genitourinario",IF(LEFT(Y826,1)="H","Hormonal",IF(LEFT(Y826,1)="J","Antiinfecciosos",IF(LEFT(Y826,1)="L","Oncológicos",IF(LEFT(Y826,1)="M","Musculoesquelético",IF(LEFT(Y826,1)="N","Sistema nervioso",IF(LEFT(Y826,1)="R","Respiratorio",IF(LEFT(Y826,1)="S","Oftálmico",IF(LEFT(Y826,1)="V","Varios","OTRO")))))))))))))</f>
        <v>Musculoesquelético</v>
      </c>
      <c r="AM826" t="str">
        <f>IF(AG826="Vigente","ACTIVO",IF(ISNUMBER(SEARCH("Inactivo",J826)),"INACTIVO","REVISAR"))</f>
        <v>ACTIVO</v>
      </c>
      <c r="AN826" t="str">
        <f ca="1">IF(OR(AF826="",AF826="null"),"",ROUND((AF826-TODAY())/365.25,2))</f>
        <v/>
      </c>
      <c r="AO826" t="str">
        <f ca="1">IF(AND(AG826="Vigente",OR(AF826="",AF826="null",AF826&gt;TODAY())),"SI",IF(AND(NOT(OR(AF826="",AF826="null")),AF826&lt;=TODAY()),"NO",IF(AG826="Vigente","SI","DESCONOCIDO")))</f>
        <v>SI</v>
      </c>
      <c r="AP826" t="str">
        <f>IF(AND(ISNUMBER(SEARCH("IMPORTAR",AA826)),ISNUMBER(SEARCH("FABRICAR",AA826))),"MIXTO",IF(ISNUMBER(SEARCH("IMPORTAR",AA826)),"IMPORTADO",IF(ISNUMBER(SEARCH("FABRICAR",AA826)),"LOCAL","OTRO")))</f>
        <v>LOCAL</v>
      </c>
      <c r="AQ826" t="str">
        <f>IF(AD826="Si","SI",IF(AD826="No","NO",""))</f>
        <v>NO</v>
      </c>
      <c r="AR826" t="str">
        <f>IF(ISNUMBER(SEARCH("®",N826)),"MARCA/INNOVADOR","GENERICO")</f>
        <v>MARCA/INNOVADOR</v>
      </c>
      <c r="AS826">
        <f ca="1">IF(AE826&gt;100,RANDBETWEEN(500,5000),IF(AND(AE826&gt;=10,AE826&lt;=100),RANDBETWEEN(100,1000),RANDBETWEEN(10,200)))</f>
        <v>139</v>
      </c>
      <c r="AT826">
        <f t="shared" ca="1" si="62"/>
        <v>38</v>
      </c>
      <c r="AU826">
        <f ca="1">INT(AS826*RANDBETWEEN(120,200)/100)</f>
        <v>255</v>
      </c>
      <c r="AV826" s="2">
        <f ca="1">IF(LEFT(Y826,1)="L",RANDBETWEEN(500000,5000000),IF(LEFT(Y826,1)="C",RANDBETWEEN(5000,50000),IF(LEFT(Y826,1)="N",RANDBETWEEN(10000,150000),IF(LEFT(Y826,1)="J",RANDBETWEEN(8000,200000),RANDBETWEEN(5000,100000)))))</f>
        <v>80569</v>
      </c>
      <c r="AW826" s="2">
        <f ca="1">INT(AV826*RANDBETWEEN(30,60)/100)</f>
        <v>46730</v>
      </c>
      <c r="AX826">
        <f ca="1">IF(Z826="ORAL",RANDBETWEEN(1000,10000),IF(OR(Z826="INTRAVENOSA",Z826="INTRAMUSCULAR"),RANDBETWEEN(100,2000),IF(OR(Z826="OFTÁLMICA",Z826="TOPICA (EXTERNA)"),RANDBETWEEN(200,3000),RANDBETWEEN(100,1500))))</f>
        <v>4276</v>
      </c>
      <c r="AY826" s="2">
        <f ca="1">INT(AV826*RANDBETWEEN(90,130)/100)</f>
        <v>87014</v>
      </c>
      <c r="AZ826" t="str">
        <f t="shared" ca="1" si="63"/>
        <v>21%</v>
      </c>
      <c r="BA826" t="str">
        <f t="shared" ca="1" si="64"/>
        <v>BAJO</v>
      </c>
    </row>
    <row r="827" spans="4:53" x14ac:dyDescent="0.35">
      <c r="D827" t="s">
        <v>5246</v>
      </c>
      <c r="E827" s="1">
        <v>39764</v>
      </c>
      <c r="F827" t="s">
        <v>976</v>
      </c>
      <c r="G827" t="s">
        <v>108</v>
      </c>
      <c r="H827" t="s">
        <v>736</v>
      </c>
      <c r="I827">
        <v>19992938</v>
      </c>
      <c r="J827" t="s">
        <v>110</v>
      </c>
      <c r="K827">
        <v>6</v>
      </c>
      <c r="L827" t="s">
        <v>27</v>
      </c>
      <c r="M827" t="s">
        <v>3756</v>
      </c>
      <c r="N827" t="s">
        <v>3757</v>
      </c>
      <c r="O827" t="s">
        <v>5247</v>
      </c>
      <c r="P827" t="s">
        <v>33</v>
      </c>
      <c r="Q827" s="1">
        <v>42384</v>
      </c>
      <c r="R827" t="s">
        <v>33</v>
      </c>
      <c r="S827" s="1">
        <v>43734</v>
      </c>
      <c r="T827" t="s">
        <v>836</v>
      </c>
      <c r="U827" t="s">
        <v>115</v>
      </c>
      <c r="V827" t="s">
        <v>846</v>
      </c>
      <c r="W827">
        <v>65</v>
      </c>
      <c r="X827">
        <v>19992938</v>
      </c>
      <c r="Y827" t="s">
        <v>847</v>
      </c>
      <c r="Z827" t="s">
        <v>119</v>
      </c>
      <c r="AA827" t="s">
        <v>165</v>
      </c>
      <c r="AB827" t="s">
        <v>120</v>
      </c>
      <c r="AC827" t="s">
        <v>25</v>
      </c>
      <c r="AD827" t="s">
        <v>121</v>
      </c>
      <c r="AE827">
        <v>60</v>
      </c>
      <c r="AF827" t="s">
        <v>27</v>
      </c>
      <c r="AG827" t="s">
        <v>26</v>
      </c>
      <c r="AH827" t="s">
        <v>976</v>
      </c>
      <c r="AI827" t="str">
        <f t="shared" si="60"/>
        <v>NO</v>
      </c>
      <c r="AJ827" t="str">
        <f t="shared" si="61"/>
        <v>AMERICAN GENERICS</v>
      </c>
      <c r="AK827" t="str">
        <f>IF(ISNUMBER(SEARCH("FABRICANTE",AC827)),"FABRICANTE",IF(ISNUMBER(SEARCH("IMPORTADOR",AC827)),"IMPORTADOR","OTRO"))</f>
        <v>FABRICANTE</v>
      </c>
      <c r="AL827" t="str">
        <f>IF(LEFT(Y827,1)="A","Sistema digestivo",IF(LEFT(Y827,1)="B","Sangre",IF(LEFT(Y827,1)="C","Cardiovascular",IF(LEFT(Y827,1)="D","Dermatológico",IF(LEFT(Y827,1)="G","Genitourinario",IF(LEFT(Y827,1)="H","Hormonal",IF(LEFT(Y827,1)="J","Antiinfecciosos",IF(LEFT(Y827,1)="L","Oncológicos",IF(LEFT(Y827,1)="M","Musculoesquelético",IF(LEFT(Y827,1)="N","Sistema nervioso",IF(LEFT(Y827,1)="R","Respiratorio",IF(LEFT(Y827,1)="S","Oftálmico",IF(LEFT(Y827,1)="V","Varios","OTRO")))))))))))))</f>
        <v>Sistema nervioso</v>
      </c>
      <c r="AM827" t="str">
        <f>IF(AG827="Vigente","ACTIVO",IF(ISNUMBER(SEARCH("Inactivo",J827)),"INACTIVO","REVISAR"))</f>
        <v>ACTIVO</v>
      </c>
      <c r="AN827" t="str">
        <f ca="1">IF(OR(AF827="",AF827="null"),"",ROUND((AF827-TODAY())/365.25,2))</f>
        <v/>
      </c>
      <c r="AO827" t="str">
        <f ca="1">IF(AND(AG827="Vigente",OR(AF827="",AF827="null",AF827&gt;TODAY())),"SI",IF(AND(NOT(OR(AF827="",AF827="null")),AF827&lt;=TODAY()),"NO",IF(AG827="Vigente","SI","DESCONOCIDO")))</f>
        <v>SI</v>
      </c>
      <c r="AP827" t="str">
        <f>IF(AND(ISNUMBER(SEARCH("IMPORTAR",AA827)),ISNUMBER(SEARCH("FABRICAR",AA827))),"MIXTO",IF(ISNUMBER(SEARCH("IMPORTAR",AA827)),"IMPORTADO",IF(ISNUMBER(SEARCH("FABRICAR",AA827)),"LOCAL","OTRO")))</f>
        <v>IMPORTADO</v>
      </c>
      <c r="AQ827" t="str">
        <f>IF(AD827="Si","SI",IF(AD827="No","NO",""))</f>
        <v>NO</v>
      </c>
      <c r="AR827" t="str">
        <f>IF(ISNUMBER(SEARCH("®",N827)),"MARCA/INNOVADOR","GENERICO")</f>
        <v>MARCA/INNOVADOR</v>
      </c>
      <c r="AS827">
        <f ca="1">IF(AE827&gt;100,RANDBETWEEN(500,5000),IF(AND(AE827&gt;=10,AE827&lt;=100),RANDBETWEEN(100,1000),RANDBETWEEN(10,200)))</f>
        <v>513</v>
      </c>
      <c r="AT827">
        <f t="shared" ca="1" si="62"/>
        <v>138</v>
      </c>
      <c r="AU827">
        <f ca="1">INT(AS827*RANDBETWEEN(120,200)/100)</f>
        <v>1020</v>
      </c>
      <c r="AV827" s="2">
        <f ca="1">IF(LEFT(Y827,1)="L",RANDBETWEEN(500000,5000000),IF(LEFT(Y827,1)="C",RANDBETWEEN(5000,50000),IF(LEFT(Y827,1)="N",RANDBETWEEN(10000,150000),IF(LEFT(Y827,1)="J",RANDBETWEEN(8000,200000),RANDBETWEEN(5000,100000)))))</f>
        <v>130293</v>
      </c>
      <c r="AW827" s="2">
        <f ca="1">INT(AV827*RANDBETWEEN(30,60)/100)</f>
        <v>65146</v>
      </c>
      <c r="AX827">
        <f ca="1">IF(Z827="ORAL",RANDBETWEEN(1000,10000),IF(OR(Z827="INTRAVENOSA",Z827="INTRAMUSCULAR"),RANDBETWEEN(100,2000),IF(OR(Z827="OFTÁLMICA",Z827="TOPICA (EXTERNA)"),RANDBETWEEN(200,3000),RANDBETWEEN(100,1500))))</f>
        <v>6360</v>
      </c>
      <c r="AY827" s="2">
        <f ca="1">INT(AV827*RANDBETWEEN(90,130)/100)</f>
        <v>149836</v>
      </c>
      <c r="AZ827" t="str">
        <f t="shared" ca="1" si="63"/>
        <v>14.8%</v>
      </c>
      <c r="BA827" t="str">
        <f t="shared" ca="1" si="64"/>
        <v>ALTO</v>
      </c>
    </row>
    <row r="828" spans="4:53" x14ac:dyDescent="0.35">
      <c r="D828" t="s">
        <v>5248</v>
      </c>
      <c r="E828" s="1">
        <v>38174</v>
      </c>
      <c r="F828" t="s">
        <v>3816</v>
      </c>
      <c r="G828" t="s">
        <v>502</v>
      </c>
      <c r="H828" t="s">
        <v>146</v>
      </c>
      <c r="I828">
        <v>19942584</v>
      </c>
      <c r="J828" t="s">
        <v>28</v>
      </c>
      <c r="K828">
        <v>4</v>
      </c>
      <c r="L828" t="s">
        <v>27</v>
      </c>
      <c r="M828" t="s">
        <v>3817</v>
      </c>
      <c r="N828" t="s">
        <v>3818</v>
      </c>
      <c r="O828" t="s">
        <v>5249</v>
      </c>
      <c r="P828" t="s">
        <v>3820</v>
      </c>
      <c r="Q828" s="1">
        <v>39031</v>
      </c>
      <c r="R828" t="s">
        <v>3821</v>
      </c>
      <c r="S828" t="s">
        <v>27</v>
      </c>
      <c r="T828" t="s">
        <v>146</v>
      </c>
      <c r="U828" t="s">
        <v>247</v>
      </c>
      <c r="V828" t="s">
        <v>3822</v>
      </c>
      <c r="W828" t="s">
        <v>3823</v>
      </c>
      <c r="X828">
        <v>19942584</v>
      </c>
      <c r="Y828" t="s">
        <v>3824</v>
      </c>
      <c r="Z828" t="s">
        <v>566</v>
      </c>
      <c r="AA828" t="s">
        <v>24</v>
      </c>
      <c r="AB828" t="s">
        <v>250</v>
      </c>
      <c r="AC828" t="s">
        <v>25</v>
      </c>
      <c r="AD828" t="s">
        <v>121</v>
      </c>
      <c r="AE828">
        <v>120</v>
      </c>
      <c r="AF828" t="s">
        <v>27</v>
      </c>
      <c r="AG828" t="s">
        <v>26</v>
      </c>
      <c r="AH828" t="s">
        <v>6816</v>
      </c>
      <c r="AI828" t="str">
        <f t="shared" si="60"/>
        <v>SI</v>
      </c>
      <c r="AJ828" t="str">
        <f t="shared" si="61"/>
        <v>TECNOFAR TQ</v>
      </c>
      <c r="AK828" t="str">
        <f>IF(ISNUMBER(SEARCH("FABRICANTE",AC828)),"FABRICANTE",IF(ISNUMBER(SEARCH("IMPORTADOR",AC828)),"IMPORTADOR","OTRO"))</f>
        <v>FABRICANTE</v>
      </c>
      <c r="AL828" t="str">
        <f>IF(LEFT(Y828,1)="A","Sistema digestivo",IF(LEFT(Y828,1)="B","Sangre",IF(LEFT(Y828,1)="C","Cardiovascular",IF(LEFT(Y828,1)="D","Dermatológico",IF(LEFT(Y828,1)="G","Genitourinario",IF(LEFT(Y828,1)="H","Hormonal",IF(LEFT(Y828,1)="J","Antiinfecciosos",IF(LEFT(Y828,1)="L","Oncológicos",IF(LEFT(Y828,1)="M","Musculoesquelético",IF(LEFT(Y828,1)="N","Sistema nervioso",IF(LEFT(Y828,1)="R","Respiratorio",IF(LEFT(Y828,1)="S","Oftálmico",IF(LEFT(Y828,1)="V","Varios","OTRO")))))))))))))</f>
        <v>Dermatológico</v>
      </c>
      <c r="AM828" t="str">
        <f>IF(AG828="Vigente","ACTIVO",IF(ISNUMBER(SEARCH("Inactivo",J828)),"INACTIVO","REVISAR"))</f>
        <v>ACTIVO</v>
      </c>
      <c r="AN828" t="str">
        <f ca="1">IF(OR(AF828="",AF828="null"),"",ROUND((AF828-TODAY())/365.25,2))</f>
        <v/>
      </c>
      <c r="AO828" t="str">
        <f ca="1">IF(AND(AG828="Vigente",OR(AF828="",AF828="null",AF828&gt;TODAY())),"SI",IF(AND(NOT(OR(AF828="",AF828="null")),AF828&lt;=TODAY()),"NO",IF(AG828="Vigente","SI","DESCONOCIDO")))</f>
        <v>SI</v>
      </c>
      <c r="AP828" t="str">
        <f>IF(AND(ISNUMBER(SEARCH("IMPORTAR",AA828)),ISNUMBER(SEARCH("FABRICAR",AA828))),"MIXTO",IF(ISNUMBER(SEARCH("IMPORTAR",AA828)),"IMPORTADO",IF(ISNUMBER(SEARCH("FABRICAR",AA828)),"LOCAL","OTRO")))</f>
        <v>LOCAL</v>
      </c>
      <c r="AQ828" t="str">
        <f>IF(AD828="Si","SI",IF(AD828="No","NO",""))</f>
        <v>NO</v>
      </c>
      <c r="AR828" t="str">
        <f>IF(ISNUMBER(SEARCH("®",N828)),"MARCA/INNOVADOR","GENERICO")</f>
        <v>GENERICO</v>
      </c>
      <c r="AS828">
        <f ca="1">IF(AE828&gt;100,RANDBETWEEN(500,5000),IF(AND(AE828&gt;=10,AE828&lt;=100),RANDBETWEEN(100,1000),RANDBETWEEN(10,200)))</f>
        <v>4233</v>
      </c>
      <c r="AT828">
        <f t="shared" ca="1" si="62"/>
        <v>846</v>
      </c>
      <c r="AU828">
        <f ca="1">INT(AS828*RANDBETWEEN(120,200)/100)</f>
        <v>5164</v>
      </c>
      <c r="AV828" s="2">
        <f ca="1">IF(LEFT(Y828,1)="L",RANDBETWEEN(500000,5000000),IF(LEFT(Y828,1)="C",RANDBETWEEN(5000,50000),IF(LEFT(Y828,1)="N",RANDBETWEEN(10000,150000),IF(LEFT(Y828,1)="J",RANDBETWEEN(8000,200000),RANDBETWEEN(5000,100000)))))</f>
        <v>5783</v>
      </c>
      <c r="AW828" s="2">
        <f ca="1">INT(AV828*RANDBETWEEN(30,60)/100)</f>
        <v>3122</v>
      </c>
      <c r="AX828">
        <f ca="1">IF(Z828="ORAL",RANDBETWEEN(1000,10000),IF(OR(Z828="INTRAVENOSA",Z828="INTRAMUSCULAR"),RANDBETWEEN(100,2000),IF(OR(Z828="OFTÁLMICA",Z828="TOPICA (EXTERNA)"),RANDBETWEEN(200,3000),RANDBETWEEN(100,1500))))</f>
        <v>2680</v>
      </c>
      <c r="AY828" s="2">
        <f ca="1">INT(AV828*RANDBETWEEN(90,130)/100)</f>
        <v>6939</v>
      </c>
      <c r="AZ828" t="str">
        <f t="shared" ca="1" si="63"/>
        <v>9.5%</v>
      </c>
      <c r="BA828" t="str">
        <f t="shared" ca="1" si="64"/>
        <v>BAJO</v>
      </c>
    </row>
    <row r="829" spans="4:53" x14ac:dyDescent="0.35">
      <c r="D829" t="s">
        <v>5250</v>
      </c>
      <c r="E829" s="1">
        <v>36161</v>
      </c>
      <c r="F829" t="s">
        <v>966</v>
      </c>
      <c r="G829" t="s">
        <v>108</v>
      </c>
      <c r="H829" t="s">
        <v>5251</v>
      </c>
      <c r="I829">
        <v>19909497</v>
      </c>
      <c r="J829" t="s">
        <v>28</v>
      </c>
      <c r="K829">
        <v>8</v>
      </c>
      <c r="L829" t="s">
        <v>27</v>
      </c>
      <c r="M829" t="s">
        <v>5164</v>
      </c>
      <c r="N829" t="s">
        <v>5165</v>
      </c>
      <c r="O829" t="s">
        <v>5252</v>
      </c>
      <c r="P829" t="s">
        <v>29</v>
      </c>
      <c r="Q829" s="1">
        <v>40267</v>
      </c>
      <c r="R829" t="s">
        <v>29</v>
      </c>
      <c r="S829" s="1">
        <v>43104</v>
      </c>
      <c r="T829" t="s">
        <v>2584</v>
      </c>
      <c r="U829" t="s">
        <v>115</v>
      </c>
      <c r="V829" t="s">
        <v>321</v>
      </c>
      <c r="W829">
        <v>5</v>
      </c>
      <c r="X829">
        <v>19909497</v>
      </c>
      <c r="Y829" t="s">
        <v>322</v>
      </c>
      <c r="Z829" t="s">
        <v>119</v>
      </c>
      <c r="AA829" t="s">
        <v>32</v>
      </c>
      <c r="AB829" t="s">
        <v>120</v>
      </c>
      <c r="AC829" t="s">
        <v>25</v>
      </c>
      <c r="AD829" t="s">
        <v>121</v>
      </c>
      <c r="AE829">
        <v>24</v>
      </c>
      <c r="AF829" t="s">
        <v>27</v>
      </c>
      <c r="AG829" t="s">
        <v>26</v>
      </c>
      <c r="AH829" t="s">
        <v>966</v>
      </c>
      <c r="AI829" t="str">
        <f t="shared" si="60"/>
        <v>NO</v>
      </c>
      <c r="AJ829" t="str">
        <f t="shared" si="61"/>
        <v>BAYER</v>
      </c>
      <c r="AK829" t="str">
        <f>IF(ISNUMBER(SEARCH("FABRICANTE",AC829)),"FABRICANTE",IF(ISNUMBER(SEARCH("IMPORTADOR",AC829)),"IMPORTADOR","OTRO"))</f>
        <v>FABRICANTE</v>
      </c>
      <c r="AL829" t="str">
        <f>IF(LEFT(Y829,1)="A","Sistema digestivo",IF(LEFT(Y829,1)="B","Sangre",IF(LEFT(Y829,1)="C","Cardiovascular",IF(LEFT(Y829,1)="D","Dermatológico",IF(LEFT(Y829,1)="G","Genitourinario",IF(LEFT(Y829,1)="H","Hormonal",IF(LEFT(Y829,1)="J","Antiinfecciosos",IF(LEFT(Y829,1)="L","Oncológicos",IF(LEFT(Y829,1)="M","Musculoesquelético",IF(LEFT(Y829,1)="N","Sistema nervioso",IF(LEFT(Y829,1)="R","Respiratorio",IF(LEFT(Y829,1)="S","Oftálmico",IF(LEFT(Y829,1)="V","Varios","OTRO")))))))))))))</f>
        <v>Sistema nervioso</v>
      </c>
      <c r="AM829" t="str">
        <f>IF(AG829="Vigente","ACTIVO",IF(ISNUMBER(SEARCH("Inactivo",J829)),"INACTIVO","REVISAR"))</f>
        <v>ACTIVO</v>
      </c>
      <c r="AN829" t="str">
        <f ca="1">IF(OR(AF829="",AF829="null"),"",ROUND((AF829-TODAY())/365.25,2))</f>
        <v/>
      </c>
      <c r="AO829" t="str">
        <f ca="1">IF(AND(AG829="Vigente",OR(AF829="",AF829="null",AF829&gt;TODAY())),"SI",IF(AND(NOT(OR(AF829="",AF829="null")),AF829&lt;=TODAY()),"NO",IF(AG829="Vigente","SI","DESCONOCIDO")))</f>
        <v>SI</v>
      </c>
      <c r="AP829" t="str">
        <f>IF(AND(ISNUMBER(SEARCH("IMPORTAR",AA829)),ISNUMBER(SEARCH("FABRICAR",AA829))),"MIXTO",IF(ISNUMBER(SEARCH("IMPORTAR",AA829)),"IMPORTADO",IF(ISNUMBER(SEARCH("FABRICAR",AA829)),"LOCAL","OTRO")))</f>
        <v>IMPORTADO</v>
      </c>
      <c r="AQ829" t="str">
        <f>IF(AD829="Si","SI",IF(AD829="No","NO",""))</f>
        <v>NO</v>
      </c>
      <c r="AR829" t="str">
        <f>IF(ISNUMBER(SEARCH("®",N829)),"MARCA/INNOVADOR","GENERICO")</f>
        <v>MARCA/INNOVADOR</v>
      </c>
      <c r="AS829">
        <f ca="1">IF(AE829&gt;100,RANDBETWEEN(500,5000),IF(AND(AE829&gt;=10,AE829&lt;=100),RANDBETWEEN(100,1000),RANDBETWEEN(10,200)))</f>
        <v>254</v>
      </c>
      <c r="AT829">
        <f t="shared" ca="1" si="62"/>
        <v>76</v>
      </c>
      <c r="AU829">
        <f ca="1">INT(AS829*RANDBETWEEN(120,200)/100)</f>
        <v>363</v>
      </c>
      <c r="AV829" s="2">
        <f ca="1">IF(LEFT(Y829,1)="L",RANDBETWEEN(500000,5000000),IF(LEFT(Y829,1)="C",RANDBETWEEN(5000,50000),IF(LEFT(Y829,1)="N",RANDBETWEEN(10000,150000),IF(LEFT(Y829,1)="J",RANDBETWEEN(8000,200000),RANDBETWEEN(5000,100000)))))</f>
        <v>33850</v>
      </c>
      <c r="AW829" s="2">
        <f ca="1">INT(AV829*RANDBETWEEN(30,60)/100)</f>
        <v>14894</v>
      </c>
      <c r="AX829">
        <f ca="1">IF(Z829="ORAL",RANDBETWEEN(1000,10000),IF(OR(Z829="INTRAVENOSA",Z829="INTRAMUSCULAR"),RANDBETWEEN(100,2000),IF(OR(Z829="OFTÁLMICA",Z829="TOPICA (EXTERNA)"),RANDBETWEEN(200,3000),RANDBETWEEN(100,1500))))</f>
        <v>4919</v>
      </c>
      <c r="AY829" s="2">
        <f ca="1">INT(AV829*RANDBETWEEN(90,130)/100)</f>
        <v>33173</v>
      </c>
      <c r="AZ829" t="str">
        <f t="shared" ca="1" si="63"/>
        <v>19%</v>
      </c>
      <c r="BA829" t="str">
        <f t="shared" ca="1" si="64"/>
        <v>BAJO</v>
      </c>
    </row>
    <row r="830" spans="4:53" x14ac:dyDescent="0.35">
      <c r="D830" t="s">
        <v>5253</v>
      </c>
      <c r="E830" s="1">
        <v>35947</v>
      </c>
      <c r="F830" t="s">
        <v>5254</v>
      </c>
      <c r="G830" t="s">
        <v>502</v>
      </c>
      <c r="H830" t="s">
        <v>1242</v>
      </c>
      <c r="I830">
        <v>226529</v>
      </c>
      <c r="J830" t="s">
        <v>28</v>
      </c>
      <c r="K830">
        <v>1</v>
      </c>
      <c r="L830" t="s">
        <v>27</v>
      </c>
      <c r="M830" t="s">
        <v>5255</v>
      </c>
      <c r="N830" t="s">
        <v>5256</v>
      </c>
      <c r="O830" t="s">
        <v>5257</v>
      </c>
      <c r="P830" t="s">
        <v>5258</v>
      </c>
      <c r="Q830" s="1">
        <v>39031</v>
      </c>
      <c r="R830" t="s">
        <v>375</v>
      </c>
      <c r="S830" t="s">
        <v>27</v>
      </c>
      <c r="T830" t="s">
        <v>1247</v>
      </c>
      <c r="U830" t="s">
        <v>115</v>
      </c>
      <c r="V830" t="s">
        <v>1248</v>
      </c>
      <c r="W830">
        <v>5</v>
      </c>
      <c r="X830">
        <v>226529</v>
      </c>
      <c r="Y830" t="s">
        <v>2761</v>
      </c>
      <c r="Z830" t="s">
        <v>213</v>
      </c>
      <c r="AA830" t="s">
        <v>32</v>
      </c>
      <c r="AB830" t="s">
        <v>120</v>
      </c>
      <c r="AC830" t="s">
        <v>38</v>
      </c>
      <c r="AD830" t="s">
        <v>121</v>
      </c>
      <c r="AE830">
        <v>1</v>
      </c>
      <c r="AF830" t="s">
        <v>27</v>
      </c>
      <c r="AG830" t="s">
        <v>26</v>
      </c>
      <c r="AH830" t="s">
        <v>1248</v>
      </c>
      <c r="AI830" t="str">
        <f t="shared" si="60"/>
        <v>NO</v>
      </c>
      <c r="AJ830" t="str">
        <f t="shared" si="61"/>
        <v>ORGANON</v>
      </c>
      <c r="AK830" t="str">
        <f>IF(ISNUMBER(SEARCH("FABRICANTE",AC830)),"FABRICANTE",IF(ISNUMBER(SEARCH("IMPORTADOR",AC830)),"IMPORTADOR","OTRO"))</f>
        <v>IMPORTADOR</v>
      </c>
      <c r="AL830" t="str">
        <f>IF(LEFT(Y830,1)="A","Sistema digestivo",IF(LEFT(Y830,1)="B","Sangre",IF(LEFT(Y830,1)="C","Cardiovascular",IF(LEFT(Y830,1)="D","Dermatológico",IF(LEFT(Y830,1)="G","Genitourinario",IF(LEFT(Y830,1)="H","Hormonal",IF(LEFT(Y830,1)="J","Antiinfecciosos",IF(LEFT(Y830,1)="L","Oncológicos",IF(LEFT(Y830,1)="M","Musculoesquelético",IF(LEFT(Y830,1)="N","Sistema nervioso",IF(LEFT(Y830,1)="R","Respiratorio",IF(LEFT(Y830,1)="S","Oftálmico",IF(LEFT(Y830,1)="V","Varios","OTRO")))))))))))))</f>
        <v>Hormonal</v>
      </c>
      <c r="AM830" t="str">
        <f>IF(AG830="Vigente","ACTIVO",IF(ISNUMBER(SEARCH("Inactivo",J830)),"INACTIVO","REVISAR"))</f>
        <v>ACTIVO</v>
      </c>
      <c r="AN830" t="str">
        <f ca="1">IF(OR(AF830="",AF830="null"),"",ROUND((AF830-TODAY())/365.25,2))</f>
        <v/>
      </c>
      <c r="AO830" t="str">
        <f ca="1">IF(AND(AG830="Vigente",OR(AF830="",AF830="null",AF830&gt;TODAY())),"SI",IF(AND(NOT(OR(AF830="",AF830="null")),AF830&lt;=TODAY()),"NO",IF(AG830="Vigente","SI","DESCONOCIDO")))</f>
        <v>SI</v>
      </c>
      <c r="AP830" t="str">
        <f>IF(AND(ISNUMBER(SEARCH("IMPORTAR",AA830)),ISNUMBER(SEARCH("FABRICAR",AA830))),"MIXTO",IF(ISNUMBER(SEARCH("IMPORTAR",AA830)),"IMPORTADO",IF(ISNUMBER(SEARCH("FABRICAR",AA830)),"LOCAL","OTRO")))</f>
        <v>IMPORTADO</v>
      </c>
      <c r="AQ830" t="str">
        <f>IF(AD830="Si","SI",IF(AD830="No","NO",""))</f>
        <v>NO</v>
      </c>
      <c r="AR830" t="str">
        <f>IF(ISNUMBER(SEARCH("®",N830)),"MARCA/INNOVADOR","GENERICO")</f>
        <v>MARCA/INNOVADOR</v>
      </c>
      <c r="AS830">
        <f ca="1">IF(AE830&gt;100,RANDBETWEEN(500,5000),IF(AND(AE830&gt;=10,AE830&lt;=100),RANDBETWEEN(100,1000),RANDBETWEEN(10,200)))</f>
        <v>94</v>
      </c>
      <c r="AT830">
        <f t="shared" ca="1" si="62"/>
        <v>22</v>
      </c>
      <c r="AU830">
        <f ca="1">INT(AS830*RANDBETWEEN(120,200)/100)</f>
        <v>161</v>
      </c>
      <c r="AV830" s="2">
        <f ca="1">IF(LEFT(Y830,1)="L",RANDBETWEEN(500000,5000000),IF(LEFT(Y830,1)="C",RANDBETWEEN(5000,50000),IF(LEFT(Y830,1)="N",RANDBETWEEN(10000,150000),IF(LEFT(Y830,1)="J",RANDBETWEEN(8000,200000),RANDBETWEEN(5000,100000)))))</f>
        <v>78462</v>
      </c>
      <c r="AW830" s="2">
        <f ca="1">INT(AV830*RANDBETWEEN(30,60)/100)</f>
        <v>26677</v>
      </c>
      <c r="AX830">
        <f ca="1">IF(Z830="ORAL",RANDBETWEEN(1000,10000),IF(OR(Z830="INTRAVENOSA",Z830="INTRAMUSCULAR"),RANDBETWEEN(100,2000),IF(OR(Z830="OFTÁLMICA",Z830="TOPICA (EXTERNA)"),RANDBETWEEN(200,3000),RANDBETWEEN(100,1500))))</f>
        <v>1843</v>
      </c>
      <c r="AY830" s="2">
        <f ca="1">INT(AV830*RANDBETWEEN(90,130)/100)</f>
        <v>81600</v>
      </c>
      <c r="AZ830" t="str">
        <f t="shared" ca="1" si="63"/>
        <v>7.1%</v>
      </c>
      <c r="BA830" t="str">
        <f t="shared" ca="1" si="64"/>
        <v>BAJO</v>
      </c>
    </row>
    <row r="831" spans="4:53" x14ac:dyDescent="0.35">
      <c r="D831" t="s">
        <v>5259</v>
      </c>
      <c r="E831" s="1">
        <v>37397</v>
      </c>
      <c r="F831" t="s">
        <v>5260</v>
      </c>
      <c r="G831" t="s">
        <v>108</v>
      </c>
      <c r="H831" t="s">
        <v>4698</v>
      </c>
      <c r="I831">
        <v>40743</v>
      </c>
      <c r="J831" t="s">
        <v>28</v>
      </c>
      <c r="K831">
        <v>2</v>
      </c>
      <c r="L831" t="s">
        <v>27</v>
      </c>
      <c r="M831" t="s">
        <v>5261</v>
      </c>
      <c r="N831" t="s">
        <v>5262</v>
      </c>
      <c r="O831" t="s">
        <v>5263</v>
      </c>
      <c r="P831" t="s">
        <v>621</v>
      </c>
      <c r="Q831" s="1">
        <v>39031</v>
      </c>
      <c r="R831" t="s">
        <v>50</v>
      </c>
      <c r="S831" t="s">
        <v>27</v>
      </c>
      <c r="T831" t="s">
        <v>354</v>
      </c>
      <c r="U831" t="s">
        <v>115</v>
      </c>
      <c r="V831" t="s">
        <v>1376</v>
      </c>
      <c r="W831">
        <v>600</v>
      </c>
      <c r="X831">
        <v>40743</v>
      </c>
      <c r="Y831" t="s">
        <v>1377</v>
      </c>
      <c r="Z831" t="s">
        <v>213</v>
      </c>
      <c r="AA831" t="s">
        <v>32</v>
      </c>
      <c r="AB831" t="s">
        <v>120</v>
      </c>
      <c r="AC831" t="s">
        <v>25</v>
      </c>
      <c r="AD831" t="s">
        <v>155</v>
      </c>
      <c r="AE831">
        <v>1</v>
      </c>
      <c r="AF831" t="s">
        <v>27</v>
      </c>
      <c r="AG831" t="s">
        <v>26</v>
      </c>
      <c r="AH831" t="s">
        <v>1376</v>
      </c>
      <c r="AI831" t="str">
        <f t="shared" si="60"/>
        <v>NO</v>
      </c>
      <c r="AJ831" t="str">
        <f t="shared" si="61"/>
        <v>PFIZER</v>
      </c>
      <c r="AK831" t="str">
        <f>IF(ISNUMBER(SEARCH("FABRICANTE",AC831)),"FABRICANTE",IF(ISNUMBER(SEARCH("IMPORTADOR",AC831)),"IMPORTADOR","OTRO"))</f>
        <v>FABRICANTE</v>
      </c>
      <c r="AL831" t="str">
        <f>IF(LEFT(Y831,1)="A","Sistema digestivo",IF(LEFT(Y831,1)="B","Sangre",IF(LEFT(Y831,1)="C","Cardiovascular",IF(LEFT(Y831,1)="D","Dermatológico",IF(LEFT(Y831,1)="G","Genitourinario",IF(LEFT(Y831,1)="H","Hormonal",IF(LEFT(Y831,1)="J","Antiinfecciosos",IF(LEFT(Y831,1)="L","Oncológicos",IF(LEFT(Y831,1)="M","Musculoesquelético",IF(LEFT(Y831,1)="N","Sistema nervioso",IF(LEFT(Y831,1)="R","Respiratorio",IF(LEFT(Y831,1)="S","Oftálmico",IF(LEFT(Y831,1)="V","Varios","OTRO")))))))))))))</f>
        <v>Antiinfecciosos</v>
      </c>
      <c r="AM831" t="str">
        <f>IF(AG831="Vigente","ACTIVO",IF(ISNUMBER(SEARCH("Inactivo",J831)),"INACTIVO","REVISAR"))</f>
        <v>ACTIVO</v>
      </c>
      <c r="AN831" t="str">
        <f ca="1">IF(OR(AF831="",AF831="null"),"",ROUND((AF831-TODAY())/365.25,2))</f>
        <v/>
      </c>
      <c r="AO831" t="str">
        <f ca="1">IF(AND(AG831="Vigente",OR(AF831="",AF831="null",AF831&gt;TODAY())),"SI",IF(AND(NOT(OR(AF831="",AF831="null")),AF831&lt;=TODAY()),"NO",IF(AG831="Vigente","SI","DESCONOCIDO")))</f>
        <v>SI</v>
      </c>
      <c r="AP831" t="str">
        <f>IF(AND(ISNUMBER(SEARCH("IMPORTAR",AA831)),ISNUMBER(SEARCH("FABRICAR",AA831))),"MIXTO",IF(ISNUMBER(SEARCH("IMPORTAR",AA831)),"IMPORTADO",IF(ISNUMBER(SEARCH("FABRICAR",AA831)),"LOCAL","OTRO")))</f>
        <v>IMPORTADO</v>
      </c>
      <c r="AQ831" t="str">
        <f>IF(AD831="Si","SI",IF(AD831="No","NO",""))</f>
        <v>SI</v>
      </c>
      <c r="AR831" t="str">
        <f>IF(ISNUMBER(SEARCH("®",N831)),"MARCA/INNOVADOR","GENERICO")</f>
        <v>MARCA/INNOVADOR</v>
      </c>
      <c r="AS831">
        <f ca="1">IF(AE831&gt;100,RANDBETWEEN(500,5000),IF(AND(AE831&gt;=10,AE831&lt;=100),RANDBETWEEN(100,1000),RANDBETWEEN(10,200)))</f>
        <v>93</v>
      </c>
      <c r="AT831">
        <f t="shared" ca="1" si="62"/>
        <v>20</v>
      </c>
      <c r="AU831">
        <f ca="1">INT(AS831*RANDBETWEEN(120,200)/100)</f>
        <v>154</v>
      </c>
      <c r="AV831" s="2">
        <f ca="1">IF(LEFT(Y831,1)="L",RANDBETWEEN(500000,5000000),IF(LEFT(Y831,1)="C",RANDBETWEEN(5000,50000),IF(LEFT(Y831,1)="N",RANDBETWEEN(10000,150000),IF(LEFT(Y831,1)="J",RANDBETWEEN(8000,200000),RANDBETWEEN(5000,100000)))))</f>
        <v>136888</v>
      </c>
      <c r="AW831" s="2">
        <f ca="1">INT(AV831*RANDBETWEEN(30,60)/100)</f>
        <v>43804</v>
      </c>
      <c r="AX831">
        <f ca="1">IF(Z831="ORAL",RANDBETWEEN(1000,10000),IF(OR(Z831="INTRAVENOSA",Z831="INTRAMUSCULAR"),RANDBETWEEN(100,2000),IF(OR(Z831="OFTÁLMICA",Z831="TOPICA (EXTERNA)"),RANDBETWEEN(200,3000),RANDBETWEEN(100,1500))))</f>
        <v>1993</v>
      </c>
      <c r="AY831" s="2">
        <f ca="1">INT(AV831*RANDBETWEEN(90,130)/100)</f>
        <v>176585</v>
      </c>
      <c r="AZ831" t="str">
        <f t="shared" ca="1" si="63"/>
        <v>2.7%</v>
      </c>
      <c r="BA831" t="str">
        <f t="shared" ca="1" si="64"/>
        <v>BAJO</v>
      </c>
    </row>
    <row r="832" spans="4:53" x14ac:dyDescent="0.35">
      <c r="D832" t="s">
        <v>5264</v>
      </c>
      <c r="E832" s="1">
        <v>40318</v>
      </c>
      <c r="F832" t="s">
        <v>1303</v>
      </c>
      <c r="G832" t="s">
        <v>247</v>
      </c>
      <c r="H832" t="s">
        <v>710</v>
      </c>
      <c r="I832">
        <v>20014120</v>
      </c>
      <c r="J832" t="s">
        <v>28</v>
      </c>
      <c r="K832">
        <v>11</v>
      </c>
      <c r="L832" t="s">
        <v>27</v>
      </c>
      <c r="M832" t="s">
        <v>3013</v>
      </c>
      <c r="N832" t="s">
        <v>3014</v>
      </c>
      <c r="O832" t="s">
        <v>5265</v>
      </c>
      <c r="P832" t="s">
        <v>97</v>
      </c>
      <c r="Q832" s="1">
        <v>43810</v>
      </c>
      <c r="R832" t="s">
        <v>2301</v>
      </c>
      <c r="S832" s="1">
        <v>43810</v>
      </c>
      <c r="T832" t="s">
        <v>3016</v>
      </c>
      <c r="U832" t="s">
        <v>247</v>
      </c>
      <c r="V832" t="s">
        <v>2143</v>
      </c>
      <c r="W832">
        <v>2</v>
      </c>
      <c r="X832">
        <v>20014120</v>
      </c>
      <c r="Y832" t="s">
        <v>2144</v>
      </c>
      <c r="Z832" t="s">
        <v>1305</v>
      </c>
      <c r="AA832" t="s">
        <v>24</v>
      </c>
      <c r="AB832" t="s">
        <v>653</v>
      </c>
      <c r="AC832" t="s">
        <v>25</v>
      </c>
      <c r="AD832" t="s">
        <v>121</v>
      </c>
      <c r="AE832">
        <v>40</v>
      </c>
      <c r="AF832" t="s">
        <v>27</v>
      </c>
      <c r="AG832" t="s">
        <v>26</v>
      </c>
      <c r="AH832" t="s">
        <v>1303</v>
      </c>
      <c r="AI832" t="str">
        <f t="shared" si="60"/>
        <v>NO</v>
      </c>
      <c r="AJ832" t="str">
        <f t="shared" si="61"/>
        <v>NATURALMENTE NF</v>
      </c>
      <c r="AK832" t="str">
        <f>IF(ISNUMBER(SEARCH("FABRICANTE",AC832)),"FABRICANTE",IF(ISNUMBER(SEARCH("IMPORTADOR",AC832)),"IMPORTADOR","OTRO"))</f>
        <v>FABRICANTE</v>
      </c>
      <c r="AL832" t="str">
        <f>IF(LEFT(Y832,1)="A","Sistema digestivo",IF(LEFT(Y832,1)="B","Sangre",IF(LEFT(Y832,1)="C","Cardiovascular",IF(LEFT(Y832,1)="D","Dermatológico",IF(LEFT(Y832,1)="G","Genitourinario",IF(LEFT(Y832,1)="H","Hormonal",IF(LEFT(Y832,1)="J","Antiinfecciosos",IF(LEFT(Y832,1)="L","Oncológicos",IF(LEFT(Y832,1)="M","Musculoesquelético",IF(LEFT(Y832,1)="N","Sistema nervioso",IF(LEFT(Y832,1)="R","Respiratorio",IF(LEFT(Y832,1)="S","Oftálmico",IF(LEFT(Y832,1)="V","Varios","OTRO")))))))))))))</f>
        <v>Genitourinario</v>
      </c>
      <c r="AM832" t="str">
        <f>IF(AG832="Vigente","ACTIVO",IF(ISNUMBER(SEARCH("Inactivo",J832)),"INACTIVO","REVISAR"))</f>
        <v>ACTIVO</v>
      </c>
      <c r="AN832" t="str">
        <f ca="1">IF(OR(AF832="",AF832="null"),"",ROUND((AF832-TODAY())/365.25,2))</f>
        <v/>
      </c>
      <c r="AO832" t="str">
        <f ca="1">IF(AND(AG832="Vigente",OR(AF832="",AF832="null",AF832&gt;TODAY())),"SI",IF(AND(NOT(OR(AF832="",AF832="null")),AF832&lt;=TODAY()),"NO",IF(AG832="Vigente","SI","DESCONOCIDO")))</f>
        <v>SI</v>
      </c>
      <c r="AP832" t="str">
        <f>IF(AND(ISNUMBER(SEARCH("IMPORTAR",AA832)),ISNUMBER(SEARCH("FABRICAR",AA832))),"MIXTO",IF(ISNUMBER(SEARCH("IMPORTAR",AA832)),"IMPORTADO",IF(ISNUMBER(SEARCH("FABRICAR",AA832)),"LOCAL","OTRO")))</f>
        <v>LOCAL</v>
      </c>
      <c r="AQ832" t="str">
        <f>IF(AD832="Si","SI",IF(AD832="No","NO",""))</f>
        <v>NO</v>
      </c>
      <c r="AR832" t="str">
        <f>IF(ISNUMBER(SEARCH("®",N832)),"MARCA/INNOVADOR","GENERICO")</f>
        <v>GENERICO</v>
      </c>
      <c r="AS832">
        <f ca="1">IF(AE832&gt;100,RANDBETWEEN(500,5000),IF(AND(AE832&gt;=10,AE832&lt;=100),RANDBETWEEN(100,1000),RANDBETWEEN(10,200)))</f>
        <v>985</v>
      </c>
      <c r="AT832">
        <f t="shared" ca="1" si="62"/>
        <v>187</v>
      </c>
      <c r="AU832">
        <f ca="1">INT(AS832*RANDBETWEEN(120,200)/100)</f>
        <v>1310</v>
      </c>
      <c r="AV832" s="2">
        <f ca="1">IF(LEFT(Y832,1)="L",RANDBETWEEN(500000,5000000),IF(LEFT(Y832,1)="C",RANDBETWEEN(5000,50000),IF(LEFT(Y832,1)="N",RANDBETWEEN(10000,150000),IF(LEFT(Y832,1)="J",RANDBETWEEN(8000,200000),RANDBETWEEN(5000,100000)))))</f>
        <v>17589</v>
      </c>
      <c r="AW832" s="2">
        <f ca="1">INT(AV832*RANDBETWEEN(30,60)/100)</f>
        <v>5276</v>
      </c>
      <c r="AX832">
        <f ca="1">IF(Z832="ORAL",RANDBETWEEN(1000,10000),IF(OR(Z832="INTRAVENOSA",Z832="INTRAMUSCULAR"),RANDBETWEEN(100,2000),IF(OR(Z832="OFTÁLMICA",Z832="TOPICA (EXTERNA)"),RANDBETWEEN(200,3000),RANDBETWEEN(100,1500))))</f>
        <v>671</v>
      </c>
      <c r="AY832" s="2">
        <f ca="1">INT(AV832*RANDBETWEEN(90,130)/100)</f>
        <v>19347</v>
      </c>
      <c r="AZ832" t="str">
        <f t="shared" ca="1" si="63"/>
        <v>6.5%</v>
      </c>
      <c r="BA832" t="str">
        <f t="shared" ca="1" si="64"/>
        <v>BAJO</v>
      </c>
    </row>
    <row r="833" spans="4:53" x14ac:dyDescent="0.35">
      <c r="D833" t="s">
        <v>5266</v>
      </c>
      <c r="E833" s="1">
        <v>40422</v>
      </c>
      <c r="F833" t="s">
        <v>5267</v>
      </c>
      <c r="G833" t="s">
        <v>108</v>
      </c>
      <c r="H833" t="s">
        <v>3045</v>
      </c>
      <c r="I833">
        <v>20013329</v>
      </c>
      <c r="J833" t="s">
        <v>28</v>
      </c>
      <c r="K833">
        <v>9</v>
      </c>
      <c r="L833" t="s">
        <v>27</v>
      </c>
      <c r="M833" t="s">
        <v>5268</v>
      </c>
      <c r="N833" t="s">
        <v>5269</v>
      </c>
      <c r="O833" t="s">
        <v>5270</v>
      </c>
      <c r="P833" t="s">
        <v>5271</v>
      </c>
      <c r="Q833" s="1">
        <v>42413</v>
      </c>
      <c r="R833" t="s">
        <v>50</v>
      </c>
      <c r="S833" t="s">
        <v>27</v>
      </c>
      <c r="T833" t="s">
        <v>2007</v>
      </c>
      <c r="U833" t="s">
        <v>115</v>
      </c>
      <c r="V833" t="s">
        <v>5272</v>
      </c>
      <c r="W833" t="s">
        <v>5273</v>
      </c>
      <c r="X833">
        <v>20013329</v>
      </c>
      <c r="Y833" t="s">
        <v>5274</v>
      </c>
      <c r="Z833" t="s">
        <v>5275</v>
      </c>
      <c r="AA833" t="s">
        <v>24</v>
      </c>
      <c r="AB833" t="s">
        <v>120</v>
      </c>
      <c r="AC833" t="s">
        <v>25</v>
      </c>
      <c r="AD833" t="s">
        <v>155</v>
      </c>
      <c r="AE833">
        <v>2</v>
      </c>
      <c r="AF833" t="s">
        <v>27</v>
      </c>
      <c r="AG833" t="s">
        <v>26</v>
      </c>
      <c r="AH833" t="s">
        <v>5014</v>
      </c>
      <c r="AI833" t="str">
        <f t="shared" si="60"/>
        <v>NO</v>
      </c>
      <c r="AJ833" t="str">
        <f t="shared" si="61"/>
        <v>ROPSOHN THERAPEUTICS</v>
      </c>
      <c r="AK833" t="str">
        <f>IF(ISNUMBER(SEARCH("FABRICANTE",AC833)),"FABRICANTE",IF(ISNUMBER(SEARCH("IMPORTADOR",AC833)),"IMPORTADOR","OTRO"))</f>
        <v>FABRICANTE</v>
      </c>
      <c r="AL833" t="str">
        <f>IF(LEFT(Y833,1)="A","Sistema digestivo",IF(LEFT(Y833,1)="B","Sangre",IF(LEFT(Y833,1)="C","Cardiovascular",IF(LEFT(Y833,1)="D","Dermatológico",IF(LEFT(Y833,1)="G","Genitourinario",IF(LEFT(Y833,1)="H","Hormonal",IF(LEFT(Y833,1)="J","Antiinfecciosos",IF(LEFT(Y833,1)="L","Oncológicos",IF(LEFT(Y833,1)="M","Musculoesquelético",IF(LEFT(Y833,1)="N","Sistema nervioso",IF(LEFT(Y833,1)="R","Respiratorio",IF(LEFT(Y833,1)="S","Oftálmico",IF(LEFT(Y833,1)="V","Varios","OTRO")))))))))))))</f>
        <v>Sistema nervioso</v>
      </c>
      <c r="AM833" t="str">
        <f>IF(AG833="Vigente","ACTIVO",IF(ISNUMBER(SEARCH("Inactivo",J833)),"INACTIVO","REVISAR"))</f>
        <v>ACTIVO</v>
      </c>
      <c r="AN833" t="str">
        <f ca="1">IF(OR(AF833="",AF833="null"),"",ROUND((AF833-TODAY())/365.25,2))</f>
        <v/>
      </c>
      <c r="AO833" t="str">
        <f ca="1">IF(AND(AG833="Vigente",OR(AF833="",AF833="null",AF833&gt;TODAY())),"SI",IF(AND(NOT(OR(AF833="",AF833="null")),AF833&lt;=TODAY()),"NO",IF(AG833="Vigente","SI","DESCONOCIDO")))</f>
        <v>SI</v>
      </c>
      <c r="AP833" t="str">
        <f>IF(AND(ISNUMBER(SEARCH("IMPORTAR",AA833)),ISNUMBER(SEARCH("FABRICAR",AA833))),"MIXTO",IF(ISNUMBER(SEARCH("IMPORTAR",AA833)),"IMPORTADO",IF(ISNUMBER(SEARCH("FABRICAR",AA833)),"LOCAL","OTRO")))</f>
        <v>LOCAL</v>
      </c>
      <c r="AQ833" t="str">
        <f>IF(AD833="Si","SI",IF(AD833="No","NO",""))</f>
        <v>SI</v>
      </c>
      <c r="AR833" t="str">
        <f>IF(ISNUMBER(SEARCH("®",N833)),"MARCA/INNOVADOR","GENERICO")</f>
        <v>GENERICO</v>
      </c>
      <c r="AS833">
        <f ca="1">IF(AE833&gt;100,RANDBETWEEN(500,5000),IF(AND(AE833&gt;=10,AE833&lt;=100),RANDBETWEEN(100,1000),RANDBETWEEN(10,200)))</f>
        <v>90</v>
      </c>
      <c r="AT833">
        <f t="shared" ca="1" si="62"/>
        <v>9</v>
      </c>
      <c r="AU833">
        <f ca="1">INT(AS833*RANDBETWEEN(120,200)/100)</f>
        <v>123</v>
      </c>
      <c r="AV833" s="2">
        <f ca="1">IF(LEFT(Y833,1)="L",RANDBETWEEN(500000,5000000),IF(LEFT(Y833,1)="C",RANDBETWEEN(5000,50000),IF(LEFT(Y833,1)="N",RANDBETWEEN(10000,150000),IF(LEFT(Y833,1)="J",RANDBETWEEN(8000,200000),RANDBETWEEN(5000,100000)))))</f>
        <v>78900</v>
      </c>
      <c r="AW833" s="2">
        <f ca="1">INT(AV833*RANDBETWEEN(30,60)/100)</f>
        <v>36294</v>
      </c>
      <c r="AX833">
        <f ca="1">IF(Z833="ORAL",RANDBETWEEN(1000,10000),IF(OR(Z833="INTRAVENOSA",Z833="INTRAMUSCULAR"),RANDBETWEEN(100,2000),IF(OR(Z833="OFTÁLMICA",Z833="TOPICA (EXTERNA)"),RANDBETWEEN(200,3000),RANDBETWEEN(100,1500))))</f>
        <v>769</v>
      </c>
      <c r="AY833" s="2">
        <f ca="1">INT(AV833*RANDBETWEEN(90,130)/100)</f>
        <v>91524</v>
      </c>
      <c r="AZ833" t="str">
        <f t="shared" ca="1" si="63"/>
        <v>3.6%</v>
      </c>
      <c r="BA833" t="str">
        <f t="shared" ca="1" si="64"/>
        <v>BAJO</v>
      </c>
    </row>
    <row r="834" spans="4:53" x14ac:dyDescent="0.35">
      <c r="D834" t="s">
        <v>5276</v>
      </c>
      <c r="E834" s="1">
        <v>36867</v>
      </c>
      <c r="F834" t="s">
        <v>5277</v>
      </c>
      <c r="G834" t="s">
        <v>108</v>
      </c>
      <c r="H834" t="s">
        <v>454</v>
      </c>
      <c r="I834">
        <v>32993</v>
      </c>
      <c r="J834" t="s">
        <v>28</v>
      </c>
      <c r="K834">
        <v>2</v>
      </c>
      <c r="L834" t="s">
        <v>27</v>
      </c>
      <c r="M834" t="s">
        <v>2259</v>
      </c>
      <c r="N834" t="s">
        <v>2260</v>
      </c>
      <c r="O834" t="s">
        <v>5278</v>
      </c>
      <c r="P834" t="s">
        <v>527</v>
      </c>
      <c r="Q834" s="1">
        <v>39031</v>
      </c>
      <c r="R834" t="s">
        <v>527</v>
      </c>
      <c r="S834" t="s">
        <v>27</v>
      </c>
      <c r="T834" t="s">
        <v>428</v>
      </c>
      <c r="U834" t="s">
        <v>115</v>
      </c>
      <c r="V834" t="s">
        <v>3517</v>
      </c>
      <c r="W834">
        <v>150</v>
      </c>
      <c r="X834">
        <v>32993</v>
      </c>
      <c r="Y834" t="s">
        <v>3518</v>
      </c>
      <c r="Z834" t="s">
        <v>119</v>
      </c>
      <c r="AA834" t="s">
        <v>24</v>
      </c>
      <c r="AB834" t="s">
        <v>120</v>
      </c>
      <c r="AC834" t="s">
        <v>25</v>
      </c>
      <c r="AD834" t="s">
        <v>121</v>
      </c>
      <c r="AE834">
        <v>30</v>
      </c>
      <c r="AF834" t="s">
        <v>27</v>
      </c>
      <c r="AG834" t="s">
        <v>26</v>
      </c>
      <c r="AH834" t="s">
        <v>6697</v>
      </c>
      <c r="AI834" t="str">
        <f t="shared" si="60"/>
        <v>NO</v>
      </c>
      <c r="AJ834" t="str">
        <f t="shared" si="61"/>
        <v>LABORATORIOS SIEGFRIED</v>
      </c>
      <c r="AK834" t="str">
        <f>IF(ISNUMBER(SEARCH("FABRICANTE",AC834)),"FABRICANTE",IF(ISNUMBER(SEARCH("IMPORTADOR",AC834)),"IMPORTADOR","OTRO"))</f>
        <v>FABRICANTE</v>
      </c>
      <c r="AL834" t="str">
        <f>IF(LEFT(Y834,1)="A","Sistema digestivo",IF(LEFT(Y834,1)="B","Sangre",IF(LEFT(Y834,1)="C","Cardiovascular",IF(LEFT(Y834,1)="D","Dermatológico",IF(LEFT(Y834,1)="G","Genitourinario",IF(LEFT(Y834,1)="H","Hormonal",IF(LEFT(Y834,1)="J","Antiinfecciosos",IF(LEFT(Y834,1)="L","Oncológicos",IF(LEFT(Y834,1)="M","Musculoesquelético",IF(LEFT(Y834,1)="N","Sistema nervioso",IF(LEFT(Y834,1)="R","Respiratorio",IF(LEFT(Y834,1)="S","Oftálmico",IF(LEFT(Y834,1)="V","Varios","OTRO")))))))))))))</f>
        <v>Sistema digestivo</v>
      </c>
      <c r="AM834" t="str">
        <f>IF(AG834="Vigente","ACTIVO",IF(ISNUMBER(SEARCH("Inactivo",J834)),"INACTIVO","REVISAR"))</f>
        <v>ACTIVO</v>
      </c>
      <c r="AN834" t="str">
        <f ca="1">IF(OR(AF834="",AF834="null"),"",ROUND((AF834-TODAY())/365.25,2))</f>
        <v/>
      </c>
      <c r="AO834" t="str">
        <f ca="1">IF(AND(AG834="Vigente",OR(AF834="",AF834="null",AF834&gt;TODAY())),"SI",IF(AND(NOT(OR(AF834="",AF834="null")),AF834&lt;=TODAY()),"NO",IF(AG834="Vigente","SI","DESCONOCIDO")))</f>
        <v>SI</v>
      </c>
      <c r="AP834" t="str">
        <f>IF(AND(ISNUMBER(SEARCH("IMPORTAR",AA834)),ISNUMBER(SEARCH("FABRICAR",AA834))),"MIXTO",IF(ISNUMBER(SEARCH("IMPORTAR",AA834)),"IMPORTADO",IF(ISNUMBER(SEARCH("FABRICAR",AA834)),"LOCAL","OTRO")))</f>
        <v>LOCAL</v>
      </c>
      <c r="AQ834" t="str">
        <f>IF(AD834="Si","SI",IF(AD834="No","NO",""))</f>
        <v>NO</v>
      </c>
      <c r="AR834" t="str">
        <f>IF(ISNUMBER(SEARCH("®",N834)),"MARCA/INNOVADOR","GENERICO")</f>
        <v>GENERICO</v>
      </c>
      <c r="AS834">
        <f ca="1">IF(AE834&gt;100,RANDBETWEEN(500,5000),IF(AND(AE834&gt;=10,AE834&lt;=100),RANDBETWEEN(100,1000),RANDBETWEEN(10,200)))</f>
        <v>998</v>
      </c>
      <c r="AT834">
        <f t="shared" ca="1" si="62"/>
        <v>169</v>
      </c>
      <c r="AU834">
        <f ca="1">INT(AS834*RANDBETWEEN(120,200)/100)</f>
        <v>1367</v>
      </c>
      <c r="AV834" s="2">
        <f ca="1">IF(LEFT(Y834,1)="L",RANDBETWEEN(500000,5000000),IF(LEFT(Y834,1)="C",RANDBETWEEN(5000,50000),IF(LEFT(Y834,1)="N",RANDBETWEEN(10000,150000),IF(LEFT(Y834,1)="J",RANDBETWEEN(8000,200000),RANDBETWEEN(5000,100000)))))</f>
        <v>32546</v>
      </c>
      <c r="AW834" s="2">
        <f ca="1">INT(AV834*RANDBETWEEN(30,60)/100)</f>
        <v>12692</v>
      </c>
      <c r="AX834">
        <f ca="1">IF(Z834="ORAL",RANDBETWEEN(1000,10000),IF(OR(Z834="INTRAVENOSA",Z834="INTRAMUSCULAR"),RANDBETWEEN(100,2000),IF(OR(Z834="OFTÁLMICA",Z834="TOPICA (EXTERNA)"),RANDBETWEEN(200,3000),RANDBETWEEN(100,1500))))</f>
        <v>6785</v>
      </c>
      <c r="AY834" s="2">
        <f ca="1">INT(AV834*RANDBETWEEN(90,130)/100)</f>
        <v>33847</v>
      </c>
      <c r="AZ834" t="str">
        <f t="shared" ca="1" si="63"/>
        <v>22%</v>
      </c>
      <c r="BA834" t="str">
        <f t="shared" ca="1" si="64"/>
        <v>BAJO</v>
      </c>
    </row>
    <row r="835" spans="4:53" x14ac:dyDescent="0.35">
      <c r="D835" t="s">
        <v>5279</v>
      </c>
      <c r="E835" s="1">
        <v>41453</v>
      </c>
      <c r="F835" t="s">
        <v>5280</v>
      </c>
      <c r="G835" t="s">
        <v>108</v>
      </c>
      <c r="H835" t="s">
        <v>928</v>
      </c>
      <c r="I835">
        <v>20057639</v>
      </c>
      <c r="J835" t="s">
        <v>28</v>
      </c>
      <c r="K835">
        <v>9</v>
      </c>
      <c r="L835" t="s">
        <v>27</v>
      </c>
      <c r="M835" t="s">
        <v>5281</v>
      </c>
      <c r="N835" t="s">
        <v>5282</v>
      </c>
      <c r="O835" t="s">
        <v>5283</v>
      </c>
      <c r="P835" t="s">
        <v>29</v>
      </c>
      <c r="Q835" s="1">
        <v>41368</v>
      </c>
      <c r="R835" t="s">
        <v>29</v>
      </c>
      <c r="S835" t="s">
        <v>27</v>
      </c>
      <c r="T835" t="s">
        <v>928</v>
      </c>
      <c r="U835" t="s">
        <v>115</v>
      </c>
      <c r="V835" t="s">
        <v>5284</v>
      </c>
      <c r="W835">
        <v>50</v>
      </c>
      <c r="X835">
        <v>20057639</v>
      </c>
      <c r="Y835" t="s">
        <v>5285</v>
      </c>
      <c r="Z835" t="s">
        <v>119</v>
      </c>
      <c r="AA835" t="s">
        <v>24</v>
      </c>
      <c r="AB835" t="s">
        <v>120</v>
      </c>
      <c r="AC835" t="s">
        <v>25</v>
      </c>
      <c r="AD835" t="s">
        <v>121</v>
      </c>
      <c r="AE835">
        <v>80</v>
      </c>
      <c r="AF835" t="s">
        <v>27</v>
      </c>
      <c r="AG835" t="s">
        <v>26</v>
      </c>
      <c r="AH835" t="s">
        <v>5280</v>
      </c>
      <c r="AI835" t="str">
        <f t="shared" ref="AI835:AI898" si="65">IF(OR(ISNUMBER(SEARCH("+",F835)),ISNUMBER(SEARCH(".",F835))),"SI","NO")</f>
        <v>NO</v>
      </c>
      <c r="AJ835" t="str">
        <f t="shared" ref="AJ835:AJ898" si="6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835)," S.A.S.",""),"S.A.S.","")," S.A.S",""),"S.A.S","")," S.A.C.I.","")," S.A.C.I","")," SAS","")," S.A.","")," S.A","")," LTDA.","")," LTDA","")," LIMITED","")," LTD.","")," LTD","")," INC.","")," INC","")," GMBH &amp; CO. KG.","")," GMBH","")," LLC","")," A.G.","")," A.G","")," A/S","")," S.R.L.","")," S.R.L","")," S.P.A.","")," DE C.V.","")," AG",""),"  "," "))</f>
        <v>LABORATORIOS ECAR</v>
      </c>
      <c r="AK835" t="str">
        <f>IF(ISNUMBER(SEARCH("FABRICANTE",AC835)),"FABRICANTE",IF(ISNUMBER(SEARCH("IMPORTADOR",AC835)),"IMPORTADOR","OTRO"))</f>
        <v>FABRICANTE</v>
      </c>
      <c r="AL835" t="str">
        <f>IF(LEFT(Y835,1)="A","Sistema digestivo",IF(LEFT(Y835,1)="B","Sangre",IF(LEFT(Y835,1)="C","Cardiovascular",IF(LEFT(Y835,1)="D","Dermatológico",IF(LEFT(Y835,1)="G","Genitourinario",IF(LEFT(Y835,1)="H","Hormonal",IF(LEFT(Y835,1)="J","Antiinfecciosos",IF(LEFT(Y835,1)="L","Oncológicos",IF(LEFT(Y835,1)="M","Musculoesquelético",IF(LEFT(Y835,1)="N","Sistema nervioso",IF(LEFT(Y835,1)="R","Respiratorio",IF(LEFT(Y835,1)="S","Oftálmico",IF(LEFT(Y835,1)="V","Varios","OTRO")))))))))))))</f>
        <v>Sistema digestivo</v>
      </c>
      <c r="AM835" t="str">
        <f>IF(AG835="Vigente","ACTIVO",IF(ISNUMBER(SEARCH("Inactivo",J835)),"INACTIVO","REVISAR"))</f>
        <v>ACTIVO</v>
      </c>
      <c r="AN835" t="str">
        <f ca="1">IF(OR(AF835="",AF835="null"),"",ROUND((AF835-TODAY())/365.25,2))</f>
        <v/>
      </c>
      <c r="AO835" t="str">
        <f ca="1">IF(AND(AG835="Vigente",OR(AF835="",AF835="null",AF835&gt;TODAY())),"SI",IF(AND(NOT(OR(AF835="",AF835="null")),AF835&lt;=TODAY()),"NO",IF(AG835="Vigente","SI","DESCONOCIDO")))</f>
        <v>SI</v>
      </c>
      <c r="AP835" t="str">
        <f>IF(AND(ISNUMBER(SEARCH("IMPORTAR",AA835)),ISNUMBER(SEARCH("FABRICAR",AA835))),"MIXTO",IF(ISNUMBER(SEARCH("IMPORTAR",AA835)),"IMPORTADO",IF(ISNUMBER(SEARCH("FABRICAR",AA835)),"LOCAL","OTRO")))</f>
        <v>LOCAL</v>
      </c>
      <c r="AQ835" t="str">
        <f>IF(AD835="Si","SI",IF(AD835="No","NO",""))</f>
        <v>NO</v>
      </c>
      <c r="AR835" t="str">
        <f>IF(ISNUMBER(SEARCH("®",N835)),"MARCA/INNOVADOR","GENERICO")</f>
        <v>GENERICO</v>
      </c>
      <c r="AS835">
        <f ca="1">IF(AE835&gt;100,RANDBETWEEN(500,5000),IF(AND(AE835&gt;=10,AE835&lt;=100),RANDBETWEEN(100,1000),RANDBETWEEN(10,200)))</f>
        <v>940</v>
      </c>
      <c r="AT835">
        <f t="shared" ref="AT835:AT898" ca="1" si="67">INT(AS835*RANDBETWEEN(10,30)/100)</f>
        <v>112</v>
      </c>
      <c r="AU835">
        <f ca="1">INT(AS835*RANDBETWEEN(120,200)/100)</f>
        <v>1532</v>
      </c>
      <c r="AV835" s="2">
        <f ca="1">IF(LEFT(Y835,1)="L",RANDBETWEEN(500000,5000000),IF(LEFT(Y835,1)="C",RANDBETWEEN(5000,50000),IF(LEFT(Y835,1)="N",RANDBETWEEN(10000,150000),IF(LEFT(Y835,1)="J",RANDBETWEEN(8000,200000),RANDBETWEEN(5000,100000)))))</f>
        <v>11111</v>
      </c>
      <c r="AW835" s="2">
        <f ca="1">INT(AV835*RANDBETWEEN(30,60)/100)</f>
        <v>3555</v>
      </c>
      <c r="AX835">
        <f ca="1">IF(Z835="ORAL",RANDBETWEEN(1000,10000),IF(OR(Z835="INTRAVENOSA",Z835="INTRAMUSCULAR"),RANDBETWEEN(100,2000),IF(OR(Z835="OFTÁLMICA",Z835="TOPICA (EXTERNA)"),RANDBETWEEN(200,3000),RANDBETWEEN(100,1500))))</f>
        <v>9708</v>
      </c>
      <c r="AY835" s="2">
        <f ca="1">INT(AV835*RANDBETWEEN(90,130)/100)</f>
        <v>10222</v>
      </c>
      <c r="AZ835" t="str">
        <f t="shared" ref="AZ835:AZ898" ca="1" si="68">IF(Z835="ORAL",RANDBETWEEN(50,250)/10,IF(OR(Z835="TOPICA (EXTERNA)",Z835="OFTÁLMICA"),RANDBETWEEN(20,150)/10,IF(OR(Z835="SUBCUTANEA",Z835="INTRAMUSCULAR"),RANDBETWEEN(10,100)/10,IF(Z835="INTRAVENOSA",RANDBETWEEN(1,50)/10,RANDBETWEEN(5,80)/10))))&amp;"%"</f>
        <v>14.9%</v>
      </c>
      <c r="BA835" t="str">
        <f t="shared" ref="BA835:BA898" ca="1" si="69">IF(OR(AG835&lt;&gt;"Vigente",AND(ISNUMBER(AF835),AF835&lt;TODAY()),AND(J835="Inactivo",NOT(ISNUMBER(AF835)))),"ALTO",IF(OR(AND(J835="Inactivo",ISNUMBER(AF835)),AND(ISNUMBER(AF835),AF835&gt;TODAY(),AF835&lt;=TODAY()+1825)),"MEDIO","BAJO"))</f>
        <v>BAJO</v>
      </c>
    </row>
    <row r="836" spans="4:53" x14ac:dyDescent="0.35">
      <c r="D836" t="s">
        <v>5286</v>
      </c>
      <c r="E836" s="1">
        <v>42303</v>
      </c>
      <c r="F836" t="s">
        <v>5287</v>
      </c>
      <c r="G836" t="s">
        <v>108</v>
      </c>
      <c r="H836" t="s">
        <v>1317</v>
      </c>
      <c r="I836">
        <v>20087456</v>
      </c>
      <c r="J836" t="s">
        <v>110</v>
      </c>
      <c r="K836">
        <v>29</v>
      </c>
      <c r="L836" t="s">
        <v>27</v>
      </c>
      <c r="M836" t="s">
        <v>5288</v>
      </c>
      <c r="N836" t="s">
        <v>5289</v>
      </c>
      <c r="O836" t="s">
        <v>5290</v>
      </c>
      <c r="P836" t="s">
        <v>29</v>
      </c>
      <c r="Q836" s="1">
        <v>42139</v>
      </c>
      <c r="R836" t="s">
        <v>33</v>
      </c>
      <c r="S836" s="1">
        <v>44287</v>
      </c>
      <c r="T836" t="s">
        <v>80</v>
      </c>
      <c r="U836" t="s">
        <v>115</v>
      </c>
      <c r="V836" t="s">
        <v>1583</v>
      </c>
      <c r="W836">
        <v>40</v>
      </c>
      <c r="X836">
        <v>20087456</v>
      </c>
      <c r="Y836" t="s">
        <v>1584</v>
      </c>
      <c r="Z836" t="s">
        <v>119</v>
      </c>
      <c r="AA836" t="s">
        <v>24</v>
      </c>
      <c r="AB836" t="s">
        <v>120</v>
      </c>
      <c r="AC836" t="s">
        <v>25</v>
      </c>
      <c r="AD836" t="s">
        <v>121</v>
      </c>
      <c r="AE836">
        <v>5</v>
      </c>
      <c r="AF836" t="s">
        <v>27</v>
      </c>
      <c r="AG836" t="s">
        <v>26</v>
      </c>
      <c r="AH836" t="s">
        <v>6755</v>
      </c>
      <c r="AI836" t="str">
        <f t="shared" si="65"/>
        <v>SI</v>
      </c>
      <c r="AJ836" t="str">
        <f t="shared" si="66"/>
        <v>TECNOQUIMICAS</v>
      </c>
      <c r="AK836" t="str">
        <f>IF(ISNUMBER(SEARCH("FABRICANTE",AC836)),"FABRICANTE",IF(ISNUMBER(SEARCH("IMPORTADOR",AC836)),"IMPORTADOR","OTRO"))</f>
        <v>FABRICANTE</v>
      </c>
      <c r="AL836" t="str">
        <f>IF(LEFT(Y836,1)="A","Sistema digestivo",IF(LEFT(Y836,1)="B","Sangre",IF(LEFT(Y836,1)="C","Cardiovascular",IF(LEFT(Y836,1)="D","Dermatológico",IF(LEFT(Y836,1)="G","Genitourinario",IF(LEFT(Y836,1)="H","Hormonal",IF(LEFT(Y836,1)="J","Antiinfecciosos",IF(LEFT(Y836,1)="L","Oncológicos",IF(LEFT(Y836,1)="M","Musculoesquelético",IF(LEFT(Y836,1)="N","Sistema nervioso",IF(LEFT(Y836,1)="R","Respiratorio",IF(LEFT(Y836,1)="S","Oftálmico",IF(LEFT(Y836,1)="V","Varios","OTRO")))))))))))))</f>
        <v>Cardiovascular</v>
      </c>
      <c r="AM836" t="str">
        <f>IF(AG836="Vigente","ACTIVO",IF(ISNUMBER(SEARCH("Inactivo",J836)),"INACTIVO","REVISAR"))</f>
        <v>ACTIVO</v>
      </c>
      <c r="AN836" t="str">
        <f ca="1">IF(OR(AF836="",AF836="null"),"",ROUND((AF836-TODAY())/365.25,2))</f>
        <v/>
      </c>
      <c r="AO836" t="str">
        <f ca="1">IF(AND(AG836="Vigente",OR(AF836="",AF836="null",AF836&gt;TODAY())),"SI",IF(AND(NOT(OR(AF836="",AF836="null")),AF836&lt;=TODAY()),"NO",IF(AG836="Vigente","SI","DESCONOCIDO")))</f>
        <v>SI</v>
      </c>
      <c r="AP836" t="str">
        <f>IF(AND(ISNUMBER(SEARCH("IMPORTAR",AA836)),ISNUMBER(SEARCH("FABRICAR",AA836))),"MIXTO",IF(ISNUMBER(SEARCH("IMPORTAR",AA836)),"IMPORTADO",IF(ISNUMBER(SEARCH("FABRICAR",AA836)),"LOCAL","OTRO")))</f>
        <v>LOCAL</v>
      </c>
      <c r="AQ836" t="str">
        <f>IF(AD836="Si","SI",IF(AD836="No","NO",""))</f>
        <v>NO</v>
      </c>
      <c r="AR836" t="str">
        <f>IF(ISNUMBER(SEARCH("®",N836)),"MARCA/INNOVADOR","GENERICO")</f>
        <v>GENERICO</v>
      </c>
      <c r="AS836">
        <f ca="1">IF(AE836&gt;100,RANDBETWEEN(500,5000),IF(AND(AE836&gt;=10,AE836&lt;=100),RANDBETWEEN(100,1000),RANDBETWEEN(10,200)))</f>
        <v>119</v>
      </c>
      <c r="AT836">
        <f t="shared" ca="1" si="67"/>
        <v>30</v>
      </c>
      <c r="AU836">
        <f ca="1">INT(AS836*RANDBETWEEN(120,200)/100)</f>
        <v>153</v>
      </c>
      <c r="AV836" s="2">
        <f ca="1">IF(LEFT(Y836,1)="L",RANDBETWEEN(500000,5000000),IF(LEFT(Y836,1)="C",RANDBETWEEN(5000,50000),IF(LEFT(Y836,1)="N",RANDBETWEEN(10000,150000),IF(LEFT(Y836,1)="J",RANDBETWEEN(8000,200000),RANDBETWEEN(5000,100000)))))</f>
        <v>9949</v>
      </c>
      <c r="AW836" s="2">
        <f ca="1">INT(AV836*RANDBETWEEN(30,60)/100)</f>
        <v>5173</v>
      </c>
      <c r="AX836">
        <f ca="1">IF(Z836="ORAL",RANDBETWEEN(1000,10000),IF(OR(Z836="INTRAVENOSA",Z836="INTRAMUSCULAR"),RANDBETWEEN(100,2000),IF(OR(Z836="OFTÁLMICA",Z836="TOPICA (EXTERNA)"),RANDBETWEEN(200,3000),RANDBETWEEN(100,1500))))</f>
        <v>8056</v>
      </c>
      <c r="AY836" s="2">
        <f ca="1">INT(AV836*RANDBETWEEN(90,130)/100)</f>
        <v>9551</v>
      </c>
      <c r="AZ836" t="str">
        <f t="shared" ca="1" si="68"/>
        <v>16.3%</v>
      </c>
      <c r="BA836" t="str">
        <f t="shared" ca="1" si="69"/>
        <v>ALTO</v>
      </c>
    </row>
    <row r="837" spans="4:53" x14ac:dyDescent="0.35">
      <c r="D837" t="s">
        <v>5291</v>
      </c>
      <c r="E837" s="1">
        <v>36161</v>
      </c>
      <c r="F837" t="s">
        <v>5292</v>
      </c>
      <c r="G837" t="s">
        <v>108</v>
      </c>
      <c r="H837" t="s">
        <v>5293</v>
      </c>
      <c r="I837">
        <v>203335</v>
      </c>
      <c r="J837" t="s">
        <v>28</v>
      </c>
      <c r="K837">
        <v>2</v>
      </c>
      <c r="L837" t="s">
        <v>27</v>
      </c>
      <c r="M837" t="s">
        <v>5294</v>
      </c>
      <c r="N837" t="s">
        <v>5295</v>
      </c>
      <c r="O837" t="s">
        <v>5296</v>
      </c>
      <c r="P837" t="s">
        <v>601</v>
      </c>
      <c r="Q837" s="1">
        <v>39031</v>
      </c>
      <c r="R837" t="s">
        <v>1312</v>
      </c>
      <c r="S837" t="s">
        <v>27</v>
      </c>
      <c r="T837" t="s">
        <v>5297</v>
      </c>
      <c r="U837" t="s">
        <v>115</v>
      </c>
      <c r="V837" t="s">
        <v>5298</v>
      </c>
      <c r="W837">
        <v>50</v>
      </c>
      <c r="X837">
        <v>203335</v>
      </c>
      <c r="Y837" t="s">
        <v>5299</v>
      </c>
      <c r="Z837" t="s">
        <v>260</v>
      </c>
      <c r="AA837" t="s">
        <v>32</v>
      </c>
      <c r="AB837" t="s">
        <v>120</v>
      </c>
      <c r="AC837" t="s">
        <v>25</v>
      </c>
      <c r="AD837" t="s">
        <v>121</v>
      </c>
      <c r="AE837">
        <v>1</v>
      </c>
      <c r="AF837" t="s">
        <v>27</v>
      </c>
      <c r="AG837" t="s">
        <v>26</v>
      </c>
      <c r="AH837" t="s">
        <v>5292</v>
      </c>
      <c r="AI837" t="str">
        <f t="shared" si="65"/>
        <v>NO</v>
      </c>
      <c r="AJ837" t="str">
        <f t="shared" si="66"/>
        <v>GENZYME CORPORATION</v>
      </c>
      <c r="AK837" t="str">
        <f>IF(ISNUMBER(SEARCH("FABRICANTE",AC837)),"FABRICANTE",IF(ISNUMBER(SEARCH("IMPORTADOR",AC837)),"IMPORTADOR","OTRO"))</f>
        <v>FABRICANTE</v>
      </c>
      <c r="AL837" t="str">
        <f>IF(LEFT(Y837,1)="A","Sistema digestivo",IF(LEFT(Y837,1)="B","Sangre",IF(LEFT(Y837,1)="C","Cardiovascular",IF(LEFT(Y837,1)="D","Dermatológico",IF(LEFT(Y837,1)="G","Genitourinario",IF(LEFT(Y837,1)="H","Hormonal",IF(LEFT(Y837,1)="J","Antiinfecciosos",IF(LEFT(Y837,1)="L","Oncológicos",IF(LEFT(Y837,1)="M","Musculoesquelético",IF(LEFT(Y837,1)="N","Sistema nervioso",IF(LEFT(Y837,1)="R","Respiratorio",IF(LEFT(Y837,1)="S","Oftálmico",IF(LEFT(Y837,1)="V","Varios","OTRO")))))))))))))</f>
        <v>Oncológicos</v>
      </c>
      <c r="AM837" t="str">
        <f>IF(AG837="Vigente","ACTIVO",IF(ISNUMBER(SEARCH("Inactivo",J837)),"INACTIVO","REVISAR"))</f>
        <v>ACTIVO</v>
      </c>
      <c r="AN837" t="str">
        <f ca="1">IF(OR(AF837="",AF837="null"),"",ROUND((AF837-TODAY())/365.25,2))</f>
        <v/>
      </c>
      <c r="AO837" t="str">
        <f ca="1">IF(AND(AG837="Vigente",OR(AF837="",AF837="null",AF837&gt;TODAY())),"SI",IF(AND(NOT(OR(AF837="",AF837="null")),AF837&lt;=TODAY()),"NO",IF(AG837="Vigente","SI","DESCONOCIDO")))</f>
        <v>SI</v>
      </c>
      <c r="AP837" t="str">
        <f>IF(AND(ISNUMBER(SEARCH("IMPORTAR",AA837)),ISNUMBER(SEARCH("FABRICAR",AA837))),"MIXTO",IF(ISNUMBER(SEARCH("IMPORTAR",AA837)),"IMPORTADO",IF(ISNUMBER(SEARCH("FABRICAR",AA837)),"LOCAL","OTRO")))</f>
        <v>IMPORTADO</v>
      </c>
      <c r="AQ837" t="str">
        <f>IF(AD837="Si","SI",IF(AD837="No","NO",""))</f>
        <v>NO</v>
      </c>
      <c r="AR837" t="str">
        <f>IF(ISNUMBER(SEARCH("®",N837)),"MARCA/INNOVADOR","GENERICO")</f>
        <v>MARCA/INNOVADOR</v>
      </c>
      <c r="AS837">
        <f ca="1">IF(AE837&gt;100,RANDBETWEEN(500,5000),IF(AND(AE837&gt;=10,AE837&lt;=100),RANDBETWEEN(100,1000),RANDBETWEEN(10,200)))</f>
        <v>69</v>
      </c>
      <c r="AT837">
        <f t="shared" ca="1" si="67"/>
        <v>13</v>
      </c>
      <c r="AU837">
        <f ca="1">INT(AS837*RANDBETWEEN(120,200)/100)</f>
        <v>86</v>
      </c>
      <c r="AV837" s="2">
        <f ca="1">IF(LEFT(Y837,1)="L",RANDBETWEEN(500000,5000000),IF(LEFT(Y837,1)="C",RANDBETWEEN(5000,50000),IF(LEFT(Y837,1)="N",RANDBETWEEN(10000,150000),IF(LEFT(Y837,1)="J",RANDBETWEEN(8000,200000),RANDBETWEEN(5000,100000)))))</f>
        <v>4282158</v>
      </c>
      <c r="AW837" s="2">
        <f ca="1">INT(AV837*RANDBETWEEN(30,60)/100)</f>
        <v>2183900</v>
      </c>
      <c r="AX837">
        <f ca="1">IF(Z837="ORAL",RANDBETWEEN(1000,10000),IF(OR(Z837="INTRAVENOSA",Z837="INTRAMUSCULAR"),RANDBETWEEN(100,2000),IF(OR(Z837="OFTÁLMICA",Z837="TOPICA (EXTERNA)"),RANDBETWEEN(200,3000),RANDBETWEEN(100,1500))))</f>
        <v>937</v>
      </c>
      <c r="AY837" s="2">
        <f ca="1">INT(AV837*RANDBETWEEN(90,130)/100)</f>
        <v>4967303</v>
      </c>
      <c r="AZ837" t="str">
        <f t="shared" ca="1" si="68"/>
        <v>2.9%</v>
      </c>
      <c r="BA837" t="str">
        <f t="shared" ca="1" si="69"/>
        <v>BAJO</v>
      </c>
    </row>
    <row r="838" spans="4:53" x14ac:dyDescent="0.35">
      <c r="D838" t="s">
        <v>5300</v>
      </c>
      <c r="E838" s="1">
        <v>36161</v>
      </c>
      <c r="F838" t="s">
        <v>5301</v>
      </c>
      <c r="G838" t="s">
        <v>108</v>
      </c>
      <c r="H838" t="s">
        <v>5302</v>
      </c>
      <c r="I838">
        <v>226433</v>
      </c>
      <c r="J838" t="s">
        <v>28</v>
      </c>
      <c r="K838">
        <v>10</v>
      </c>
      <c r="L838" t="s">
        <v>5303</v>
      </c>
      <c r="M838" t="s">
        <v>5304</v>
      </c>
      <c r="N838" t="s">
        <v>5305</v>
      </c>
      <c r="O838" t="s">
        <v>5306</v>
      </c>
      <c r="P838" t="s">
        <v>574</v>
      </c>
      <c r="Q838" s="1">
        <v>44280</v>
      </c>
      <c r="R838" t="s">
        <v>200</v>
      </c>
      <c r="S838" t="s">
        <v>27</v>
      </c>
      <c r="T838" t="s">
        <v>464</v>
      </c>
      <c r="U838" t="s">
        <v>115</v>
      </c>
      <c r="V838" t="s">
        <v>3868</v>
      </c>
      <c r="W838">
        <v>10</v>
      </c>
      <c r="X838">
        <v>226433</v>
      </c>
      <c r="Y838" t="s">
        <v>3869</v>
      </c>
      <c r="Z838" t="s">
        <v>119</v>
      </c>
      <c r="AA838" t="s">
        <v>32</v>
      </c>
      <c r="AB838" t="s">
        <v>120</v>
      </c>
      <c r="AC838" t="s">
        <v>25</v>
      </c>
      <c r="AD838" t="s">
        <v>155</v>
      </c>
      <c r="AE838">
        <v>10</v>
      </c>
      <c r="AF838" t="s">
        <v>27</v>
      </c>
      <c r="AG838" t="s">
        <v>26</v>
      </c>
      <c r="AH838" t="s">
        <v>3868</v>
      </c>
      <c r="AI838" t="str">
        <f t="shared" si="65"/>
        <v>SI</v>
      </c>
      <c r="AJ838" t="str">
        <f t="shared" si="66"/>
        <v>MEGALABS COLOMBIA</v>
      </c>
      <c r="AK838" t="str">
        <f>IF(ISNUMBER(SEARCH("FABRICANTE",AC838)),"FABRICANTE",IF(ISNUMBER(SEARCH("IMPORTADOR",AC838)),"IMPORTADOR","OTRO"))</f>
        <v>FABRICANTE</v>
      </c>
      <c r="AL838" t="str">
        <f>IF(LEFT(Y838,1)="A","Sistema digestivo",IF(LEFT(Y838,1)="B","Sangre",IF(LEFT(Y838,1)="C","Cardiovascular",IF(LEFT(Y838,1)="D","Dermatológico",IF(LEFT(Y838,1)="G","Genitourinario",IF(LEFT(Y838,1)="H","Hormonal",IF(LEFT(Y838,1)="J","Antiinfecciosos",IF(LEFT(Y838,1)="L","Oncológicos",IF(LEFT(Y838,1)="M","Musculoesquelético",IF(LEFT(Y838,1)="N","Sistema nervioso",IF(LEFT(Y838,1)="R","Respiratorio",IF(LEFT(Y838,1)="S","Oftálmico",IF(LEFT(Y838,1)="V","Varios","OTRO")))))))))))))</f>
        <v>Sistema digestivo</v>
      </c>
      <c r="AM838" t="str">
        <f>IF(AG838="Vigente","ACTIVO",IF(ISNUMBER(SEARCH("Inactivo",J838)),"INACTIVO","REVISAR"))</f>
        <v>ACTIVO</v>
      </c>
      <c r="AN838" t="str">
        <f ca="1">IF(OR(AF838="",AF838="null"),"",ROUND((AF838-TODAY())/365.25,2))</f>
        <v/>
      </c>
      <c r="AO838" t="str">
        <f ca="1">IF(AND(AG838="Vigente",OR(AF838="",AF838="null",AF838&gt;TODAY())),"SI",IF(AND(NOT(OR(AF838="",AF838="null")),AF838&lt;=TODAY()),"NO",IF(AG838="Vigente","SI","DESCONOCIDO")))</f>
        <v>SI</v>
      </c>
      <c r="AP838" t="str">
        <f>IF(AND(ISNUMBER(SEARCH("IMPORTAR",AA838)),ISNUMBER(SEARCH("FABRICAR",AA838))),"MIXTO",IF(ISNUMBER(SEARCH("IMPORTAR",AA838)),"IMPORTADO",IF(ISNUMBER(SEARCH("FABRICAR",AA838)),"LOCAL","OTRO")))</f>
        <v>IMPORTADO</v>
      </c>
      <c r="AQ838" t="str">
        <f>IF(AD838="Si","SI",IF(AD838="No","NO",""))</f>
        <v>SI</v>
      </c>
      <c r="AR838" t="str">
        <f>IF(ISNUMBER(SEARCH("®",N838)),"MARCA/INNOVADOR","GENERICO")</f>
        <v>MARCA/INNOVADOR</v>
      </c>
      <c r="AS838">
        <f ca="1">IF(AE838&gt;100,RANDBETWEEN(500,5000),IF(AND(AE838&gt;=10,AE838&lt;=100),RANDBETWEEN(100,1000),RANDBETWEEN(10,200)))</f>
        <v>854</v>
      </c>
      <c r="AT838">
        <f t="shared" ca="1" si="67"/>
        <v>128</v>
      </c>
      <c r="AU838">
        <f ca="1">INT(AS838*RANDBETWEEN(120,200)/100)</f>
        <v>1135</v>
      </c>
      <c r="AV838" s="2">
        <f ca="1">IF(LEFT(Y838,1)="L",RANDBETWEEN(500000,5000000),IF(LEFT(Y838,1)="C",RANDBETWEEN(5000,50000),IF(LEFT(Y838,1)="N",RANDBETWEEN(10000,150000),IF(LEFT(Y838,1)="J",RANDBETWEEN(8000,200000),RANDBETWEEN(5000,100000)))))</f>
        <v>70517</v>
      </c>
      <c r="AW838" s="2">
        <f ca="1">INT(AV838*RANDBETWEEN(30,60)/100)</f>
        <v>31732</v>
      </c>
      <c r="AX838">
        <f ca="1">IF(Z838="ORAL",RANDBETWEEN(1000,10000),IF(OR(Z838="INTRAVENOSA",Z838="INTRAMUSCULAR"),RANDBETWEEN(100,2000),IF(OR(Z838="OFTÁLMICA",Z838="TOPICA (EXTERNA)"),RANDBETWEEN(200,3000),RANDBETWEEN(100,1500))))</f>
        <v>2930</v>
      </c>
      <c r="AY838" s="2">
        <f ca="1">INT(AV838*RANDBETWEEN(90,130)/100)</f>
        <v>74748</v>
      </c>
      <c r="AZ838" t="str">
        <f t="shared" ca="1" si="68"/>
        <v>19.4%</v>
      </c>
      <c r="BA838" t="str">
        <f t="shared" ca="1" si="69"/>
        <v>BAJO</v>
      </c>
    </row>
    <row r="839" spans="4:53" x14ac:dyDescent="0.35">
      <c r="D839" t="s">
        <v>5307</v>
      </c>
      <c r="E839" s="1">
        <v>40564</v>
      </c>
      <c r="F839" t="s">
        <v>35</v>
      </c>
      <c r="G839" t="s">
        <v>108</v>
      </c>
      <c r="H839" t="s">
        <v>158</v>
      </c>
      <c r="I839">
        <v>20020743</v>
      </c>
      <c r="J839" t="s">
        <v>28</v>
      </c>
      <c r="K839">
        <v>9</v>
      </c>
      <c r="L839" t="s">
        <v>27</v>
      </c>
      <c r="M839" t="s">
        <v>5308</v>
      </c>
      <c r="N839" t="s">
        <v>5309</v>
      </c>
      <c r="O839" t="s">
        <v>5310</v>
      </c>
      <c r="P839" t="s">
        <v>37</v>
      </c>
      <c r="Q839" s="1">
        <v>43047</v>
      </c>
      <c r="R839" t="s">
        <v>37</v>
      </c>
      <c r="S839" t="s">
        <v>27</v>
      </c>
      <c r="T839" t="s">
        <v>81</v>
      </c>
      <c r="U839" t="s">
        <v>115</v>
      </c>
      <c r="V839" t="s">
        <v>35</v>
      </c>
      <c r="W839">
        <v>150</v>
      </c>
      <c r="X839">
        <v>20020743</v>
      </c>
      <c r="Y839" t="s">
        <v>36</v>
      </c>
      <c r="Z839" t="s">
        <v>119</v>
      </c>
      <c r="AA839" t="s">
        <v>24</v>
      </c>
      <c r="AB839" t="s">
        <v>120</v>
      </c>
      <c r="AC839" t="s">
        <v>25</v>
      </c>
      <c r="AD839" t="s">
        <v>121</v>
      </c>
      <c r="AE839">
        <v>30</v>
      </c>
      <c r="AF839" t="s">
        <v>27</v>
      </c>
      <c r="AG839" t="s">
        <v>26</v>
      </c>
      <c r="AH839" t="s">
        <v>35</v>
      </c>
      <c r="AI839" t="str">
        <f t="shared" si="65"/>
        <v>NO</v>
      </c>
      <c r="AJ839" t="str">
        <f t="shared" si="66"/>
        <v>LABORATORIOS MK</v>
      </c>
      <c r="AK839" t="str">
        <f>IF(ISNUMBER(SEARCH("FABRICANTE",AC839)),"FABRICANTE",IF(ISNUMBER(SEARCH("IMPORTADOR",AC839)),"IMPORTADOR","OTRO"))</f>
        <v>FABRICANTE</v>
      </c>
      <c r="AL839" t="str">
        <f>IF(LEFT(Y839,1)="A","Sistema digestivo",IF(LEFT(Y839,1)="B","Sangre",IF(LEFT(Y839,1)="C","Cardiovascular",IF(LEFT(Y839,1)="D","Dermatológico",IF(LEFT(Y839,1)="G","Genitourinario",IF(LEFT(Y839,1)="H","Hormonal",IF(LEFT(Y839,1)="J","Antiinfecciosos",IF(LEFT(Y839,1)="L","Oncológicos",IF(LEFT(Y839,1)="M","Musculoesquelético",IF(LEFT(Y839,1)="N","Sistema nervioso",IF(LEFT(Y839,1)="R","Respiratorio",IF(LEFT(Y839,1)="S","Oftálmico",IF(LEFT(Y839,1)="V","Varios","OTRO")))))))))))))</f>
        <v>Sistema nervioso</v>
      </c>
      <c r="AM839" t="str">
        <f>IF(AG839="Vigente","ACTIVO",IF(ISNUMBER(SEARCH("Inactivo",J839)),"INACTIVO","REVISAR"))</f>
        <v>ACTIVO</v>
      </c>
      <c r="AN839" t="str">
        <f ca="1">IF(OR(AF839="",AF839="null"),"",ROUND((AF839-TODAY())/365.25,2))</f>
        <v/>
      </c>
      <c r="AO839" t="str">
        <f ca="1">IF(AND(AG839="Vigente",OR(AF839="",AF839="null",AF839&gt;TODAY())),"SI",IF(AND(NOT(OR(AF839="",AF839="null")),AF839&lt;=TODAY()),"NO",IF(AG839="Vigente","SI","DESCONOCIDO")))</f>
        <v>SI</v>
      </c>
      <c r="AP839" t="str">
        <f>IF(AND(ISNUMBER(SEARCH("IMPORTAR",AA839)),ISNUMBER(SEARCH("FABRICAR",AA839))),"MIXTO",IF(ISNUMBER(SEARCH("IMPORTAR",AA839)),"IMPORTADO",IF(ISNUMBER(SEARCH("FABRICAR",AA839)),"LOCAL","OTRO")))</f>
        <v>LOCAL</v>
      </c>
      <c r="AQ839" t="str">
        <f>IF(AD839="Si","SI",IF(AD839="No","NO",""))</f>
        <v>NO</v>
      </c>
      <c r="AR839" t="str">
        <f>IF(ISNUMBER(SEARCH("®",N839)),"MARCA/INNOVADOR","GENERICO")</f>
        <v>GENERICO</v>
      </c>
      <c r="AS839">
        <f ca="1">IF(AE839&gt;100,RANDBETWEEN(500,5000),IF(AND(AE839&gt;=10,AE839&lt;=100),RANDBETWEEN(100,1000),RANDBETWEEN(10,200)))</f>
        <v>733</v>
      </c>
      <c r="AT839">
        <f t="shared" ca="1" si="67"/>
        <v>124</v>
      </c>
      <c r="AU839">
        <f ca="1">INT(AS839*RANDBETWEEN(120,200)/100)</f>
        <v>1356</v>
      </c>
      <c r="AV839" s="2">
        <f ca="1">IF(LEFT(Y839,1)="L",RANDBETWEEN(500000,5000000),IF(LEFT(Y839,1)="C",RANDBETWEEN(5000,50000),IF(LEFT(Y839,1)="N",RANDBETWEEN(10000,150000),IF(LEFT(Y839,1)="J",RANDBETWEEN(8000,200000),RANDBETWEEN(5000,100000)))))</f>
        <v>48169</v>
      </c>
      <c r="AW839" s="2">
        <f ca="1">INT(AV839*RANDBETWEEN(30,60)/100)</f>
        <v>18304</v>
      </c>
      <c r="AX839">
        <f ca="1">IF(Z839="ORAL",RANDBETWEEN(1000,10000),IF(OR(Z839="INTRAVENOSA",Z839="INTRAMUSCULAR"),RANDBETWEEN(100,2000),IF(OR(Z839="OFTÁLMICA",Z839="TOPICA (EXTERNA)"),RANDBETWEEN(200,3000),RANDBETWEEN(100,1500))))</f>
        <v>5214</v>
      </c>
      <c r="AY839" s="2">
        <f ca="1">INT(AV839*RANDBETWEEN(90,130)/100)</f>
        <v>48169</v>
      </c>
      <c r="AZ839" t="str">
        <f t="shared" ca="1" si="68"/>
        <v>23.9%</v>
      </c>
      <c r="BA839" t="str">
        <f t="shared" ca="1" si="69"/>
        <v>BAJO</v>
      </c>
    </row>
    <row r="840" spans="4:53" x14ac:dyDescent="0.35">
      <c r="D840" t="s">
        <v>5311</v>
      </c>
      <c r="E840" s="1">
        <v>42293</v>
      </c>
      <c r="F840" t="s">
        <v>1482</v>
      </c>
      <c r="G840" t="s">
        <v>108</v>
      </c>
      <c r="H840" t="s">
        <v>187</v>
      </c>
      <c r="I840">
        <v>20074609</v>
      </c>
      <c r="J840" t="s">
        <v>28</v>
      </c>
      <c r="K840">
        <v>11</v>
      </c>
      <c r="L840" t="s">
        <v>27</v>
      </c>
      <c r="M840" t="s">
        <v>5312</v>
      </c>
      <c r="N840" t="s">
        <v>5129</v>
      </c>
      <c r="O840" t="s">
        <v>5313</v>
      </c>
      <c r="P840" t="s">
        <v>5314</v>
      </c>
      <c r="Q840" s="1">
        <v>42247</v>
      </c>
      <c r="R840" t="s">
        <v>962</v>
      </c>
      <c r="S840" t="s">
        <v>27</v>
      </c>
      <c r="T840" t="s">
        <v>81</v>
      </c>
      <c r="U840" t="s">
        <v>115</v>
      </c>
      <c r="V840" t="s">
        <v>1487</v>
      </c>
      <c r="W840">
        <v>5</v>
      </c>
      <c r="X840">
        <v>20074609</v>
      </c>
      <c r="Y840" t="s">
        <v>1488</v>
      </c>
      <c r="Z840" t="s">
        <v>119</v>
      </c>
      <c r="AA840" t="s">
        <v>24</v>
      </c>
      <c r="AB840" t="s">
        <v>120</v>
      </c>
      <c r="AC840" t="s">
        <v>25</v>
      </c>
      <c r="AD840" t="s">
        <v>121</v>
      </c>
      <c r="AE840">
        <v>14</v>
      </c>
      <c r="AF840" t="s">
        <v>27</v>
      </c>
      <c r="AG840" t="s">
        <v>26</v>
      </c>
      <c r="AH840" t="s">
        <v>1482</v>
      </c>
      <c r="AI840" t="str">
        <f t="shared" si="65"/>
        <v>NO</v>
      </c>
      <c r="AJ840" t="str">
        <f t="shared" si="66"/>
        <v>LABORATORIOS MK</v>
      </c>
      <c r="AK840" t="str">
        <f>IF(ISNUMBER(SEARCH("FABRICANTE",AC840)),"FABRICANTE",IF(ISNUMBER(SEARCH("IMPORTADOR",AC840)),"IMPORTADOR","OTRO"))</f>
        <v>FABRICANTE</v>
      </c>
      <c r="AL840" t="str">
        <f>IF(LEFT(Y840,1)="A","Sistema digestivo",IF(LEFT(Y840,1)="B","Sangre",IF(LEFT(Y840,1)="C","Cardiovascular",IF(LEFT(Y840,1)="D","Dermatológico",IF(LEFT(Y840,1)="G","Genitourinario",IF(LEFT(Y840,1)="H","Hormonal",IF(LEFT(Y840,1)="J","Antiinfecciosos",IF(LEFT(Y840,1)="L","Oncológicos",IF(LEFT(Y840,1)="M","Musculoesquelético",IF(LEFT(Y840,1)="N","Sistema nervioso",IF(LEFT(Y840,1)="R","Respiratorio",IF(LEFT(Y840,1)="S","Oftálmico",IF(LEFT(Y840,1)="V","Varios","OTRO")))))))))))))</f>
        <v>Genitourinario</v>
      </c>
      <c r="AM840" t="str">
        <f>IF(AG840="Vigente","ACTIVO",IF(ISNUMBER(SEARCH("Inactivo",J840)),"INACTIVO","REVISAR"))</f>
        <v>ACTIVO</v>
      </c>
      <c r="AN840" t="str">
        <f ca="1">IF(OR(AF840="",AF840="null"),"",ROUND((AF840-TODAY())/365.25,2))</f>
        <v/>
      </c>
      <c r="AO840" t="str">
        <f ca="1">IF(AND(AG840="Vigente",OR(AF840="",AF840="null",AF840&gt;TODAY())),"SI",IF(AND(NOT(OR(AF840="",AF840="null")),AF840&lt;=TODAY()),"NO",IF(AG840="Vigente","SI","DESCONOCIDO")))</f>
        <v>SI</v>
      </c>
      <c r="AP840" t="str">
        <f>IF(AND(ISNUMBER(SEARCH("IMPORTAR",AA840)),ISNUMBER(SEARCH("FABRICAR",AA840))),"MIXTO",IF(ISNUMBER(SEARCH("IMPORTAR",AA840)),"IMPORTADO",IF(ISNUMBER(SEARCH("FABRICAR",AA840)),"LOCAL","OTRO")))</f>
        <v>LOCAL</v>
      </c>
      <c r="AQ840" t="str">
        <f>IF(AD840="Si","SI",IF(AD840="No","NO",""))</f>
        <v>NO</v>
      </c>
      <c r="AR840" t="str">
        <f>IF(ISNUMBER(SEARCH("®",N840)),"MARCA/INNOVADOR","GENERICO")</f>
        <v>GENERICO</v>
      </c>
      <c r="AS840">
        <f ca="1">IF(AE840&gt;100,RANDBETWEEN(500,5000),IF(AND(AE840&gt;=10,AE840&lt;=100),RANDBETWEEN(100,1000),RANDBETWEEN(10,200)))</f>
        <v>493</v>
      </c>
      <c r="AT840">
        <f t="shared" ca="1" si="67"/>
        <v>49</v>
      </c>
      <c r="AU840">
        <f ca="1">INT(AS840*RANDBETWEEN(120,200)/100)</f>
        <v>709</v>
      </c>
      <c r="AV840" s="2">
        <f ca="1">IF(LEFT(Y840,1)="L",RANDBETWEEN(500000,5000000),IF(LEFT(Y840,1)="C",RANDBETWEEN(5000,50000),IF(LEFT(Y840,1)="N",RANDBETWEEN(10000,150000),IF(LEFT(Y840,1)="J",RANDBETWEEN(8000,200000),RANDBETWEEN(5000,100000)))))</f>
        <v>52255</v>
      </c>
      <c r="AW840" s="2">
        <f ca="1">INT(AV840*RANDBETWEEN(30,60)/100)</f>
        <v>28217</v>
      </c>
      <c r="AX840">
        <f ca="1">IF(Z840="ORAL",RANDBETWEEN(1000,10000),IF(OR(Z840="INTRAVENOSA",Z840="INTRAMUSCULAR"),RANDBETWEEN(100,2000),IF(OR(Z840="OFTÁLMICA",Z840="TOPICA (EXTERNA)"),RANDBETWEEN(200,3000),RANDBETWEEN(100,1500))))</f>
        <v>9606</v>
      </c>
      <c r="AY840" s="2">
        <f ca="1">INT(AV840*RANDBETWEEN(90,130)/100)</f>
        <v>64796</v>
      </c>
      <c r="AZ840" t="str">
        <f t="shared" ca="1" si="68"/>
        <v>20%</v>
      </c>
      <c r="BA840" t="str">
        <f t="shared" ca="1" si="69"/>
        <v>BAJO</v>
      </c>
    </row>
    <row r="841" spans="4:53" x14ac:dyDescent="0.35">
      <c r="D841" t="s">
        <v>5315</v>
      </c>
      <c r="E841" s="1">
        <v>42187</v>
      </c>
      <c r="F841" t="s">
        <v>5316</v>
      </c>
      <c r="G841" t="s">
        <v>108</v>
      </c>
      <c r="H841" t="s">
        <v>5317</v>
      </c>
      <c r="I841">
        <v>20073367</v>
      </c>
      <c r="J841" t="s">
        <v>110</v>
      </c>
      <c r="K841">
        <v>13</v>
      </c>
      <c r="L841" t="s">
        <v>27</v>
      </c>
      <c r="M841" t="s">
        <v>5318</v>
      </c>
      <c r="N841" t="s">
        <v>5319</v>
      </c>
      <c r="O841" t="s">
        <v>5320</v>
      </c>
      <c r="P841" t="s">
        <v>33</v>
      </c>
      <c r="Q841" s="1">
        <v>42123</v>
      </c>
      <c r="R841" t="s">
        <v>33</v>
      </c>
      <c r="S841" s="1">
        <v>42829</v>
      </c>
      <c r="T841" t="s">
        <v>5321</v>
      </c>
      <c r="U841" t="s">
        <v>115</v>
      </c>
      <c r="V841" t="s">
        <v>5316</v>
      </c>
      <c r="W841">
        <v>10</v>
      </c>
      <c r="X841">
        <v>20073367</v>
      </c>
      <c r="Y841" t="s">
        <v>5322</v>
      </c>
      <c r="Z841" t="s">
        <v>119</v>
      </c>
      <c r="AA841" t="s">
        <v>32</v>
      </c>
      <c r="AB841" t="s">
        <v>120</v>
      </c>
      <c r="AC841" t="s">
        <v>25</v>
      </c>
      <c r="AD841" t="s">
        <v>121</v>
      </c>
      <c r="AE841">
        <v>60</v>
      </c>
      <c r="AF841" t="s">
        <v>27</v>
      </c>
      <c r="AG841" t="s">
        <v>26</v>
      </c>
      <c r="AH841" t="s">
        <v>5316</v>
      </c>
      <c r="AI841" t="str">
        <f t="shared" si="65"/>
        <v>NO</v>
      </c>
      <c r="AJ841" t="str">
        <f t="shared" si="66"/>
        <v>BOEHRINGER INGELHEIM INTERNACIONALGMBH</v>
      </c>
      <c r="AK841" t="str">
        <f>IF(ISNUMBER(SEARCH("FABRICANTE",AC841)),"FABRICANTE",IF(ISNUMBER(SEARCH("IMPORTADOR",AC841)),"IMPORTADOR","OTRO"))</f>
        <v>FABRICANTE</v>
      </c>
      <c r="AL841" t="str">
        <f>IF(LEFT(Y841,1)="A","Sistema digestivo",IF(LEFT(Y841,1)="B","Sangre",IF(LEFT(Y841,1)="C","Cardiovascular",IF(LEFT(Y841,1)="D","Dermatológico",IF(LEFT(Y841,1)="G","Genitourinario",IF(LEFT(Y841,1)="H","Hormonal",IF(LEFT(Y841,1)="J","Antiinfecciosos",IF(LEFT(Y841,1)="L","Oncológicos",IF(LEFT(Y841,1)="M","Musculoesquelético",IF(LEFT(Y841,1)="N","Sistema nervioso",IF(LEFT(Y841,1)="R","Respiratorio",IF(LEFT(Y841,1)="S","Oftálmico",IF(LEFT(Y841,1)="V","Varios","OTRO")))))))))))))</f>
        <v>Sistema digestivo</v>
      </c>
      <c r="AM841" t="str">
        <f>IF(AG841="Vigente","ACTIVO",IF(ISNUMBER(SEARCH("Inactivo",J841)),"INACTIVO","REVISAR"))</f>
        <v>ACTIVO</v>
      </c>
      <c r="AN841" t="str">
        <f ca="1">IF(OR(AF841="",AF841="null"),"",ROUND((AF841-TODAY())/365.25,2))</f>
        <v/>
      </c>
      <c r="AO841" t="str">
        <f ca="1">IF(AND(AG841="Vigente",OR(AF841="",AF841="null",AF841&gt;TODAY())),"SI",IF(AND(NOT(OR(AF841="",AF841="null")),AF841&lt;=TODAY()),"NO",IF(AG841="Vigente","SI","DESCONOCIDO")))</f>
        <v>SI</v>
      </c>
      <c r="AP841" t="str">
        <f>IF(AND(ISNUMBER(SEARCH("IMPORTAR",AA841)),ISNUMBER(SEARCH("FABRICAR",AA841))),"MIXTO",IF(ISNUMBER(SEARCH("IMPORTAR",AA841)),"IMPORTADO",IF(ISNUMBER(SEARCH("FABRICAR",AA841)),"LOCAL","OTRO")))</f>
        <v>IMPORTADO</v>
      </c>
      <c r="AQ841" t="str">
        <f>IF(AD841="Si","SI",IF(AD841="No","NO",""))</f>
        <v>NO</v>
      </c>
      <c r="AR841" t="str">
        <f>IF(ISNUMBER(SEARCH("®",N841)),"MARCA/INNOVADOR","GENERICO")</f>
        <v>GENERICO</v>
      </c>
      <c r="AS841">
        <f ca="1">IF(AE841&gt;100,RANDBETWEEN(500,5000),IF(AND(AE841&gt;=10,AE841&lt;=100),RANDBETWEEN(100,1000),RANDBETWEEN(10,200)))</f>
        <v>494</v>
      </c>
      <c r="AT841">
        <f t="shared" ca="1" si="67"/>
        <v>128</v>
      </c>
      <c r="AU841">
        <f ca="1">INT(AS841*RANDBETWEEN(120,200)/100)</f>
        <v>829</v>
      </c>
      <c r="AV841" s="2">
        <f ca="1">IF(LEFT(Y841,1)="L",RANDBETWEEN(500000,5000000),IF(LEFT(Y841,1)="C",RANDBETWEEN(5000,50000),IF(LEFT(Y841,1)="N",RANDBETWEEN(10000,150000),IF(LEFT(Y841,1)="J",RANDBETWEEN(8000,200000),RANDBETWEEN(5000,100000)))))</f>
        <v>92107</v>
      </c>
      <c r="AW841" s="2">
        <f ca="1">INT(AV841*RANDBETWEEN(30,60)/100)</f>
        <v>43290</v>
      </c>
      <c r="AX841">
        <f ca="1">IF(Z841="ORAL",RANDBETWEEN(1000,10000),IF(OR(Z841="INTRAVENOSA",Z841="INTRAMUSCULAR"),RANDBETWEEN(100,2000),IF(OR(Z841="OFTÁLMICA",Z841="TOPICA (EXTERNA)"),RANDBETWEEN(200,3000),RANDBETWEEN(100,1500))))</f>
        <v>6417</v>
      </c>
      <c r="AY841" s="2">
        <f ca="1">INT(AV841*RANDBETWEEN(90,130)/100)</f>
        <v>109607</v>
      </c>
      <c r="AZ841" t="str">
        <f t="shared" ca="1" si="68"/>
        <v>23%</v>
      </c>
      <c r="BA841" t="str">
        <f t="shared" ca="1" si="69"/>
        <v>ALTO</v>
      </c>
    </row>
    <row r="842" spans="4:53" x14ac:dyDescent="0.35">
      <c r="D842" t="s">
        <v>5323</v>
      </c>
      <c r="E842" s="1">
        <v>42429</v>
      </c>
      <c r="F842" t="s">
        <v>3833</v>
      </c>
      <c r="G842" t="s">
        <v>108</v>
      </c>
      <c r="H842" t="s">
        <v>253</v>
      </c>
      <c r="I842">
        <v>20086181</v>
      </c>
      <c r="J842" t="s">
        <v>28</v>
      </c>
      <c r="K842">
        <v>1</v>
      </c>
      <c r="L842" t="s">
        <v>27</v>
      </c>
      <c r="M842" t="s">
        <v>5324</v>
      </c>
      <c r="N842" t="s">
        <v>5325</v>
      </c>
      <c r="O842" t="s">
        <v>5326</v>
      </c>
      <c r="P842" t="s">
        <v>97</v>
      </c>
      <c r="Q842" s="1">
        <v>42247</v>
      </c>
      <c r="R842" t="s">
        <v>1420</v>
      </c>
      <c r="S842" t="s">
        <v>27</v>
      </c>
      <c r="T842" t="s">
        <v>253</v>
      </c>
      <c r="U842" t="s">
        <v>247</v>
      </c>
      <c r="V842" t="s">
        <v>554</v>
      </c>
      <c r="W842" t="s">
        <v>5327</v>
      </c>
      <c r="X842">
        <v>20086181</v>
      </c>
      <c r="Y842" t="s">
        <v>556</v>
      </c>
      <c r="Z842" t="s">
        <v>260</v>
      </c>
      <c r="AA842" t="s">
        <v>32</v>
      </c>
      <c r="AB842" t="s">
        <v>133</v>
      </c>
      <c r="AC842" t="s">
        <v>25</v>
      </c>
      <c r="AD842" t="s">
        <v>121</v>
      </c>
      <c r="AE842">
        <v>10</v>
      </c>
      <c r="AF842" t="s">
        <v>27</v>
      </c>
      <c r="AG842" t="s">
        <v>26</v>
      </c>
      <c r="AH842" t="s">
        <v>3833</v>
      </c>
      <c r="AI842" t="str">
        <f t="shared" si="65"/>
        <v>NO</v>
      </c>
      <c r="AJ842" t="str">
        <f t="shared" si="66"/>
        <v>B. BRAUN MELSUNGEN</v>
      </c>
      <c r="AK842" t="str">
        <f>IF(ISNUMBER(SEARCH("FABRICANTE",AC842)),"FABRICANTE",IF(ISNUMBER(SEARCH("IMPORTADOR",AC842)),"IMPORTADOR","OTRO"))</f>
        <v>FABRICANTE</v>
      </c>
      <c r="AL842" t="str">
        <f>IF(LEFT(Y842,1)="A","Sistema digestivo",IF(LEFT(Y842,1)="B","Sangre",IF(LEFT(Y842,1)="C","Cardiovascular",IF(LEFT(Y842,1)="D","Dermatológico",IF(LEFT(Y842,1)="G","Genitourinario",IF(LEFT(Y842,1)="H","Hormonal",IF(LEFT(Y842,1)="J","Antiinfecciosos",IF(LEFT(Y842,1)="L","Oncológicos",IF(LEFT(Y842,1)="M","Musculoesquelético",IF(LEFT(Y842,1)="N","Sistema nervioso",IF(LEFT(Y842,1)="R","Respiratorio",IF(LEFT(Y842,1)="S","Oftálmico",IF(LEFT(Y842,1)="V","Varios","OTRO")))))))))))))</f>
        <v>Sangre</v>
      </c>
      <c r="AM842" t="str">
        <f>IF(AG842="Vigente","ACTIVO",IF(ISNUMBER(SEARCH("Inactivo",J842)),"INACTIVO","REVISAR"))</f>
        <v>ACTIVO</v>
      </c>
      <c r="AN842" t="str">
        <f ca="1">IF(OR(AF842="",AF842="null"),"",ROUND((AF842-TODAY())/365.25,2))</f>
        <v/>
      </c>
      <c r="AO842" t="str">
        <f ca="1">IF(AND(AG842="Vigente",OR(AF842="",AF842="null",AF842&gt;TODAY())),"SI",IF(AND(NOT(OR(AF842="",AF842="null")),AF842&lt;=TODAY()),"NO",IF(AG842="Vigente","SI","DESCONOCIDO")))</f>
        <v>SI</v>
      </c>
      <c r="AP842" t="str">
        <f>IF(AND(ISNUMBER(SEARCH("IMPORTAR",AA842)),ISNUMBER(SEARCH("FABRICAR",AA842))),"MIXTO",IF(ISNUMBER(SEARCH("IMPORTAR",AA842)),"IMPORTADO",IF(ISNUMBER(SEARCH("FABRICAR",AA842)),"LOCAL","OTRO")))</f>
        <v>IMPORTADO</v>
      </c>
      <c r="AQ842" t="str">
        <f>IF(AD842="Si","SI",IF(AD842="No","NO",""))</f>
        <v>NO</v>
      </c>
      <c r="AR842" t="str">
        <f>IF(ISNUMBER(SEARCH("®",N842)),"MARCA/INNOVADOR","GENERICO")</f>
        <v>MARCA/INNOVADOR</v>
      </c>
      <c r="AS842">
        <f ca="1">IF(AE842&gt;100,RANDBETWEEN(500,5000),IF(AND(AE842&gt;=10,AE842&lt;=100),RANDBETWEEN(100,1000),RANDBETWEEN(10,200)))</f>
        <v>959</v>
      </c>
      <c r="AT842">
        <f t="shared" ca="1" si="67"/>
        <v>230</v>
      </c>
      <c r="AU842">
        <f ca="1">INT(AS842*RANDBETWEEN(120,200)/100)</f>
        <v>1687</v>
      </c>
      <c r="AV842" s="2">
        <f ca="1">IF(LEFT(Y842,1)="L",RANDBETWEEN(500000,5000000),IF(LEFT(Y842,1)="C",RANDBETWEEN(5000,50000),IF(LEFT(Y842,1)="N",RANDBETWEEN(10000,150000),IF(LEFT(Y842,1)="J",RANDBETWEEN(8000,200000),RANDBETWEEN(5000,100000)))))</f>
        <v>37898</v>
      </c>
      <c r="AW842" s="2">
        <f ca="1">INT(AV842*RANDBETWEEN(30,60)/100)</f>
        <v>12127</v>
      </c>
      <c r="AX842">
        <f ca="1">IF(Z842="ORAL",RANDBETWEEN(1000,10000),IF(OR(Z842="INTRAVENOSA",Z842="INTRAMUSCULAR"),RANDBETWEEN(100,2000),IF(OR(Z842="OFTÁLMICA",Z842="TOPICA (EXTERNA)"),RANDBETWEEN(200,3000),RANDBETWEEN(100,1500))))</f>
        <v>1174</v>
      </c>
      <c r="AY842" s="2">
        <f ca="1">INT(AV842*RANDBETWEEN(90,130)/100)</f>
        <v>39413</v>
      </c>
      <c r="AZ842" t="str">
        <f t="shared" ca="1" si="68"/>
        <v>5%</v>
      </c>
      <c r="BA842" t="str">
        <f t="shared" ca="1" si="69"/>
        <v>BAJO</v>
      </c>
    </row>
    <row r="843" spans="4:53" x14ac:dyDescent="0.35">
      <c r="D843" t="s">
        <v>5328</v>
      </c>
      <c r="E843" s="1">
        <v>37519</v>
      </c>
      <c r="F843" t="s">
        <v>701</v>
      </c>
      <c r="G843" t="s">
        <v>108</v>
      </c>
      <c r="H843" t="s">
        <v>5329</v>
      </c>
      <c r="I843">
        <v>19931776</v>
      </c>
      <c r="J843" t="s">
        <v>28</v>
      </c>
      <c r="K843">
        <v>33</v>
      </c>
      <c r="L843" t="s">
        <v>27</v>
      </c>
      <c r="M843" t="s">
        <v>703</v>
      </c>
      <c r="N843" t="s">
        <v>704</v>
      </c>
      <c r="O843" t="s">
        <v>5330</v>
      </c>
      <c r="P843" t="s">
        <v>29</v>
      </c>
      <c r="Q843" s="1">
        <v>41213</v>
      </c>
      <c r="R843" t="s">
        <v>29</v>
      </c>
      <c r="S843" t="s">
        <v>27</v>
      </c>
      <c r="T843" t="s">
        <v>172</v>
      </c>
      <c r="U843" t="s">
        <v>115</v>
      </c>
      <c r="V843" t="s">
        <v>706</v>
      </c>
      <c r="W843">
        <v>30</v>
      </c>
      <c r="X843">
        <v>19931776</v>
      </c>
      <c r="Y843" t="s">
        <v>707</v>
      </c>
      <c r="Z843" t="s">
        <v>119</v>
      </c>
      <c r="AA843" t="s">
        <v>165</v>
      </c>
      <c r="AB843" t="s">
        <v>120</v>
      </c>
      <c r="AC843" t="s">
        <v>38</v>
      </c>
      <c r="AD843" t="s">
        <v>155</v>
      </c>
      <c r="AE843">
        <v>1</v>
      </c>
      <c r="AF843" t="s">
        <v>27</v>
      </c>
      <c r="AG843" t="s">
        <v>26</v>
      </c>
      <c r="AH843" t="s">
        <v>1525</v>
      </c>
      <c r="AI843" t="str">
        <f t="shared" si="65"/>
        <v>SI</v>
      </c>
      <c r="AJ843" t="str">
        <f t="shared" si="66"/>
        <v>NOVAMED</v>
      </c>
      <c r="AK843" t="str">
        <f>IF(ISNUMBER(SEARCH("FABRICANTE",AC843)),"FABRICANTE",IF(ISNUMBER(SEARCH("IMPORTADOR",AC843)),"IMPORTADOR","OTRO"))</f>
        <v>IMPORTADOR</v>
      </c>
      <c r="AL843" t="str">
        <f>IF(LEFT(Y843,1)="A","Sistema digestivo",IF(LEFT(Y843,1)="B","Sangre",IF(LEFT(Y843,1)="C","Cardiovascular",IF(LEFT(Y843,1)="D","Dermatológico",IF(LEFT(Y843,1)="G","Genitourinario",IF(LEFT(Y843,1)="H","Hormonal",IF(LEFT(Y843,1)="J","Antiinfecciosos",IF(LEFT(Y843,1)="L","Oncológicos",IF(LEFT(Y843,1)="M","Musculoesquelético",IF(LEFT(Y843,1)="N","Sistema nervioso",IF(LEFT(Y843,1)="R","Respiratorio",IF(LEFT(Y843,1)="S","Oftálmico",IF(LEFT(Y843,1)="V","Varios","OTRO")))))))))))))</f>
        <v>Sistema nervioso</v>
      </c>
      <c r="AM843" t="str">
        <f>IF(AG843="Vigente","ACTIVO",IF(ISNUMBER(SEARCH("Inactivo",J843)),"INACTIVO","REVISAR"))</f>
        <v>ACTIVO</v>
      </c>
      <c r="AN843" t="str">
        <f ca="1">IF(OR(AF843="",AF843="null"),"",ROUND((AF843-TODAY())/365.25,2))</f>
        <v/>
      </c>
      <c r="AO843" t="str">
        <f ca="1">IF(AND(AG843="Vigente",OR(AF843="",AF843="null",AF843&gt;TODAY())),"SI",IF(AND(NOT(OR(AF843="",AF843="null")),AF843&lt;=TODAY()),"NO",IF(AG843="Vigente","SI","DESCONOCIDO")))</f>
        <v>SI</v>
      </c>
      <c r="AP843" t="str">
        <f>IF(AND(ISNUMBER(SEARCH("IMPORTAR",AA843)),ISNUMBER(SEARCH("FABRICAR",AA843))),"MIXTO",IF(ISNUMBER(SEARCH("IMPORTAR",AA843)),"IMPORTADO",IF(ISNUMBER(SEARCH("FABRICAR",AA843)),"LOCAL","OTRO")))</f>
        <v>IMPORTADO</v>
      </c>
      <c r="AQ843" t="str">
        <f>IF(AD843="Si","SI",IF(AD843="No","NO",""))</f>
        <v>SI</v>
      </c>
      <c r="AR843" t="str">
        <f>IF(ISNUMBER(SEARCH("®",N843)),"MARCA/INNOVADOR","GENERICO")</f>
        <v>MARCA/INNOVADOR</v>
      </c>
      <c r="AS843">
        <f ca="1">IF(AE843&gt;100,RANDBETWEEN(500,5000),IF(AND(AE843&gt;=10,AE843&lt;=100),RANDBETWEEN(100,1000),RANDBETWEEN(10,200)))</f>
        <v>116</v>
      </c>
      <c r="AT843">
        <f t="shared" ca="1" si="67"/>
        <v>13</v>
      </c>
      <c r="AU843">
        <f ca="1">INT(AS843*RANDBETWEEN(120,200)/100)</f>
        <v>218</v>
      </c>
      <c r="AV843" s="2">
        <f ca="1">IF(LEFT(Y843,1)="L",RANDBETWEEN(500000,5000000),IF(LEFT(Y843,1)="C",RANDBETWEEN(5000,50000),IF(LEFT(Y843,1)="N",RANDBETWEEN(10000,150000),IF(LEFT(Y843,1)="J",RANDBETWEEN(8000,200000),RANDBETWEEN(5000,100000)))))</f>
        <v>23695</v>
      </c>
      <c r="AW843" s="2">
        <f ca="1">INT(AV843*RANDBETWEEN(30,60)/100)</f>
        <v>7819</v>
      </c>
      <c r="AX843">
        <f ca="1">IF(Z843="ORAL",RANDBETWEEN(1000,10000),IF(OR(Z843="INTRAVENOSA",Z843="INTRAMUSCULAR"),RANDBETWEEN(100,2000),IF(OR(Z843="OFTÁLMICA",Z843="TOPICA (EXTERNA)"),RANDBETWEEN(200,3000),RANDBETWEEN(100,1500))))</f>
        <v>6988</v>
      </c>
      <c r="AY843" s="2">
        <f ca="1">INT(AV843*RANDBETWEEN(90,130)/100)</f>
        <v>22273</v>
      </c>
      <c r="AZ843" t="str">
        <f t="shared" ca="1" si="68"/>
        <v>20.2%</v>
      </c>
      <c r="BA843" t="str">
        <f t="shared" ca="1" si="69"/>
        <v>BAJO</v>
      </c>
    </row>
    <row r="844" spans="4:53" x14ac:dyDescent="0.35">
      <c r="D844" t="s">
        <v>5331</v>
      </c>
      <c r="E844" s="1">
        <v>43369</v>
      </c>
      <c r="F844" t="s">
        <v>5332</v>
      </c>
      <c r="G844" t="s">
        <v>108</v>
      </c>
      <c r="H844" t="s">
        <v>454</v>
      </c>
      <c r="I844">
        <v>20144839</v>
      </c>
      <c r="J844" t="s">
        <v>28</v>
      </c>
      <c r="K844">
        <v>3</v>
      </c>
      <c r="L844" t="s">
        <v>27</v>
      </c>
      <c r="M844" t="s">
        <v>5333</v>
      </c>
      <c r="N844" t="s">
        <v>5334</v>
      </c>
      <c r="O844" t="s">
        <v>5335</v>
      </c>
      <c r="P844" t="s">
        <v>5336</v>
      </c>
      <c r="Q844" s="1">
        <v>43357</v>
      </c>
      <c r="R844" t="s">
        <v>5337</v>
      </c>
      <c r="S844" s="1">
        <v>45216</v>
      </c>
      <c r="T844" t="s">
        <v>454</v>
      </c>
      <c r="U844" t="s">
        <v>115</v>
      </c>
      <c r="V844" t="s">
        <v>5338</v>
      </c>
      <c r="W844" t="s">
        <v>5339</v>
      </c>
      <c r="X844">
        <v>20144839</v>
      </c>
      <c r="Y844" t="s">
        <v>5340</v>
      </c>
      <c r="Z844" t="s">
        <v>119</v>
      </c>
      <c r="AA844" t="s">
        <v>24</v>
      </c>
      <c r="AB844" t="s">
        <v>133</v>
      </c>
      <c r="AC844" t="s">
        <v>25</v>
      </c>
      <c r="AD844" t="s">
        <v>155</v>
      </c>
      <c r="AE844">
        <v>1</v>
      </c>
      <c r="AF844" s="1">
        <v>401769</v>
      </c>
      <c r="AG844" t="s">
        <v>26</v>
      </c>
      <c r="AH844" t="s">
        <v>6698</v>
      </c>
      <c r="AI844" t="str">
        <f t="shared" si="65"/>
        <v>SI</v>
      </c>
      <c r="AJ844" t="str">
        <f t="shared" si="66"/>
        <v>PROCAPS</v>
      </c>
      <c r="AK844" t="str">
        <f>IF(ISNUMBER(SEARCH("FABRICANTE",AC844)),"FABRICANTE",IF(ISNUMBER(SEARCH("IMPORTADOR",AC844)),"IMPORTADOR","OTRO"))</f>
        <v>FABRICANTE</v>
      </c>
      <c r="AL844" t="str">
        <f>IF(LEFT(Y844,1)="A","Sistema digestivo",IF(LEFT(Y844,1)="B","Sangre",IF(LEFT(Y844,1)="C","Cardiovascular",IF(LEFT(Y844,1)="D","Dermatológico",IF(LEFT(Y844,1)="G","Genitourinario",IF(LEFT(Y844,1)="H","Hormonal",IF(LEFT(Y844,1)="J","Antiinfecciosos",IF(LEFT(Y844,1)="L","Oncológicos",IF(LEFT(Y844,1)="M","Musculoesquelético",IF(LEFT(Y844,1)="N","Sistema nervioso",IF(LEFT(Y844,1)="R","Respiratorio",IF(LEFT(Y844,1)="S","Oftálmico",IF(LEFT(Y844,1)="V","Varios","OTRO")))))))))))))</f>
        <v>Sistema digestivo</v>
      </c>
      <c r="AM844" t="str">
        <f>IF(AG844="Vigente","ACTIVO",IF(ISNUMBER(SEARCH("Inactivo",J844)),"INACTIVO","REVISAR"))</f>
        <v>ACTIVO</v>
      </c>
      <c r="AN844">
        <f ca="1">IF(OR(AF844="",AF844="null"),"",ROUND((AF844-TODAY())/365.25,2))</f>
        <v>973.58</v>
      </c>
      <c r="AO844" t="str">
        <f ca="1">IF(AND(AG844="Vigente",OR(AF844="",AF844="null",AF844&gt;TODAY())),"SI",IF(AND(NOT(OR(AF844="",AF844="null")),AF844&lt;=TODAY()),"NO",IF(AG844="Vigente","SI","DESCONOCIDO")))</f>
        <v>SI</v>
      </c>
      <c r="AP844" t="str">
        <f>IF(AND(ISNUMBER(SEARCH("IMPORTAR",AA844)),ISNUMBER(SEARCH("FABRICAR",AA844))),"MIXTO",IF(ISNUMBER(SEARCH("IMPORTAR",AA844)),"IMPORTADO",IF(ISNUMBER(SEARCH("FABRICAR",AA844)),"LOCAL","OTRO")))</f>
        <v>LOCAL</v>
      </c>
      <c r="AQ844" t="str">
        <f>IF(AD844="Si","SI",IF(AD844="No","NO",""))</f>
        <v>SI</v>
      </c>
      <c r="AR844" t="str">
        <f>IF(ISNUMBER(SEARCH("®",N844)),"MARCA/INNOVADOR","GENERICO")</f>
        <v>GENERICO</v>
      </c>
      <c r="AS844">
        <f ca="1">IF(AE844&gt;100,RANDBETWEEN(500,5000),IF(AND(AE844&gt;=10,AE844&lt;=100),RANDBETWEEN(100,1000),RANDBETWEEN(10,200)))</f>
        <v>38</v>
      </c>
      <c r="AT844">
        <f t="shared" ca="1" si="67"/>
        <v>5</v>
      </c>
      <c r="AU844">
        <f ca="1">INT(AS844*RANDBETWEEN(120,200)/100)</f>
        <v>54</v>
      </c>
      <c r="AV844" s="2">
        <f ca="1">IF(LEFT(Y844,1)="L",RANDBETWEEN(500000,5000000),IF(LEFT(Y844,1)="C",RANDBETWEEN(5000,50000),IF(LEFT(Y844,1)="N",RANDBETWEEN(10000,150000),IF(LEFT(Y844,1)="J",RANDBETWEEN(8000,200000),RANDBETWEEN(5000,100000)))))</f>
        <v>13562</v>
      </c>
      <c r="AW844" s="2">
        <f ca="1">INT(AV844*RANDBETWEEN(30,60)/100)</f>
        <v>5967</v>
      </c>
      <c r="AX844">
        <f ca="1">IF(Z844="ORAL",RANDBETWEEN(1000,10000),IF(OR(Z844="INTRAVENOSA",Z844="INTRAMUSCULAR"),RANDBETWEEN(100,2000),IF(OR(Z844="OFTÁLMICA",Z844="TOPICA (EXTERNA)"),RANDBETWEEN(200,3000),RANDBETWEEN(100,1500))))</f>
        <v>4872</v>
      </c>
      <c r="AY844" s="2">
        <f ca="1">INT(AV844*RANDBETWEEN(90,130)/100)</f>
        <v>15731</v>
      </c>
      <c r="AZ844" t="str">
        <f t="shared" ca="1" si="68"/>
        <v>6.3%</v>
      </c>
      <c r="BA844" t="str">
        <f t="shared" ca="1" si="69"/>
        <v>BAJO</v>
      </c>
    </row>
    <row r="845" spans="4:53" x14ac:dyDescent="0.35">
      <c r="D845" t="s">
        <v>5341</v>
      </c>
      <c r="E845" s="1">
        <v>37138</v>
      </c>
      <c r="F845" t="s">
        <v>5342</v>
      </c>
      <c r="G845" t="s">
        <v>108</v>
      </c>
      <c r="H845" t="s">
        <v>5343</v>
      </c>
      <c r="I845">
        <v>19920537</v>
      </c>
      <c r="J845" t="s">
        <v>28</v>
      </c>
      <c r="K845">
        <v>1</v>
      </c>
      <c r="L845" t="s">
        <v>27</v>
      </c>
      <c r="M845" t="s">
        <v>5344</v>
      </c>
      <c r="N845" t="s">
        <v>5345</v>
      </c>
      <c r="O845" t="s">
        <v>5346</v>
      </c>
      <c r="P845" t="s">
        <v>29</v>
      </c>
      <c r="Q845" s="1">
        <v>39031</v>
      </c>
      <c r="R845" t="s">
        <v>33</v>
      </c>
      <c r="S845" t="s">
        <v>27</v>
      </c>
      <c r="T845" t="s">
        <v>1247</v>
      </c>
      <c r="U845" t="s">
        <v>115</v>
      </c>
      <c r="V845" t="s">
        <v>5342</v>
      </c>
      <c r="W845">
        <v>5</v>
      </c>
      <c r="X845">
        <v>19920537</v>
      </c>
      <c r="Y845" t="s">
        <v>5347</v>
      </c>
      <c r="Z845" t="s">
        <v>119</v>
      </c>
      <c r="AA845" t="s">
        <v>32</v>
      </c>
      <c r="AB845" t="s">
        <v>120</v>
      </c>
      <c r="AC845" t="s">
        <v>25</v>
      </c>
      <c r="AD845" t="s">
        <v>121</v>
      </c>
      <c r="AE845">
        <v>5</v>
      </c>
      <c r="AF845" t="s">
        <v>27</v>
      </c>
      <c r="AG845" t="s">
        <v>26</v>
      </c>
      <c r="AH845" t="s">
        <v>5342</v>
      </c>
      <c r="AI845" t="str">
        <f t="shared" si="65"/>
        <v>NO</v>
      </c>
      <c r="AJ845" t="str">
        <f t="shared" si="66"/>
        <v>ORGANON</v>
      </c>
      <c r="AK845" t="str">
        <f>IF(ISNUMBER(SEARCH("FABRICANTE",AC845)),"FABRICANTE",IF(ISNUMBER(SEARCH("IMPORTADOR",AC845)),"IMPORTADOR","OTRO"))</f>
        <v>FABRICANTE</v>
      </c>
      <c r="AL845" t="str">
        <f>IF(LEFT(Y845,1)="A","Sistema digestivo",IF(LEFT(Y845,1)="B","Sangre",IF(LEFT(Y845,1)="C","Cardiovascular",IF(LEFT(Y845,1)="D","Dermatológico",IF(LEFT(Y845,1)="G","Genitourinario",IF(LEFT(Y845,1)="H","Hormonal",IF(LEFT(Y845,1)="J","Antiinfecciosos",IF(LEFT(Y845,1)="L","Oncológicos",IF(LEFT(Y845,1)="M","Musculoesquelético",IF(LEFT(Y845,1)="N","Sistema nervioso",IF(LEFT(Y845,1)="R","Respiratorio",IF(LEFT(Y845,1)="S","Oftálmico",IF(LEFT(Y845,1)="V","Varios","OTRO")))))))))))))</f>
        <v>Respiratorio</v>
      </c>
      <c r="AM845" t="str">
        <f>IF(AG845="Vigente","ACTIVO",IF(ISNUMBER(SEARCH("Inactivo",J845)),"INACTIVO","REVISAR"))</f>
        <v>ACTIVO</v>
      </c>
      <c r="AN845" t="str">
        <f ca="1">IF(OR(AF845="",AF845="null"),"",ROUND((AF845-TODAY())/365.25,2))</f>
        <v/>
      </c>
      <c r="AO845" t="str">
        <f ca="1">IF(AND(AG845="Vigente",OR(AF845="",AF845="null",AF845&gt;TODAY())),"SI",IF(AND(NOT(OR(AF845="",AF845="null")),AF845&lt;=TODAY()),"NO",IF(AG845="Vigente","SI","DESCONOCIDO")))</f>
        <v>SI</v>
      </c>
      <c r="AP845" t="str">
        <f>IF(AND(ISNUMBER(SEARCH("IMPORTAR",AA845)),ISNUMBER(SEARCH("FABRICAR",AA845))),"MIXTO",IF(ISNUMBER(SEARCH("IMPORTAR",AA845)),"IMPORTADO",IF(ISNUMBER(SEARCH("FABRICAR",AA845)),"LOCAL","OTRO")))</f>
        <v>IMPORTADO</v>
      </c>
      <c r="AQ845" t="str">
        <f>IF(AD845="Si","SI",IF(AD845="No","NO",""))</f>
        <v>NO</v>
      </c>
      <c r="AR845" t="str">
        <f>IF(ISNUMBER(SEARCH("®",N845)),"MARCA/INNOVADOR","GENERICO")</f>
        <v>MARCA/INNOVADOR</v>
      </c>
      <c r="AS845">
        <f ca="1">IF(AE845&gt;100,RANDBETWEEN(500,5000),IF(AND(AE845&gt;=10,AE845&lt;=100),RANDBETWEEN(100,1000),RANDBETWEEN(10,200)))</f>
        <v>82</v>
      </c>
      <c r="AT845">
        <f t="shared" ca="1" si="67"/>
        <v>24</v>
      </c>
      <c r="AU845">
        <f ca="1">INT(AS845*RANDBETWEEN(120,200)/100)</f>
        <v>104</v>
      </c>
      <c r="AV845" s="2">
        <f ca="1">IF(LEFT(Y845,1)="L",RANDBETWEEN(500000,5000000),IF(LEFT(Y845,1)="C",RANDBETWEEN(5000,50000),IF(LEFT(Y845,1)="N",RANDBETWEEN(10000,150000),IF(LEFT(Y845,1)="J",RANDBETWEEN(8000,200000),RANDBETWEEN(5000,100000)))))</f>
        <v>24709</v>
      </c>
      <c r="AW845" s="2">
        <f ca="1">INT(AV845*RANDBETWEEN(30,60)/100)</f>
        <v>12354</v>
      </c>
      <c r="AX845">
        <f ca="1">IF(Z845="ORAL",RANDBETWEEN(1000,10000),IF(OR(Z845="INTRAVENOSA",Z845="INTRAMUSCULAR"),RANDBETWEEN(100,2000),IF(OR(Z845="OFTÁLMICA",Z845="TOPICA (EXTERNA)"),RANDBETWEEN(200,3000),RANDBETWEEN(100,1500))))</f>
        <v>5260</v>
      </c>
      <c r="AY845" s="2">
        <f ca="1">INT(AV845*RANDBETWEEN(90,130)/100)</f>
        <v>28415</v>
      </c>
      <c r="AZ845" t="str">
        <f t="shared" ca="1" si="68"/>
        <v>14.1%</v>
      </c>
      <c r="BA845" t="str">
        <f t="shared" ca="1" si="69"/>
        <v>BAJO</v>
      </c>
    </row>
    <row r="846" spans="4:53" x14ac:dyDescent="0.35">
      <c r="D846" t="s">
        <v>5348</v>
      </c>
      <c r="E846" s="1">
        <v>41983</v>
      </c>
      <c r="F846" t="s">
        <v>1357</v>
      </c>
      <c r="G846" t="s">
        <v>108</v>
      </c>
      <c r="H846" t="s">
        <v>3745</v>
      </c>
      <c r="I846">
        <v>20063407</v>
      </c>
      <c r="J846" t="s">
        <v>28</v>
      </c>
      <c r="K846">
        <v>14</v>
      </c>
      <c r="L846" t="s">
        <v>27</v>
      </c>
      <c r="M846" t="s">
        <v>1358</v>
      </c>
      <c r="N846" t="s">
        <v>1359</v>
      </c>
      <c r="O846" t="s">
        <v>5349</v>
      </c>
      <c r="P846" t="s">
        <v>1361</v>
      </c>
      <c r="Q846" s="1">
        <v>41978</v>
      </c>
      <c r="R846" t="s">
        <v>73</v>
      </c>
      <c r="S846" t="s">
        <v>27</v>
      </c>
      <c r="T846" t="s">
        <v>80</v>
      </c>
      <c r="U846" t="s">
        <v>115</v>
      </c>
      <c r="V846" t="s">
        <v>1362</v>
      </c>
      <c r="W846">
        <v>40</v>
      </c>
      <c r="X846">
        <v>20063407</v>
      </c>
      <c r="Y846" t="s">
        <v>1363</v>
      </c>
      <c r="Z846" t="s">
        <v>119</v>
      </c>
      <c r="AA846" t="s">
        <v>165</v>
      </c>
      <c r="AB846" t="s">
        <v>653</v>
      </c>
      <c r="AC846" t="s">
        <v>38</v>
      </c>
      <c r="AD846" t="s">
        <v>121</v>
      </c>
      <c r="AE846">
        <v>60</v>
      </c>
      <c r="AF846" t="s">
        <v>27</v>
      </c>
      <c r="AG846" t="s">
        <v>26</v>
      </c>
      <c r="AH846" t="s">
        <v>6753</v>
      </c>
      <c r="AI846" t="str">
        <f t="shared" si="65"/>
        <v>NO</v>
      </c>
      <c r="AJ846" t="str">
        <f t="shared" si="66"/>
        <v>TECNOQUIMICAS</v>
      </c>
      <c r="AK846" t="str">
        <f>IF(ISNUMBER(SEARCH("FABRICANTE",AC846)),"FABRICANTE",IF(ISNUMBER(SEARCH("IMPORTADOR",AC846)),"IMPORTADOR","OTRO"))</f>
        <v>IMPORTADOR</v>
      </c>
      <c r="AL846" t="str">
        <f>IF(LEFT(Y846,1)="A","Sistema digestivo",IF(LEFT(Y846,1)="B","Sangre",IF(LEFT(Y846,1)="C","Cardiovascular",IF(LEFT(Y846,1)="D","Dermatológico",IF(LEFT(Y846,1)="G","Genitourinario",IF(LEFT(Y846,1)="H","Hormonal",IF(LEFT(Y846,1)="J","Antiinfecciosos",IF(LEFT(Y846,1)="L","Oncológicos",IF(LEFT(Y846,1)="M","Musculoesquelético",IF(LEFT(Y846,1)="N","Sistema nervioso",IF(LEFT(Y846,1)="R","Respiratorio",IF(LEFT(Y846,1)="S","Oftálmico",IF(LEFT(Y846,1)="V","Varios","OTRO")))))))))))))</f>
        <v>Sistema digestivo</v>
      </c>
      <c r="AM846" t="str">
        <f>IF(AG846="Vigente","ACTIVO",IF(ISNUMBER(SEARCH("Inactivo",J846)),"INACTIVO","REVISAR"))</f>
        <v>ACTIVO</v>
      </c>
      <c r="AN846" t="str">
        <f ca="1">IF(OR(AF846="",AF846="null"),"",ROUND((AF846-TODAY())/365.25,2))</f>
        <v/>
      </c>
      <c r="AO846" t="str">
        <f ca="1">IF(AND(AG846="Vigente",OR(AF846="",AF846="null",AF846&gt;TODAY())),"SI",IF(AND(NOT(OR(AF846="",AF846="null")),AF846&lt;=TODAY()),"NO",IF(AG846="Vigente","SI","DESCONOCIDO")))</f>
        <v>SI</v>
      </c>
      <c r="AP846" t="str">
        <f>IF(AND(ISNUMBER(SEARCH("IMPORTAR",AA846)),ISNUMBER(SEARCH("FABRICAR",AA846))),"MIXTO",IF(ISNUMBER(SEARCH("IMPORTAR",AA846)),"IMPORTADO",IF(ISNUMBER(SEARCH("FABRICAR",AA846)),"LOCAL","OTRO")))</f>
        <v>IMPORTADO</v>
      </c>
      <c r="AQ846" t="str">
        <f>IF(AD846="Si","SI",IF(AD846="No","NO",""))</f>
        <v>NO</v>
      </c>
      <c r="AR846" t="str">
        <f>IF(ISNUMBER(SEARCH("®",N846)),"MARCA/INNOVADOR","GENERICO")</f>
        <v>GENERICO</v>
      </c>
      <c r="AS846">
        <f ca="1">IF(AE846&gt;100,RANDBETWEEN(500,5000),IF(AND(AE846&gt;=10,AE846&lt;=100),RANDBETWEEN(100,1000),RANDBETWEEN(10,200)))</f>
        <v>373</v>
      </c>
      <c r="AT846">
        <f t="shared" ca="1" si="67"/>
        <v>70</v>
      </c>
      <c r="AU846">
        <f ca="1">INT(AS846*RANDBETWEEN(120,200)/100)</f>
        <v>466</v>
      </c>
      <c r="AV846" s="2">
        <f ca="1">IF(LEFT(Y846,1)="L",RANDBETWEEN(500000,5000000),IF(LEFT(Y846,1)="C",RANDBETWEEN(5000,50000),IF(LEFT(Y846,1)="N",RANDBETWEEN(10000,150000),IF(LEFT(Y846,1)="J",RANDBETWEEN(8000,200000),RANDBETWEEN(5000,100000)))))</f>
        <v>95241</v>
      </c>
      <c r="AW846" s="2">
        <f ca="1">INT(AV846*RANDBETWEEN(30,60)/100)</f>
        <v>32381</v>
      </c>
      <c r="AX846">
        <f ca="1">IF(Z846="ORAL",RANDBETWEEN(1000,10000),IF(OR(Z846="INTRAVENOSA",Z846="INTRAMUSCULAR"),RANDBETWEEN(100,2000),IF(OR(Z846="OFTÁLMICA",Z846="TOPICA (EXTERNA)"),RANDBETWEEN(200,3000),RANDBETWEEN(100,1500))))</f>
        <v>5674</v>
      </c>
      <c r="AY846" s="2">
        <f ca="1">INT(AV846*RANDBETWEEN(90,130)/100)</f>
        <v>101907</v>
      </c>
      <c r="AZ846" t="str">
        <f t="shared" ca="1" si="68"/>
        <v>21.4%</v>
      </c>
      <c r="BA846" t="str">
        <f t="shared" ca="1" si="69"/>
        <v>BAJO</v>
      </c>
    </row>
    <row r="847" spans="4:53" x14ac:dyDescent="0.35">
      <c r="D847" t="s">
        <v>5350</v>
      </c>
      <c r="E847" s="1">
        <v>42398</v>
      </c>
      <c r="F847" t="s">
        <v>5351</v>
      </c>
      <c r="G847" t="s">
        <v>108</v>
      </c>
      <c r="H847" t="s">
        <v>958</v>
      </c>
      <c r="I847">
        <v>20086048</v>
      </c>
      <c r="J847" t="s">
        <v>28</v>
      </c>
      <c r="K847">
        <v>2</v>
      </c>
      <c r="L847" t="s">
        <v>27</v>
      </c>
      <c r="M847" t="s">
        <v>5352</v>
      </c>
      <c r="N847" t="s">
        <v>5353</v>
      </c>
      <c r="O847" t="s">
        <v>5354</v>
      </c>
      <c r="P847" t="s">
        <v>33</v>
      </c>
      <c r="Q847" s="1">
        <v>42142</v>
      </c>
      <c r="R847" t="s">
        <v>200</v>
      </c>
      <c r="S847" t="s">
        <v>27</v>
      </c>
      <c r="T847" t="s">
        <v>958</v>
      </c>
      <c r="U847" t="s">
        <v>115</v>
      </c>
      <c r="V847" t="s">
        <v>79</v>
      </c>
      <c r="W847">
        <v>875</v>
      </c>
      <c r="X847">
        <v>20086048</v>
      </c>
      <c r="Y847" t="s">
        <v>1744</v>
      </c>
      <c r="Z847" t="s">
        <v>119</v>
      </c>
      <c r="AA847" t="s">
        <v>32</v>
      </c>
      <c r="AB847" t="s">
        <v>120</v>
      </c>
      <c r="AC847" t="s">
        <v>38</v>
      </c>
      <c r="AD847" t="s">
        <v>155</v>
      </c>
      <c r="AE847">
        <v>7</v>
      </c>
      <c r="AF847" s="1">
        <v>401769</v>
      </c>
      <c r="AG847" t="s">
        <v>26</v>
      </c>
      <c r="AH847" t="s">
        <v>79</v>
      </c>
      <c r="AI847" t="str">
        <f t="shared" si="65"/>
        <v>SI</v>
      </c>
      <c r="AJ847" t="str">
        <f t="shared" si="66"/>
        <v>EUROFARMA COLOMBIA</v>
      </c>
      <c r="AK847" t="str">
        <f>IF(ISNUMBER(SEARCH("FABRICANTE",AC847)),"FABRICANTE",IF(ISNUMBER(SEARCH("IMPORTADOR",AC847)),"IMPORTADOR","OTRO"))</f>
        <v>IMPORTADOR</v>
      </c>
      <c r="AL847" t="str">
        <f>IF(LEFT(Y847,1)="A","Sistema digestivo",IF(LEFT(Y847,1)="B","Sangre",IF(LEFT(Y847,1)="C","Cardiovascular",IF(LEFT(Y847,1)="D","Dermatológico",IF(LEFT(Y847,1)="G","Genitourinario",IF(LEFT(Y847,1)="H","Hormonal",IF(LEFT(Y847,1)="J","Antiinfecciosos",IF(LEFT(Y847,1)="L","Oncológicos",IF(LEFT(Y847,1)="M","Musculoesquelético",IF(LEFT(Y847,1)="N","Sistema nervioso",IF(LEFT(Y847,1)="R","Respiratorio",IF(LEFT(Y847,1)="S","Oftálmico",IF(LEFT(Y847,1)="V","Varios","OTRO")))))))))))))</f>
        <v>Antiinfecciosos</v>
      </c>
      <c r="AM847" t="str">
        <f>IF(AG847="Vigente","ACTIVO",IF(ISNUMBER(SEARCH("Inactivo",J847)),"INACTIVO","REVISAR"))</f>
        <v>ACTIVO</v>
      </c>
      <c r="AN847">
        <f ca="1">IF(OR(AF847="",AF847="null"),"",ROUND((AF847-TODAY())/365.25,2))</f>
        <v>973.58</v>
      </c>
      <c r="AO847" t="str">
        <f ca="1">IF(AND(AG847="Vigente",OR(AF847="",AF847="null",AF847&gt;TODAY())),"SI",IF(AND(NOT(OR(AF847="",AF847="null")),AF847&lt;=TODAY()),"NO",IF(AG847="Vigente","SI","DESCONOCIDO")))</f>
        <v>SI</v>
      </c>
      <c r="AP847" t="str">
        <f>IF(AND(ISNUMBER(SEARCH("IMPORTAR",AA847)),ISNUMBER(SEARCH("FABRICAR",AA847))),"MIXTO",IF(ISNUMBER(SEARCH("IMPORTAR",AA847)),"IMPORTADO",IF(ISNUMBER(SEARCH("FABRICAR",AA847)),"LOCAL","OTRO")))</f>
        <v>IMPORTADO</v>
      </c>
      <c r="AQ847" t="str">
        <f>IF(AD847="Si","SI",IF(AD847="No","NO",""))</f>
        <v>SI</v>
      </c>
      <c r="AR847" t="str">
        <f>IF(ISNUMBER(SEARCH("®",N847)),"MARCA/INNOVADOR","GENERICO")</f>
        <v>MARCA/INNOVADOR</v>
      </c>
      <c r="AS847">
        <f ca="1">IF(AE847&gt;100,RANDBETWEEN(500,5000),IF(AND(AE847&gt;=10,AE847&lt;=100),RANDBETWEEN(100,1000),RANDBETWEEN(10,200)))</f>
        <v>140</v>
      </c>
      <c r="AT847">
        <f t="shared" ca="1" si="67"/>
        <v>29</v>
      </c>
      <c r="AU847">
        <f ca="1">INT(AS847*RANDBETWEEN(120,200)/100)</f>
        <v>217</v>
      </c>
      <c r="AV847" s="2">
        <f ca="1">IF(LEFT(Y847,1)="L",RANDBETWEEN(500000,5000000),IF(LEFT(Y847,1)="C",RANDBETWEEN(5000,50000),IF(LEFT(Y847,1)="N",RANDBETWEEN(10000,150000),IF(LEFT(Y847,1)="J",RANDBETWEEN(8000,200000),RANDBETWEEN(5000,100000)))))</f>
        <v>152824</v>
      </c>
      <c r="AW847" s="2">
        <f ca="1">INT(AV847*RANDBETWEEN(30,60)/100)</f>
        <v>76412</v>
      </c>
      <c r="AX847">
        <f ca="1">IF(Z847="ORAL",RANDBETWEEN(1000,10000),IF(OR(Z847="INTRAVENOSA",Z847="INTRAMUSCULAR"),RANDBETWEEN(100,2000),IF(OR(Z847="OFTÁLMICA",Z847="TOPICA (EXTERNA)"),RANDBETWEEN(200,3000),RANDBETWEEN(100,1500))))</f>
        <v>3363</v>
      </c>
      <c r="AY847" s="2">
        <f ca="1">INT(AV847*RANDBETWEEN(90,130)/100)</f>
        <v>191030</v>
      </c>
      <c r="AZ847" t="str">
        <f t="shared" ca="1" si="68"/>
        <v>8.4%</v>
      </c>
      <c r="BA847" t="str">
        <f t="shared" ca="1" si="69"/>
        <v>BAJO</v>
      </c>
    </row>
    <row r="848" spans="4:53" x14ac:dyDescent="0.35">
      <c r="D848" t="s">
        <v>5355</v>
      </c>
      <c r="E848" s="1">
        <v>43523</v>
      </c>
      <c r="F848" t="s">
        <v>3933</v>
      </c>
      <c r="G848" t="s">
        <v>108</v>
      </c>
      <c r="H848" t="s">
        <v>80</v>
      </c>
      <c r="I848">
        <v>20128508</v>
      </c>
      <c r="J848" t="s">
        <v>28</v>
      </c>
      <c r="K848">
        <v>2</v>
      </c>
      <c r="L848" t="s">
        <v>5356</v>
      </c>
      <c r="M848" t="s">
        <v>3935</v>
      </c>
      <c r="N848" t="s">
        <v>3936</v>
      </c>
      <c r="O848" t="s">
        <v>5357</v>
      </c>
      <c r="P848" t="s">
        <v>181</v>
      </c>
      <c r="Q848" s="1">
        <v>43220</v>
      </c>
      <c r="R848" t="s">
        <v>37</v>
      </c>
      <c r="S848" t="s">
        <v>27</v>
      </c>
      <c r="T848" t="s">
        <v>81</v>
      </c>
      <c r="U848" t="s">
        <v>115</v>
      </c>
      <c r="V848" t="s">
        <v>3938</v>
      </c>
      <c r="W848">
        <v>5</v>
      </c>
      <c r="X848">
        <v>20128508</v>
      </c>
      <c r="Y848" t="s">
        <v>3939</v>
      </c>
      <c r="Z848" t="s">
        <v>119</v>
      </c>
      <c r="AA848" t="s">
        <v>24</v>
      </c>
      <c r="AB848" t="s">
        <v>120</v>
      </c>
      <c r="AC848" t="s">
        <v>25</v>
      </c>
      <c r="AD848" t="s">
        <v>121</v>
      </c>
      <c r="AE848">
        <v>30</v>
      </c>
      <c r="AF848" t="s">
        <v>27</v>
      </c>
      <c r="AG848" t="s">
        <v>26</v>
      </c>
      <c r="AH848" t="s">
        <v>6675</v>
      </c>
      <c r="AI848" t="str">
        <f t="shared" si="65"/>
        <v>SI</v>
      </c>
      <c r="AJ848" t="str">
        <f t="shared" si="66"/>
        <v>LABORATORIOS MK</v>
      </c>
      <c r="AK848" t="str">
        <f>IF(ISNUMBER(SEARCH("FABRICANTE",AC848)),"FABRICANTE",IF(ISNUMBER(SEARCH("IMPORTADOR",AC848)),"IMPORTADOR","OTRO"))</f>
        <v>FABRICANTE</v>
      </c>
      <c r="AL848" t="str">
        <f>IF(LEFT(Y848,1)="A","Sistema digestivo",IF(LEFT(Y848,1)="B","Sangre",IF(LEFT(Y848,1)="C","Cardiovascular",IF(LEFT(Y848,1)="D","Dermatológico",IF(LEFT(Y848,1)="G","Genitourinario",IF(LEFT(Y848,1)="H","Hormonal",IF(LEFT(Y848,1)="J","Antiinfecciosos",IF(LEFT(Y848,1)="L","Oncológicos",IF(LEFT(Y848,1)="M","Musculoesquelético",IF(LEFT(Y848,1)="N","Sistema nervioso",IF(LEFT(Y848,1)="R","Respiratorio",IF(LEFT(Y848,1)="S","Oftálmico",IF(LEFT(Y848,1)="V","Varios","OTRO")))))))))))))</f>
        <v>Cardiovascular</v>
      </c>
      <c r="AM848" t="str">
        <f>IF(AG848="Vigente","ACTIVO",IF(ISNUMBER(SEARCH("Inactivo",J848)),"INACTIVO","REVISAR"))</f>
        <v>ACTIVO</v>
      </c>
      <c r="AN848" t="str">
        <f ca="1">IF(OR(AF848="",AF848="null"),"",ROUND((AF848-TODAY())/365.25,2))</f>
        <v/>
      </c>
      <c r="AO848" t="str">
        <f ca="1">IF(AND(AG848="Vigente",OR(AF848="",AF848="null",AF848&gt;TODAY())),"SI",IF(AND(NOT(OR(AF848="",AF848="null")),AF848&lt;=TODAY()),"NO",IF(AG848="Vigente","SI","DESCONOCIDO")))</f>
        <v>SI</v>
      </c>
      <c r="AP848" t="str">
        <f>IF(AND(ISNUMBER(SEARCH("IMPORTAR",AA848)),ISNUMBER(SEARCH("FABRICAR",AA848))),"MIXTO",IF(ISNUMBER(SEARCH("IMPORTAR",AA848)),"IMPORTADO",IF(ISNUMBER(SEARCH("FABRICAR",AA848)),"LOCAL","OTRO")))</f>
        <v>LOCAL</v>
      </c>
      <c r="AQ848" t="str">
        <f>IF(AD848="Si","SI",IF(AD848="No","NO",""))</f>
        <v>NO</v>
      </c>
      <c r="AR848" t="str">
        <f>IF(ISNUMBER(SEARCH("®",N848)),"MARCA/INNOVADOR","GENERICO")</f>
        <v>GENERICO</v>
      </c>
      <c r="AS848">
        <f ca="1">IF(AE848&gt;100,RANDBETWEEN(500,5000),IF(AND(AE848&gt;=10,AE848&lt;=100),RANDBETWEEN(100,1000),RANDBETWEEN(10,200)))</f>
        <v>806</v>
      </c>
      <c r="AT848">
        <f t="shared" ca="1" si="67"/>
        <v>128</v>
      </c>
      <c r="AU848">
        <f ca="1">INT(AS848*RANDBETWEEN(120,200)/100)</f>
        <v>1297</v>
      </c>
      <c r="AV848" s="2">
        <f ca="1">IF(LEFT(Y848,1)="L",RANDBETWEEN(500000,5000000),IF(LEFT(Y848,1)="C",RANDBETWEEN(5000,50000),IF(LEFT(Y848,1)="N",RANDBETWEEN(10000,150000),IF(LEFT(Y848,1)="J",RANDBETWEEN(8000,200000),RANDBETWEEN(5000,100000)))))</f>
        <v>18733</v>
      </c>
      <c r="AW848" s="2">
        <f ca="1">INT(AV848*RANDBETWEEN(30,60)/100)</f>
        <v>9928</v>
      </c>
      <c r="AX848">
        <f ca="1">IF(Z848="ORAL",RANDBETWEEN(1000,10000),IF(OR(Z848="INTRAVENOSA",Z848="INTRAMUSCULAR"),RANDBETWEEN(100,2000),IF(OR(Z848="OFTÁLMICA",Z848="TOPICA (EXTERNA)"),RANDBETWEEN(200,3000),RANDBETWEEN(100,1500))))</f>
        <v>1701</v>
      </c>
      <c r="AY848" s="2">
        <f ca="1">INT(AV848*RANDBETWEEN(90,130)/100)</f>
        <v>21355</v>
      </c>
      <c r="AZ848" t="str">
        <f t="shared" ca="1" si="68"/>
        <v>5.6%</v>
      </c>
      <c r="BA848" t="str">
        <f t="shared" ca="1" si="69"/>
        <v>BAJO</v>
      </c>
    </row>
    <row r="849" spans="4:53" x14ac:dyDescent="0.35">
      <c r="D849" t="s">
        <v>5358</v>
      </c>
      <c r="E849" s="1">
        <v>40989</v>
      </c>
      <c r="F849" t="s">
        <v>936</v>
      </c>
      <c r="G849" t="s">
        <v>108</v>
      </c>
      <c r="H849" t="s">
        <v>2933</v>
      </c>
      <c r="I849">
        <v>20043390</v>
      </c>
      <c r="J849" t="s">
        <v>28</v>
      </c>
      <c r="K849">
        <v>1</v>
      </c>
      <c r="L849" t="s">
        <v>27</v>
      </c>
      <c r="M849" t="s">
        <v>5359</v>
      </c>
      <c r="N849" t="s">
        <v>5360</v>
      </c>
      <c r="O849" t="s">
        <v>5361</v>
      </c>
      <c r="P849" t="s">
        <v>3888</v>
      </c>
      <c r="Q849" s="1">
        <v>40983</v>
      </c>
      <c r="R849" t="s">
        <v>33</v>
      </c>
      <c r="S849" t="s">
        <v>27</v>
      </c>
      <c r="T849" t="s">
        <v>2933</v>
      </c>
      <c r="U849" t="s">
        <v>115</v>
      </c>
      <c r="V849" t="s">
        <v>3288</v>
      </c>
      <c r="W849">
        <v>150</v>
      </c>
      <c r="X849">
        <v>20043390</v>
      </c>
      <c r="Y849" t="s">
        <v>3289</v>
      </c>
      <c r="Z849" t="s">
        <v>119</v>
      </c>
      <c r="AA849" t="s">
        <v>32</v>
      </c>
      <c r="AB849" t="s">
        <v>120</v>
      </c>
      <c r="AC849" t="s">
        <v>38</v>
      </c>
      <c r="AD849" t="s">
        <v>121</v>
      </c>
      <c r="AE849">
        <v>14</v>
      </c>
      <c r="AF849" s="1">
        <v>401769</v>
      </c>
      <c r="AG849" t="s">
        <v>26</v>
      </c>
      <c r="AH849" t="s">
        <v>936</v>
      </c>
      <c r="AI849" t="str">
        <f t="shared" si="65"/>
        <v>NO</v>
      </c>
      <c r="AJ849" t="str">
        <f t="shared" si="66"/>
        <v>SANOFI AVENTIS DE COLOMBIA</v>
      </c>
      <c r="AK849" t="str">
        <f>IF(ISNUMBER(SEARCH("FABRICANTE",AC849)),"FABRICANTE",IF(ISNUMBER(SEARCH("IMPORTADOR",AC849)),"IMPORTADOR","OTRO"))</f>
        <v>IMPORTADOR</v>
      </c>
      <c r="AL849" t="str">
        <f>IF(LEFT(Y849,1)="A","Sistema digestivo",IF(LEFT(Y849,1)="B","Sangre",IF(LEFT(Y849,1)="C","Cardiovascular",IF(LEFT(Y849,1)="D","Dermatológico",IF(LEFT(Y849,1)="G","Genitourinario",IF(LEFT(Y849,1)="H","Hormonal",IF(LEFT(Y849,1)="J","Antiinfecciosos",IF(LEFT(Y849,1)="L","Oncológicos",IF(LEFT(Y849,1)="M","Musculoesquelético",IF(LEFT(Y849,1)="N","Sistema nervioso",IF(LEFT(Y849,1)="R","Respiratorio",IF(LEFT(Y849,1)="S","Oftálmico",IF(LEFT(Y849,1)="V","Varios","OTRO")))))))))))))</f>
        <v>Cardiovascular</v>
      </c>
      <c r="AM849" t="str">
        <f>IF(AG849="Vigente","ACTIVO",IF(ISNUMBER(SEARCH("Inactivo",J849)),"INACTIVO","REVISAR"))</f>
        <v>ACTIVO</v>
      </c>
      <c r="AN849">
        <f ca="1">IF(OR(AF849="",AF849="null"),"",ROUND((AF849-TODAY())/365.25,2))</f>
        <v>973.58</v>
      </c>
      <c r="AO849" t="str">
        <f ca="1">IF(AND(AG849="Vigente",OR(AF849="",AF849="null",AF849&gt;TODAY())),"SI",IF(AND(NOT(OR(AF849="",AF849="null")),AF849&lt;=TODAY()),"NO",IF(AG849="Vigente","SI","DESCONOCIDO")))</f>
        <v>SI</v>
      </c>
      <c r="AP849" t="str">
        <f>IF(AND(ISNUMBER(SEARCH("IMPORTAR",AA849)),ISNUMBER(SEARCH("FABRICAR",AA849))),"MIXTO",IF(ISNUMBER(SEARCH("IMPORTAR",AA849)),"IMPORTADO",IF(ISNUMBER(SEARCH("FABRICAR",AA849)),"LOCAL","OTRO")))</f>
        <v>IMPORTADO</v>
      </c>
      <c r="AQ849" t="str">
        <f>IF(AD849="Si","SI",IF(AD849="No","NO",""))</f>
        <v>NO</v>
      </c>
      <c r="AR849" t="str">
        <f>IF(ISNUMBER(SEARCH("®",N849)),"MARCA/INNOVADOR","GENERICO")</f>
        <v>MARCA/INNOVADOR</v>
      </c>
      <c r="AS849">
        <f ca="1">IF(AE849&gt;100,RANDBETWEEN(500,5000),IF(AND(AE849&gt;=10,AE849&lt;=100),RANDBETWEEN(100,1000),RANDBETWEEN(10,200)))</f>
        <v>292</v>
      </c>
      <c r="AT849">
        <f t="shared" ca="1" si="67"/>
        <v>75</v>
      </c>
      <c r="AU849">
        <f ca="1">INT(AS849*RANDBETWEEN(120,200)/100)</f>
        <v>362</v>
      </c>
      <c r="AV849" s="2">
        <f ca="1">IF(LEFT(Y849,1)="L",RANDBETWEEN(500000,5000000),IF(LEFT(Y849,1)="C",RANDBETWEEN(5000,50000),IF(LEFT(Y849,1)="N",RANDBETWEEN(10000,150000),IF(LEFT(Y849,1)="J",RANDBETWEEN(8000,200000),RANDBETWEEN(5000,100000)))))</f>
        <v>29788</v>
      </c>
      <c r="AW849" s="2">
        <f ca="1">INT(AV849*RANDBETWEEN(30,60)/100)</f>
        <v>17277</v>
      </c>
      <c r="AX849">
        <f ca="1">IF(Z849="ORAL",RANDBETWEEN(1000,10000),IF(OR(Z849="INTRAVENOSA",Z849="INTRAMUSCULAR"),RANDBETWEEN(100,2000),IF(OR(Z849="OFTÁLMICA",Z849="TOPICA (EXTERNA)"),RANDBETWEEN(200,3000),RANDBETWEEN(100,1500))))</f>
        <v>9558</v>
      </c>
      <c r="AY849" s="2">
        <f ca="1">INT(AV849*RANDBETWEEN(90,130)/100)</f>
        <v>29192</v>
      </c>
      <c r="AZ849" t="str">
        <f t="shared" ca="1" si="68"/>
        <v>20.7%</v>
      </c>
      <c r="BA849" t="str">
        <f t="shared" ca="1" si="69"/>
        <v>BAJO</v>
      </c>
    </row>
    <row r="850" spans="4:53" x14ac:dyDescent="0.35">
      <c r="D850" t="s">
        <v>5362</v>
      </c>
      <c r="E850" s="1">
        <v>41975</v>
      </c>
      <c r="F850" t="s">
        <v>548</v>
      </c>
      <c r="G850" t="s">
        <v>108</v>
      </c>
      <c r="H850" t="s">
        <v>1325</v>
      </c>
      <c r="I850">
        <v>20061746</v>
      </c>
      <c r="J850" t="s">
        <v>28</v>
      </c>
      <c r="K850">
        <v>1</v>
      </c>
      <c r="L850" t="s">
        <v>27</v>
      </c>
      <c r="M850" t="s">
        <v>1326</v>
      </c>
      <c r="N850" t="s">
        <v>1327</v>
      </c>
      <c r="O850" t="s">
        <v>5363</v>
      </c>
      <c r="P850" t="s">
        <v>234</v>
      </c>
      <c r="Q850" s="1">
        <v>41557</v>
      </c>
      <c r="R850" t="s">
        <v>258</v>
      </c>
      <c r="S850" t="s">
        <v>27</v>
      </c>
      <c r="T850" t="s">
        <v>1329</v>
      </c>
      <c r="U850" t="s">
        <v>115</v>
      </c>
      <c r="V850" t="s">
        <v>64</v>
      </c>
      <c r="W850" t="s">
        <v>3675</v>
      </c>
      <c r="X850">
        <v>20061746</v>
      </c>
      <c r="Y850" t="s">
        <v>259</v>
      </c>
      <c r="Z850" t="s">
        <v>260</v>
      </c>
      <c r="AA850" t="s">
        <v>32</v>
      </c>
      <c r="AB850" t="s">
        <v>133</v>
      </c>
      <c r="AC850" t="s">
        <v>38</v>
      </c>
      <c r="AD850" t="s">
        <v>121</v>
      </c>
      <c r="AE850">
        <v>6</v>
      </c>
      <c r="AF850" s="1">
        <v>401769</v>
      </c>
      <c r="AG850" t="s">
        <v>26</v>
      </c>
      <c r="AH850" t="s">
        <v>6616</v>
      </c>
      <c r="AI850" t="str">
        <f t="shared" si="65"/>
        <v>NO</v>
      </c>
      <c r="AJ850" t="str">
        <f t="shared" si="66"/>
        <v>FRESENIUS KABI AB</v>
      </c>
      <c r="AK850" t="str">
        <f>IF(ISNUMBER(SEARCH("FABRICANTE",AC850)),"FABRICANTE",IF(ISNUMBER(SEARCH("IMPORTADOR",AC850)),"IMPORTADOR","OTRO"))</f>
        <v>IMPORTADOR</v>
      </c>
      <c r="AL850" t="str">
        <f>IF(LEFT(Y850,1)="A","Sistema digestivo",IF(LEFT(Y850,1)="B","Sangre",IF(LEFT(Y850,1)="C","Cardiovascular",IF(LEFT(Y850,1)="D","Dermatológico",IF(LEFT(Y850,1)="G","Genitourinario",IF(LEFT(Y850,1)="H","Hormonal",IF(LEFT(Y850,1)="J","Antiinfecciosos",IF(LEFT(Y850,1)="L","Oncológicos",IF(LEFT(Y850,1)="M","Musculoesquelético",IF(LEFT(Y850,1)="N","Sistema nervioso",IF(LEFT(Y850,1)="R","Respiratorio",IF(LEFT(Y850,1)="S","Oftálmico",IF(LEFT(Y850,1)="V","Varios","OTRO")))))))))))))</f>
        <v>Sangre</v>
      </c>
      <c r="AM850" t="str">
        <f>IF(AG850="Vigente","ACTIVO",IF(ISNUMBER(SEARCH("Inactivo",J850)),"INACTIVO","REVISAR"))</f>
        <v>ACTIVO</v>
      </c>
      <c r="AN850">
        <f ca="1">IF(OR(AF850="",AF850="null"),"",ROUND((AF850-TODAY())/365.25,2))</f>
        <v>973.58</v>
      </c>
      <c r="AO850" t="str">
        <f ca="1">IF(AND(AG850="Vigente",OR(AF850="",AF850="null",AF850&gt;TODAY())),"SI",IF(AND(NOT(OR(AF850="",AF850="null")),AF850&lt;=TODAY()),"NO",IF(AG850="Vigente","SI","DESCONOCIDO")))</f>
        <v>SI</v>
      </c>
      <c r="AP850" t="str">
        <f>IF(AND(ISNUMBER(SEARCH("IMPORTAR",AA850)),ISNUMBER(SEARCH("FABRICAR",AA850))),"MIXTO",IF(ISNUMBER(SEARCH("IMPORTAR",AA850)),"IMPORTADO",IF(ISNUMBER(SEARCH("FABRICAR",AA850)),"LOCAL","OTRO")))</f>
        <v>IMPORTADO</v>
      </c>
      <c r="AQ850" t="str">
        <f>IF(AD850="Si","SI",IF(AD850="No","NO",""))</f>
        <v>NO</v>
      </c>
      <c r="AR850" t="str">
        <f>IF(ISNUMBER(SEARCH("®",N850)),"MARCA/INNOVADOR","GENERICO")</f>
        <v>MARCA/INNOVADOR</v>
      </c>
      <c r="AS850">
        <f ca="1">IF(AE850&gt;100,RANDBETWEEN(500,5000),IF(AND(AE850&gt;=10,AE850&lt;=100),RANDBETWEEN(100,1000),RANDBETWEEN(10,200)))</f>
        <v>131</v>
      </c>
      <c r="AT850">
        <f t="shared" ca="1" si="67"/>
        <v>23</v>
      </c>
      <c r="AU850">
        <f ca="1">INT(AS850*RANDBETWEEN(120,200)/100)</f>
        <v>162</v>
      </c>
      <c r="AV850" s="2">
        <f ca="1">IF(LEFT(Y850,1)="L",RANDBETWEEN(500000,5000000),IF(LEFT(Y850,1)="C",RANDBETWEEN(5000,50000),IF(LEFT(Y850,1)="N",RANDBETWEEN(10000,150000),IF(LEFT(Y850,1)="J",RANDBETWEEN(8000,200000),RANDBETWEEN(5000,100000)))))</f>
        <v>42228</v>
      </c>
      <c r="AW850" s="2">
        <f ca="1">INT(AV850*RANDBETWEEN(30,60)/100)</f>
        <v>12668</v>
      </c>
      <c r="AX850">
        <f ca="1">IF(Z850="ORAL",RANDBETWEEN(1000,10000),IF(OR(Z850="INTRAVENOSA",Z850="INTRAMUSCULAR"),RANDBETWEEN(100,2000),IF(OR(Z850="OFTÁLMICA",Z850="TOPICA (EXTERNA)"),RANDBETWEEN(200,3000),RANDBETWEEN(100,1500))))</f>
        <v>1511</v>
      </c>
      <c r="AY850" s="2">
        <f ca="1">INT(AV850*RANDBETWEEN(90,130)/100)</f>
        <v>48984</v>
      </c>
      <c r="AZ850" t="str">
        <f t="shared" ca="1" si="68"/>
        <v>1.4%</v>
      </c>
      <c r="BA850" t="str">
        <f t="shared" ca="1" si="69"/>
        <v>BAJO</v>
      </c>
    </row>
    <row r="851" spans="4:53" x14ac:dyDescent="0.35">
      <c r="D851" t="s">
        <v>5364</v>
      </c>
      <c r="E851" s="1">
        <v>36161</v>
      </c>
      <c r="F851" t="s">
        <v>135</v>
      </c>
      <c r="G851" t="s">
        <v>108</v>
      </c>
      <c r="H851" t="s">
        <v>141</v>
      </c>
      <c r="I851">
        <v>45821</v>
      </c>
      <c r="J851" t="s">
        <v>110</v>
      </c>
      <c r="K851">
        <v>8</v>
      </c>
      <c r="L851" t="s">
        <v>27</v>
      </c>
      <c r="M851" t="s">
        <v>137</v>
      </c>
      <c r="N851" t="s">
        <v>138</v>
      </c>
      <c r="O851" t="s">
        <v>5365</v>
      </c>
      <c r="P851" t="s">
        <v>33</v>
      </c>
      <c r="Q851" s="1">
        <v>42219</v>
      </c>
      <c r="R851" t="s">
        <v>140</v>
      </c>
      <c r="S851" t="s">
        <v>27</v>
      </c>
      <c r="T851" t="s">
        <v>141</v>
      </c>
      <c r="U851" t="s">
        <v>115</v>
      </c>
      <c r="V851" t="s">
        <v>142</v>
      </c>
      <c r="W851">
        <v>300</v>
      </c>
      <c r="X851">
        <v>45821</v>
      </c>
      <c r="Y851" t="s">
        <v>143</v>
      </c>
      <c r="Z851" t="s">
        <v>119</v>
      </c>
      <c r="AA851" t="s">
        <v>32</v>
      </c>
      <c r="AB851" t="s">
        <v>120</v>
      </c>
      <c r="AC851" t="s">
        <v>38</v>
      </c>
      <c r="AD851" t="s">
        <v>121</v>
      </c>
      <c r="AE851">
        <v>60</v>
      </c>
      <c r="AF851" t="s">
        <v>27</v>
      </c>
      <c r="AG851" t="s">
        <v>26</v>
      </c>
      <c r="AH851" t="s">
        <v>135</v>
      </c>
      <c r="AI851" t="str">
        <f t="shared" si="65"/>
        <v>NO</v>
      </c>
      <c r="AJ851" t="str">
        <f t="shared" si="66"/>
        <v>LABORATORIOS FRANCO COLOMBIANO LAFRANCOL</v>
      </c>
      <c r="AK851" t="str">
        <f>IF(ISNUMBER(SEARCH("FABRICANTE",AC851)),"FABRICANTE",IF(ISNUMBER(SEARCH("IMPORTADOR",AC851)),"IMPORTADOR","OTRO"))</f>
        <v>IMPORTADOR</v>
      </c>
      <c r="AL851" t="str">
        <f>IF(LEFT(Y851,1)="A","Sistema digestivo",IF(LEFT(Y851,1)="B","Sangre",IF(LEFT(Y851,1)="C","Cardiovascular",IF(LEFT(Y851,1)="D","Dermatológico",IF(LEFT(Y851,1)="G","Genitourinario",IF(LEFT(Y851,1)="H","Hormonal",IF(LEFT(Y851,1)="J","Antiinfecciosos",IF(LEFT(Y851,1)="L","Oncológicos",IF(LEFT(Y851,1)="M","Musculoesquelético",IF(LEFT(Y851,1)="N","Sistema nervioso",IF(LEFT(Y851,1)="R","Respiratorio",IF(LEFT(Y851,1)="S","Oftálmico",IF(LEFT(Y851,1)="V","Varios","OTRO")))))))))))))</f>
        <v>Cardiovascular</v>
      </c>
      <c r="AM851" t="str">
        <f>IF(AG851="Vigente","ACTIVO",IF(ISNUMBER(SEARCH("Inactivo",J851)),"INACTIVO","REVISAR"))</f>
        <v>ACTIVO</v>
      </c>
      <c r="AN851" t="str">
        <f ca="1">IF(OR(AF851="",AF851="null"),"",ROUND((AF851-TODAY())/365.25,2))</f>
        <v/>
      </c>
      <c r="AO851" t="str">
        <f ca="1">IF(AND(AG851="Vigente",OR(AF851="",AF851="null",AF851&gt;TODAY())),"SI",IF(AND(NOT(OR(AF851="",AF851="null")),AF851&lt;=TODAY()),"NO",IF(AG851="Vigente","SI","DESCONOCIDO")))</f>
        <v>SI</v>
      </c>
      <c r="AP851" t="str">
        <f>IF(AND(ISNUMBER(SEARCH("IMPORTAR",AA851)),ISNUMBER(SEARCH("FABRICAR",AA851))),"MIXTO",IF(ISNUMBER(SEARCH("IMPORTAR",AA851)),"IMPORTADO",IF(ISNUMBER(SEARCH("FABRICAR",AA851)),"LOCAL","OTRO")))</f>
        <v>IMPORTADO</v>
      </c>
      <c r="AQ851" t="str">
        <f>IF(AD851="Si","SI",IF(AD851="No","NO",""))</f>
        <v>NO</v>
      </c>
      <c r="AR851" t="str">
        <f>IF(ISNUMBER(SEARCH("®",N851)),"MARCA/INNOVADOR","GENERICO")</f>
        <v>MARCA/INNOVADOR</v>
      </c>
      <c r="AS851">
        <f ca="1">IF(AE851&gt;100,RANDBETWEEN(500,5000),IF(AND(AE851&gt;=10,AE851&lt;=100),RANDBETWEEN(100,1000),RANDBETWEEN(10,200)))</f>
        <v>668</v>
      </c>
      <c r="AT851">
        <f t="shared" ca="1" si="67"/>
        <v>167</v>
      </c>
      <c r="AU851">
        <f ca="1">INT(AS851*RANDBETWEEN(120,200)/100)</f>
        <v>1269</v>
      </c>
      <c r="AV851" s="2">
        <f ca="1">IF(LEFT(Y851,1)="L",RANDBETWEEN(500000,5000000),IF(LEFT(Y851,1)="C",RANDBETWEEN(5000,50000),IF(LEFT(Y851,1)="N",RANDBETWEEN(10000,150000),IF(LEFT(Y851,1)="J",RANDBETWEEN(8000,200000),RANDBETWEEN(5000,100000)))))</f>
        <v>26331</v>
      </c>
      <c r="AW851" s="2">
        <f ca="1">INT(AV851*RANDBETWEEN(30,60)/100)</f>
        <v>8162</v>
      </c>
      <c r="AX851">
        <f ca="1">IF(Z851="ORAL",RANDBETWEEN(1000,10000),IF(OR(Z851="INTRAVENOSA",Z851="INTRAMUSCULAR"),RANDBETWEEN(100,2000),IF(OR(Z851="OFTÁLMICA",Z851="TOPICA (EXTERNA)"),RANDBETWEEN(200,3000),RANDBETWEEN(100,1500))))</f>
        <v>8685</v>
      </c>
      <c r="AY851" s="2">
        <f ca="1">INT(AV851*RANDBETWEEN(90,130)/100)</f>
        <v>34230</v>
      </c>
      <c r="AZ851" t="str">
        <f t="shared" ca="1" si="68"/>
        <v>21.9%</v>
      </c>
      <c r="BA851" t="str">
        <f t="shared" ca="1" si="69"/>
        <v>ALTO</v>
      </c>
    </row>
    <row r="852" spans="4:53" x14ac:dyDescent="0.35">
      <c r="D852" t="s">
        <v>5366</v>
      </c>
      <c r="E852" s="1">
        <v>42466</v>
      </c>
      <c r="F852" t="s">
        <v>632</v>
      </c>
      <c r="G852" t="s">
        <v>108</v>
      </c>
      <c r="H852" t="s">
        <v>633</v>
      </c>
      <c r="I852">
        <v>20077141</v>
      </c>
      <c r="J852" t="s">
        <v>110</v>
      </c>
      <c r="K852">
        <v>11</v>
      </c>
      <c r="L852" t="s">
        <v>27</v>
      </c>
      <c r="M852" t="s">
        <v>635</v>
      </c>
      <c r="N852" t="s">
        <v>636</v>
      </c>
      <c r="O852" t="s">
        <v>5367</v>
      </c>
      <c r="P852" t="s">
        <v>638</v>
      </c>
      <c r="Q852" s="1">
        <v>42682</v>
      </c>
      <c r="R852" t="s">
        <v>200</v>
      </c>
      <c r="S852" t="s">
        <v>27</v>
      </c>
      <c r="T852" t="s">
        <v>639</v>
      </c>
      <c r="U852" t="s">
        <v>115</v>
      </c>
      <c r="V852" t="s">
        <v>640</v>
      </c>
      <c r="W852" t="s">
        <v>641</v>
      </c>
      <c r="X852">
        <v>20077141</v>
      </c>
      <c r="Y852" t="s">
        <v>642</v>
      </c>
      <c r="Z852" t="s">
        <v>119</v>
      </c>
      <c r="AA852" t="s">
        <v>32</v>
      </c>
      <c r="AB852" t="s">
        <v>120</v>
      </c>
      <c r="AC852" t="s">
        <v>25</v>
      </c>
      <c r="AD852" t="s">
        <v>121</v>
      </c>
      <c r="AE852">
        <v>28</v>
      </c>
      <c r="AF852" s="1">
        <v>401769</v>
      </c>
      <c r="AG852" t="s">
        <v>26</v>
      </c>
      <c r="AH852" t="s">
        <v>4512</v>
      </c>
      <c r="AI852" t="str">
        <f t="shared" si="65"/>
        <v>NO</v>
      </c>
      <c r="AJ852" t="str">
        <f t="shared" si="66"/>
        <v>EXELTIS</v>
      </c>
      <c r="AK852" t="str">
        <f>IF(ISNUMBER(SEARCH("FABRICANTE",AC852)),"FABRICANTE",IF(ISNUMBER(SEARCH("IMPORTADOR",AC852)),"IMPORTADOR","OTRO"))</f>
        <v>FABRICANTE</v>
      </c>
      <c r="AL852" t="str">
        <f>IF(LEFT(Y852,1)="A","Sistema digestivo",IF(LEFT(Y852,1)="B","Sangre",IF(LEFT(Y852,1)="C","Cardiovascular",IF(LEFT(Y852,1)="D","Dermatológico",IF(LEFT(Y852,1)="G","Genitourinario",IF(LEFT(Y852,1)="H","Hormonal",IF(LEFT(Y852,1)="J","Antiinfecciosos",IF(LEFT(Y852,1)="L","Oncológicos",IF(LEFT(Y852,1)="M","Musculoesquelético",IF(LEFT(Y852,1)="N","Sistema nervioso",IF(LEFT(Y852,1)="R","Respiratorio",IF(LEFT(Y852,1)="S","Oftálmico",IF(LEFT(Y852,1)="V","Varios","OTRO")))))))))))))</f>
        <v>Genitourinario</v>
      </c>
      <c r="AM852" t="str">
        <f>IF(AG852="Vigente","ACTIVO",IF(ISNUMBER(SEARCH("Inactivo",J852)),"INACTIVO","REVISAR"))</f>
        <v>ACTIVO</v>
      </c>
      <c r="AN852">
        <f ca="1">IF(OR(AF852="",AF852="null"),"",ROUND((AF852-TODAY())/365.25,2))</f>
        <v>973.58</v>
      </c>
      <c r="AO852" t="str">
        <f ca="1">IF(AND(AG852="Vigente",OR(AF852="",AF852="null",AF852&gt;TODAY())),"SI",IF(AND(NOT(OR(AF852="",AF852="null")),AF852&lt;=TODAY()),"NO",IF(AG852="Vigente","SI","DESCONOCIDO")))</f>
        <v>SI</v>
      </c>
      <c r="AP852" t="str">
        <f>IF(AND(ISNUMBER(SEARCH("IMPORTAR",AA852)),ISNUMBER(SEARCH("FABRICAR",AA852))),"MIXTO",IF(ISNUMBER(SEARCH("IMPORTAR",AA852)),"IMPORTADO",IF(ISNUMBER(SEARCH("FABRICAR",AA852)),"LOCAL","OTRO")))</f>
        <v>IMPORTADO</v>
      </c>
      <c r="AQ852" t="str">
        <f>IF(AD852="Si","SI",IF(AD852="No","NO",""))</f>
        <v>NO</v>
      </c>
      <c r="AR852" t="str">
        <f>IF(ISNUMBER(SEARCH("®",N852)),"MARCA/INNOVADOR","GENERICO")</f>
        <v>MARCA/INNOVADOR</v>
      </c>
      <c r="AS852">
        <f ca="1">IF(AE852&gt;100,RANDBETWEEN(500,5000),IF(AND(AE852&gt;=10,AE852&lt;=100),RANDBETWEEN(100,1000),RANDBETWEEN(10,200)))</f>
        <v>320</v>
      </c>
      <c r="AT852">
        <f t="shared" ca="1" si="67"/>
        <v>32</v>
      </c>
      <c r="AU852">
        <f ca="1">INT(AS852*RANDBETWEEN(120,200)/100)</f>
        <v>636</v>
      </c>
      <c r="AV852" s="2">
        <f ca="1">IF(LEFT(Y852,1)="L",RANDBETWEEN(500000,5000000),IF(LEFT(Y852,1)="C",RANDBETWEEN(5000,50000),IF(LEFT(Y852,1)="N",RANDBETWEEN(10000,150000),IF(LEFT(Y852,1)="J",RANDBETWEEN(8000,200000),RANDBETWEEN(5000,100000)))))</f>
        <v>9595</v>
      </c>
      <c r="AW852" s="2">
        <f ca="1">INT(AV852*RANDBETWEEN(30,60)/100)</f>
        <v>5757</v>
      </c>
      <c r="AX852">
        <f ca="1">IF(Z852="ORAL",RANDBETWEEN(1000,10000),IF(OR(Z852="INTRAVENOSA",Z852="INTRAMUSCULAR"),RANDBETWEEN(100,2000),IF(OR(Z852="OFTÁLMICA",Z852="TOPICA (EXTERNA)"),RANDBETWEEN(200,3000),RANDBETWEEN(100,1500))))</f>
        <v>7230</v>
      </c>
      <c r="AY852" s="2">
        <f ca="1">INT(AV852*RANDBETWEEN(90,130)/100)</f>
        <v>11609</v>
      </c>
      <c r="AZ852" t="str">
        <f t="shared" ca="1" si="68"/>
        <v>17.7%</v>
      </c>
      <c r="BA852" t="str">
        <f t="shared" ca="1" si="69"/>
        <v>MEDIO</v>
      </c>
    </row>
    <row r="853" spans="4:53" x14ac:dyDescent="0.35">
      <c r="D853" t="s">
        <v>5368</v>
      </c>
      <c r="E853" s="1">
        <v>39164</v>
      </c>
      <c r="F853" t="s">
        <v>4122</v>
      </c>
      <c r="G853" t="s">
        <v>108</v>
      </c>
      <c r="H853" t="s">
        <v>5369</v>
      </c>
      <c r="I853">
        <v>19975048</v>
      </c>
      <c r="J853" t="s">
        <v>110</v>
      </c>
      <c r="K853">
        <v>7</v>
      </c>
      <c r="L853" t="s">
        <v>27</v>
      </c>
      <c r="M853" t="s">
        <v>4124</v>
      </c>
      <c r="N853" t="s">
        <v>4125</v>
      </c>
      <c r="O853" t="s">
        <v>5370</v>
      </c>
      <c r="P853" t="s">
        <v>2067</v>
      </c>
      <c r="Q853" s="1">
        <v>42270</v>
      </c>
      <c r="R853" t="s">
        <v>33</v>
      </c>
      <c r="S853" s="1">
        <v>43808</v>
      </c>
      <c r="T853" t="s">
        <v>806</v>
      </c>
      <c r="U853" t="s">
        <v>115</v>
      </c>
      <c r="V853" t="s">
        <v>34</v>
      </c>
      <c r="W853">
        <v>100</v>
      </c>
      <c r="X853">
        <v>19975048</v>
      </c>
      <c r="Y853" t="s">
        <v>31</v>
      </c>
      <c r="Z853" t="s">
        <v>119</v>
      </c>
      <c r="AA853" t="s">
        <v>32</v>
      </c>
      <c r="AB853" t="s">
        <v>120</v>
      </c>
      <c r="AC853" t="s">
        <v>38</v>
      </c>
      <c r="AD853" t="s">
        <v>155</v>
      </c>
      <c r="AE853">
        <v>14</v>
      </c>
      <c r="AF853" t="s">
        <v>27</v>
      </c>
      <c r="AG853" t="s">
        <v>26</v>
      </c>
      <c r="AH853" t="s">
        <v>34</v>
      </c>
      <c r="AI853" t="str">
        <f t="shared" si="65"/>
        <v>SI</v>
      </c>
      <c r="AJ853" t="str">
        <f t="shared" si="66"/>
        <v>MERCK SHARP &amp; DOHME</v>
      </c>
      <c r="AK853" t="str">
        <f>IF(ISNUMBER(SEARCH("FABRICANTE",AC853)),"FABRICANTE",IF(ISNUMBER(SEARCH("IMPORTADOR",AC853)),"IMPORTADOR","OTRO"))</f>
        <v>IMPORTADOR</v>
      </c>
      <c r="AL853" t="str">
        <f>IF(LEFT(Y853,1)="A","Sistema digestivo",IF(LEFT(Y853,1)="B","Sangre",IF(LEFT(Y853,1)="C","Cardiovascular",IF(LEFT(Y853,1)="D","Dermatológico",IF(LEFT(Y853,1)="G","Genitourinario",IF(LEFT(Y853,1)="H","Hormonal",IF(LEFT(Y853,1)="J","Antiinfecciosos",IF(LEFT(Y853,1)="L","Oncológicos",IF(LEFT(Y853,1)="M","Musculoesquelético",IF(LEFT(Y853,1)="N","Sistema nervioso",IF(LEFT(Y853,1)="R","Respiratorio",IF(LEFT(Y853,1)="S","Oftálmico",IF(LEFT(Y853,1)="V","Varios","OTRO")))))))))))))</f>
        <v>Sistema digestivo</v>
      </c>
      <c r="AM853" t="str">
        <f>IF(AG853="Vigente","ACTIVO",IF(ISNUMBER(SEARCH("Inactivo",J853)),"INACTIVO","REVISAR"))</f>
        <v>ACTIVO</v>
      </c>
      <c r="AN853" t="str">
        <f ca="1">IF(OR(AF853="",AF853="null"),"",ROUND((AF853-TODAY())/365.25,2))</f>
        <v/>
      </c>
      <c r="AO853" t="str">
        <f ca="1">IF(AND(AG853="Vigente",OR(AF853="",AF853="null",AF853&gt;TODAY())),"SI",IF(AND(NOT(OR(AF853="",AF853="null")),AF853&lt;=TODAY()),"NO",IF(AG853="Vigente","SI","DESCONOCIDO")))</f>
        <v>SI</v>
      </c>
      <c r="AP853" t="str">
        <f>IF(AND(ISNUMBER(SEARCH("IMPORTAR",AA853)),ISNUMBER(SEARCH("FABRICAR",AA853))),"MIXTO",IF(ISNUMBER(SEARCH("IMPORTAR",AA853)),"IMPORTADO",IF(ISNUMBER(SEARCH("FABRICAR",AA853)),"LOCAL","OTRO")))</f>
        <v>IMPORTADO</v>
      </c>
      <c r="AQ853" t="str">
        <f>IF(AD853="Si","SI",IF(AD853="No","NO",""))</f>
        <v>SI</v>
      </c>
      <c r="AR853" t="str">
        <f>IF(ISNUMBER(SEARCH("®",N853)),"MARCA/INNOVADOR","GENERICO")</f>
        <v>MARCA/INNOVADOR</v>
      </c>
      <c r="AS853">
        <f ca="1">IF(AE853&gt;100,RANDBETWEEN(500,5000),IF(AND(AE853&gt;=10,AE853&lt;=100),RANDBETWEEN(100,1000),RANDBETWEEN(10,200)))</f>
        <v>512</v>
      </c>
      <c r="AT853">
        <f t="shared" ca="1" si="67"/>
        <v>51</v>
      </c>
      <c r="AU853">
        <f ca="1">INT(AS853*RANDBETWEEN(120,200)/100)</f>
        <v>680</v>
      </c>
      <c r="AV853" s="2">
        <f ca="1">IF(LEFT(Y853,1)="L",RANDBETWEEN(500000,5000000),IF(LEFT(Y853,1)="C",RANDBETWEEN(5000,50000),IF(LEFT(Y853,1)="N",RANDBETWEEN(10000,150000),IF(LEFT(Y853,1)="J",RANDBETWEEN(8000,200000),RANDBETWEEN(5000,100000)))))</f>
        <v>99927</v>
      </c>
      <c r="AW853" s="2">
        <f ca="1">INT(AV853*RANDBETWEEN(30,60)/100)</f>
        <v>31976</v>
      </c>
      <c r="AX853">
        <f ca="1">IF(Z853="ORAL",RANDBETWEEN(1000,10000),IF(OR(Z853="INTRAVENOSA",Z853="INTRAMUSCULAR"),RANDBETWEEN(100,2000),IF(OR(Z853="OFTÁLMICA",Z853="TOPICA (EXTERNA)"),RANDBETWEEN(200,3000),RANDBETWEEN(100,1500))))</f>
        <v>9135</v>
      </c>
      <c r="AY853" s="2">
        <f ca="1">INT(AV853*RANDBETWEEN(90,130)/100)</f>
        <v>126907</v>
      </c>
      <c r="AZ853" t="str">
        <f t="shared" ca="1" si="68"/>
        <v>6.2%</v>
      </c>
      <c r="BA853" t="str">
        <f t="shared" ca="1" si="69"/>
        <v>ALTO</v>
      </c>
    </row>
    <row r="854" spans="4:53" x14ac:dyDescent="0.35">
      <c r="D854" t="s">
        <v>5371</v>
      </c>
      <c r="E854" s="1">
        <v>34493</v>
      </c>
      <c r="F854" t="s">
        <v>77</v>
      </c>
      <c r="G854" t="s">
        <v>502</v>
      </c>
      <c r="H854" t="s">
        <v>1490</v>
      </c>
      <c r="I854">
        <v>1991423</v>
      </c>
      <c r="J854" t="s">
        <v>110</v>
      </c>
      <c r="K854">
        <v>8</v>
      </c>
      <c r="L854" t="s">
        <v>27</v>
      </c>
      <c r="M854" t="s">
        <v>5372</v>
      </c>
      <c r="N854" t="s">
        <v>5373</v>
      </c>
      <c r="O854" t="s">
        <v>5374</v>
      </c>
      <c r="P854" t="s">
        <v>1731</v>
      </c>
      <c r="Q854" s="1">
        <v>41172</v>
      </c>
      <c r="R854" t="s">
        <v>78</v>
      </c>
      <c r="S854" s="1">
        <v>41968</v>
      </c>
      <c r="T854" t="s">
        <v>1490</v>
      </c>
      <c r="U854" t="s">
        <v>247</v>
      </c>
      <c r="V854" t="s">
        <v>5375</v>
      </c>
      <c r="W854" t="s">
        <v>5376</v>
      </c>
      <c r="X854">
        <v>1991423</v>
      </c>
      <c r="Y854" t="s">
        <v>5377</v>
      </c>
      <c r="Z854" t="s">
        <v>119</v>
      </c>
      <c r="AA854" t="s">
        <v>24</v>
      </c>
      <c r="AB854" t="s">
        <v>250</v>
      </c>
      <c r="AC854" t="s">
        <v>25</v>
      </c>
      <c r="AD854" t="s">
        <v>121</v>
      </c>
      <c r="AE854">
        <v>60</v>
      </c>
      <c r="AF854" s="1">
        <v>401769</v>
      </c>
      <c r="AG854" t="s">
        <v>26</v>
      </c>
      <c r="AH854" t="s">
        <v>6837</v>
      </c>
      <c r="AI854" t="str">
        <f t="shared" si="65"/>
        <v>NO</v>
      </c>
      <c r="AJ854" t="str">
        <f t="shared" si="66"/>
        <v>LABORATORIO FRANCO COLOMBIANO - LAFRANCOL</v>
      </c>
      <c r="AK854" t="str">
        <f>IF(ISNUMBER(SEARCH("FABRICANTE",AC854)),"FABRICANTE",IF(ISNUMBER(SEARCH("IMPORTADOR",AC854)),"IMPORTADOR","OTRO"))</f>
        <v>FABRICANTE</v>
      </c>
      <c r="AL854" t="str">
        <f>IF(LEFT(Y854,1)="A","Sistema digestivo",IF(LEFT(Y854,1)="B","Sangre",IF(LEFT(Y854,1)="C","Cardiovascular",IF(LEFT(Y854,1)="D","Dermatológico",IF(LEFT(Y854,1)="G","Genitourinario",IF(LEFT(Y854,1)="H","Hormonal",IF(LEFT(Y854,1)="J","Antiinfecciosos",IF(LEFT(Y854,1)="L","Oncológicos",IF(LEFT(Y854,1)="M","Musculoesquelético",IF(LEFT(Y854,1)="N","Sistema nervioso",IF(LEFT(Y854,1)="R","Respiratorio",IF(LEFT(Y854,1)="S","Oftálmico",IF(LEFT(Y854,1)="V","Varios","OTRO")))))))))))))</f>
        <v>Sistema digestivo</v>
      </c>
      <c r="AM854" t="str">
        <f>IF(AG854="Vigente","ACTIVO",IF(ISNUMBER(SEARCH("Inactivo",J854)),"INACTIVO","REVISAR"))</f>
        <v>ACTIVO</v>
      </c>
      <c r="AN854">
        <f ca="1">IF(OR(AF854="",AF854="null"),"",ROUND((AF854-TODAY())/365.25,2))</f>
        <v>973.58</v>
      </c>
      <c r="AO854" t="str">
        <f ca="1">IF(AND(AG854="Vigente",OR(AF854="",AF854="null",AF854&gt;TODAY())),"SI",IF(AND(NOT(OR(AF854="",AF854="null")),AF854&lt;=TODAY()),"NO",IF(AG854="Vigente","SI","DESCONOCIDO")))</f>
        <v>SI</v>
      </c>
      <c r="AP854" t="str">
        <f>IF(AND(ISNUMBER(SEARCH("IMPORTAR",AA854)),ISNUMBER(SEARCH("FABRICAR",AA854))),"MIXTO",IF(ISNUMBER(SEARCH("IMPORTAR",AA854)),"IMPORTADO",IF(ISNUMBER(SEARCH("FABRICAR",AA854)),"LOCAL","OTRO")))</f>
        <v>LOCAL</v>
      </c>
      <c r="AQ854" t="str">
        <f>IF(AD854="Si","SI",IF(AD854="No","NO",""))</f>
        <v>NO</v>
      </c>
      <c r="AR854" t="str">
        <f>IF(ISNUMBER(SEARCH("®",N854)),"MARCA/INNOVADOR","GENERICO")</f>
        <v>MARCA/INNOVADOR</v>
      </c>
      <c r="AS854">
        <f ca="1">IF(AE854&gt;100,RANDBETWEEN(500,5000),IF(AND(AE854&gt;=10,AE854&lt;=100),RANDBETWEEN(100,1000),RANDBETWEEN(10,200)))</f>
        <v>616</v>
      </c>
      <c r="AT854">
        <f t="shared" ca="1" si="67"/>
        <v>154</v>
      </c>
      <c r="AU854">
        <f ca="1">INT(AS854*RANDBETWEEN(120,200)/100)</f>
        <v>831</v>
      </c>
      <c r="AV854" s="2">
        <f ca="1">IF(LEFT(Y854,1)="L",RANDBETWEEN(500000,5000000),IF(LEFT(Y854,1)="C",RANDBETWEEN(5000,50000),IF(LEFT(Y854,1)="N",RANDBETWEEN(10000,150000),IF(LEFT(Y854,1)="J",RANDBETWEEN(8000,200000),RANDBETWEEN(5000,100000)))))</f>
        <v>57614</v>
      </c>
      <c r="AW854" s="2">
        <f ca="1">INT(AV854*RANDBETWEEN(30,60)/100)</f>
        <v>30535</v>
      </c>
      <c r="AX854">
        <f ca="1">IF(Z854="ORAL",RANDBETWEEN(1000,10000),IF(OR(Z854="INTRAVENOSA",Z854="INTRAMUSCULAR"),RANDBETWEEN(100,2000),IF(OR(Z854="OFTÁLMICA",Z854="TOPICA (EXTERNA)"),RANDBETWEEN(200,3000),RANDBETWEEN(100,1500))))</f>
        <v>2942</v>
      </c>
      <c r="AY854" s="2">
        <f ca="1">INT(AV854*RANDBETWEEN(90,130)/100)</f>
        <v>62223</v>
      </c>
      <c r="AZ854" t="str">
        <f t="shared" ca="1" si="68"/>
        <v>23.4%</v>
      </c>
      <c r="BA854" t="str">
        <f t="shared" ca="1" si="69"/>
        <v>MEDIO</v>
      </c>
    </row>
    <row r="855" spans="4:53" x14ac:dyDescent="0.35">
      <c r="D855" t="s">
        <v>5378</v>
      </c>
      <c r="E855" t="s">
        <v>27</v>
      </c>
      <c r="F855" t="s">
        <v>5379</v>
      </c>
      <c r="G855" t="s">
        <v>108</v>
      </c>
      <c r="H855" t="s">
        <v>464</v>
      </c>
      <c r="I855">
        <v>20157004</v>
      </c>
      <c r="J855" t="s">
        <v>28</v>
      </c>
      <c r="K855">
        <v>1</v>
      </c>
      <c r="L855" t="s">
        <v>5380</v>
      </c>
      <c r="M855" t="s">
        <v>5381</v>
      </c>
      <c r="N855" t="s">
        <v>5382</v>
      </c>
      <c r="O855" t="s">
        <v>5383</v>
      </c>
      <c r="P855" t="s">
        <v>37</v>
      </c>
      <c r="Q855" s="1">
        <v>44341</v>
      </c>
      <c r="R855" t="s">
        <v>37</v>
      </c>
      <c r="S855" t="s">
        <v>27</v>
      </c>
      <c r="T855" t="s">
        <v>464</v>
      </c>
      <c r="U855" t="s">
        <v>115</v>
      </c>
      <c r="V855" t="s">
        <v>4230</v>
      </c>
      <c r="W855" t="s">
        <v>433</v>
      </c>
      <c r="X855">
        <v>20157004</v>
      </c>
      <c r="Y855" t="s">
        <v>4231</v>
      </c>
      <c r="Z855" t="s">
        <v>119</v>
      </c>
      <c r="AA855" t="s">
        <v>32</v>
      </c>
      <c r="AB855" t="s">
        <v>120</v>
      </c>
      <c r="AC855" t="s">
        <v>38</v>
      </c>
      <c r="AD855" t="s">
        <v>121</v>
      </c>
      <c r="AE855">
        <v>28</v>
      </c>
      <c r="AF855" t="s">
        <v>27</v>
      </c>
      <c r="AG855" t="s">
        <v>26</v>
      </c>
      <c r="AH855" t="s">
        <v>4230</v>
      </c>
      <c r="AI855" t="str">
        <f t="shared" si="65"/>
        <v>SI</v>
      </c>
      <c r="AJ855" t="str">
        <f t="shared" si="66"/>
        <v>MEGALABS COLOMBIA</v>
      </c>
      <c r="AK855" t="str">
        <f>IF(ISNUMBER(SEARCH("FABRICANTE",AC855)),"FABRICANTE",IF(ISNUMBER(SEARCH("IMPORTADOR",AC855)),"IMPORTADOR","OTRO"))</f>
        <v>IMPORTADOR</v>
      </c>
      <c r="AL855" t="str">
        <f>IF(LEFT(Y855,1)="A","Sistema digestivo",IF(LEFT(Y855,1)="B","Sangre",IF(LEFT(Y855,1)="C","Cardiovascular",IF(LEFT(Y855,1)="D","Dermatológico",IF(LEFT(Y855,1)="G","Genitourinario",IF(LEFT(Y855,1)="H","Hormonal",IF(LEFT(Y855,1)="J","Antiinfecciosos",IF(LEFT(Y855,1)="L","Oncológicos",IF(LEFT(Y855,1)="M","Musculoesquelético",IF(LEFT(Y855,1)="N","Sistema nervioso",IF(LEFT(Y855,1)="R","Respiratorio",IF(LEFT(Y855,1)="S","Oftálmico",IF(LEFT(Y855,1)="V","Varios","OTRO")))))))))))))</f>
        <v>Oncológicos</v>
      </c>
      <c r="AM855" t="str">
        <f>IF(AG855="Vigente","ACTIVO",IF(ISNUMBER(SEARCH("Inactivo",J855)),"INACTIVO","REVISAR"))</f>
        <v>ACTIVO</v>
      </c>
      <c r="AN855" t="str">
        <f ca="1">IF(OR(AF855="",AF855="null"),"",ROUND((AF855-TODAY())/365.25,2))</f>
        <v/>
      </c>
      <c r="AO855" t="str">
        <f ca="1">IF(AND(AG855="Vigente",OR(AF855="",AF855="null",AF855&gt;TODAY())),"SI",IF(AND(NOT(OR(AF855="",AF855="null")),AF855&lt;=TODAY()),"NO",IF(AG855="Vigente","SI","DESCONOCIDO")))</f>
        <v>SI</v>
      </c>
      <c r="AP855" t="str">
        <f>IF(AND(ISNUMBER(SEARCH("IMPORTAR",AA855)),ISNUMBER(SEARCH("FABRICAR",AA855))),"MIXTO",IF(ISNUMBER(SEARCH("IMPORTAR",AA855)),"IMPORTADO",IF(ISNUMBER(SEARCH("FABRICAR",AA855)),"LOCAL","OTRO")))</f>
        <v>IMPORTADO</v>
      </c>
      <c r="AQ855" t="str">
        <f>IF(AD855="Si","SI",IF(AD855="No","NO",""))</f>
        <v>NO</v>
      </c>
      <c r="AR855" t="str">
        <f>IF(ISNUMBER(SEARCH("®",N855)),"MARCA/INNOVADOR","GENERICO")</f>
        <v>MARCA/INNOVADOR</v>
      </c>
      <c r="AS855">
        <f ca="1">IF(AE855&gt;100,RANDBETWEEN(500,5000),IF(AND(AE855&gt;=10,AE855&lt;=100),RANDBETWEEN(100,1000),RANDBETWEEN(10,200)))</f>
        <v>710</v>
      </c>
      <c r="AT855">
        <f t="shared" ca="1" si="67"/>
        <v>177</v>
      </c>
      <c r="AU855">
        <f ca="1">INT(AS855*RANDBETWEEN(120,200)/100)</f>
        <v>1199</v>
      </c>
      <c r="AV855" s="2">
        <f ca="1">IF(LEFT(Y855,1)="L",RANDBETWEEN(500000,5000000),IF(LEFT(Y855,1)="C",RANDBETWEEN(5000,50000),IF(LEFT(Y855,1)="N",RANDBETWEEN(10000,150000),IF(LEFT(Y855,1)="J",RANDBETWEEN(8000,200000),RANDBETWEEN(5000,100000)))))</f>
        <v>3635728</v>
      </c>
      <c r="AW855" s="2">
        <f ca="1">INT(AV855*RANDBETWEEN(30,60)/100)</f>
        <v>2036007</v>
      </c>
      <c r="AX855">
        <f ca="1">IF(Z855="ORAL",RANDBETWEEN(1000,10000),IF(OR(Z855="INTRAVENOSA",Z855="INTRAMUSCULAR"),RANDBETWEEN(100,2000),IF(OR(Z855="OFTÁLMICA",Z855="TOPICA (EXTERNA)"),RANDBETWEEN(200,3000),RANDBETWEEN(100,1500))))</f>
        <v>8695</v>
      </c>
      <c r="AY855" s="2">
        <f ca="1">INT(AV855*RANDBETWEEN(90,130)/100)</f>
        <v>3744799</v>
      </c>
      <c r="AZ855" t="str">
        <f t="shared" ca="1" si="68"/>
        <v>13.9%</v>
      </c>
      <c r="BA855" t="str">
        <f t="shared" ca="1" si="69"/>
        <v>BAJO</v>
      </c>
    </row>
    <row r="856" spans="4:53" x14ac:dyDescent="0.35">
      <c r="D856" t="s">
        <v>5384</v>
      </c>
      <c r="E856" s="1">
        <v>40463</v>
      </c>
      <c r="F856" t="s">
        <v>5385</v>
      </c>
      <c r="G856" t="s">
        <v>108</v>
      </c>
      <c r="H856" t="s">
        <v>760</v>
      </c>
      <c r="I856">
        <v>20013654</v>
      </c>
      <c r="J856" t="s">
        <v>28</v>
      </c>
      <c r="K856">
        <v>2</v>
      </c>
      <c r="L856" t="s">
        <v>27</v>
      </c>
      <c r="M856" t="s">
        <v>5386</v>
      </c>
      <c r="N856" t="s">
        <v>5387</v>
      </c>
      <c r="O856" t="s">
        <v>5388</v>
      </c>
      <c r="P856" t="s">
        <v>234</v>
      </c>
      <c r="Q856" s="1">
        <v>40221</v>
      </c>
      <c r="R856" t="s">
        <v>50</v>
      </c>
      <c r="S856" t="s">
        <v>27</v>
      </c>
      <c r="T856" t="s">
        <v>760</v>
      </c>
      <c r="U856" t="s">
        <v>469</v>
      </c>
      <c r="V856" t="s">
        <v>470</v>
      </c>
      <c r="W856">
        <v>10000</v>
      </c>
      <c r="X856">
        <v>20013654</v>
      </c>
      <c r="Y856" t="s">
        <v>471</v>
      </c>
      <c r="Z856" t="s">
        <v>260</v>
      </c>
      <c r="AA856" t="s">
        <v>32</v>
      </c>
      <c r="AB856" t="s">
        <v>239</v>
      </c>
      <c r="AC856" t="s">
        <v>25</v>
      </c>
      <c r="AD856" t="s">
        <v>121</v>
      </c>
      <c r="AE856">
        <v>3</v>
      </c>
      <c r="AF856" s="1">
        <v>401769</v>
      </c>
      <c r="AG856" t="s">
        <v>26</v>
      </c>
      <c r="AH856" t="s">
        <v>6699</v>
      </c>
      <c r="AI856" t="str">
        <f t="shared" si="65"/>
        <v>NO</v>
      </c>
      <c r="AJ856" t="str">
        <f t="shared" si="66"/>
        <v>BLAU FARMACÉUTICA</v>
      </c>
      <c r="AK856" t="str">
        <f>IF(ISNUMBER(SEARCH("FABRICANTE",AC856)),"FABRICANTE",IF(ISNUMBER(SEARCH("IMPORTADOR",AC856)),"IMPORTADOR","OTRO"))</f>
        <v>FABRICANTE</v>
      </c>
      <c r="AL856" t="str">
        <f>IF(LEFT(Y856,1)="A","Sistema digestivo",IF(LEFT(Y856,1)="B","Sangre",IF(LEFT(Y856,1)="C","Cardiovascular",IF(LEFT(Y856,1)="D","Dermatológico",IF(LEFT(Y856,1)="G","Genitourinario",IF(LEFT(Y856,1)="H","Hormonal",IF(LEFT(Y856,1)="J","Antiinfecciosos",IF(LEFT(Y856,1)="L","Oncológicos",IF(LEFT(Y856,1)="M","Musculoesquelético",IF(LEFT(Y856,1)="N","Sistema nervioso",IF(LEFT(Y856,1)="R","Respiratorio",IF(LEFT(Y856,1)="S","Oftálmico",IF(LEFT(Y856,1)="V","Varios","OTRO")))))))))))))</f>
        <v>Sangre</v>
      </c>
      <c r="AM856" t="str">
        <f>IF(AG856="Vigente","ACTIVO",IF(ISNUMBER(SEARCH("Inactivo",J856)),"INACTIVO","REVISAR"))</f>
        <v>ACTIVO</v>
      </c>
      <c r="AN856">
        <f ca="1">IF(OR(AF856="",AF856="null"),"",ROUND((AF856-TODAY())/365.25,2))</f>
        <v>973.58</v>
      </c>
      <c r="AO856" t="str">
        <f ca="1">IF(AND(AG856="Vigente",OR(AF856="",AF856="null",AF856&gt;TODAY())),"SI",IF(AND(NOT(OR(AF856="",AF856="null")),AF856&lt;=TODAY()),"NO",IF(AG856="Vigente","SI","DESCONOCIDO")))</f>
        <v>SI</v>
      </c>
      <c r="AP856" t="str">
        <f>IF(AND(ISNUMBER(SEARCH("IMPORTAR",AA856)),ISNUMBER(SEARCH("FABRICAR",AA856))),"MIXTO",IF(ISNUMBER(SEARCH("IMPORTAR",AA856)),"IMPORTADO",IF(ISNUMBER(SEARCH("FABRICAR",AA856)),"LOCAL","OTRO")))</f>
        <v>IMPORTADO</v>
      </c>
      <c r="AQ856" t="str">
        <f>IF(AD856="Si","SI",IF(AD856="No","NO",""))</f>
        <v>NO</v>
      </c>
      <c r="AR856" t="str">
        <f>IF(ISNUMBER(SEARCH("®",N856)),"MARCA/INNOVADOR","GENERICO")</f>
        <v>GENERICO</v>
      </c>
      <c r="AS856">
        <f ca="1">IF(AE856&gt;100,RANDBETWEEN(500,5000),IF(AND(AE856&gt;=10,AE856&lt;=100),RANDBETWEEN(100,1000),RANDBETWEEN(10,200)))</f>
        <v>76</v>
      </c>
      <c r="AT856">
        <f t="shared" ca="1" si="67"/>
        <v>22</v>
      </c>
      <c r="AU856">
        <f ca="1">INT(AS856*RANDBETWEEN(120,200)/100)</f>
        <v>145</v>
      </c>
      <c r="AV856" s="2">
        <f ca="1">IF(LEFT(Y856,1)="L",RANDBETWEEN(500000,5000000),IF(LEFT(Y856,1)="C",RANDBETWEEN(5000,50000),IF(LEFT(Y856,1)="N",RANDBETWEEN(10000,150000),IF(LEFT(Y856,1)="J",RANDBETWEEN(8000,200000),RANDBETWEEN(5000,100000)))))</f>
        <v>35998</v>
      </c>
      <c r="AW856" s="2">
        <f ca="1">INT(AV856*RANDBETWEEN(30,60)/100)</f>
        <v>13679</v>
      </c>
      <c r="AX856">
        <f ca="1">IF(Z856="ORAL",RANDBETWEEN(1000,10000),IF(OR(Z856="INTRAVENOSA",Z856="INTRAMUSCULAR"),RANDBETWEEN(100,2000),IF(OR(Z856="OFTÁLMICA",Z856="TOPICA (EXTERNA)"),RANDBETWEEN(200,3000),RANDBETWEEN(100,1500))))</f>
        <v>855</v>
      </c>
      <c r="AY856" s="2">
        <f ca="1">INT(AV856*RANDBETWEEN(90,130)/100)</f>
        <v>37077</v>
      </c>
      <c r="AZ856" t="str">
        <f t="shared" ca="1" si="68"/>
        <v>1.7%</v>
      </c>
      <c r="BA856" t="str">
        <f t="shared" ca="1" si="69"/>
        <v>BAJO</v>
      </c>
    </row>
    <row r="857" spans="4:53" x14ac:dyDescent="0.35">
      <c r="D857" t="s">
        <v>5389</v>
      </c>
      <c r="E857" s="1">
        <v>42226</v>
      </c>
      <c r="F857" t="s">
        <v>1073</v>
      </c>
      <c r="G857" t="s">
        <v>108</v>
      </c>
      <c r="H857" t="s">
        <v>187</v>
      </c>
      <c r="I857">
        <v>20024731</v>
      </c>
      <c r="J857" t="s">
        <v>28</v>
      </c>
      <c r="K857">
        <v>35</v>
      </c>
      <c r="L857" t="s">
        <v>27</v>
      </c>
      <c r="M857" t="s">
        <v>1074</v>
      </c>
      <c r="N857" t="s">
        <v>1075</v>
      </c>
      <c r="O857" t="s">
        <v>5390</v>
      </c>
      <c r="P857" t="s">
        <v>527</v>
      </c>
      <c r="Q857" s="1">
        <v>42885</v>
      </c>
      <c r="R857" t="s">
        <v>527</v>
      </c>
      <c r="S857" t="s">
        <v>27</v>
      </c>
      <c r="T857" t="s">
        <v>80</v>
      </c>
      <c r="U857" t="s">
        <v>115</v>
      </c>
      <c r="V857" t="s">
        <v>1073</v>
      </c>
      <c r="W857">
        <v>500</v>
      </c>
      <c r="X857">
        <v>20024731</v>
      </c>
      <c r="Y857" t="s">
        <v>1077</v>
      </c>
      <c r="Z857" t="s">
        <v>119</v>
      </c>
      <c r="AA857" t="s">
        <v>24</v>
      </c>
      <c r="AB857" t="s">
        <v>120</v>
      </c>
      <c r="AC857" t="s">
        <v>25</v>
      </c>
      <c r="AD857" t="s">
        <v>121</v>
      </c>
      <c r="AE857">
        <v>14</v>
      </c>
      <c r="AF857" t="s">
        <v>27</v>
      </c>
      <c r="AG857" t="s">
        <v>26</v>
      </c>
      <c r="AH857" t="s">
        <v>1073</v>
      </c>
      <c r="AI857" t="str">
        <f t="shared" si="65"/>
        <v>NO</v>
      </c>
      <c r="AJ857" t="str">
        <f t="shared" si="66"/>
        <v>TECNOQUIMICAS</v>
      </c>
      <c r="AK857" t="str">
        <f>IF(ISNUMBER(SEARCH("FABRICANTE",AC857)),"FABRICANTE",IF(ISNUMBER(SEARCH("IMPORTADOR",AC857)),"IMPORTADOR","OTRO"))</f>
        <v>FABRICANTE</v>
      </c>
      <c r="AL857" t="str">
        <f>IF(LEFT(Y857,1)="A","Sistema digestivo",IF(LEFT(Y857,1)="B","Sangre",IF(LEFT(Y857,1)="C","Cardiovascular",IF(LEFT(Y857,1)="D","Dermatológico",IF(LEFT(Y857,1)="G","Genitourinario",IF(LEFT(Y857,1)="H","Hormonal",IF(LEFT(Y857,1)="J","Antiinfecciosos",IF(LEFT(Y857,1)="L","Oncológicos",IF(LEFT(Y857,1)="M","Musculoesquelético",IF(LEFT(Y857,1)="N","Sistema nervioso",IF(LEFT(Y857,1)="R","Respiratorio",IF(LEFT(Y857,1)="S","Oftálmico",IF(LEFT(Y857,1)="V","Varios","OTRO")))))))))))))</f>
        <v>Musculoesquelético</v>
      </c>
      <c r="AM857" t="str">
        <f>IF(AG857="Vigente","ACTIVO",IF(ISNUMBER(SEARCH("Inactivo",J857)),"INACTIVO","REVISAR"))</f>
        <v>ACTIVO</v>
      </c>
      <c r="AN857" t="str">
        <f ca="1">IF(OR(AF857="",AF857="null"),"",ROUND((AF857-TODAY())/365.25,2))</f>
        <v/>
      </c>
      <c r="AO857" t="str">
        <f ca="1">IF(AND(AG857="Vigente",OR(AF857="",AF857="null",AF857&gt;TODAY())),"SI",IF(AND(NOT(OR(AF857="",AF857="null")),AF857&lt;=TODAY()),"NO",IF(AG857="Vigente","SI","DESCONOCIDO")))</f>
        <v>SI</v>
      </c>
      <c r="AP857" t="str">
        <f>IF(AND(ISNUMBER(SEARCH("IMPORTAR",AA857)),ISNUMBER(SEARCH("FABRICAR",AA857))),"MIXTO",IF(ISNUMBER(SEARCH("IMPORTAR",AA857)),"IMPORTADO",IF(ISNUMBER(SEARCH("FABRICAR",AA857)),"LOCAL","OTRO")))</f>
        <v>LOCAL</v>
      </c>
      <c r="AQ857" t="str">
        <f>IF(AD857="Si","SI",IF(AD857="No","NO",""))</f>
        <v>NO</v>
      </c>
      <c r="AR857" t="str">
        <f>IF(ISNUMBER(SEARCH("®",N857)),"MARCA/INNOVADOR","GENERICO")</f>
        <v>MARCA/INNOVADOR</v>
      </c>
      <c r="AS857">
        <f ca="1">IF(AE857&gt;100,RANDBETWEEN(500,5000),IF(AND(AE857&gt;=10,AE857&lt;=100),RANDBETWEEN(100,1000),RANDBETWEEN(10,200)))</f>
        <v>326</v>
      </c>
      <c r="AT857">
        <f t="shared" ca="1" si="67"/>
        <v>35</v>
      </c>
      <c r="AU857">
        <f ca="1">INT(AS857*RANDBETWEEN(120,200)/100)</f>
        <v>534</v>
      </c>
      <c r="AV857" s="2">
        <f ca="1">IF(LEFT(Y857,1)="L",RANDBETWEEN(500000,5000000),IF(LEFT(Y857,1)="C",RANDBETWEEN(5000,50000),IF(LEFT(Y857,1)="N",RANDBETWEEN(10000,150000),IF(LEFT(Y857,1)="J",RANDBETWEEN(8000,200000),RANDBETWEEN(5000,100000)))))</f>
        <v>68201</v>
      </c>
      <c r="AW857" s="2">
        <f ca="1">INT(AV857*RANDBETWEEN(30,60)/100)</f>
        <v>25234</v>
      </c>
      <c r="AX857">
        <f ca="1">IF(Z857="ORAL",RANDBETWEEN(1000,10000),IF(OR(Z857="INTRAVENOSA",Z857="INTRAMUSCULAR"),RANDBETWEEN(100,2000),IF(OR(Z857="OFTÁLMICA",Z857="TOPICA (EXTERNA)"),RANDBETWEEN(200,3000),RANDBETWEEN(100,1500))))</f>
        <v>4203</v>
      </c>
      <c r="AY857" s="2">
        <f ca="1">INT(AV857*RANDBETWEEN(90,130)/100)</f>
        <v>66154</v>
      </c>
      <c r="AZ857" t="str">
        <f t="shared" ca="1" si="68"/>
        <v>18.7%</v>
      </c>
      <c r="BA857" t="str">
        <f t="shared" ca="1" si="69"/>
        <v>BAJO</v>
      </c>
    </row>
    <row r="858" spans="4:53" x14ac:dyDescent="0.35">
      <c r="D858" t="s">
        <v>5391</v>
      </c>
      <c r="E858" s="1">
        <v>42202</v>
      </c>
      <c r="F858" t="s">
        <v>5392</v>
      </c>
      <c r="G858" t="s">
        <v>108</v>
      </c>
      <c r="H858" t="s">
        <v>840</v>
      </c>
      <c r="I858">
        <v>20078743</v>
      </c>
      <c r="J858" t="s">
        <v>28</v>
      </c>
      <c r="K858">
        <v>47</v>
      </c>
      <c r="L858" t="s">
        <v>27</v>
      </c>
      <c r="M858" t="s">
        <v>863</v>
      </c>
      <c r="N858" t="s">
        <v>864</v>
      </c>
      <c r="O858" t="s">
        <v>5393</v>
      </c>
      <c r="P858" t="s">
        <v>866</v>
      </c>
      <c r="Q858" s="1">
        <v>42550</v>
      </c>
      <c r="R858" t="s">
        <v>867</v>
      </c>
      <c r="S858" t="s">
        <v>27</v>
      </c>
      <c r="T858" t="s">
        <v>80</v>
      </c>
      <c r="U858" t="s">
        <v>115</v>
      </c>
      <c r="V858" t="s">
        <v>460</v>
      </c>
      <c r="W858" t="s">
        <v>1117</v>
      </c>
      <c r="X858">
        <v>20078743</v>
      </c>
      <c r="Y858" t="s">
        <v>461</v>
      </c>
      <c r="Z858" t="s">
        <v>119</v>
      </c>
      <c r="AA858" t="s">
        <v>165</v>
      </c>
      <c r="AB858" t="s">
        <v>120</v>
      </c>
      <c r="AC858" t="s">
        <v>25</v>
      </c>
      <c r="AD858" t="s">
        <v>121</v>
      </c>
      <c r="AE858">
        <v>23</v>
      </c>
      <c r="AF858" t="s">
        <v>27</v>
      </c>
      <c r="AG858" t="s">
        <v>26</v>
      </c>
      <c r="AH858" t="s">
        <v>6838</v>
      </c>
      <c r="AI858" t="str">
        <f t="shared" si="65"/>
        <v>NO</v>
      </c>
      <c r="AJ858" t="str">
        <f t="shared" si="66"/>
        <v>TECNOQUIMICAS</v>
      </c>
      <c r="AK858" t="str">
        <f>IF(ISNUMBER(SEARCH("FABRICANTE",AC858)),"FABRICANTE",IF(ISNUMBER(SEARCH("IMPORTADOR",AC858)),"IMPORTADOR","OTRO"))</f>
        <v>FABRICANTE</v>
      </c>
      <c r="AL858" t="str">
        <f>IF(LEFT(Y858,1)="A","Sistema digestivo",IF(LEFT(Y858,1)="B","Sangre",IF(LEFT(Y858,1)="C","Cardiovascular",IF(LEFT(Y858,1)="D","Dermatológico",IF(LEFT(Y858,1)="G","Genitourinario",IF(LEFT(Y858,1)="H","Hormonal",IF(LEFT(Y858,1)="J","Antiinfecciosos",IF(LEFT(Y858,1)="L","Oncológicos",IF(LEFT(Y858,1)="M","Musculoesquelético",IF(LEFT(Y858,1)="N","Sistema nervioso",IF(LEFT(Y858,1)="R","Respiratorio",IF(LEFT(Y858,1)="S","Oftálmico",IF(LEFT(Y858,1)="V","Varios","OTRO")))))))))))))</f>
        <v>Respiratorio</v>
      </c>
      <c r="AM858" t="str">
        <f>IF(AG858="Vigente","ACTIVO",IF(ISNUMBER(SEARCH("Inactivo",J858)),"INACTIVO","REVISAR"))</f>
        <v>ACTIVO</v>
      </c>
      <c r="AN858" t="str">
        <f ca="1">IF(OR(AF858="",AF858="null"),"",ROUND((AF858-TODAY())/365.25,2))</f>
        <v/>
      </c>
      <c r="AO858" t="str">
        <f ca="1">IF(AND(AG858="Vigente",OR(AF858="",AF858="null",AF858&gt;TODAY())),"SI",IF(AND(NOT(OR(AF858="",AF858="null")),AF858&lt;=TODAY()),"NO",IF(AG858="Vigente","SI","DESCONOCIDO")))</f>
        <v>SI</v>
      </c>
      <c r="AP858" t="str">
        <f>IF(AND(ISNUMBER(SEARCH("IMPORTAR",AA858)),ISNUMBER(SEARCH("FABRICAR",AA858))),"MIXTO",IF(ISNUMBER(SEARCH("IMPORTAR",AA858)),"IMPORTADO",IF(ISNUMBER(SEARCH("FABRICAR",AA858)),"LOCAL","OTRO")))</f>
        <v>IMPORTADO</v>
      </c>
      <c r="AQ858" t="str">
        <f>IF(AD858="Si","SI",IF(AD858="No","NO",""))</f>
        <v>NO</v>
      </c>
      <c r="AR858" t="str">
        <f>IF(ISNUMBER(SEARCH("®",N858)),"MARCA/INNOVADOR","GENERICO")</f>
        <v>MARCA/INNOVADOR</v>
      </c>
      <c r="AS858">
        <f ca="1">IF(AE858&gt;100,RANDBETWEEN(500,5000),IF(AND(AE858&gt;=10,AE858&lt;=100),RANDBETWEEN(100,1000),RANDBETWEEN(10,200)))</f>
        <v>930</v>
      </c>
      <c r="AT858">
        <f t="shared" ca="1" si="67"/>
        <v>148</v>
      </c>
      <c r="AU858">
        <f ca="1">INT(AS858*RANDBETWEEN(120,200)/100)</f>
        <v>1376</v>
      </c>
      <c r="AV858" s="2">
        <f ca="1">IF(LEFT(Y858,1)="L",RANDBETWEEN(500000,5000000),IF(LEFT(Y858,1)="C",RANDBETWEEN(5000,50000),IF(LEFT(Y858,1)="N",RANDBETWEEN(10000,150000),IF(LEFT(Y858,1)="J",RANDBETWEEN(8000,200000),RANDBETWEEN(5000,100000)))))</f>
        <v>70869</v>
      </c>
      <c r="AW858" s="2">
        <f ca="1">INT(AV858*RANDBETWEEN(30,60)/100)</f>
        <v>31182</v>
      </c>
      <c r="AX858">
        <f ca="1">IF(Z858="ORAL",RANDBETWEEN(1000,10000),IF(OR(Z858="INTRAVENOSA",Z858="INTRAMUSCULAR"),RANDBETWEEN(100,2000),IF(OR(Z858="OFTÁLMICA",Z858="TOPICA (EXTERNA)"),RANDBETWEEN(200,3000),RANDBETWEEN(100,1500))))</f>
        <v>8142</v>
      </c>
      <c r="AY858" s="2">
        <f ca="1">INT(AV858*RANDBETWEEN(90,130)/100)</f>
        <v>72995</v>
      </c>
      <c r="AZ858" t="str">
        <f t="shared" ca="1" si="68"/>
        <v>18.9%</v>
      </c>
      <c r="BA858" t="str">
        <f t="shared" ca="1" si="69"/>
        <v>BAJO</v>
      </c>
    </row>
    <row r="859" spans="4:53" x14ac:dyDescent="0.35">
      <c r="D859" t="s">
        <v>5394</v>
      </c>
      <c r="E859" s="1">
        <v>37495</v>
      </c>
      <c r="F859" t="s">
        <v>5395</v>
      </c>
      <c r="G859" t="s">
        <v>108</v>
      </c>
      <c r="H859" t="s">
        <v>1858</v>
      </c>
      <c r="I859">
        <v>19930964</v>
      </c>
      <c r="J859" t="s">
        <v>28</v>
      </c>
      <c r="K859">
        <v>3</v>
      </c>
      <c r="L859" t="s">
        <v>5396</v>
      </c>
      <c r="M859" t="s">
        <v>5397</v>
      </c>
      <c r="N859" t="s">
        <v>5398</v>
      </c>
      <c r="O859" t="s">
        <v>5399</v>
      </c>
      <c r="P859" t="s">
        <v>2029</v>
      </c>
      <c r="Q859" s="1">
        <v>39031</v>
      </c>
      <c r="R859" t="s">
        <v>50</v>
      </c>
      <c r="S859" t="s">
        <v>27</v>
      </c>
      <c r="T859" t="s">
        <v>1858</v>
      </c>
      <c r="U859" t="s">
        <v>115</v>
      </c>
      <c r="V859" t="s">
        <v>339</v>
      </c>
      <c r="W859">
        <v>4</v>
      </c>
      <c r="X859">
        <v>19930964</v>
      </c>
      <c r="Y859" t="s">
        <v>340</v>
      </c>
      <c r="Z859" t="s">
        <v>260</v>
      </c>
      <c r="AA859" t="s">
        <v>32</v>
      </c>
      <c r="AB859" t="s">
        <v>120</v>
      </c>
      <c r="AC859" t="s">
        <v>25</v>
      </c>
      <c r="AD859" t="s">
        <v>121</v>
      </c>
      <c r="AE859">
        <v>10</v>
      </c>
      <c r="AF859" t="s">
        <v>27</v>
      </c>
      <c r="AG859" t="s">
        <v>26</v>
      </c>
      <c r="AH859" t="s">
        <v>6700</v>
      </c>
      <c r="AI859" t="str">
        <f t="shared" si="65"/>
        <v>SI</v>
      </c>
      <c r="AJ859" t="str">
        <f t="shared" si="66"/>
        <v>LABORATORIO BIOSANO</v>
      </c>
      <c r="AK859" t="str">
        <f>IF(ISNUMBER(SEARCH("FABRICANTE",AC859)),"FABRICANTE",IF(ISNUMBER(SEARCH("IMPORTADOR",AC859)),"IMPORTADOR","OTRO"))</f>
        <v>FABRICANTE</v>
      </c>
      <c r="AL859" t="str">
        <f>IF(LEFT(Y859,1)="A","Sistema digestivo",IF(LEFT(Y859,1)="B","Sangre",IF(LEFT(Y859,1)="C","Cardiovascular",IF(LEFT(Y859,1)="D","Dermatológico",IF(LEFT(Y859,1)="G","Genitourinario",IF(LEFT(Y859,1)="H","Hormonal",IF(LEFT(Y859,1)="J","Antiinfecciosos",IF(LEFT(Y859,1)="L","Oncológicos",IF(LEFT(Y859,1)="M","Musculoesquelético",IF(LEFT(Y859,1)="N","Sistema nervioso",IF(LEFT(Y859,1)="R","Respiratorio",IF(LEFT(Y859,1)="S","Oftálmico",IF(LEFT(Y859,1)="V","Varios","OTRO")))))))))))))</f>
        <v>Hormonal</v>
      </c>
      <c r="AM859" t="str">
        <f>IF(AG859="Vigente","ACTIVO",IF(ISNUMBER(SEARCH("Inactivo",J859)),"INACTIVO","REVISAR"))</f>
        <v>ACTIVO</v>
      </c>
      <c r="AN859" t="str">
        <f ca="1">IF(OR(AF859="",AF859="null"),"",ROUND((AF859-TODAY())/365.25,2))</f>
        <v/>
      </c>
      <c r="AO859" t="str">
        <f ca="1">IF(AND(AG859="Vigente",OR(AF859="",AF859="null",AF859&gt;TODAY())),"SI",IF(AND(NOT(OR(AF859="",AF859="null")),AF859&lt;=TODAY()),"NO",IF(AG859="Vigente","SI","DESCONOCIDO")))</f>
        <v>SI</v>
      </c>
      <c r="AP859" t="str">
        <f>IF(AND(ISNUMBER(SEARCH("IMPORTAR",AA859)),ISNUMBER(SEARCH("FABRICAR",AA859))),"MIXTO",IF(ISNUMBER(SEARCH("IMPORTAR",AA859)),"IMPORTADO",IF(ISNUMBER(SEARCH("FABRICAR",AA859)),"LOCAL","OTRO")))</f>
        <v>IMPORTADO</v>
      </c>
      <c r="AQ859" t="str">
        <f>IF(AD859="Si","SI",IF(AD859="No","NO",""))</f>
        <v>NO</v>
      </c>
      <c r="AR859" t="str">
        <f>IF(ISNUMBER(SEARCH("®",N859)),"MARCA/INNOVADOR","GENERICO")</f>
        <v>GENERICO</v>
      </c>
      <c r="AS859">
        <f ca="1">IF(AE859&gt;100,RANDBETWEEN(500,5000),IF(AND(AE859&gt;=10,AE859&lt;=100),RANDBETWEEN(100,1000),RANDBETWEEN(10,200)))</f>
        <v>650</v>
      </c>
      <c r="AT859">
        <f t="shared" ca="1" si="67"/>
        <v>162</v>
      </c>
      <c r="AU859">
        <f ca="1">INT(AS859*RANDBETWEEN(120,200)/100)</f>
        <v>806</v>
      </c>
      <c r="AV859" s="2">
        <f ca="1">IF(LEFT(Y859,1)="L",RANDBETWEEN(500000,5000000),IF(LEFT(Y859,1)="C",RANDBETWEEN(5000,50000),IF(LEFT(Y859,1)="N",RANDBETWEEN(10000,150000),IF(LEFT(Y859,1)="J",RANDBETWEEN(8000,200000),RANDBETWEEN(5000,100000)))))</f>
        <v>78867</v>
      </c>
      <c r="AW859" s="2">
        <f ca="1">INT(AV859*RANDBETWEEN(30,60)/100)</f>
        <v>42588</v>
      </c>
      <c r="AX859">
        <f ca="1">IF(Z859="ORAL",RANDBETWEEN(1000,10000),IF(OR(Z859="INTRAVENOSA",Z859="INTRAMUSCULAR"),RANDBETWEEN(100,2000),IF(OR(Z859="OFTÁLMICA",Z859="TOPICA (EXTERNA)"),RANDBETWEEN(200,3000),RANDBETWEEN(100,1500))))</f>
        <v>426</v>
      </c>
      <c r="AY859" s="2">
        <f ca="1">INT(AV859*RANDBETWEEN(90,130)/100)</f>
        <v>72557</v>
      </c>
      <c r="AZ859" t="str">
        <f t="shared" ca="1" si="68"/>
        <v>0.1%</v>
      </c>
      <c r="BA859" t="str">
        <f t="shared" ca="1" si="69"/>
        <v>BAJO</v>
      </c>
    </row>
    <row r="860" spans="4:53" x14ac:dyDescent="0.35">
      <c r="D860" t="s">
        <v>5400</v>
      </c>
      <c r="E860" s="1">
        <v>36161</v>
      </c>
      <c r="F860" t="s">
        <v>2606</v>
      </c>
      <c r="G860" t="s">
        <v>502</v>
      </c>
      <c r="H860" t="s">
        <v>5401</v>
      </c>
      <c r="I860">
        <v>57397</v>
      </c>
      <c r="J860" t="s">
        <v>28</v>
      </c>
      <c r="K860">
        <v>9</v>
      </c>
      <c r="L860" t="s">
        <v>27</v>
      </c>
      <c r="M860" t="s">
        <v>5402</v>
      </c>
      <c r="N860" t="s">
        <v>5403</v>
      </c>
      <c r="O860" t="s">
        <v>5404</v>
      </c>
      <c r="P860" t="s">
        <v>5405</v>
      </c>
      <c r="Q860" s="1">
        <v>42935</v>
      </c>
      <c r="R860" t="s">
        <v>50</v>
      </c>
      <c r="S860" t="s">
        <v>27</v>
      </c>
      <c r="T860" t="s">
        <v>2007</v>
      </c>
      <c r="U860" t="s">
        <v>502</v>
      </c>
      <c r="V860" t="s">
        <v>5406</v>
      </c>
      <c r="W860">
        <v>1</v>
      </c>
      <c r="X860">
        <v>57397</v>
      </c>
      <c r="Y860" t="s">
        <v>5407</v>
      </c>
      <c r="Z860" t="s">
        <v>260</v>
      </c>
      <c r="AA860" t="s">
        <v>24</v>
      </c>
      <c r="AB860" t="s">
        <v>133</v>
      </c>
      <c r="AC860" t="s">
        <v>25</v>
      </c>
      <c r="AD860" t="s">
        <v>121</v>
      </c>
      <c r="AE860">
        <v>200</v>
      </c>
      <c r="AF860" t="s">
        <v>27</v>
      </c>
      <c r="AG860" t="s">
        <v>26</v>
      </c>
      <c r="AH860" t="s">
        <v>5403</v>
      </c>
      <c r="AI860" t="str">
        <f t="shared" si="65"/>
        <v>NO</v>
      </c>
      <c r="AJ860" t="str">
        <f t="shared" si="66"/>
        <v>ROPSOHN THERAPEUTICS</v>
      </c>
      <c r="AK860" t="str">
        <f>IF(ISNUMBER(SEARCH("FABRICANTE",AC860)),"FABRICANTE",IF(ISNUMBER(SEARCH("IMPORTADOR",AC860)),"IMPORTADOR","OTRO"))</f>
        <v>FABRICANTE</v>
      </c>
      <c r="AL860" t="str">
        <f>IF(LEFT(Y860,1)="A","Sistema digestivo",IF(LEFT(Y860,1)="B","Sangre",IF(LEFT(Y860,1)="C","Cardiovascular",IF(LEFT(Y860,1)="D","Dermatológico",IF(LEFT(Y860,1)="G","Genitourinario",IF(LEFT(Y860,1)="H","Hormonal",IF(LEFT(Y860,1)="J","Antiinfecciosos",IF(LEFT(Y860,1)="L","Oncológicos",IF(LEFT(Y860,1)="M","Musculoesquelético",IF(LEFT(Y860,1)="N","Sistema nervioso",IF(LEFT(Y860,1)="R","Respiratorio",IF(LEFT(Y860,1)="S","Oftálmico",IF(LEFT(Y860,1)="V","Varios","OTRO")))))))))))))</f>
        <v>Varios</v>
      </c>
      <c r="AM860" t="str">
        <f>IF(AG860="Vigente","ACTIVO",IF(ISNUMBER(SEARCH("Inactivo",J860)),"INACTIVO","REVISAR"))</f>
        <v>ACTIVO</v>
      </c>
      <c r="AN860" t="str">
        <f ca="1">IF(OR(AF860="",AF860="null"),"",ROUND((AF860-TODAY())/365.25,2))</f>
        <v/>
      </c>
      <c r="AO860" t="str">
        <f ca="1">IF(AND(AG860="Vigente",OR(AF860="",AF860="null",AF860&gt;TODAY())),"SI",IF(AND(NOT(OR(AF860="",AF860="null")),AF860&lt;=TODAY()),"NO",IF(AG860="Vigente","SI","DESCONOCIDO")))</f>
        <v>SI</v>
      </c>
      <c r="AP860" t="str">
        <f>IF(AND(ISNUMBER(SEARCH("IMPORTAR",AA860)),ISNUMBER(SEARCH("FABRICAR",AA860))),"MIXTO",IF(ISNUMBER(SEARCH("IMPORTAR",AA860)),"IMPORTADO",IF(ISNUMBER(SEARCH("FABRICAR",AA860)),"LOCAL","OTRO")))</f>
        <v>LOCAL</v>
      </c>
      <c r="AQ860" t="str">
        <f>IF(AD860="Si","SI",IF(AD860="No","NO",""))</f>
        <v>NO</v>
      </c>
      <c r="AR860" t="str">
        <f>IF(ISNUMBER(SEARCH("®",N860)),"MARCA/INNOVADOR","GENERICO")</f>
        <v>GENERICO</v>
      </c>
      <c r="AS860">
        <f ca="1">IF(AE860&gt;100,RANDBETWEEN(500,5000),IF(AND(AE860&gt;=10,AE860&lt;=100),RANDBETWEEN(100,1000),RANDBETWEEN(10,200)))</f>
        <v>3534</v>
      </c>
      <c r="AT860">
        <f t="shared" ca="1" si="67"/>
        <v>353</v>
      </c>
      <c r="AU860">
        <f ca="1">INT(AS860*RANDBETWEEN(120,200)/100)</f>
        <v>4417</v>
      </c>
      <c r="AV860" s="2">
        <f ca="1">IF(LEFT(Y860,1)="L",RANDBETWEEN(500000,5000000),IF(LEFT(Y860,1)="C",RANDBETWEEN(5000,50000),IF(LEFT(Y860,1)="N",RANDBETWEEN(10000,150000),IF(LEFT(Y860,1)="J",RANDBETWEEN(8000,200000),RANDBETWEEN(5000,100000)))))</f>
        <v>64880</v>
      </c>
      <c r="AW860" s="2">
        <f ca="1">INT(AV860*RANDBETWEEN(30,60)/100)</f>
        <v>37630</v>
      </c>
      <c r="AX860">
        <f ca="1">IF(Z860="ORAL",RANDBETWEEN(1000,10000),IF(OR(Z860="INTRAVENOSA",Z860="INTRAMUSCULAR"),RANDBETWEEN(100,2000),IF(OR(Z860="OFTÁLMICA",Z860="TOPICA (EXTERNA)"),RANDBETWEEN(200,3000),RANDBETWEEN(100,1500))))</f>
        <v>1442</v>
      </c>
      <c r="AY860" s="2">
        <f ca="1">INT(AV860*RANDBETWEEN(90,130)/100)</f>
        <v>63582</v>
      </c>
      <c r="AZ860" t="str">
        <f t="shared" ca="1" si="68"/>
        <v>3.8%</v>
      </c>
      <c r="BA860" t="str">
        <f t="shared" ca="1" si="69"/>
        <v>BAJO</v>
      </c>
    </row>
    <row r="861" spans="4:53" x14ac:dyDescent="0.35">
      <c r="D861" t="s">
        <v>5408</v>
      </c>
      <c r="E861" s="1">
        <v>41942</v>
      </c>
      <c r="F861" t="s">
        <v>5409</v>
      </c>
      <c r="G861" t="s">
        <v>108</v>
      </c>
      <c r="H861" t="s">
        <v>710</v>
      </c>
      <c r="I861">
        <v>20065404</v>
      </c>
      <c r="J861" t="s">
        <v>28</v>
      </c>
      <c r="K861">
        <v>3</v>
      </c>
      <c r="L861" t="s">
        <v>27</v>
      </c>
      <c r="M861" t="s">
        <v>5410</v>
      </c>
      <c r="N861" t="s">
        <v>5411</v>
      </c>
      <c r="O861" t="s">
        <v>5412</v>
      </c>
      <c r="P861" t="s">
        <v>33</v>
      </c>
      <c r="Q861" s="1">
        <v>41866</v>
      </c>
      <c r="R861" t="s">
        <v>33</v>
      </c>
      <c r="S861" t="s">
        <v>27</v>
      </c>
      <c r="T861" t="s">
        <v>947</v>
      </c>
      <c r="U861" t="s">
        <v>115</v>
      </c>
      <c r="V861" t="s">
        <v>3288</v>
      </c>
      <c r="W861">
        <v>150</v>
      </c>
      <c r="X861">
        <v>20065404</v>
      </c>
      <c r="Y861" t="s">
        <v>3289</v>
      </c>
      <c r="Z861" t="s">
        <v>119</v>
      </c>
      <c r="AA861" t="s">
        <v>24</v>
      </c>
      <c r="AB861" t="s">
        <v>120</v>
      </c>
      <c r="AC861" t="s">
        <v>25</v>
      </c>
      <c r="AD861" t="s">
        <v>121</v>
      </c>
      <c r="AE861">
        <v>30</v>
      </c>
      <c r="AF861" t="s">
        <v>27</v>
      </c>
      <c r="AG861" t="s">
        <v>26</v>
      </c>
      <c r="AH861" t="s">
        <v>5409</v>
      </c>
      <c r="AI861" t="str">
        <f t="shared" si="65"/>
        <v>NO</v>
      </c>
      <c r="AJ861" t="str">
        <f t="shared" si="66"/>
        <v>CLOSTER PHARMA</v>
      </c>
      <c r="AK861" t="str">
        <f>IF(ISNUMBER(SEARCH("FABRICANTE",AC861)),"FABRICANTE",IF(ISNUMBER(SEARCH("IMPORTADOR",AC861)),"IMPORTADOR","OTRO"))</f>
        <v>FABRICANTE</v>
      </c>
      <c r="AL861" t="str">
        <f>IF(LEFT(Y861,1)="A","Sistema digestivo",IF(LEFT(Y861,1)="B","Sangre",IF(LEFT(Y861,1)="C","Cardiovascular",IF(LEFT(Y861,1)="D","Dermatológico",IF(LEFT(Y861,1)="G","Genitourinario",IF(LEFT(Y861,1)="H","Hormonal",IF(LEFT(Y861,1)="J","Antiinfecciosos",IF(LEFT(Y861,1)="L","Oncológicos",IF(LEFT(Y861,1)="M","Musculoesquelético",IF(LEFT(Y861,1)="N","Sistema nervioso",IF(LEFT(Y861,1)="R","Respiratorio",IF(LEFT(Y861,1)="S","Oftálmico",IF(LEFT(Y861,1)="V","Varios","OTRO")))))))))))))</f>
        <v>Cardiovascular</v>
      </c>
      <c r="AM861" t="str">
        <f>IF(AG861="Vigente","ACTIVO",IF(ISNUMBER(SEARCH("Inactivo",J861)),"INACTIVO","REVISAR"))</f>
        <v>ACTIVO</v>
      </c>
      <c r="AN861" t="str">
        <f ca="1">IF(OR(AF861="",AF861="null"),"",ROUND((AF861-TODAY())/365.25,2))</f>
        <v/>
      </c>
      <c r="AO861" t="str">
        <f ca="1">IF(AND(AG861="Vigente",OR(AF861="",AF861="null",AF861&gt;TODAY())),"SI",IF(AND(NOT(OR(AF861="",AF861="null")),AF861&lt;=TODAY()),"NO",IF(AG861="Vigente","SI","DESCONOCIDO")))</f>
        <v>SI</v>
      </c>
      <c r="AP861" t="str">
        <f>IF(AND(ISNUMBER(SEARCH("IMPORTAR",AA861)),ISNUMBER(SEARCH("FABRICAR",AA861))),"MIXTO",IF(ISNUMBER(SEARCH("IMPORTAR",AA861)),"IMPORTADO",IF(ISNUMBER(SEARCH("FABRICAR",AA861)),"LOCAL","OTRO")))</f>
        <v>LOCAL</v>
      </c>
      <c r="AQ861" t="str">
        <f>IF(AD861="Si","SI",IF(AD861="No","NO",""))</f>
        <v>NO</v>
      </c>
      <c r="AR861" t="str">
        <f>IF(ISNUMBER(SEARCH("®",N861)),"MARCA/INNOVADOR","GENERICO")</f>
        <v>MARCA/INNOVADOR</v>
      </c>
      <c r="AS861">
        <f ca="1">IF(AE861&gt;100,RANDBETWEEN(500,5000),IF(AND(AE861&gt;=10,AE861&lt;=100),RANDBETWEEN(100,1000),RANDBETWEEN(10,200)))</f>
        <v>273</v>
      </c>
      <c r="AT861">
        <f t="shared" ca="1" si="67"/>
        <v>70</v>
      </c>
      <c r="AU861">
        <f ca="1">INT(AS861*RANDBETWEEN(120,200)/100)</f>
        <v>546</v>
      </c>
      <c r="AV861" s="2">
        <f ca="1">IF(LEFT(Y861,1)="L",RANDBETWEEN(500000,5000000),IF(LEFT(Y861,1)="C",RANDBETWEEN(5000,50000),IF(LEFT(Y861,1)="N",RANDBETWEEN(10000,150000),IF(LEFT(Y861,1)="J",RANDBETWEEN(8000,200000),RANDBETWEEN(5000,100000)))))</f>
        <v>33690</v>
      </c>
      <c r="AW861" s="2">
        <f ca="1">INT(AV861*RANDBETWEEN(30,60)/100)</f>
        <v>16845</v>
      </c>
      <c r="AX861">
        <f ca="1">IF(Z861="ORAL",RANDBETWEEN(1000,10000),IF(OR(Z861="INTRAVENOSA",Z861="INTRAMUSCULAR"),RANDBETWEEN(100,2000),IF(OR(Z861="OFTÁLMICA",Z861="TOPICA (EXTERNA)"),RANDBETWEEN(200,3000),RANDBETWEEN(100,1500))))</f>
        <v>6698</v>
      </c>
      <c r="AY861" s="2">
        <f ca="1">INT(AV861*RANDBETWEEN(90,130)/100)</f>
        <v>43797</v>
      </c>
      <c r="AZ861" t="str">
        <f t="shared" ca="1" si="68"/>
        <v>6.4%</v>
      </c>
      <c r="BA861" t="str">
        <f t="shared" ca="1" si="69"/>
        <v>BAJO</v>
      </c>
    </row>
    <row r="862" spans="4:53" x14ac:dyDescent="0.35">
      <c r="D862" t="s">
        <v>5413</v>
      </c>
      <c r="E862" s="1">
        <v>43725</v>
      </c>
      <c r="F862" t="s">
        <v>5414</v>
      </c>
      <c r="G862" t="s">
        <v>108</v>
      </c>
      <c r="H862" t="s">
        <v>1047</v>
      </c>
      <c r="I862">
        <v>20114722</v>
      </c>
      <c r="J862" t="s">
        <v>28</v>
      </c>
      <c r="K862">
        <v>3</v>
      </c>
      <c r="L862" t="s">
        <v>5415</v>
      </c>
      <c r="M862" t="s">
        <v>5416</v>
      </c>
      <c r="N862" t="s">
        <v>5417</v>
      </c>
      <c r="O862" t="s">
        <v>5418</v>
      </c>
      <c r="P862" t="s">
        <v>2473</v>
      </c>
      <c r="Q862" s="1">
        <v>43691</v>
      </c>
      <c r="R862" t="s">
        <v>1420</v>
      </c>
      <c r="S862" t="s">
        <v>27</v>
      </c>
      <c r="T862" t="s">
        <v>1053</v>
      </c>
      <c r="U862" t="s">
        <v>115</v>
      </c>
      <c r="V862" t="s">
        <v>5419</v>
      </c>
      <c r="W862">
        <v>70</v>
      </c>
      <c r="X862">
        <v>20114722</v>
      </c>
      <c r="Y862" t="s">
        <v>5420</v>
      </c>
      <c r="Z862" t="s">
        <v>260</v>
      </c>
      <c r="AA862" t="s">
        <v>32</v>
      </c>
      <c r="AB862" t="s">
        <v>239</v>
      </c>
      <c r="AC862" t="s">
        <v>25</v>
      </c>
      <c r="AD862" t="s">
        <v>121</v>
      </c>
      <c r="AE862">
        <v>1</v>
      </c>
      <c r="AF862" t="s">
        <v>27</v>
      </c>
      <c r="AG862" t="s">
        <v>26</v>
      </c>
      <c r="AH862" t="s">
        <v>6701</v>
      </c>
      <c r="AI862" t="str">
        <f t="shared" si="65"/>
        <v>SI</v>
      </c>
      <c r="AJ862" t="str">
        <f t="shared" si="66"/>
        <v>OCTAPHARMA</v>
      </c>
      <c r="AK862" t="str">
        <f>IF(ISNUMBER(SEARCH("FABRICANTE",AC862)),"FABRICANTE",IF(ISNUMBER(SEARCH("IMPORTADOR",AC862)),"IMPORTADOR","OTRO"))</f>
        <v>FABRICANTE</v>
      </c>
      <c r="AL862" t="str">
        <f>IF(LEFT(Y862,1)="A","Sistema digestivo",IF(LEFT(Y862,1)="B","Sangre",IF(LEFT(Y862,1)="C","Cardiovascular",IF(LEFT(Y862,1)="D","Dermatológico",IF(LEFT(Y862,1)="G","Genitourinario",IF(LEFT(Y862,1)="H","Hormonal",IF(LEFT(Y862,1)="J","Antiinfecciosos",IF(LEFT(Y862,1)="L","Oncológicos",IF(LEFT(Y862,1)="M","Musculoesquelético",IF(LEFT(Y862,1)="N","Sistema nervioso",IF(LEFT(Y862,1)="R","Respiratorio",IF(LEFT(Y862,1)="S","Oftálmico",IF(LEFT(Y862,1)="V","Varios","OTRO")))))))))))))</f>
        <v>Sangre</v>
      </c>
      <c r="AM862" t="str">
        <f>IF(AG862="Vigente","ACTIVO",IF(ISNUMBER(SEARCH("Inactivo",J862)),"INACTIVO","REVISAR"))</f>
        <v>ACTIVO</v>
      </c>
      <c r="AN862" t="str">
        <f ca="1">IF(OR(AF862="",AF862="null"),"",ROUND((AF862-TODAY())/365.25,2))</f>
        <v/>
      </c>
      <c r="AO862" t="str">
        <f ca="1">IF(AND(AG862="Vigente",OR(AF862="",AF862="null",AF862&gt;TODAY())),"SI",IF(AND(NOT(OR(AF862="",AF862="null")),AF862&lt;=TODAY()),"NO",IF(AG862="Vigente","SI","DESCONOCIDO")))</f>
        <v>SI</v>
      </c>
      <c r="AP862" t="str">
        <f>IF(AND(ISNUMBER(SEARCH("IMPORTAR",AA862)),ISNUMBER(SEARCH("FABRICAR",AA862))),"MIXTO",IF(ISNUMBER(SEARCH("IMPORTAR",AA862)),"IMPORTADO",IF(ISNUMBER(SEARCH("FABRICAR",AA862)),"LOCAL","OTRO")))</f>
        <v>IMPORTADO</v>
      </c>
      <c r="AQ862" t="str">
        <f>IF(AD862="Si","SI",IF(AD862="No","NO",""))</f>
        <v>NO</v>
      </c>
      <c r="AR862" t="str">
        <f>IF(ISNUMBER(SEARCH("®",N862)),"MARCA/INNOVADOR","GENERICO")</f>
        <v>GENERICO</v>
      </c>
      <c r="AS862">
        <f ca="1">IF(AE862&gt;100,RANDBETWEEN(500,5000),IF(AND(AE862&gt;=10,AE862&lt;=100),RANDBETWEEN(100,1000),RANDBETWEEN(10,200)))</f>
        <v>117</v>
      </c>
      <c r="AT862">
        <f t="shared" ca="1" si="67"/>
        <v>16</v>
      </c>
      <c r="AU862">
        <f ca="1">INT(AS862*RANDBETWEEN(120,200)/100)</f>
        <v>180</v>
      </c>
      <c r="AV862" s="2">
        <f ca="1">IF(LEFT(Y862,1)="L",RANDBETWEEN(500000,5000000),IF(LEFT(Y862,1)="C",RANDBETWEEN(5000,50000),IF(LEFT(Y862,1)="N",RANDBETWEEN(10000,150000),IF(LEFT(Y862,1)="J",RANDBETWEEN(8000,200000),RANDBETWEEN(5000,100000)))))</f>
        <v>35418</v>
      </c>
      <c r="AW862" s="2">
        <f ca="1">INT(AV862*RANDBETWEEN(30,60)/100)</f>
        <v>12750</v>
      </c>
      <c r="AX862">
        <f ca="1">IF(Z862="ORAL",RANDBETWEEN(1000,10000),IF(OR(Z862="INTRAVENOSA",Z862="INTRAMUSCULAR"),RANDBETWEEN(100,2000),IF(OR(Z862="OFTÁLMICA",Z862="TOPICA (EXTERNA)"),RANDBETWEEN(200,3000),RANDBETWEEN(100,1500))))</f>
        <v>180</v>
      </c>
      <c r="AY862" s="2">
        <f ca="1">INT(AV862*RANDBETWEEN(90,130)/100)</f>
        <v>41793</v>
      </c>
      <c r="AZ862" t="str">
        <f t="shared" ca="1" si="68"/>
        <v>3.6%</v>
      </c>
      <c r="BA862" t="str">
        <f t="shared" ca="1" si="69"/>
        <v>BAJO</v>
      </c>
    </row>
    <row r="863" spans="4:53" x14ac:dyDescent="0.35">
      <c r="D863" t="s">
        <v>5421</v>
      </c>
      <c r="E863" s="1">
        <v>42247</v>
      </c>
      <c r="F863" t="s">
        <v>5422</v>
      </c>
      <c r="G863" t="s">
        <v>108</v>
      </c>
      <c r="H863" t="s">
        <v>5423</v>
      </c>
      <c r="I863">
        <v>20082413</v>
      </c>
      <c r="J863" t="s">
        <v>28</v>
      </c>
      <c r="K863">
        <v>5</v>
      </c>
      <c r="L863" t="s">
        <v>27</v>
      </c>
      <c r="M863" t="s">
        <v>1928</v>
      </c>
      <c r="N863" t="s">
        <v>1929</v>
      </c>
      <c r="O863" t="s">
        <v>5424</v>
      </c>
      <c r="P863" t="s">
        <v>1931</v>
      </c>
      <c r="Q863" s="1">
        <v>42124</v>
      </c>
      <c r="R863" t="s">
        <v>200</v>
      </c>
      <c r="S863" t="s">
        <v>27</v>
      </c>
      <c r="T863" t="s">
        <v>1932</v>
      </c>
      <c r="U863" t="s">
        <v>115</v>
      </c>
      <c r="V863" t="s">
        <v>1933</v>
      </c>
      <c r="W863" t="s">
        <v>1117</v>
      </c>
      <c r="X863">
        <v>20082413</v>
      </c>
      <c r="Y863" t="s">
        <v>1934</v>
      </c>
      <c r="Z863" t="s">
        <v>119</v>
      </c>
      <c r="AA863" t="s">
        <v>32</v>
      </c>
      <c r="AB863" t="s">
        <v>120</v>
      </c>
      <c r="AC863" t="s">
        <v>38</v>
      </c>
      <c r="AD863" t="s">
        <v>121</v>
      </c>
      <c r="AE863">
        <v>90</v>
      </c>
      <c r="AF863" t="s">
        <v>27</v>
      </c>
      <c r="AG863" t="s">
        <v>26</v>
      </c>
      <c r="AH863" t="s">
        <v>5422</v>
      </c>
      <c r="AI863" t="str">
        <f t="shared" si="65"/>
        <v>NO</v>
      </c>
      <c r="AJ863" t="str">
        <f t="shared" si="66"/>
        <v>LES LABORATORIES SERVIER</v>
      </c>
      <c r="AK863" t="str">
        <f>IF(ISNUMBER(SEARCH("FABRICANTE",AC863)),"FABRICANTE",IF(ISNUMBER(SEARCH("IMPORTADOR",AC863)),"IMPORTADOR","OTRO"))</f>
        <v>IMPORTADOR</v>
      </c>
      <c r="AL863" t="str">
        <f>IF(LEFT(Y863,1)="A","Sistema digestivo",IF(LEFT(Y863,1)="B","Sangre",IF(LEFT(Y863,1)="C","Cardiovascular",IF(LEFT(Y863,1)="D","Dermatológico",IF(LEFT(Y863,1)="G","Genitourinario",IF(LEFT(Y863,1)="H","Hormonal",IF(LEFT(Y863,1)="J","Antiinfecciosos",IF(LEFT(Y863,1)="L","Oncológicos",IF(LEFT(Y863,1)="M","Musculoesquelético",IF(LEFT(Y863,1)="N","Sistema nervioso",IF(LEFT(Y863,1)="R","Respiratorio",IF(LEFT(Y863,1)="S","Oftálmico",IF(LEFT(Y863,1)="V","Varios","OTRO")))))))))))))</f>
        <v>Cardiovascular</v>
      </c>
      <c r="AM863" t="str">
        <f>IF(AG863="Vigente","ACTIVO",IF(ISNUMBER(SEARCH("Inactivo",J863)),"INACTIVO","REVISAR"))</f>
        <v>ACTIVO</v>
      </c>
      <c r="AN863" t="str">
        <f ca="1">IF(OR(AF863="",AF863="null"),"",ROUND((AF863-TODAY())/365.25,2))</f>
        <v/>
      </c>
      <c r="AO863" t="str">
        <f ca="1">IF(AND(AG863="Vigente",OR(AF863="",AF863="null",AF863&gt;TODAY())),"SI",IF(AND(NOT(OR(AF863="",AF863="null")),AF863&lt;=TODAY()),"NO",IF(AG863="Vigente","SI","DESCONOCIDO")))</f>
        <v>SI</v>
      </c>
      <c r="AP863" t="str">
        <f>IF(AND(ISNUMBER(SEARCH("IMPORTAR",AA863)),ISNUMBER(SEARCH("FABRICAR",AA863))),"MIXTO",IF(ISNUMBER(SEARCH("IMPORTAR",AA863)),"IMPORTADO",IF(ISNUMBER(SEARCH("FABRICAR",AA863)),"LOCAL","OTRO")))</f>
        <v>IMPORTADO</v>
      </c>
      <c r="AQ863" t="str">
        <f>IF(AD863="Si","SI",IF(AD863="No","NO",""))</f>
        <v>NO</v>
      </c>
      <c r="AR863" t="str">
        <f>IF(ISNUMBER(SEARCH("®",N863)),"MARCA/INNOVADOR","GENERICO")</f>
        <v>GENERICO</v>
      </c>
      <c r="AS863">
        <f ca="1">IF(AE863&gt;100,RANDBETWEEN(500,5000),IF(AND(AE863&gt;=10,AE863&lt;=100),RANDBETWEEN(100,1000),RANDBETWEEN(10,200)))</f>
        <v>979</v>
      </c>
      <c r="AT863">
        <f t="shared" ca="1" si="67"/>
        <v>264</v>
      </c>
      <c r="AU863">
        <f ca="1">INT(AS863*RANDBETWEEN(120,200)/100)</f>
        <v>1243</v>
      </c>
      <c r="AV863" s="2">
        <f ca="1">IF(LEFT(Y863,1)="L",RANDBETWEEN(500000,5000000),IF(LEFT(Y863,1)="C",RANDBETWEEN(5000,50000),IF(LEFT(Y863,1)="N",RANDBETWEEN(10000,150000),IF(LEFT(Y863,1)="J",RANDBETWEEN(8000,200000),RANDBETWEEN(5000,100000)))))</f>
        <v>8284</v>
      </c>
      <c r="AW863" s="2">
        <f ca="1">INT(AV863*RANDBETWEEN(30,60)/100)</f>
        <v>4059</v>
      </c>
      <c r="AX863">
        <f ca="1">IF(Z863="ORAL",RANDBETWEEN(1000,10000),IF(OR(Z863="INTRAVENOSA",Z863="INTRAMUSCULAR"),RANDBETWEEN(100,2000),IF(OR(Z863="OFTÁLMICA",Z863="TOPICA (EXTERNA)"),RANDBETWEEN(200,3000),RANDBETWEEN(100,1500))))</f>
        <v>7127</v>
      </c>
      <c r="AY863" s="2">
        <f ca="1">INT(AV863*RANDBETWEEN(90,130)/100)</f>
        <v>9775</v>
      </c>
      <c r="AZ863" t="str">
        <f t="shared" ca="1" si="68"/>
        <v>24.5%</v>
      </c>
      <c r="BA863" t="str">
        <f t="shared" ca="1" si="69"/>
        <v>BAJO</v>
      </c>
    </row>
    <row r="864" spans="4:53" x14ac:dyDescent="0.35">
      <c r="D864" t="s">
        <v>5425</v>
      </c>
      <c r="E864" s="1">
        <v>44545</v>
      </c>
      <c r="F864" t="s">
        <v>5426</v>
      </c>
      <c r="G864" t="s">
        <v>108</v>
      </c>
      <c r="H864" t="s">
        <v>2092</v>
      </c>
      <c r="I864">
        <v>20196686</v>
      </c>
      <c r="J864" t="s">
        <v>28</v>
      </c>
      <c r="K864">
        <v>6</v>
      </c>
      <c r="L864" t="s">
        <v>5427</v>
      </c>
      <c r="M864" t="s">
        <v>2094</v>
      </c>
      <c r="N864" t="s">
        <v>2095</v>
      </c>
      <c r="O864" t="s">
        <v>5428</v>
      </c>
      <c r="P864" t="s">
        <v>2097</v>
      </c>
      <c r="Q864" s="1">
        <v>44509</v>
      </c>
      <c r="R864" t="s">
        <v>459</v>
      </c>
      <c r="S864" t="s">
        <v>27</v>
      </c>
      <c r="T864" t="s">
        <v>1369</v>
      </c>
      <c r="U864" t="s">
        <v>247</v>
      </c>
      <c r="V864" t="s">
        <v>64</v>
      </c>
      <c r="W864">
        <v>3</v>
      </c>
      <c r="X864">
        <v>20196686</v>
      </c>
      <c r="Y864" t="s">
        <v>716</v>
      </c>
      <c r="Z864" t="s">
        <v>119</v>
      </c>
      <c r="AA864" t="s">
        <v>24</v>
      </c>
      <c r="AB864" t="s">
        <v>250</v>
      </c>
      <c r="AC864" t="s">
        <v>25</v>
      </c>
      <c r="AD864" t="s">
        <v>155</v>
      </c>
      <c r="AE864">
        <v>1</v>
      </c>
      <c r="AF864" t="s">
        <v>27</v>
      </c>
      <c r="AG864" t="s">
        <v>26</v>
      </c>
      <c r="AH864" t="s">
        <v>6702</v>
      </c>
      <c r="AI864" t="str">
        <f t="shared" si="65"/>
        <v>NO</v>
      </c>
      <c r="AJ864" t="str">
        <f t="shared" si="66"/>
        <v>GLOBAL INTERNATIONAL MEDICINE GIMED</v>
      </c>
      <c r="AK864" t="str">
        <f>IF(ISNUMBER(SEARCH("FABRICANTE",AC864)),"FABRICANTE",IF(ISNUMBER(SEARCH("IMPORTADOR",AC864)),"IMPORTADOR","OTRO"))</f>
        <v>FABRICANTE</v>
      </c>
      <c r="AL864" t="str">
        <f>IF(LEFT(Y864,1)="A","Sistema digestivo",IF(LEFT(Y864,1)="B","Sangre",IF(LEFT(Y864,1)="C","Cardiovascular",IF(LEFT(Y864,1)="D","Dermatológico",IF(LEFT(Y864,1)="G","Genitourinario",IF(LEFT(Y864,1)="H","Hormonal",IF(LEFT(Y864,1)="J","Antiinfecciosos",IF(LEFT(Y864,1)="L","Oncológicos",IF(LEFT(Y864,1)="M","Musculoesquelético",IF(LEFT(Y864,1)="N","Sistema nervioso",IF(LEFT(Y864,1)="R","Respiratorio",IF(LEFT(Y864,1)="S","Oftálmico",IF(LEFT(Y864,1)="V","Varios","OTRO")))))))))))))</f>
        <v>Respiratorio</v>
      </c>
      <c r="AM864" t="str">
        <f>IF(AG864="Vigente","ACTIVO",IF(ISNUMBER(SEARCH("Inactivo",J864)),"INACTIVO","REVISAR"))</f>
        <v>ACTIVO</v>
      </c>
      <c r="AN864" t="str">
        <f ca="1">IF(OR(AF864="",AF864="null"),"",ROUND((AF864-TODAY())/365.25,2))</f>
        <v/>
      </c>
      <c r="AO864" t="str">
        <f ca="1">IF(AND(AG864="Vigente",OR(AF864="",AF864="null",AF864&gt;TODAY())),"SI",IF(AND(NOT(OR(AF864="",AF864="null")),AF864&lt;=TODAY()),"NO",IF(AG864="Vigente","SI","DESCONOCIDO")))</f>
        <v>SI</v>
      </c>
      <c r="AP864" t="str">
        <f>IF(AND(ISNUMBER(SEARCH("IMPORTAR",AA864)),ISNUMBER(SEARCH("FABRICAR",AA864))),"MIXTO",IF(ISNUMBER(SEARCH("IMPORTAR",AA864)),"IMPORTADO",IF(ISNUMBER(SEARCH("FABRICAR",AA864)),"LOCAL","OTRO")))</f>
        <v>LOCAL</v>
      </c>
      <c r="AQ864" t="str">
        <f>IF(AD864="Si","SI",IF(AD864="No","NO",""))</f>
        <v>SI</v>
      </c>
      <c r="AR864" t="str">
        <f>IF(ISNUMBER(SEARCH("®",N864)),"MARCA/INNOVADOR","GENERICO")</f>
        <v>MARCA/INNOVADOR</v>
      </c>
      <c r="AS864">
        <f ca="1">IF(AE864&gt;100,RANDBETWEEN(500,5000),IF(AND(AE864&gt;=10,AE864&lt;=100),RANDBETWEEN(100,1000),RANDBETWEEN(10,200)))</f>
        <v>76</v>
      </c>
      <c r="AT864">
        <f t="shared" ca="1" si="67"/>
        <v>12</v>
      </c>
      <c r="AU864">
        <f ca="1">INT(AS864*RANDBETWEEN(120,200)/100)</f>
        <v>101</v>
      </c>
      <c r="AV864" s="2">
        <f ca="1">IF(LEFT(Y864,1)="L",RANDBETWEEN(500000,5000000),IF(LEFT(Y864,1)="C",RANDBETWEEN(5000,50000),IF(LEFT(Y864,1)="N",RANDBETWEEN(10000,150000),IF(LEFT(Y864,1)="J",RANDBETWEEN(8000,200000),RANDBETWEEN(5000,100000)))))</f>
        <v>25560</v>
      </c>
      <c r="AW864" s="2">
        <f ca="1">INT(AV864*RANDBETWEEN(30,60)/100)</f>
        <v>14058</v>
      </c>
      <c r="AX864">
        <f ca="1">IF(Z864="ORAL",RANDBETWEEN(1000,10000),IF(OR(Z864="INTRAVENOSA",Z864="INTRAMUSCULAR"),RANDBETWEEN(100,2000),IF(OR(Z864="OFTÁLMICA",Z864="TOPICA (EXTERNA)"),RANDBETWEEN(200,3000),RANDBETWEEN(100,1500))))</f>
        <v>2093</v>
      </c>
      <c r="AY864" s="2">
        <f ca="1">INT(AV864*RANDBETWEEN(90,130)/100)</f>
        <v>30160</v>
      </c>
      <c r="AZ864" t="str">
        <f t="shared" ca="1" si="68"/>
        <v>17.3%</v>
      </c>
      <c r="BA864" t="str">
        <f t="shared" ca="1" si="69"/>
        <v>BAJO</v>
      </c>
    </row>
    <row r="865" spans="4:53" x14ac:dyDescent="0.35">
      <c r="D865" t="s">
        <v>5429</v>
      </c>
      <c r="E865" s="1">
        <v>40015</v>
      </c>
      <c r="F865" t="s">
        <v>5430</v>
      </c>
      <c r="G865" t="s">
        <v>108</v>
      </c>
      <c r="H865" t="s">
        <v>454</v>
      </c>
      <c r="I865">
        <v>19997031</v>
      </c>
      <c r="J865" t="s">
        <v>28</v>
      </c>
      <c r="K865">
        <v>35</v>
      </c>
      <c r="L865" t="s">
        <v>27</v>
      </c>
      <c r="M865" t="s">
        <v>5431</v>
      </c>
      <c r="N865" t="s">
        <v>5432</v>
      </c>
      <c r="O865" t="s">
        <v>5433</v>
      </c>
      <c r="P865" t="s">
        <v>5434</v>
      </c>
      <c r="Q865" s="1">
        <v>44117</v>
      </c>
      <c r="R865" t="s">
        <v>527</v>
      </c>
      <c r="S865" t="s">
        <v>27</v>
      </c>
      <c r="T865" t="s">
        <v>454</v>
      </c>
      <c r="U865" t="s">
        <v>115</v>
      </c>
      <c r="V865" t="s">
        <v>667</v>
      </c>
      <c r="W865">
        <v>40</v>
      </c>
      <c r="X865">
        <v>19997031</v>
      </c>
      <c r="Y865" t="s">
        <v>668</v>
      </c>
      <c r="Z865" t="s">
        <v>119</v>
      </c>
      <c r="AA865" t="s">
        <v>24</v>
      </c>
      <c r="AB865" t="s">
        <v>120</v>
      </c>
      <c r="AC865" t="s">
        <v>25</v>
      </c>
      <c r="AD865" t="s">
        <v>155</v>
      </c>
      <c r="AE865">
        <v>5</v>
      </c>
      <c r="AF865" t="s">
        <v>27</v>
      </c>
      <c r="AG865" t="s">
        <v>26</v>
      </c>
      <c r="AH865" t="s">
        <v>6703</v>
      </c>
      <c r="AI865" t="str">
        <f t="shared" si="65"/>
        <v>SI</v>
      </c>
      <c r="AJ865" t="str">
        <f t="shared" si="66"/>
        <v>PROCAPS</v>
      </c>
      <c r="AK865" t="str">
        <f>IF(ISNUMBER(SEARCH("FABRICANTE",AC865)),"FABRICANTE",IF(ISNUMBER(SEARCH("IMPORTADOR",AC865)),"IMPORTADOR","OTRO"))</f>
        <v>FABRICANTE</v>
      </c>
      <c r="AL865" t="str">
        <f>IF(LEFT(Y865,1)="A","Sistema digestivo",IF(LEFT(Y865,1)="B","Sangre",IF(LEFT(Y865,1)="C","Cardiovascular",IF(LEFT(Y865,1)="D","Dermatológico",IF(LEFT(Y865,1)="G","Genitourinario",IF(LEFT(Y865,1)="H","Hormonal",IF(LEFT(Y865,1)="J","Antiinfecciosos",IF(LEFT(Y865,1)="L","Oncológicos",IF(LEFT(Y865,1)="M","Musculoesquelético",IF(LEFT(Y865,1)="N","Sistema nervioso",IF(LEFT(Y865,1)="R","Respiratorio",IF(LEFT(Y865,1)="S","Oftálmico",IF(LEFT(Y865,1)="V","Varios","OTRO")))))))))))))</f>
        <v>Cardiovascular</v>
      </c>
      <c r="AM865" t="str">
        <f>IF(AG865="Vigente","ACTIVO",IF(ISNUMBER(SEARCH("Inactivo",J865)),"INACTIVO","REVISAR"))</f>
        <v>ACTIVO</v>
      </c>
      <c r="AN865" t="str">
        <f ca="1">IF(OR(AF865="",AF865="null"),"",ROUND((AF865-TODAY())/365.25,2))</f>
        <v/>
      </c>
      <c r="AO865" t="str">
        <f ca="1">IF(AND(AG865="Vigente",OR(AF865="",AF865="null",AF865&gt;TODAY())),"SI",IF(AND(NOT(OR(AF865="",AF865="null")),AF865&lt;=TODAY()),"NO",IF(AG865="Vigente","SI","DESCONOCIDO")))</f>
        <v>SI</v>
      </c>
      <c r="AP865" t="str">
        <f>IF(AND(ISNUMBER(SEARCH("IMPORTAR",AA865)),ISNUMBER(SEARCH("FABRICAR",AA865))),"MIXTO",IF(ISNUMBER(SEARCH("IMPORTAR",AA865)),"IMPORTADO",IF(ISNUMBER(SEARCH("FABRICAR",AA865)),"LOCAL","OTRO")))</f>
        <v>LOCAL</v>
      </c>
      <c r="AQ865" t="str">
        <f>IF(AD865="Si","SI",IF(AD865="No","NO",""))</f>
        <v>SI</v>
      </c>
      <c r="AR865" t="str">
        <f>IF(ISNUMBER(SEARCH("®",N865)),"MARCA/INNOVADOR","GENERICO")</f>
        <v>MARCA/INNOVADOR</v>
      </c>
      <c r="AS865">
        <f ca="1">IF(AE865&gt;100,RANDBETWEEN(500,5000),IF(AND(AE865&gt;=10,AE865&lt;=100),RANDBETWEEN(100,1000),RANDBETWEEN(10,200)))</f>
        <v>126</v>
      </c>
      <c r="AT865">
        <f t="shared" ca="1" si="67"/>
        <v>15</v>
      </c>
      <c r="AU865">
        <f ca="1">INT(AS865*RANDBETWEEN(120,200)/100)</f>
        <v>245</v>
      </c>
      <c r="AV865" s="2">
        <f ca="1">IF(LEFT(Y865,1)="L",RANDBETWEEN(500000,5000000),IF(LEFT(Y865,1)="C",RANDBETWEEN(5000,50000),IF(LEFT(Y865,1)="N",RANDBETWEEN(10000,150000),IF(LEFT(Y865,1)="J",RANDBETWEEN(8000,200000),RANDBETWEEN(5000,100000)))))</f>
        <v>16658</v>
      </c>
      <c r="AW865" s="2">
        <f ca="1">INT(AV865*RANDBETWEEN(30,60)/100)</f>
        <v>7829</v>
      </c>
      <c r="AX865">
        <f ca="1">IF(Z865="ORAL",RANDBETWEEN(1000,10000),IF(OR(Z865="INTRAVENOSA",Z865="INTRAMUSCULAR"),RANDBETWEEN(100,2000),IF(OR(Z865="OFTÁLMICA",Z865="TOPICA (EXTERNA)"),RANDBETWEEN(200,3000),RANDBETWEEN(100,1500))))</f>
        <v>4040</v>
      </c>
      <c r="AY865" s="2">
        <f ca="1">INT(AV865*RANDBETWEEN(90,130)/100)</f>
        <v>19656</v>
      </c>
      <c r="AZ865" t="str">
        <f t="shared" ca="1" si="68"/>
        <v>18.9%</v>
      </c>
      <c r="BA865" t="str">
        <f t="shared" ca="1" si="69"/>
        <v>BAJO</v>
      </c>
    </row>
    <row r="866" spans="4:53" x14ac:dyDescent="0.35">
      <c r="D866" t="s">
        <v>5435</v>
      </c>
      <c r="E866" s="1">
        <v>38729</v>
      </c>
      <c r="F866" t="s">
        <v>5436</v>
      </c>
      <c r="G866" t="s">
        <v>108</v>
      </c>
      <c r="H866" t="s">
        <v>5437</v>
      </c>
      <c r="I866">
        <v>19955215</v>
      </c>
      <c r="J866" t="s">
        <v>28</v>
      </c>
      <c r="K866">
        <v>9</v>
      </c>
      <c r="L866" t="s">
        <v>27</v>
      </c>
      <c r="M866" t="s">
        <v>5438</v>
      </c>
      <c r="N866" t="s">
        <v>5439</v>
      </c>
      <c r="O866" t="s">
        <v>5440</v>
      </c>
      <c r="P866" t="s">
        <v>348</v>
      </c>
      <c r="Q866" s="1">
        <v>39031</v>
      </c>
      <c r="R866" t="s">
        <v>140</v>
      </c>
      <c r="S866" t="s">
        <v>27</v>
      </c>
      <c r="T866" t="s">
        <v>854</v>
      </c>
      <c r="U866" t="s">
        <v>115</v>
      </c>
      <c r="V866" t="s">
        <v>5441</v>
      </c>
      <c r="W866">
        <v>200</v>
      </c>
      <c r="X866">
        <v>19955215</v>
      </c>
      <c r="Y866" t="s">
        <v>5442</v>
      </c>
      <c r="Z866" t="s">
        <v>119</v>
      </c>
      <c r="AA866" t="s">
        <v>24</v>
      </c>
      <c r="AB866" t="s">
        <v>120</v>
      </c>
      <c r="AC866" t="s">
        <v>25</v>
      </c>
      <c r="AD866" t="s">
        <v>121</v>
      </c>
      <c r="AE866">
        <v>20</v>
      </c>
      <c r="AF866" s="1">
        <v>401769</v>
      </c>
      <c r="AG866" t="s">
        <v>26</v>
      </c>
      <c r="AH866" t="s">
        <v>6704</v>
      </c>
      <c r="AI866" t="str">
        <f t="shared" si="65"/>
        <v>NO</v>
      </c>
      <c r="AJ866" t="str">
        <f t="shared" si="66"/>
        <v>MERCK</v>
      </c>
      <c r="AK866" t="str">
        <f>IF(ISNUMBER(SEARCH("FABRICANTE",AC866)),"FABRICANTE",IF(ISNUMBER(SEARCH("IMPORTADOR",AC866)),"IMPORTADOR","OTRO"))</f>
        <v>FABRICANTE</v>
      </c>
      <c r="AL866" t="str">
        <f>IF(LEFT(Y866,1)="A","Sistema digestivo",IF(LEFT(Y866,1)="B","Sangre",IF(LEFT(Y866,1)="C","Cardiovascular",IF(LEFT(Y866,1)="D","Dermatológico",IF(LEFT(Y866,1)="G","Genitourinario",IF(LEFT(Y866,1)="H","Hormonal",IF(LEFT(Y866,1)="J","Antiinfecciosos",IF(LEFT(Y866,1)="L","Oncológicos",IF(LEFT(Y866,1)="M","Musculoesquelético",IF(LEFT(Y866,1)="N","Sistema nervioso",IF(LEFT(Y866,1)="R","Respiratorio",IF(LEFT(Y866,1)="S","Oftálmico",IF(LEFT(Y866,1)="V","Varios","OTRO")))))))))))))</f>
        <v>Sistema nervioso</v>
      </c>
      <c r="AM866" t="str">
        <f>IF(AG866="Vigente","ACTIVO",IF(ISNUMBER(SEARCH("Inactivo",J866)),"INACTIVO","REVISAR"))</f>
        <v>ACTIVO</v>
      </c>
      <c r="AN866">
        <f ca="1">IF(OR(AF866="",AF866="null"),"",ROUND((AF866-TODAY())/365.25,2))</f>
        <v>973.58</v>
      </c>
      <c r="AO866" t="str">
        <f ca="1">IF(AND(AG866="Vigente",OR(AF866="",AF866="null",AF866&gt;TODAY())),"SI",IF(AND(NOT(OR(AF866="",AF866="null")),AF866&lt;=TODAY()),"NO",IF(AG866="Vigente","SI","DESCONOCIDO")))</f>
        <v>SI</v>
      </c>
      <c r="AP866" t="str">
        <f>IF(AND(ISNUMBER(SEARCH("IMPORTAR",AA866)),ISNUMBER(SEARCH("FABRICAR",AA866))),"MIXTO",IF(ISNUMBER(SEARCH("IMPORTAR",AA866)),"IMPORTADO",IF(ISNUMBER(SEARCH("FABRICAR",AA866)),"LOCAL","OTRO")))</f>
        <v>LOCAL</v>
      </c>
      <c r="AQ866" t="str">
        <f>IF(AD866="Si","SI",IF(AD866="No","NO",""))</f>
        <v>NO</v>
      </c>
      <c r="AR866" t="str">
        <f>IF(ISNUMBER(SEARCH("®",N866)),"MARCA/INNOVADOR","GENERICO")</f>
        <v>GENERICO</v>
      </c>
      <c r="AS866">
        <f ca="1">IF(AE866&gt;100,RANDBETWEEN(500,5000),IF(AND(AE866&gt;=10,AE866&lt;=100),RANDBETWEEN(100,1000),RANDBETWEEN(10,200)))</f>
        <v>751</v>
      </c>
      <c r="AT866">
        <f t="shared" ca="1" si="67"/>
        <v>225</v>
      </c>
      <c r="AU866">
        <f ca="1">INT(AS866*RANDBETWEEN(120,200)/100)</f>
        <v>968</v>
      </c>
      <c r="AV866" s="2">
        <f ca="1">IF(LEFT(Y866,1)="L",RANDBETWEEN(500000,5000000),IF(LEFT(Y866,1)="C",RANDBETWEEN(5000,50000),IF(LEFT(Y866,1)="N",RANDBETWEEN(10000,150000),IF(LEFT(Y866,1)="J",RANDBETWEEN(8000,200000),RANDBETWEEN(5000,100000)))))</f>
        <v>78223</v>
      </c>
      <c r="AW866" s="2">
        <f ca="1">INT(AV866*RANDBETWEEN(30,60)/100)</f>
        <v>43804</v>
      </c>
      <c r="AX866">
        <f ca="1">IF(Z866="ORAL",RANDBETWEEN(1000,10000),IF(OR(Z866="INTRAVENOSA",Z866="INTRAMUSCULAR"),RANDBETWEEN(100,2000),IF(OR(Z866="OFTÁLMICA",Z866="TOPICA (EXTERNA)"),RANDBETWEEN(200,3000),RANDBETWEEN(100,1500))))</f>
        <v>4549</v>
      </c>
      <c r="AY866" s="2">
        <f ca="1">INT(AV866*RANDBETWEEN(90,130)/100)</f>
        <v>90738</v>
      </c>
      <c r="AZ866" t="str">
        <f t="shared" ca="1" si="68"/>
        <v>7%</v>
      </c>
      <c r="BA866" t="str">
        <f t="shared" ca="1" si="69"/>
        <v>BAJO</v>
      </c>
    </row>
    <row r="867" spans="4:53" x14ac:dyDescent="0.35">
      <c r="D867" t="s">
        <v>5443</v>
      </c>
      <c r="E867" s="1">
        <v>36161</v>
      </c>
      <c r="F867" t="s">
        <v>5444</v>
      </c>
      <c r="G867" t="s">
        <v>108</v>
      </c>
      <c r="H867" t="s">
        <v>454</v>
      </c>
      <c r="I867">
        <v>45999</v>
      </c>
      <c r="J867" t="s">
        <v>28</v>
      </c>
      <c r="K867">
        <v>3</v>
      </c>
      <c r="L867" t="s">
        <v>27</v>
      </c>
      <c r="M867" t="s">
        <v>5445</v>
      </c>
      <c r="N867" t="s">
        <v>5446</v>
      </c>
      <c r="O867" t="s">
        <v>5447</v>
      </c>
      <c r="P867" t="s">
        <v>1302</v>
      </c>
      <c r="Q867" s="1">
        <v>39031</v>
      </c>
      <c r="R867" t="s">
        <v>1302</v>
      </c>
      <c r="S867" s="1">
        <v>44287</v>
      </c>
      <c r="T867" t="s">
        <v>428</v>
      </c>
      <c r="U867" t="s">
        <v>115</v>
      </c>
      <c r="V867" t="s">
        <v>2302</v>
      </c>
      <c r="W867">
        <v>500</v>
      </c>
      <c r="X867">
        <v>45999</v>
      </c>
      <c r="Y867" t="s">
        <v>5448</v>
      </c>
      <c r="Z867" t="s">
        <v>1305</v>
      </c>
      <c r="AA867" t="s">
        <v>24</v>
      </c>
      <c r="AB867" t="s">
        <v>120</v>
      </c>
      <c r="AC867" t="s">
        <v>25</v>
      </c>
      <c r="AD867" t="s">
        <v>121</v>
      </c>
      <c r="AE867">
        <v>200</v>
      </c>
      <c r="AF867" t="s">
        <v>27</v>
      </c>
      <c r="AG867" t="s">
        <v>26</v>
      </c>
      <c r="AH867" t="s">
        <v>5444</v>
      </c>
      <c r="AI867" t="str">
        <f t="shared" si="65"/>
        <v>NO</v>
      </c>
      <c r="AJ867" t="str">
        <f t="shared" si="66"/>
        <v>LABORATORIOS SIEGFRIED</v>
      </c>
      <c r="AK867" t="str">
        <f>IF(ISNUMBER(SEARCH("FABRICANTE",AC867)),"FABRICANTE",IF(ISNUMBER(SEARCH("IMPORTADOR",AC867)),"IMPORTADOR","OTRO"))</f>
        <v>FABRICANTE</v>
      </c>
      <c r="AL867" t="str">
        <f>IF(LEFT(Y867,1)="A","Sistema digestivo",IF(LEFT(Y867,1)="B","Sangre",IF(LEFT(Y867,1)="C","Cardiovascular",IF(LEFT(Y867,1)="D","Dermatológico",IF(LEFT(Y867,1)="G","Genitourinario",IF(LEFT(Y867,1)="H","Hormonal",IF(LEFT(Y867,1)="J","Antiinfecciosos",IF(LEFT(Y867,1)="L","Oncológicos",IF(LEFT(Y867,1)="M","Musculoesquelético",IF(LEFT(Y867,1)="N","Sistema nervioso",IF(LEFT(Y867,1)="R","Respiratorio",IF(LEFT(Y867,1)="S","Oftálmico",IF(LEFT(Y867,1)="V","Varios","OTRO")))))))))))))</f>
        <v>OTRO</v>
      </c>
      <c r="AM867" t="str">
        <f>IF(AG867="Vigente","ACTIVO",IF(ISNUMBER(SEARCH("Inactivo",J867)),"INACTIVO","REVISAR"))</f>
        <v>ACTIVO</v>
      </c>
      <c r="AN867" t="str">
        <f ca="1">IF(OR(AF867="",AF867="null"),"",ROUND((AF867-TODAY())/365.25,2))</f>
        <v/>
      </c>
      <c r="AO867" t="str">
        <f ca="1">IF(AND(AG867="Vigente",OR(AF867="",AF867="null",AF867&gt;TODAY())),"SI",IF(AND(NOT(OR(AF867="",AF867="null")),AF867&lt;=TODAY()),"NO",IF(AG867="Vigente","SI","DESCONOCIDO")))</f>
        <v>SI</v>
      </c>
      <c r="AP867" t="str">
        <f>IF(AND(ISNUMBER(SEARCH("IMPORTAR",AA867)),ISNUMBER(SEARCH("FABRICAR",AA867))),"MIXTO",IF(ISNUMBER(SEARCH("IMPORTAR",AA867)),"IMPORTADO",IF(ISNUMBER(SEARCH("FABRICAR",AA867)),"LOCAL","OTRO")))</f>
        <v>LOCAL</v>
      </c>
      <c r="AQ867" t="str">
        <f>IF(AD867="Si","SI",IF(AD867="No","NO",""))</f>
        <v>NO</v>
      </c>
      <c r="AR867" t="str">
        <f>IF(ISNUMBER(SEARCH("®",N867)),"MARCA/INNOVADOR","GENERICO")</f>
        <v>MARCA/INNOVADOR</v>
      </c>
      <c r="AS867">
        <f ca="1">IF(AE867&gt;100,RANDBETWEEN(500,5000),IF(AND(AE867&gt;=10,AE867&lt;=100),RANDBETWEEN(100,1000),RANDBETWEEN(10,200)))</f>
        <v>605</v>
      </c>
      <c r="AT867">
        <f t="shared" ca="1" si="67"/>
        <v>169</v>
      </c>
      <c r="AU867">
        <f ca="1">INT(AS867*RANDBETWEEN(120,200)/100)</f>
        <v>847</v>
      </c>
      <c r="AV867" s="2">
        <f ca="1">IF(LEFT(Y867,1)="L",RANDBETWEEN(500000,5000000),IF(LEFT(Y867,1)="C",RANDBETWEEN(5000,50000),IF(LEFT(Y867,1)="N",RANDBETWEEN(10000,150000),IF(LEFT(Y867,1)="J",RANDBETWEEN(8000,200000),RANDBETWEEN(5000,100000)))))</f>
        <v>33793</v>
      </c>
      <c r="AW867" s="2">
        <f ca="1">INT(AV867*RANDBETWEEN(30,60)/100)</f>
        <v>19599</v>
      </c>
      <c r="AX867">
        <f ca="1">IF(Z867="ORAL",RANDBETWEEN(1000,10000),IF(OR(Z867="INTRAVENOSA",Z867="INTRAMUSCULAR"),RANDBETWEEN(100,2000),IF(OR(Z867="OFTÁLMICA",Z867="TOPICA (EXTERNA)"),RANDBETWEEN(200,3000),RANDBETWEEN(100,1500))))</f>
        <v>1361</v>
      </c>
      <c r="AY867" s="2">
        <f ca="1">INT(AV867*RANDBETWEEN(90,130)/100)</f>
        <v>42917</v>
      </c>
      <c r="AZ867" t="str">
        <f t="shared" ca="1" si="68"/>
        <v>7.1%</v>
      </c>
      <c r="BA867" t="str">
        <f t="shared" ca="1" si="69"/>
        <v>BAJO</v>
      </c>
    </row>
    <row r="868" spans="4:53" x14ac:dyDescent="0.35">
      <c r="D868" t="s">
        <v>5449</v>
      </c>
      <c r="E868" s="1">
        <v>39952</v>
      </c>
      <c r="F868" t="s">
        <v>3466</v>
      </c>
      <c r="G868" t="s">
        <v>502</v>
      </c>
      <c r="H868" t="s">
        <v>5450</v>
      </c>
      <c r="I868">
        <v>19989531</v>
      </c>
      <c r="J868" t="s">
        <v>28</v>
      </c>
      <c r="K868">
        <v>3</v>
      </c>
      <c r="L868" t="s">
        <v>27</v>
      </c>
      <c r="M868" t="s">
        <v>5451</v>
      </c>
      <c r="N868" t="s">
        <v>5452</v>
      </c>
      <c r="O868" t="s">
        <v>5453</v>
      </c>
      <c r="P868" t="s">
        <v>1963</v>
      </c>
      <c r="Q868" s="1">
        <v>39611</v>
      </c>
      <c r="R868" t="s">
        <v>459</v>
      </c>
      <c r="S868" t="s">
        <v>27</v>
      </c>
      <c r="T868" t="s">
        <v>2990</v>
      </c>
      <c r="U868" t="s">
        <v>247</v>
      </c>
      <c r="V868" t="s">
        <v>5454</v>
      </c>
      <c r="W868" t="s">
        <v>5455</v>
      </c>
      <c r="X868">
        <v>19989531</v>
      </c>
      <c r="Y868" t="s">
        <v>5456</v>
      </c>
      <c r="Z868" t="s">
        <v>119</v>
      </c>
      <c r="AA868" t="s">
        <v>24</v>
      </c>
      <c r="AB868" t="s">
        <v>250</v>
      </c>
      <c r="AC868" t="s">
        <v>25</v>
      </c>
      <c r="AD868" t="s">
        <v>121</v>
      </c>
      <c r="AE868">
        <v>120</v>
      </c>
      <c r="AF868" t="s">
        <v>27</v>
      </c>
      <c r="AG868" t="s">
        <v>26</v>
      </c>
      <c r="AH868" t="s">
        <v>3466</v>
      </c>
      <c r="AI868" t="str">
        <f t="shared" si="65"/>
        <v>NO</v>
      </c>
      <c r="AJ868" t="str">
        <f t="shared" si="66"/>
        <v>LABQUIFAR</v>
      </c>
      <c r="AK868" t="str">
        <f>IF(ISNUMBER(SEARCH("FABRICANTE",AC868)),"FABRICANTE",IF(ISNUMBER(SEARCH("IMPORTADOR",AC868)),"IMPORTADOR","OTRO"))</f>
        <v>FABRICANTE</v>
      </c>
      <c r="AL868" t="str">
        <f>IF(LEFT(Y868,1)="A","Sistema digestivo",IF(LEFT(Y868,1)="B","Sangre",IF(LEFT(Y868,1)="C","Cardiovascular",IF(LEFT(Y868,1)="D","Dermatológico",IF(LEFT(Y868,1)="G","Genitourinario",IF(LEFT(Y868,1)="H","Hormonal",IF(LEFT(Y868,1)="J","Antiinfecciosos",IF(LEFT(Y868,1)="L","Oncológicos",IF(LEFT(Y868,1)="M","Musculoesquelético",IF(LEFT(Y868,1)="N","Sistema nervioso",IF(LEFT(Y868,1)="R","Respiratorio",IF(LEFT(Y868,1)="S","Oftálmico",IF(LEFT(Y868,1)="V","Varios","OTRO")))))))))))))</f>
        <v>Respiratorio</v>
      </c>
      <c r="AM868" t="str">
        <f>IF(AG868="Vigente","ACTIVO",IF(ISNUMBER(SEARCH("Inactivo",J868)),"INACTIVO","REVISAR"))</f>
        <v>ACTIVO</v>
      </c>
      <c r="AN868" t="str">
        <f ca="1">IF(OR(AF868="",AF868="null"),"",ROUND((AF868-TODAY())/365.25,2))</f>
        <v/>
      </c>
      <c r="AO868" t="str">
        <f ca="1">IF(AND(AG868="Vigente",OR(AF868="",AF868="null",AF868&gt;TODAY())),"SI",IF(AND(NOT(OR(AF868="",AF868="null")),AF868&lt;=TODAY()),"NO",IF(AG868="Vigente","SI","DESCONOCIDO")))</f>
        <v>SI</v>
      </c>
      <c r="AP868" t="str">
        <f>IF(AND(ISNUMBER(SEARCH("IMPORTAR",AA868)),ISNUMBER(SEARCH("FABRICAR",AA868))),"MIXTO",IF(ISNUMBER(SEARCH("IMPORTAR",AA868)),"IMPORTADO",IF(ISNUMBER(SEARCH("FABRICAR",AA868)),"LOCAL","OTRO")))</f>
        <v>LOCAL</v>
      </c>
      <c r="AQ868" t="str">
        <f>IF(AD868="Si","SI",IF(AD868="No","NO",""))</f>
        <v>NO</v>
      </c>
      <c r="AR868" t="str">
        <f>IF(ISNUMBER(SEARCH("®",N868)),"MARCA/INNOVADOR","GENERICO")</f>
        <v>MARCA/INNOVADOR</v>
      </c>
      <c r="AS868">
        <f ca="1">IF(AE868&gt;100,RANDBETWEEN(500,5000),IF(AND(AE868&gt;=10,AE868&lt;=100),RANDBETWEEN(100,1000),RANDBETWEEN(10,200)))</f>
        <v>4747</v>
      </c>
      <c r="AT868">
        <f t="shared" ca="1" si="67"/>
        <v>522</v>
      </c>
      <c r="AU868">
        <f ca="1">INT(AS868*RANDBETWEEN(120,200)/100)</f>
        <v>6598</v>
      </c>
      <c r="AV868" s="2">
        <f ca="1">IF(LEFT(Y868,1)="L",RANDBETWEEN(500000,5000000),IF(LEFT(Y868,1)="C",RANDBETWEEN(5000,50000),IF(LEFT(Y868,1)="N",RANDBETWEEN(10000,150000),IF(LEFT(Y868,1)="J",RANDBETWEEN(8000,200000),RANDBETWEEN(5000,100000)))))</f>
        <v>96816</v>
      </c>
      <c r="AW868" s="2">
        <f ca="1">INT(AV868*RANDBETWEEN(30,60)/100)</f>
        <v>36790</v>
      </c>
      <c r="AX868">
        <f ca="1">IF(Z868="ORAL",RANDBETWEEN(1000,10000),IF(OR(Z868="INTRAVENOSA",Z868="INTRAMUSCULAR"),RANDBETWEEN(100,2000),IF(OR(Z868="OFTÁLMICA",Z868="TOPICA (EXTERNA)"),RANDBETWEEN(200,3000),RANDBETWEEN(100,1500))))</f>
        <v>1917</v>
      </c>
      <c r="AY868" s="2">
        <f ca="1">INT(AV868*RANDBETWEEN(90,130)/100)</f>
        <v>121988</v>
      </c>
      <c r="AZ868" t="str">
        <f t="shared" ca="1" si="68"/>
        <v>14.1%</v>
      </c>
      <c r="BA868" t="str">
        <f t="shared" ca="1" si="69"/>
        <v>BAJO</v>
      </c>
    </row>
    <row r="869" spans="4:53" x14ac:dyDescent="0.35">
      <c r="D869" t="s">
        <v>5457</v>
      </c>
      <c r="E869" s="1">
        <v>44529</v>
      </c>
      <c r="F869" t="s">
        <v>1466</v>
      </c>
      <c r="G869" t="s">
        <v>108</v>
      </c>
      <c r="H869" t="s">
        <v>94</v>
      </c>
      <c r="I869">
        <v>20199943</v>
      </c>
      <c r="J869" t="s">
        <v>28</v>
      </c>
      <c r="K869">
        <v>3</v>
      </c>
      <c r="L869" t="s">
        <v>27</v>
      </c>
      <c r="M869" t="s">
        <v>5458</v>
      </c>
      <c r="N869" t="s">
        <v>5459</v>
      </c>
      <c r="O869" t="s">
        <v>5460</v>
      </c>
      <c r="P869" t="s">
        <v>29</v>
      </c>
      <c r="Q869" s="1">
        <v>45345</v>
      </c>
      <c r="R869" t="s">
        <v>29</v>
      </c>
      <c r="S869" t="s">
        <v>27</v>
      </c>
      <c r="T869" t="s">
        <v>83</v>
      </c>
      <c r="U869" t="s">
        <v>5461</v>
      </c>
      <c r="V869" t="s">
        <v>1466</v>
      </c>
      <c r="W869">
        <v>1</v>
      </c>
      <c r="X869">
        <v>20199943</v>
      </c>
      <c r="Y869" t="s">
        <v>1471</v>
      </c>
      <c r="Z869" t="s">
        <v>119</v>
      </c>
      <c r="AA869" t="s">
        <v>32</v>
      </c>
      <c r="AB869" t="s">
        <v>120</v>
      </c>
      <c r="AC869" t="s">
        <v>25</v>
      </c>
      <c r="AD869" t="s">
        <v>155</v>
      </c>
      <c r="AE869">
        <v>30</v>
      </c>
      <c r="AF869" t="s">
        <v>27</v>
      </c>
      <c r="AG869" t="s">
        <v>26</v>
      </c>
      <c r="AH869" t="s">
        <v>1466</v>
      </c>
      <c r="AI869" t="str">
        <f t="shared" si="65"/>
        <v>NO</v>
      </c>
      <c r="AJ869" t="str">
        <f t="shared" si="66"/>
        <v>LABORATORIOS LA SANTÉ</v>
      </c>
      <c r="AK869" t="str">
        <f>IF(ISNUMBER(SEARCH("FABRICANTE",AC869)),"FABRICANTE",IF(ISNUMBER(SEARCH("IMPORTADOR",AC869)),"IMPORTADOR","OTRO"))</f>
        <v>FABRICANTE</v>
      </c>
      <c r="AL869" t="str">
        <f>IF(LEFT(Y869,1)="A","Sistema digestivo",IF(LEFT(Y869,1)="B","Sangre",IF(LEFT(Y869,1)="C","Cardiovascular",IF(LEFT(Y869,1)="D","Dermatológico",IF(LEFT(Y869,1)="G","Genitourinario",IF(LEFT(Y869,1)="H","Hormonal",IF(LEFT(Y869,1)="J","Antiinfecciosos",IF(LEFT(Y869,1)="L","Oncológicos",IF(LEFT(Y869,1)="M","Musculoesquelético",IF(LEFT(Y869,1)="N","Sistema nervioso",IF(LEFT(Y869,1)="R","Respiratorio",IF(LEFT(Y869,1)="S","Oftálmico",IF(LEFT(Y869,1)="V","Varios","OTRO")))))))))))))</f>
        <v>Sistema nervioso</v>
      </c>
      <c r="AM869" t="str">
        <f>IF(AG869="Vigente","ACTIVO",IF(ISNUMBER(SEARCH("Inactivo",J869)),"INACTIVO","REVISAR"))</f>
        <v>ACTIVO</v>
      </c>
      <c r="AN869" t="str">
        <f ca="1">IF(OR(AF869="",AF869="null"),"",ROUND((AF869-TODAY())/365.25,2))</f>
        <v/>
      </c>
      <c r="AO869" t="str">
        <f ca="1">IF(AND(AG869="Vigente",OR(AF869="",AF869="null",AF869&gt;TODAY())),"SI",IF(AND(NOT(OR(AF869="",AF869="null")),AF869&lt;=TODAY()),"NO",IF(AG869="Vigente","SI","DESCONOCIDO")))</f>
        <v>SI</v>
      </c>
      <c r="AP869" t="str">
        <f>IF(AND(ISNUMBER(SEARCH("IMPORTAR",AA869)),ISNUMBER(SEARCH("FABRICAR",AA869))),"MIXTO",IF(ISNUMBER(SEARCH("IMPORTAR",AA869)),"IMPORTADO",IF(ISNUMBER(SEARCH("FABRICAR",AA869)),"LOCAL","OTRO")))</f>
        <v>IMPORTADO</v>
      </c>
      <c r="AQ869" t="str">
        <f>IF(AD869="Si","SI",IF(AD869="No","NO",""))</f>
        <v>SI</v>
      </c>
      <c r="AR869" t="str">
        <f>IF(ISNUMBER(SEARCH("®",N869)),"MARCA/INNOVADOR","GENERICO")</f>
        <v>MARCA/INNOVADOR</v>
      </c>
      <c r="AS869">
        <f ca="1">IF(AE869&gt;100,RANDBETWEEN(500,5000),IF(AND(AE869&gt;=10,AE869&lt;=100),RANDBETWEEN(100,1000),RANDBETWEEN(10,200)))</f>
        <v>604</v>
      </c>
      <c r="AT869">
        <f t="shared" ca="1" si="67"/>
        <v>84</v>
      </c>
      <c r="AU869">
        <f ca="1">INT(AS869*RANDBETWEEN(120,200)/100)</f>
        <v>1069</v>
      </c>
      <c r="AV869" s="2">
        <f ca="1">IF(LEFT(Y869,1)="L",RANDBETWEEN(500000,5000000),IF(LEFT(Y869,1)="C",RANDBETWEEN(5000,50000),IF(LEFT(Y869,1)="N",RANDBETWEEN(10000,150000),IF(LEFT(Y869,1)="J",RANDBETWEEN(8000,200000),RANDBETWEEN(5000,100000)))))</f>
        <v>124022</v>
      </c>
      <c r="AW869" s="2">
        <f ca="1">INT(AV869*RANDBETWEEN(30,60)/100)</f>
        <v>63251</v>
      </c>
      <c r="AX869">
        <f ca="1">IF(Z869="ORAL",RANDBETWEEN(1000,10000),IF(OR(Z869="INTRAVENOSA",Z869="INTRAMUSCULAR"),RANDBETWEEN(100,2000),IF(OR(Z869="OFTÁLMICA",Z869="TOPICA (EXTERNA)"),RANDBETWEEN(200,3000),RANDBETWEEN(100,1500))))</f>
        <v>2278</v>
      </c>
      <c r="AY869" s="2">
        <f ca="1">INT(AV869*RANDBETWEEN(90,130)/100)</f>
        <v>150066</v>
      </c>
      <c r="AZ869" t="str">
        <f t="shared" ca="1" si="68"/>
        <v>10.4%</v>
      </c>
      <c r="BA869" t="str">
        <f t="shared" ca="1" si="69"/>
        <v>BAJO</v>
      </c>
    </row>
    <row r="870" spans="4:53" x14ac:dyDescent="0.35">
      <c r="D870" t="s">
        <v>5462</v>
      </c>
      <c r="E870" s="1">
        <v>41969</v>
      </c>
      <c r="F870" t="s">
        <v>5463</v>
      </c>
      <c r="G870" t="s">
        <v>108</v>
      </c>
      <c r="H870" t="s">
        <v>2068</v>
      </c>
      <c r="I870">
        <v>20071182</v>
      </c>
      <c r="J870" t="s">
        <v>28</v>
      </c>
      <c r="K870">
        <v>5</v>
      </c>
      <c r="L870" t="s">
        <v>5464</v>
      </c>
      <c r="M870" t="s">
        <v>5465</v>
      </c>
      <c r="N870" t="s">
        <v>5466</v>
      </c>
      <c r="O870" t="s">
        <v>5467</v>
      </c>
      <c r="P870" t="s">
        <v>33</v>
      </c>
      <c r="Q870" s="1">
        <v>43654</v>
      </c>
      <c r="R870" t="s">
        <v>200</v>
      </c>
      <c r="S870" t="s">
        <v>27</v>
      </c>
      <c r="T870" t="s">
        <v>2068</v>
      </c>
      <c r="U870" t="s">
        <v>115</v>
      </c>
      <c r="V870" t="s">
        <v>5468</v>
      </c>
      <c r="W870" t="s">
        <v>3136</v>
      </c>
      <c r="X870">
        <v>20071182</v>
      </c>
      <c r="Y870" t="s">
        <v>5469</v>
      </c>
      <c r="Z870" t="s">
        <v>119</v>
      </c>
      <c r="AA870" t="s">
        <v>32</v>
      </c>
      <c r="AB870" t="s">
        <v>120</v>
      </c>
      <c r="AC870" t="s">
        <v>25</v>
      </c>
      <c r="AD870" t="s">
        <v>121</v>
      </c>
      <c r="AE870">
        <v>21</v>
      </c>
      <c r="AF870" t="s">
        <v>27</v>
      </c>
      <c r="AG870" t="s">
        <v>26</v>
      </c>
      <c r="AH870" t="s">
        <v>5468</v>
      </c>
      <c r="AI870" t="str">
        <f t="shared" si="65"/>
        <v>NO</v>
      </c>
      <c r="AJ870" t="str">
        <f t="shared" si="66"/>
        <v>BAYER</v>
      </c>
      <c r="AK870" t="str">
        <f>IF(ISNUMBER(SEARCH("FABRICANTE",AC870)),"FABRICANTE",IF(ISNUMBER(SEARCH("IMPORTADOR",AC870)),"IMPORTADOR","OTRO"))</f>
        <v>FABRICANTE</v>
      </c>
      <c r="AL870" t="str">
        <f>IF(LEFT(Y870,1)="A","Sistema digestivo",IF(LEFT(Y870,1)="B","Sangre",IF(LEFT(Y870,1)="C","Cardiovascular",IF(LEFT(Y870,1)="D","Dermatológico",IF(LEFT(Y870,1)="G","Genitourinario",IF(LEFT(Y870,1)="H","Hormonal",IF(LEFT(Y870,1)="J","Antiinfecciosos",IF(LEFT(Y870,1)="L","Oncológicos",IF(LEFT(Y870,1)="M","Musculoesquelético",IF(LEFT(Y870,1)="N","Sistema nervioso",IF(LEFT(Y870,1)="R","Respiratorio",IF(LEFT(Y870,1)="S","Oftálmico",IF(LEFT(Y870,1)="V","Varios","OTRO")))))))))))))</f>
        <v>Cardiovascular</v>
      </c>
      <c r="AM870" t="str">
        <f>IF(AG870="Vigente","ACTIVO",IF(ISNUMBER(SEARCH("Inactivo",J870)),"INACTIVO","REVISAR"))</f>
        <v>ACTIVO</v>
      </c>
      <c r="AN870" t="str">
        <f ca="1">IF(OR(AF870="",AF870="null"),"",ROUND((AF870-TODAY())/365.25,2))</f>
        <v/>
      </c>
      <c r="AO870" t="str">
        <f ca="1">IF(AND(AG870="Vigente",OR(AF870="",AF870="null",AF870&gt;TODAY())),"SI",IF(AND(NOT(OR(AF870="",AF870="null")),AF870&lt;=TODAY()),"NO",IF(AG870="Vigente","SI","DESCONOCIDO")))</f>
        <v>SI</v>
      </c>
      <c r="AP870" t="str">
        <f>IF(AND(ISNUMBER(SEARCH("IMPORTAR",AA870)),ISNUMBER(SEARCH("FABRICAR",AA870))),"MIXTO",IF(ISNUMBER(SEARCH("IMPORTAR",AA870)),"IMPORTADO",IF(ISNUMBER(SEARCH("FABRICAR",AA870)),"LOCAL","OTRO")))</f>
        <v>IMPORTADO</v>
      </c>
      <c r="AQ870" t="str">
        <f>IF(AD870="Si","SI",IF(AD870="No","NO",""))</f>
        <v>NO</v>
      </c>
      <c r="AR870" t="str">
        <f>IF(ISNUMBER(SEARCH("®",N870)),"MARCA/INNOVADOR","GENERICO")</f>
        <v>MARCA/INNOVADOR</v>
      </c>
      <c r="AS870">
        <f ca="1">IF(AE870&gt;100,RANDBETWEEN(500,5000),IF(AND(AE870&gt;=10,AE870&lt;=100),RANDBETWEEN(100,1000),RANDBETWEEN(10,200)))</f>
        <v>872</v>
      </c>
      <c r="AT870">
        <f t="shared" ca="1" si="67"/>
        <v>191</v>
      </c>
      <c r="AU870">
        <f ca="1">INT(AS870*RANDBETWEEN(120,200)/100)</f>
        <v>1717</v>
      </c>
      <c r="AV870" s="2">
        <f ca="1">IF(LEFT(Y870,1)="L",RANDBETWEEN(500000,5000000),IF(LEFT(Y870,1)="C",RANDBETWEEN(5000,50000),IF(LEFT(Y870,1)="N",RANDBETWEEN(10000,150000),IF(LEFT(Y870,1)="J",RANDBETWEEN(8000,200000),RANDBETWEEN(5000,100000)))))</f>
        <v>37888</v>
      </c>
      <c r="AW870" s="2">
        <f ca="1">INT(AV870*RANDBETWEEN(30,60)/100)</f>
        <v>12124</v>
      </c>
      <c r="AX870">
        <f ca="1">IF(Z870="ORAL",RANDBETWEEN(1000,10000),IF(OR(Z870="INTRAVENOSA",Z870="INTRAMUSCULAR"),RANDBETWEEN(100,2000),IF(OR(Z870="OFTÁLMICA",Z870="TOPICA (EXTERNA)"),RANDBETWEEN(200,3000),RANDBETWEEN(100,1500))))</f>
        <v>5338</v>
      </c>
      <c r="AY870" s="2">
        <f ca="1">INT(AV870*RANDBETWEEN(90,130)/100)</f>
        <v>43192</v>
      </c>
      <c r="AZ870" t="str">
        <f t="shared" ca="1" si="68"/>
        <v>16.6%</v>
      </c>
      <c r="BA870" t="str">
        <f t="shared" ca="1" si="69"/>
        <v>BAJO</v>
      </c>
    </row>
    <row r="871" spans="4:53" x14ac:dyDescent="0.35">
      <c r="D871" t="s">
        <v>5470</v>
      </c>
      <c r="E871" s="1">
        <v>42447</v>
      </c>
      <c r="F871" t="s">
        <v>35</v>
      </c>
      <c r="G871" t="s">
        <v>108</v>
      </c>
      <c r="H871" t="s">
        <v>445</v>
      </c>
      <c r="I871">
        <v>20093160</v>
      </c>
      <c r="J871" t="s">
        <v>28</v>
      </c>
      <c r="K871">
        <v>1</v>
      </c>
      <c r="L871" t="s">
        <v>5471</v>
      </c>
      <c r="M871" t="s">
        <v>5472</v>
      </c>
      <c r="N871" t="s">
        <v>5473</v>
      </c>
      <c r="O871" t="s">
        <v>5474</v>
      </c>
      <c r="P871" t="s">
        <v>659</v>
      </c>
      <c r="Q871" s="1">
        <v>42298</v>
      </c>
      <c r="R871" t="s">
        <v>37</v>
      </c>
      <c r="S871" t="s">
        <v>27</v>
      </c>
      <c r="T871" t="s">
        <v>449</v>
      </c>
      <c r="U871" t="s">
        <v>115</v>
      </c>
      <c r="V871" t="s">
        <v>35</v>
      </c>
      <c r="W871">
        <v>150</v>
      </c>
      <c r="X871">
        <v>20093160</v>
      </c>
      <c r="Y871" t="s">
        <v>36</v>
      </c>
      <c r="Z871" t="s">
        <v>119</v>
      </c>
      <c r="AA871" t="s">
        <v>32</v>
      </c>
      <c r="AB871" t="s">
        <v>120</v>
      </c>
      <c r="AC871" t="s">
        <v>38</v>
      </c>
      <c r="AD871" t="s">
        <v>121</v>
      </c>
      <c r="AE871">
        <v>10</v>
      </c>
      <c r="AF871" s="1">
        <v>401769</v>
      </c>
      <c r="AG871" t="s">
        <v>26</v>
      </c>
      <c r="AH871" t="s">
        <v>35</v>
      </c>
      <c r="AI871" t="str">
        <f t="shared" si="65"/>
        <v>NO</v>
      </c>
      <c r="AJ871" t="str">
        <f t="shared" si="66"/>
        <v>MSN LABORATORIES PRIVATE</v>
      </c>
      <c r="AK871" t="str">
        <f>IF(ISNUMBER(SEARCH("FABRICANTE",AC871)),"FABRICANTE",IF(ISNUMBER(SEARCH("IMPORTADOR",AC871)),"IMPORTADOR","OTRO"))</f>
        <v>IMPORTADOR</v>
      </c>
      <c r="AL871" t="str">
        <f>IF(LEFT(Y871,1)="A","Sistema digestivo",IF(LEFT(Y871,1)="B","Sangre",IF(LEFT(Y871,1)="C","Cardiovascular",IF(LEFT(Y871,1)="D","Dermatológico",IF(LEFT(Y871,1)="G","Genitourinario",IF(LEFT(Y871,1)="H","Hormonal",IF(LEFT(Y871,1)="J","Antiinfecciosos",IF(LEFT(Y871,1)="L","Oncológicos",IF(LEFT(Y871,1)="M","Musculoesquelético",IF(LEFT(Y871,1)="N","Sistema nervioso",IF(LEFT(Y871,1)="R","Respiratorio",IF(LEFT(Y871,1)="S","Oftálmico",IF(LEFT(Y871,1)="V","Varios","OTRO")))))))))))))</f>
        <v>Sistema nervioso</v>
      </c>
      <c r="AM871" t="str">
        <f>IF(AG871="Vigente","ACTIVO",IF(ISNUMBER(SEARCH("Inactivo",J871)),"INACTIVO","REVISAR"))</f>
        <v>ACTIVO</v>
      </c>
      <c r="AN871">
        <f ca="1">IF(OR(AF871="",AF871="null"),"",ROUND((AF871-TODAY())/365.25,2))</f>
        <v>973.58</v>
      </c>
      <c r="AO871" t="str">
        <f ca="1">IF(AND(AG871="Vigente",OR(AF871="",AF871="null",AF871&gt;TODAY())),"SI",IF(AND(NOT(OR(AF871="",AF871="null")),AF871&lt;=TODAY()),"NO",IF(AG871="Vigente","SI","DESCONOCIDO")))</f>
        <v>SI</v>
      </c>
      <c r="AP871" t="str">
        <f>IF(AND(ISNUMBER(SEARCH("IMPORTAR",AA871)),ISNUMBER(SEARCH("FABRICAR",AA871))),"MIXTO",IF(ISNUMBER(SEARCH("IMPORTAR",AA871)),"IMPORTADO",IF(ISNUMBER(SEARCH("FABRICAR",AA871)),"LOCAL","OTRO")))</f>
        <v>IMPORTADO</v>
      </c>
      <c r="AQ871" t="str">
        <f>IF(AD871="Si","SI",IF(AD871="No","NO",""))</f>
        <v>NO</v>
      </c>
      <c r="AR871" t="str">
        <f>IF(ISNUMBER(SEARCH("®",N871)),"MARCA/INNOVADOR","GENERICO")</f>
        <v>MARCA/INNOVADOR</v>
      </c>
      <c r="AS871">
        <f ca="1">IF(AE871&gt;100,RANDBETWEEN(500,5000),IF(AND(AE871&gt;=10,AE871&lt;=100),RANDBETWEEN(100,1000),RANDBETWEEN(10,200)))</f>
        <v>774</v>
      </c>
      <c r="AT871">
        <f t="shared" ca="1" si="67"/>
        <v>162</v>
      </c>
      <c r="AU871">
        <f ca="1">INT(AS871*RANDBETWEEN(120,200)/100)</f>
        <v>1478</v>
      </c>
      <c r="AV871" s="2">
        <f ca="1">IF(LEFT(Y871,1)="L",RANDBETWEEN(500000,5000000),IF(LEFT(Y871,1)="C",RANDBETWEEN(5000,50000),IF(LEFT(Y871,1)="N",RANDBETWEEN(10000,150000),IF(LEFT(Y871,1)="J",RANDBETWEEN(8000,200000),RANDBETWEEN(5000,100000)))))</f>
        <v>81593</v>
      </c>
      <c r="AW871" s="2">
        <f ca="1">INT(AV871*RANDBETWEEN(30,60)/100)</f>
        <v>31821</v>
      </c>
      <c r="AX871">
        <f ca="1">IF(Z871="ORAL",RANDBETWEEN(1000,10000),IF(OR(Z871="INTRAVENOSA",Z871="INTRAMUSCULAR"),RANDBETWEEN(100,2000),IF(OR(Z871="OFTÁLMICA",Z871="TOPICA (EXTERNA)"),RANDBETWEEN(200,3000),RANDBETWEEN(100,1500))))</f>
        <v>6669</v>
      </c>
      <c r="AY871" s="2">
        <f ca="1">INT(AV871*RANDBETWEEN(90,130)/100)</f>
        <v>75065</v>
      </c>
      <c r="AZ871" t="str">
        <f t="shared" ca="1" si="68"/>
        <v>9.9%</v>
      </c>
      <c r="BA871" t="str">
        <f t="shared" ca="1" si="69"/>
        <v>BAJO</v>
      </c>
    </row>
    <row r="872" spans="4:53" x14ac:dyDescent="0.35">
      <c r="D872" t="s">
        <v>5475</v>
      </c>
      <c r="E872" s="1">
        <v>42590</v>
      </c>
      <c r="F872" t="s">
        <v>2246</v>
      </c>
      <c r="G872" t="s">
        <v>108</v>
      </c>
      <c r="H872" t="s">
        <v>5476</v>
      </c>
      <c r="I872">
        <v>20066852</v>
      </c>
      <c r="J872" t="s">
        <v>28</v>
      </c>
      <c r="K872">
        <v>2</v>
      </c>
      <c r="L872" t="s">
        <v>5477</v>
      </c>
      <c r="M872" t="s">
        <v>2248</v>
      </c>
      <c r="N872" t="s">
        <v>2249</v>
      </c>
      <c r="O872" t="s">
        <v>5478</v>
      </c>
      <c r="P872" t="s">
        <v>97</v>
      </c>
      <c r="Q872" s="1">
        <v>42536</v>
      </c>
      <c r="R872" t="s">
        <v>33</v>
      </c>
      <c r="S872" t="s">
        <v>27</v>
      </c>
      <c r="T872" t="s">
        <v>1490</v>
      </c>
      <c r="U872" t="s">
        <v>115</v>
      </c>
      <c r="V872" t="s">
        <v>2251</v>
      </c>
      <c r="W872">
        <v>300</v>
      </c>
      <c r="X872">
        <v>20066852</v>
      </c>
      <c r="Y872" t="s">
        <v>2252</v>
      </c>
      <c r="Z872" t="s">
        <v>119</v>
      </c>
      <c r="AA872" t="s">
        <v>165</v>
      </c>
      <c r="AB872" t="s">
        <v>120</v>
      </c>
      <c r="AC872" t="s">
        <v>25</v>
      </c>
      <c r="AD872" t="s">
        <v>121</v>
      </c>
      <c r="AE872">
        <v>10</v>
      </c>
      <c r="AF872" t="s">
        <v>27</v>
      </c>
      <c r="AG872" t="s">
        <v>26</v>
      </c>
      <c r="AH872" t="s">
        <v>6771</v>
      </c>
      <c r="AI872" t="str">
        <f t="shared" si="65"/>
        <v>NO</v>
      </c>
      <c r="AJ872" t="str">
        <f t="shared" si="66"/>
        <v>LABORATORIO FRANCO COLOMBIANO - LAFRANCOL</v>
      </c>
      <c r="AK872" t="str">
        <f>IF(ISNUMBER(SEARCH("FABRICANTE",AC872)),"FABRICANTE",IF(ISNUMBER(SEARCH("IMPORTADOR",AC872)),"IMPORTADOR","OTRO"))</f>
        <v>FABRICANTE</v>
      </c>
      <c r="AL872" t="str">
        <f>IF(LEFT(Y872,1)="A","Sistema digestivo",IF(LEFT(Y872,1)="B","Sangre",IF(LEFT(Y872,1)="C","Cardiovascular",IF(LEFT(Y872,1)="D","Dermatológico",IF(LEFT(Y872,1)="G","Genitourinario",IF(LEFT(Y872,1)="H","Hormonal",IF(LEFT(Y872,1)="J","Antiinfecciosos",IF(LEFT(Y872,1)="L","Oncológicos",IF(LEFT(Y872,1)="M","Musculoesquelético",IF(LEFT(Y872,1)="N","Sistema nervioso",IF(LEFT(Y872,1)="R","Respiratorio",IF(LEFT(Y872,1)="S","Oftálmico",IF(LEFT(Y872,1)="V","Varios","OTRO")))))))))))))</f>
        <v>Sistema digestivo</v>
      </c>
      <c r="AM872" t="str">
        <f>IF(AG872="Vigente","ACTIVO",IF(ISNUMBER(SEARCH("Inactivo",J872)),"INACTIVO","REVISAR"))</f>
        <v>ACTIVO</v>
      </c>
      <c r="AN872" t="str">
        <f ca="1">IF(OR(AF872="",AF872="null"),"",ROUND((AF872-TODAY())/365.25,2))</f>
        <v/>
      </c>
      <c r="AO872" t="str">
        <f ca="1">IF(AND(AG872="Vigente",OR(AF872="",AF872="null",AF872&gt;TODAY())),"SI",IF(AND(NOT(OR(AF872="",AF872="null")),AF872&lt;=TODAY()),"NO",IF(AG872="Vigente","SI","DESCONOCIDO")))</f>
        <v>SI</v>
      </c>
      <c r="AP872" t="str">
        <f>IF(AND(ISNUMBER(SEARCH("IMPORTAR",AA872)),ISNUMBER(SEARCH("FABRICAR",AA872))),"MIXTO",IF(ISNUMBER(SEARCH("IMPORTAR",AA872)),"IMPORTADO",IF(ISNUMBER(SEARCH("FABRICAR",AA872)),"LOCAL","OTRO")))</f>
        <v>IMPORTADO</v>
      </c>
      <c r="AQ872" t="str">
        <f>IF(AD872="Si","SI",IF(AD872="No","NO",""))</f>
        <v>NO</v>
      </c>
      <c r="AR872" t="str">
        <f>IF(ISNUMBER(SEARCH("®",N872)),"MARCA/INNOVADOR","GENERICO")</f>
        <v>MARCA/INNOVADOR</v>
      </c>
      <c r="AS872">
        <f ca="1">IF(AE872&gt;100,RANDBETWEEN(500,5000),IF(AND(AE872&gt;=10,AE872&lt;=100),RANDBETWEEN(100,1000),RANDBETWEEN(10,200)))</f>
        <v>327</v>
      </c>
      <c r="AT872">
        <f t="shared" ca="1" si="67"/>
        <v>75</v>
      </c>
      <c r="AU872">
        <f ca="1">INT(AS872*RANDBETWEEN(120,200)/100)</f>
        <v>654</v>
      </c>
      <c r="AV872" s="2">
        <f ca="1">IF(LEFT(Y872,1)="L",RANDBETWEEN(500000,5000000),IF(LEFT(Y872,1)="C",RANDBETWEEN(5000,50000),IF(LEFT(Y872,1)="N",RANDBETWEEN(10000,150000),IF(LEFT(Y872,1)="J",RANDBETWEEN(8000,200000),RANDBETWEEN(5000,100000)))))</f>
        <v>8416</v>
      </c>
      <c r="AW872" s="2">
        <f ca="1">INT(AV872*RANDBETWEEN(30,60)/100)</f>
        <v>4797</v>
      </c>
      <c r="AX872">
        <f ca="1">IF(Z872="ORAL",RANDBETWEEN(1000,10000),IF(OR(Z872="INTRAVENOSA",Z872="INTRAMUSCULAR"),RANDBETWEEN(100,2000),IF(OR(Z872="OFTÁLMICA",Z872="TOPICA (EXTERNA)"),RANDBETWEEN(200,3000),RANDBETWEEN(100,1500))))</f>
        <v>7792</v>
      </c>
      <c r="AY872" s="2">
        <f ca="1">INT(AV872*RANDBETWEEN(90,130)/100)</f>
        <v>9173</v>
      </c>
      <c r="AZ872" t="str">
        <f t="shared" ca="1" si="68"/>
        <v>20.5%</v>
      </c>
      <c r="BA872" t="str">
        <f t="shared" ca="1" si="69"/>
        <v>BAJO</v>
      </c>
    </row>
    <row r="873" spans="4:53" x14ac:dyDescent="0.35">
      <c r="D873" t="s">
        <v>5479</v>
      </c>
      <c r="E873" s="1">
        <v>39840</v>
      </c>
      <c r="F873" t="s">
        <v>5480</v>
      </c>
      <c r="G873" t="s">
        <v>108</v>
      </c>
      <c r="H873" t="s">
        <v>168</v>
      </c>
      <c r="I873">
        <v>19998174</v>
      </c>
      <c r="J873" t="s">
        <v>28</v>
      </c>
      <c r="K873">
        <v>63</v>
      </c>
      <c r="L873" t="s">
        <v>27</v>
      </c>
      <c r="M873" t="s">
        <v>5481</v>
      </c>
      <c r="N873" t="s">
        <v>5482</v>
      </c>
      <c r="O873" t="s">
        <v>5483</v>
      </c>
      <c r="P873" t="s">
        <v>866</v>
      </c>
      <c r="Q873" s="1">
        <v>40665</v>
      </c>
      <c r="R873" t="s">
        <v>867</v>
      </c>
      <c r="S873" t="s">
        <v>27</v>
      </c>
      <c r="T873" t="s">
        <v>172</v>
      </c>
      <c r="U873" t="s">
        <v>115</v>
      </c>
      <c r="V873" t="s">
        <v>1233</v>
      </c>
      <c r="W873">
        <v>1200</v>
      </c>
      <c r="X873">
        <v>19998174</v>
      </c>
      <c r="Y873" t="s">
        <v>1234</v>
      </c>
      <c r="Z873" t="s">
        <v>119</v>
      </c>
      <c r="AA873" t="s">
        <v>24</v>
      </c>
      <c r="AB873" t="s">
        <v>120</v>
      </c>
      <c r="AC873" t="s">
        <v>25</v>
      </c>
      <c r="AD873" t="s">
        <v>155</v>
      </c>
      <c r="AE873">
        <v>15</v>
      </c>
      <c r="AF873" t="s">
        <v>27</v>
      </c>
      <c r="AG873" t="s">
        <v>26</v>
      </c>
      <c r="AH873" t="s">
        <v>5480</v>
      </c>
      <c r="AI873" t="str">
        <f t="shared" si="65"/>
        <v>NO</v>
      </c>
      <c r="AJ873" t="str">
        <f t="shared" si="66"/>
        <v>NOVAMED</v>
      </c>
      <c r="AK873" t="str">
        <f>IF(ISNUMBER(SEARCH("FABRICANTE",AC873)),"FABRICANTE",IF(ISNUMBER(SEARCH("IMPORTADOR",AC873)),"IMPORTADOR","OTRO"))</f>
        <v>FABRICANTE</v>
      </c>
      <c r="AL873" t="str">
        <f>IF(LEFT(Y873,1)="A","Sistema digestivo",IF(LEFT(Y873,1)="B","Sangre",IF(LEFT(Y873,1)="C","Cardiovascular",IF(LEFT(Y873,1)="D","Dermatológico",IF(LEFT(Y873,1)="G","Genitourinario",IF(LEFT(Y873,1)="H","Hormonal",IF(LEFT(Y873,1)="J","Antiinfecciosos",IF(LEFT(Y873,1)="L","Oncológicos",IF(LEFT(Y873,1)="M","Musculoesquelético",IF(LEFT(Y873,1)="N","Sistema nervioso",IF(LEFT(Y873,1)="R","Respiratorio",IF(LEFT(Y873,1)="S","Oftálmico",IF(LEFT(Y873,1)="V","Varios","OTRO")))))))))))))</f>
        <v>Musculoesquelético</v>
      </c>
      <c r="AM873" t="str">
        <f>IF(AG873="Vigente","ACTIVO",IF(ISNUMBER(SEARCH("Inactivo",J873)),"INACTIVO","REVISAR"))</f>
        <v>ACTIVO</v>
      </c>
      <c r="AN873" t="str">
        <f ca="1">IF(OR(AF873="",AF873="null"),"",ROUND((AF873-TODAY())/365.25,2))</f>
        <v/>
      </c>
      <c r="AO873" t="str">
        <f ca="1">IF(AND(AG873="Vigente",OR(AF873="",AF873="null",AF873&gt;TODAY())),"SI",IF(AND(NOT(OR(AF873="",AF873="null")),AF873&lt;=TODAY()),"NO",IF(AG873="Vigente","SI","DESCONOCIDO")))</f>
        <v>SI</v>
      </c>
      <c r="AP873" t="str">
        <f>IF(AND(ISNUMBER(SEARCH("IMPORTAR",AA873)),ISNUMBER(SEARCH("FABRICAR",AA873))),"MIXTO",IF(ISNUMBER(SEARCH("IMPORTAR",AA873)),"IMPORTADO",IF(ISNUMBER(SEARCH("FABRICAR",AA873)),"LOCAL","OTRO")))</f>
        <v>LOCAL</v>
      </c>
      <c r="AQ873" t="str">
        <f>IF(AD873="Si","SI",IF(AD873="No","NO",""))</f>
        <v>SI</v>
      </c>
      <c r="AR873" t="str">
        <f>IF(ISNUMBER(SEARCH("®",N873)),"MARCA/INNOVADOR","GENERICO")</f>
        <v>MARCA/INNOVADOR</v>
      </c>
      <c r="AS873">
        <f ca="1">IF(AE873&gt;100,RANDBETWEEN(500,5000),IF(AND(AE873&gt;=10,AE873&lt;=100),RANDBETWEEN(100,1000),RANDBETWEEN(10,200)))</f>
        <v>277</v>
      </c>
      <c r="AT873">
        <f t="shared" ca="1" si="67"/>
        <v>27</v>
      </c>
      <c r="AU873">
        <f ca="1">INT(AS873*RANDBETWEEN(120,200)/100)</f>
        <v>501</v>
      </c>
      <c r="AV873" s="2">
        <f ca="1">IF(LEFT(Y873,1)="L",RANDBETWEEN(500000,5000000),IF(LEFT(Y873,1)="C",RANDBETWEEN(5000,50000),IF(LEFT(Y873,1)="N",RANDBETWEEN(10000,150000),IF(LEFT(Y873,1)="J",RANDBETWEEN(8000,200000),RANDBETWEEN(5000,100000)))))</f>
        <v>35601</v>
      </c>
      <c r="AW873" s="2">
        <f ca="1">INT(AV873*RANDBETWEEN(30,60)/100)</f>
        <v>21360</v>
      </c>
      <c r="AX873">
        <f ca="1">IF(Z873="ORAL",RANDBETWEEN(1000,10000),IF(OR(Z873="INTRAVENOSA",Z873="INTRAMUSCULAR"),RANDBETWEEN(100,2000),IF(OR(Z873="OFTÁLMICA",Z873="TOPICA (EXTERNA)"),RANDBETWEEN(200,3000),RANDBETWEEN(100,1500))))</f>
        <v>3077</v>
      </c>
      <c r="AY873" s="2">
        <f ca="1">INT(AV873*RANDBETWEEN(90,130)/100)</f>
        <v>35244</v>
      </c>
      <c r="AZ873" t="str">
        <f t="shared" ca="1" si="68"/>
        <v>13.8%</v>
      </c>
      <c r="BA873" t="str">
        <f t="shared" ca="1" si="69"/>
        <v>BAJO</v>
      </c>
    </row>
    <row r="874" spans="4:53" x14ac:dyDescent="0.35">
      <c r="D874" t="s">
        <v>5484</v>
      </c>
      <c r="E874" s="1">
        <v>41164</v>
      </c>
      <c r="F874" t="s">
        <v>453</v>
      </c>
      <c r="G874" t="s">
        <v>108</v>
      </c>
      <c r="H874" t="s">
        <v>928</v>
      </c>
      <c r="I874">
        <v>20043354</v>
      </c>
      <c r="J874" t="s">
        <v>28</v>
      </c>
      <c r="K874">
        <v>3</v>
      </c>
      <c r="L874" t="s">
        <v>27</v>
      </c>
      <c r="M874" t="s">
        <v>5485</v>
      </c>
      <c r="N874" t="s">
        <v>5486</v>
      </c>
      <c r="O874" t="s">
        <v>5487</v>
      </c>
      <c r="P874" t="s">
        <v>5488</v>
      </c>
      <c r="Q874" s="1">
        <v>41290</v>
      </c>
      <c r="R874" t="s">
        <v>459</v>
      </c>
      <c r="S874" t="s">
        <v>27</v>
      </c>
      <c r="T874" t="s">
        <v>928</v>
      </c>
      <c r="U874" t="s">
        <v>115</v>
      </c>
      <c r="V874" t="s">
        <v>1343</v>
      </c>
      <c r="W874">
        <v>100</v>
      </c>
      <c r="X874">
        <v>20043354</v>
      </c>
      <c r="Y874" t="s">
        <v>1344</v>
      </c>
      <c r="Z874" t="s">
        <v>119</v>
      </c>
      <c r="AA874" t="s">
        <v>24</v>
      </c>
      <c r="AB874" t="s">
        <v>250</v>
      </c>
      <c r="AC874" t="s">
        <v>25</v>
      </c>
      <c r="AD874" t="s">
        <v>121</v>
      </c>
      <c r="AE874">
        <v>1</v>
      </c>
      <c r="AF874" t="s">
        <v>27</v>
      </c>
      <c r="AG874" t="s">
        <v>26</v>
      </c>
      <c r="AH874" t="s">
        <v>453</v>
      </c>
      <c r="AI874" t="str">
        <f t="shared" si="65"/>
        <v>NO</v>
      </c>
      <c r="AJ874" t="str">
        <f t="shared" si="66"/>
        <v>LABORATORIOS ECAR</v>
      </c>
      <c r="AK874" t="str">
        <f>IF(ISNUMBER(SEARCH("FABRICANTE",AC874)),"FABRICANTE",IF(ISNUMBER(SEARCH("IMPORTADOR",AC874)),"IMPORTADOR","OTRO"))</f>
        <v>FABRICANTE</v>
      </c>
      <c r="AL874" t="str">
        <f>IF(LEFT(Y874,1)="A","Sistema digestivo",IF(LEFT(Y874,1)="B","Sangre",IF(LEFT(Y874,1)="C","Cardiovascular",IF(LEFT(Y874,1)="D","Dermatológico",IF(LEFT(Y874,1)="G","Genitourinario",IF(LEFT(Y874,1)="H","Hormonal",IF(LEFT(Y874,1)="J","Antiinfecciosos",IF(LEFT(Y874,1)="L","Oncológicos",IF(LEFT(Y874,1)="M","Musculoesquelético",IF(LEFT(Y874,1)="N","Sistema nervioso",IF(LEFT(Y874,1)="R","Respiratorio",IF(LEFT(Y874,1)="S","Oftálmico",IF(LEFT(Y874,1)="V","Varios","OTRO")))))))))))))</f>
        <v>Respiratorio</v>
      </c>
      <c r="AM874" t="str">
        <f>IF(AG874="Vigente","ACTIVO",IF(ISNUMBER(SEARCH("Inactivo",J874)),"INACTIVO","REVISAR"))</f>
        <v>ACTIVO</v>
      </c>
      <c r="AN874" t="str">
        <f ca="1">IF(OR(AF874="",AF874="null"),"",ROUND((AF874-TODAY())/365.25,2))</f>
        <v/>
      </c>
      <c r="AO874" t="str">
        <f ca="1">IF(AND(AG874="Vigente",OR(AF874="",AF874="null",AF874&gt;TODAY())),"SI",IF(AND(NOT(OR(AF874="",AF874="null")),AF874&lt;=TODAY()),"NO",IF(AG874="Vigente","SI","DESCONOCIDO")))</f>
        <v>SI</v>
      </c>
      <c r="AP874" t="str">
        <f>IF(AND(ISNUMBER(SEARCH("IMPORTAR",AA874)),ISNUMBER(SEARCH("FABRICAR",AA874))),"MIXTO",IF(ISNUMBER(SEARCH("IMPORTAR",AA874)),"IMPORTADO",IF(ISNUMBER(SEARCH("FABRICAR",AA874)),"LOCAL","OTRO")))</f>
        <v>LOCAL</v>
      </c>
      <c r="AQ874" t="str">
        <f>IF(AD874="Si","SI",IF(AD874="No","NO",""))</f>
        <v>NO</v>
      </c>
      <c r="AR874" t="str">
        <f>IF(ISNUMBER(SEARCH("®",N874)),"MARCA/INNOVADOR","GENERICO")</f>
        <v>GENERICO</v>
      </c>
      <c r="AS874">
        <f ca="1">IF(AE874&gt;100,RANDBETWEEN(500,5000),IF(AND(AE874&gt;=10,AE874&lt;=100),RANDBETWEEN(100,1000),RANDBETWEEN(10,200)))</f>
        <v>130</v>
      </c>
      <c r="AT874">
        <f t="shared" ca="1" si="67"/>
        <v>35</v>
      </c>
      <c r="AU874">
        <f ca="1">INT(AS874*RANDBETWEEN(120,200)/100)</f>
        <v>204</v>
      </c>
      <c r="AV874" s="2">
        <f ca="1">IF(LEFT(Y874,1)="L",RANDBETWEEN(500000,5000000),IF(LEFT(Y874,1)="C",RANDBETWEEN(5000,50000),IF(LEFT(Y874,1)="N",RANDBETWEEN(10000,150000),IF(LEFT(Y874,1)="J",RANDBETWEEN(8000,200000),RANDBETWEEN(5000,100000)))))</f>
        <v>47261</v>
      </c>
      <c r="AW874" s="2">
        <f ca="1">INT(AV874*RANDBETWEEN(30,60)/100)</f>
        <v>23630</v>
      </c>
      <c r="AX874">
        <f ca="1">IF(Z874="ORAL",RANDBETWEEN(1000,10000),IF(OR(Z874="INTRAVENOSA",Z874="INTRAMUSCULAR"),RANDBETWEEN(100,2000),IF(OR(Z874="OFTÁLMICA",Z874="TOPICA (EXTERNA)"),RANDBETWEEN(200,3000),RANDBETWEEN(100,1500))))</f>
        <v>1194</v>
      </c>
      <c r="AY874" s="2">
        <f ca="1">INT(AV874*RANDBETWEEN(90,130)/100)</f>
        <v>55295</v>
      </c>
      <c r="AZ874" t="str">
        <f t="shared" ca="1" si="68"/>
        <v>5.1%</v>
      </c>
      <c r="BA874" t="str">
        <f t="shared" ca="1" si="69"/>
        <v>BAJO</v>
      </c>
    </row>
    <row r="875" spans="4:53" x14ac:dyDescent="0.35">
      <c r="D875" t="s">
        <v>5489</v>
      </c>
      <c r="E875" s="1">
        <v>41862</v>
      </c>
      <c r="F875" t="s">
        <v>1303</v>
      </c>
      <c r="G875" t="s">
        <v>108</v>
      </c>
      <c r="H875" t="s">
        <v>44</v>
      </c>
      <c r="I875">
        <v>20066231</v>
      </c>
      <c r="J875" t="s">
        <v>28</v>
      </c>
      <c r="K875">
        <v>1</v>
      </c>
      <c r="L875" t="s">
        <v>27</v>
      </c>
      <c r="M875" t="s">
        <v>5490</v>
      </c>
      <c r="N875" t="s">
        <v>5491</v>
      </c>
      <c r="O875" t="s">
        <v>5492</v>
      </c>
      <c r="P875" t="s">
        <v>5493</v>
      </c>
      <c r="Q875" s="1">
        <v>41698</v>
      </c>
      <c r="R875" t="s">
        <v>2301</v>
      </c>
      <c r="S875" t="s">
        <v>27</v>
      </c>
      <c r="T875" t="s">
        <v>5494</v>
      </c>
      <c r="U875" t="s">
        <v>247</v>
      </c>
      <c r="V875" t="s">
        <v>1303</v>
      </c>
      <c r="W875">
        <v>2</v>
      </c>
      <c r="X875">
        <v>20066231</v>
      </c>
      <c r="Y875" t="s">
        <v>1304</v>
      </c>
      <c r="Z875" t="s">
        <v>1305</v>
      </c>
      <c r="AA875" t="s">
        <v>24</v>
      </c>
      <c r="AB875" t="s">
        <v>653</v>
      </c>
      <c r="AC875" t="s">
        <v>25</v>
      </c>
      <c r="AD875" t="s">
        <v>121</v>
      </c>
      <c r="AE875">
        <v>1</v>
      </c>
      <c r="AF875" t="s">
        <v>27</v>
      </c>
      <c r="AG875" t="s">
        <v>26</v>
      </c>
      <c r="AH875" t="s">
        <v>1303</v>
      </c>
      <c r="AI875" t="str">
        <f t="shared" si="65"/>
        <v>NO</v>
      </c>
      <c r="AJ875" t="str">
        <f t="shared" si="66"/>
        <v>CARE &amp; CURE</v>
      </c>
      <c r="AK875" t="str">
        <f>IF(ISNUMBER(SEARCH("FABRICANTE",AC875)),"FABRICANTE",IF(ISNUMBER(SEARCH("IMPORTADOR",AC875)),"IMPORTADOR","OTRO"))</f>
        <v>FABRICANTE</v>
      </c>
      <c r="AL875" t="str">
        <f>IF(LEFT(Y875,1)="A","Sistema digestivo",IF(LEFT(Y875,1)="B","Sangre",IF(LEFT(Y875,1)="C","Cardiovascular",IF(LEFT(Y875,1)="D","Dermatológico",IF(LEFT(Y875,1)="G","Genitourinario",IF(LEFT(Y875,1)="H","Hormonal",IF(LEFT(Y875,1)="J","Antiinfecciosos",IF(LEFT(Y875,1)="L","Oncológicos",IF(LEFT(Y875,1)="M","Musculoesquelético",IF(LEFT(Y875,1)="N","Sistema nervioso",IF(LEFT(Y875,1)="R","Respiratorio",IF(LEFT(Y875,1)="S","Oftálmico",IF(LEFT(Y875,1)="V","Varios","OTRO")))))))))))))</f>
        <v>Genitourinario</v>
      </c>
      <c r="AM875" t="str">
        <f>IF(AG875="Vigente","ACTIVO",IF(ISNUMBER(SEARCH("Inactivo",J875)),"INACTIVO","REVISAR"))</f>
        <v>ACTIVO</v>
      </c>
      <c r="AN875" t="str">
        <f ca="1">IF(OR(AF875="",AF875="null"),"",ROUND((AF875-TODAY())/365.25,2))</f>
        <v/>
      </c>
      <c r="AO875" t="str">
        <f ca="1">IF(AND(AG875="Vigente",OR(AF875="",AF875="null",AF875&gt;TODAY())),"SI",IF(AND(NOT(OR(AF875="",AF875="null")),AF875&lt;=TODAY()),"NO",IF(AG875="Vigente","SI","DESCONOCIDO")))</f>
        <v>SI</v>
      </c>
      <c r="AP875" t="str">
        <f>IF(AND(ISNUMBER(SEARCH("IMPORTAR",AA875)),ISNUMBER(SEARCH("FABRICAR",AA875))),"MIXTO",IF(ISNUMBER(SEARCH("IMPORTAR",AA875)),"IMPORTADO",IF(ISNUMBER(SEARCH("FABRICAR",AA875)),"LOCAL","OTRO")))</f>
        <v>LOCAL</v>
      </c>
      <c r="AQ875" t="str">
        <f>IF(AD875="Si","SI",IF(AD875="No","NO",""))</f>
        <v>NO</v>
      </c>
      <c r="AR875" t="str">
        <f>IF(ISNUMBER(SEARCH("®",N875)),"MARCA/INNOVADOR","GENERICO")</f>
        <v>MARCA/INNOVADOR</v>
      </c>
      <c r="AS875">
        <f ca="1">IF(AE875&gt;100,RANDBETWEEN(500,5000),IF(AND(AE875&gt;=10,AE875&lt;=100),RANDBETWEEN(100,1000),RANDBETWEEN(10,200)))</f>
        <v>81</v>
      </c>
      <c r="AT875">
        <f t="shared" ca="1" si="67"/>
        <v>12</v>
      </c>
      <c r="AU875">
        <f ca="1">INT(AS875*RANDBETWEEN(120,200)/100)</f>
        <v>127</v>
      </c>
      <c r="AV875" s="2">
        <f ca="1">IF(LEFT(Y875,1)="L",RANDBETWEEN(500000,5000000),IF(LEFT(Y875,1)="C",RANDBETWEEN(5000,50000),IF(LEFT(Y875,1)="N",RANDBETWEEN(10000,150000),IF(LEFT(Y875,1)="J",RANDBETWEEN(8000,200000),RANDBETWEEN(5000,100000)))))</f>
        <v>11679</v>
      </c>
      <c r="AW875" s="2">
        <f ca="1">INT(AV875*RANDBETWEEN(30,60)/100)</f>
        <v>4087</v>
      </c>
      <c r="AX875">
        <f ca="1">IF(Z875="ORAL",RANDBETWEEN(1000,10000),IF(OR(Z875="INTRAVENOSA",Z875="INTRAMUSCULAR"),RANDBETWEEN(100,2000),IF(OR(Z875="OFTÁLMICA",Z875="TOPICA (EXTERNA)"),RANDBETWEEN(200,3000),RANDBETWEEN(100,1500))))</f>
        <v>385</v>
      </c>
      <c r="AY875" s="2">
        <f ca="1">INT(AV875*RANDBETWEEN(90,130)/100)</f>
        <v>11562</v>
      </c>
      <c r="AZ875" t="str">
        <f t="shared" ca="1" si="68"/>
        <v>2%</v>
      </c>
      <c r="BA875" t="str">
        <f t="shared" ca="1" si="69"/>
        <v>BAJO</v>
      </c>
    </row>
    <row r="876" spans="4:53" x14ac:dyDescent="0.35">
      <c r="D876" t="s">
        <v>5495</v>
      </c>
      <c r="E876" s="1">
        <v>39568</v>
      </c>
      <c r="F876" t="s">
        <v>5496</v>
      </c>
      <c r="G876" t="s">
        <v>108</v>
      </c>
      <c r="H876" t="s">
        <v>801</v>
      </c>
      <c r="I876">
        <v>19983100</v>
      </c>
      <c r="J876" t="s">
        <v>28</v>
      </c>
      <c r="K876">
        <v>6</v>
      </c>
      <c r="L876" t="s">
        <v>27</v>
      </c>
      <c r="M876" t="s">
        <v>802</v>
      </c>
      <c r="N876" t="s">
        <v>803</v>
      </c>
      <c r="O876" t="s">
        <v>5201</v>
      </c>
      <c r="P876" t="s">
        <v>805</v>
      </c>
      <c r="Q876" s="1">
        <v>42541</v>
      </c>
      <c r="R876" t="s">
        <v>50</v>
      </c>
      <c r="S876" t="s">
        <v>27</v>
      </c>
      <c r="T876" t="s">
        <v>806</v>
      </c>
      <c r="U876" t="s">
        <v>807</v>
      </c>
      <c r="V876" t="s">
        <v>808</v>
      </c>
      <c r="W876">
        <v>25</v>
      </c>
      <c r="X876">
        <v>19983100</v>
      </c>
      <c r="Y876" t="s">
        <v>809</v>
      </c>
      <c r="Z876" t="s">
        <v>132</v>
      </c>
      <c r="AA876" t="s">
        <v>32</v>
      </c>
      <c r="AB876" t="s">
        <v>239</v>
      </c>
      <c r="AC876" t="s">
        <v>38</v>
      </c>
      <c r="AD876" t="s">
        <v>121</v>
      </c>
      <c r="AE876">
        <v>10</v>
      </c>
      <c r="AF876" s="1">
        <v>401769</v>
      </c>
      <c r="AG876" t="s">
        <v>26</v>
      </c>
      <c r="AH876" t="s">
        <v>120</v>
      </c>
      <c r="AI876" t="str">
        <f t="shared" si="65"/>
        <v>NO</v>
      </c>
      <c r="AJ876" t="str">
        <f t="shared" si="66"/>
        <v>MERCK SHARP &amp; DOHME</v>
      </c>
      <c r="AK876" t="str">
        <f>IF(ISNUMBER(SEARCH("FABRICANTE",AC876)),"FABRICANTE",IF(ISNUMBER(SEARCH("IMPORTADOR",AC876)),"IMPORTADOR","OTRO"))</f>
        <v>IMPORTADOR</v>
      </c>
      <c r="AL876" t="str">
        <f>IF(LEFT(Y876,1)="A","Sistema digestivo",IF(LEFT(Y876,1)="B","Sangre",IF(LEFT(Y876,1)="C","Cardiovascular",IF(LEFT(Y876,1)="D","Dermatológico",IF(LEFT(Y876,1)="G","Genitourinario",IF(LEFT(Y876,1)="H","Hormonal",IF(LEFT(Y876,1)="J","Antiinfecciosos",IF(LEFT(Y876,1)="L","Oncológicos",IF(LEFT(Y876,1)="M","Musculoesquelético",IF(LEFT(Y876,1)="N","Sistema nervioso",IF(LEFT(Y876,1)="R","Respiratorio",IF(LEFT(Y876,1)="S","Oftálmico",IF(LEFT(Y876,1)="V","Varios","OTRO")))))))))))))</f>
        <v>Antiinfecciosos</v>
      </c>
      <c r="AM876" t="str">
        <f>IF(AG876="Vigente","ACTIVO",IF(ISNUMBER(SEARCH("Inactivo",J876)),"INACTIVO","REVISAR"))</f>
        <v>ACTIVO</v>
      </c>
      <c r="AN876">
        <f ca="1">IF(OR(AF876="",AF876="null"),"",ROUND((AF876-TODAY())/365.25,2))</f>
        <v>973.58</v>
      </c>
      <c r="AO876" t="str">
        <f ca="1">IF(AND(AG876="Vigente",OR(AF876="",AF876="null",AF876&gt;TODAY())),"SI",IF(AND(NOT(OR(AF876="",AF876="null")),AF876&lt;=TODAY()),"NO",IF(AG876="Vigente","SI","DESCONOCIDO")))</f>
        <v>SI</v>
      </c>
      <c r="AP876" t="str">
        <f>IF(AND(ISNUMBER(SEARCH("IMPORTAR",AA876)),ISNUMBER(SEARCH("FABRICAR",AA876))),"MIXTO",IF(ISNUMBER(SEARCH("IMPORTAR",AA876)),"IMPORTADO",IF(ISNUMBER(SEARCH("FABRICAR",AA876)),"LOCAL","OTRO")))</f>
        <v>IMPORTADO</v>
      </c>
      <c r="AQ876" t="str">
        <f>IF(AD876="Si","SI",IF(AD876="No","NO",""))</f>
        <v>NO</v>
      </c>
      <c r="AR876" t="str">
        <f>IF(ISNUMBER(SEARCH("®",N876)),"MARCA/INNOVADOR","GENERICO")</f>
        <v>MARCA/INNOVADOR</v>
      </c>
      <c r="AS876">
        <f ca="1">IF(AE876&gt;100,RANDBETWEEN(500,5000),IF(AND(AE876&gt;=10,AE876&lt;=100),RANDBETWEEN(100,1000),RANDBETWEEN(10,200)))</f>
        <v>464</v>
      </c>
      <c r="AT876">
        <f t="shared" ca="1" si="67"/>
        <v>88</v>
      </c>
      <c r="AU876">
        <f ca="1">INT(AS876*RANDBETWEEN(120,200)/100)</f>
        <v>858</v>
      </c>
      <c r="AV876" s="2">
        <f ca="1">IF(LEFT(Y876,1)="L",RANDBETWEEN(500000,5000000),IF(LEFT(Y876,1)="C",RANDBETWEEN(5000,50000),IF(LEFT(Y876,1)="N",RANDBETWEEN(10000,150000),IF(LEFT(Y876,1)="J",RANDBETWEEN(8000,200000),RANDBETWEEN(5000,100000)))))</f>
        <v>149944</v>
      </c>
      <c r="AW876" s="2">
        <f ca="1">INT(AV876*RANDBETWEEN(30,60)/100)</f>
        <v>70473</v>
      </c>
      <c r="AX876">
        <f ca="1">IF(Z876="ORAL",RANDBETWEEN(1000,10000),IF(OR(Z876="INTRAVENOSA",Z876="INTRAMUSCULAR"),RANDBETWEEN(100,2000),IF(OR(Z876="OFTÁLMICA",Z876="TOPICA (EXTERNA)"),RANDBETWEEN(200,3000),RANDBETWEEN(100,1500))))</f>
        <v>1114</v>
      </c>
      <c r="AY876" s="2">
        <f ca="1">INT(AV876*RANDBETWEEN(90,130)/100)</f>
        <v>190428</v>
      </c>
      <c r="AZ876" t="str">
        <f t="shared" ca="1" si="68"/>
        <v>3.3%</v>
      </c>
      <c r="BA876" t="str">
        <f t="shared" ca="1" si="69"/>
        <v>BAJO</v>
      </c>
    </row>
    <row r="877" spans="4:53" x14ac:dyDescent="0.35">
      <c r="D877" t="s">
        <v>5497</v>
      </c>
      <c r="E877" s="1">
        <v>44267</v>
      </c>
      <c r="F877" t="s">
        <v>145</v>
      </c>
      <c r="G877" t="s">
        <v>108</v>
      </c>
      <c r="H877" t="s">
        <v>146</v>
      </c>
      <c r="I877">
        <v>20163993</v>
      </c>
      <c r="J877" t="s">
        <v>110</v>
      </c>
      <c r="K877">
        <v>4</v>
      </c>
      <c r="L877" t="s">
        <v>27</v>
      </c>
      <c r="M877" t="s">
        <v>147</v>
      </c>
      <c r="N877" t="s">
        <v>148</v>
      </c>
      <c r="O877" t="s">
        <v>5498</v>
      </c>
      <c r="P877" t="s">
        <v>150</v>
      </c>
      <c r="Q877" s="1">
        <v>44211</v>
      </c>
      <c r="R877" t="s">
        <v>151</v>
      </c>
      <c r="S877" t="s">
        <v>27</v>
      </c>
      <c r="T877" t="s">
        <v>146</v>
      </c>
      <c r="U877" t="s">
        <v>115</v>
      </c>
      <c r="V877" t="s">
        <v>152</v>
      </c>
      <c r="W877">
        <v>9</v>
      </c>
      <c r="X877">
        <v>20163993</v>
      </c>
      <c r="Y877" t="s">
        <v>153</v>
      </c>
      <c r="Z877" t="s">
        <v>154</v>
      </c>
      <c r="AA877" t="s">
        <v>24</v>
      </c>
      <c r="AB877" t="s">
        <v>133</v>
      </c>
      <c r="AC877" t="s">
        <v>25</v>
      </c>
      <c r="AD877" t="s">
        <v>155</v>
      </c>
      <c r="AE877">
        <v>5</v>
      </c>
      <c r="AF877" t="s">
        <v>27</v>
      </c>
      <c r="AG877" t="s">
        <v>26</v>
      </c>
      <c r="AH877" t="s">
        <v>145</v>
      </c>
      <c r="AI877" t="str">
        <f t="shared" si="65"/>
        <v>NO</v>
      </c>
      <c r="AJ877" t="str">
        <f t="shared" si="66"/>
        <v>TECNOFAR TQ</v>
      </c>
      <c r="AK877" t="str">
        <f>IF(ISNUMBER(SEARCH("FABRICANTE",AC877)),"FABRICANTE",IF(ISNUMBER(SEARCH("IMPORTADOR",AC877)),"IMPORTADOR","OTRO"))</f>
        <v>FABRICANTE</v>
      </c>
      <c r="AL877" t="str">
        <f>IF(LEFT(Y877,1)="A","Sistema digestivo",IF(LEFT(Y877,1)="B","Sangre",IF(LEFT(Y877,1)="C","Cardiovascular",IF(LEFT(Y877,1)="D","Dermatológico",IF(LEFT(Y877,1)="G","Genitourinario",IF(LEFT(Y877,1)="H","Hormonal",IF(LEFT(Y877,1)="J","Antiinfecciosos",IF(LEFT(Y877,1)="L","Oncológicos",IF(LEFT(Y877,1)="M","Musculoesquelético",IF(LEFT(Y877,1)="N","Sistema nervioso",IF(LEFT(Y877,1)="R","Respiratorio",IF(LEFT(Y877,1)="S","Oftálmico",IF(LEFT(Y877,1)="V","Varios","OTRO")))))))))))))</f>
        <v>Oftálmico</v>
      </c>
      <c r="AM877" t="str">
        <f>IF(AG877="Vigente","ACTIVO",IF(ISNUMBER(SEARCH("Inactivo",J877)),"INACTIVO","REVISAR"))</f>
        <v>ACTIVO</v>
      </c>
      <c r="AN877" t="str">
        <f ca="1">IF(OR(AF877="",AF877="null"),"",ROUND((AF877-TODAY())/365.25,2))</f>
        <v/>
      </c>
      <c r="AO877" t="str">
        <f ca="1">IF(AND(AG877="Vigente",OR(AF877="",AF877="null",AF877&gt;TODAY())),"SI",IF(AND(NOT(OR(AF877="",AF877="null")),AF877&lt;=TODAY()),"NO",IF(AG877="Vigente","SI","DESCONOCIDO")))</f>
        <v>SI</v>
      </c>
      <c r="AP877" t="str">
        <f>IF(AND(ISNUMBER(SEARCH("IMPORTAR",AA877)),ISNUMBER(SEARCH("FABRICAR",AA877))),"MIXTO",IF(ISNUMBER(SEARCH("IMPORTAR",AA877)),"IMPORTADO",IF(ISNUMBER(SEARCH("FABRICAR",AA877)),"LOCAL","OTRO")))</f>
        <v>LOCAL</v>
      </c>
      <c r="AQ877" t="str">
        <f>IF(AD877="Si","SI",IF(AD877="No","NO",""))</f>
        <v>SI</v>
      </c>
      <c r="AR877" t="str">
        <f>IF(ISNUMBER(SEARCH("®",N877)),"MARCA/INNOVADOR","GENERICO")</f>
        <v>MARCA/INNOVADOR</v>
      </c>
      <c r="AS877">
        <f ca="1">IF(AE877&gt;100,RANDBETWEEN(500,5000),IF(AND(AE877&gt;=10,AE877&lt;=100),RANDBETWEEN(100,1000),RANDBETWEEN(10,200)))</f>
        <v>168</v>
      </c>
      <c r="AT877">
        <f t="shared" ca="1" si="67"/>
        <v>43</v>
      </c>
      <c r="AU877">
        <f ca="1">INT(AS877*RANDBETWEEN(120,200)/100)</f>
        <v>294</v>
      </c>
      <c r="AV877" s="2">
        <f ca="1">IF(LEFT(Y877,1)="L",RANDBETWEEN(500000,5000000),IF(LEFT(Y877,1)="C",RANDBETWEEN(5000,50000),IF(LEFT(Y877,1)="N",RANDBETWEEN(10000,150000),IF(LEFT(Y877,1)="J",RANDBETWEEN(8000,200000),RANDBETWEEN(5000,100000)))))</f>
        <v>99686</v>
      </c>
      <c r="AW877" s="2">
        <f ca="1">INT(AV877*RANDBETWEEN(30,60)/100)</f>
        <v>35886</v>
      </c>
      <c r="AX877">
        <f ca="1">IF(Z877="ORAL",RANDBETWEEN(1000,10000),IF(OR(Z877="INTRAVENOSA",Z877="INTRAMUSCULAR"),RANDBETWEEN(100,2000),IF(OR(Z877="OFTÁLMICA",Z877="TOPICA (EXTERNA)"),RANDBETWEEN(200,3000),RANDBETWEEN(100,1500))))</f>
        <v>393</v>
      </c>
      <c r="AY877" s="2">
        <f ca="1">INT(AV877*RANDBETWEEN(90,130)/100)</f>
        <v>113642</v>
      </c>
      <c r="AZ877" t="str">
        <f t="shared" ca="1" si="68"/>
        <v>9%</v>
      </c>
      <c r="BA877" t="str">
        <f t="shared" ca="1" si="69"/>
        <v>ALTO</v>
      </c>
    </row>
    <row r="878" spans="4:53" x14ac:dyDescent="0.35">
      <c r="D878" t="s">
        <v>5499</v>
      </c>
      <c r="E878" s="1">
        <v>39767</v>
      </c>
      <c r="F878" t="s">
        <v>1221</v>
      </c>
      <c r="G878" t="s">
        <v>108</v>
      </c>
      <c r="H878" t="s">
        <v>187</v>
      </c>
      <c r="I878">
        <v>19992272</v>
      </c>
      <c r="J878" t="s">
        <v>28</v>
      </c>
      <c r="K878">
        <v>4</v>
      </c>
      <c r="L878" t="s">
        <v>27</v>
      </c>
      <c r="M878" t="s">
        <v>1881</v>
      </c>
      <c r="N878" t="s">
        <v>1882</v>
      </c>
      <c r="O878" t="s">
        <v>5500</v>
      </c>
      <c r="P878" t="s">
        <v>33</v>
      </c>
      <c r="Q878" s="1">
        <v>39645</v>
      </c>
      <c r="R878" t="s">
        <v>33</v>
      </c>
      <c r="S878" t="s">
        <v>27</v>
      </c>
      <c r="T878" t="s">
        <v>80</v>
      </c>
      <c r="U878" t="s">
        <v>115</v>
      </c>
      <c r="V878" t="s">
        <v>321</v>
      </c>
      <c r="W878">
        <v>500</v>
      </c>
      <c r="X878">
        <v>19992272</v>
      </c>
      <c r="Y878" t="s">
        <v>322</v>
      </c>
      <c r="Z878" t="s">
        <v>119</v>
      </c>
      <c r="AA878" t="s">
        <v>165</v>
      </c>
      <c r="AB878" t="s">
        <v>120</v>
      </c>
      <c r="AC878" t="s">
        <v>25</v>
      </c>
      <c r="AD878" t="s">
        <v>121</v>
      </c>
      <c r="AE878">
        <v>12</v>
      </c>
      <c r="AF878" t="s">
        <v>27</v>
      </c>
      <c r="AG878" t="s">
        <v>26</v>
      </c>
      <c r="AH878" t="s">
        <v>522</v>
      </c>
      <c r="AI878" t="str">
        <f t="shared" si="65"/>
        <v>NO</v>
      </c>
      <c r="AJ878" t="str">
        <f t="shared" si="66"/>
        <v>TECNOQUIMICAS</v>
      </c>
      <c r="AK878" t="str">
        <f>IF(ISNUMBER(SEARCH("FABRICANTE",AC878)),"FABRICANTE",IF(ISNUMBER(SEARCH("IMPORTADOR",AC878)),"IMPORTADOR","OTRO"))</f>
        <v>FABRICANTE</v>
      </c>
      <c r="AL878" t="str">
        <f>IF(LEFT(Y878,1)="A","Sistema digestivo",IF(LEFT(Y878,1)="B","Sangre",IF(LEFT(Y878,1)="C","Cardiovascular",IF(LEFT(Y878,1)="D","Dermatológico",IF(LEFT(Y878,1)="G","Genitourinario",IF(LEFT(Y878,1)="H","Hormonal",IF(LEFT(Y878,1)="J","Antiinfecciosos",IF(LEFT(Y878,1)="L","Oncológicos",IF(LEFT(Y878,1)="M","Musculoesquelético",IF(LEFT(Y878,1)="N","Sistema nervioso",IF(LEFT(Y878,1)="R","Respiratorio",IF(LEFT(Y878,1)="S","Oftálmico",IF(LEFT(Y878,1)="V","Varios","OTRO")))))))))))))</f>
        <v>Sistema nervioso</v>
      </c>
      <c r="AM878" t="str">
        <f>IF(AG878="Vigente","ACTIVO",IF(ISNUMBER(SEARCH("Inactivo",J878)),"INACTIVO","REVISAR"))</f>
        <v>ACTIVO</v>
      </c>
      <c r="AN878" t="str">
        <f ca="1">IF(OR(AF878="",AF878="null"),"",ROUND((AF878-TODAY())/365.25,2))</f>
        <v/>
      </c>
      <c r="AO878" t="str">
        <f ca="1">IF(AND(AG878="Vigente",OR(AF878="",AF878="null",AF878&gt;TODAY())),"SI",IF(AND(NOT(OR(AF878="",AF878="null")),AF878&lt;=TODAY()),"NO",IF(AG878="Vigente","SI","DESCONOCIDO")))</f>
        <v>SI</v>
      </c>
      <c r="AP878" t="str">
        <f>IF(AND(ISNUMBER(SEARCH("IMPORTAR",AA878)),ISNUMBER(SEARCH("FABRICAR",AA878))),"MIXTO",IF(ISNUMBER(SEARCH("IMPORTAR",AA878)),"IMPORTADO",IF(ISNUMBER(SEARCH("FABRICAR",AA878)),"LOCAL","OTRO")))</f>
        <v>IMPORTADO</v>
      </c>
      <c r="AQ878" t="str">
        <f>IF(AD878="Si","SI",IF(AD878="No","NO",""))</f>
        <v>NO</v>
      </c>
      <c r="AR878" t="str">
        <f>IF(ISNUMBER(SEARCH("®",N878)),"MARCA/INNOVADOR","GENERICO")</f>
        <v>GENERICO</v>
      </c>
      <c r="AS878">
        <f ca="1">IF(AE878&gt;100,RANDBETWEEN(500,5000),IF(AND(AE878&gt;=10,AE878&lt;=100),RANDBETWEEN(100,1000),RANDBETWEEN(10,200)))</f>
        <v>336</v>
      </c>
      <c r="AT878">
        <f t="shared" ca="1" si="67"/>
        <v>33</v>
      </c>
      <c r="AU878">
        <f ca="1">INT(AS878*RANDBETWEEN(120,200)/100)</f>
        <v>440</v>
      </c>
      <c r="AV878" s="2">
        <f ca="1">IF(LEFT(Y878,1)="L",RANDBETWEEN(500000,5000000),IF(LEFT(Y878,1)="C",RANDBETWEEN(5000,50000),IF(LEFT(Y878,1)="N",RANDBETWEEN(10000,150000),IF(LEFT(Y878,1)="J",RANDBETWEEN(8000,200000),RANDBETWEEN(5000,100000)))))</f>
        <v>58936</v>
      </c>
      <c r="AW878" s="2">
        <f ca="1">INT(AV878*RANDBETWEEN(30,60)/100)</f>
        <v>25931</v>
      </c>
      <c r="AX878">
        <f ca="1">IF(Z878="ORAL",RANDBETWEEN(1000,10000),IF(OR(Z878="INTRAVENOSA",Z878="INTRAMUSCULAR"),RANDBETWEEN(100,2000),IF(OR(Z878="OFTÁLMICA",Z878="TOPICA (EXTERNA)"),RANDBETWEEN(200,3000),RANDBETWEEN(100,1500))))</f>
        <v>7729</v>
      </c>
      <c r="AY878" s="2">
        <f ca="1">INT(AV878*RANDBETWEEN(90,130)/100)</f>
        <v>61293</v>
      </c>
      <c r="AZ878" t="str">
        <f t="shared" ca="1" si="68"/>
        <v>23.7%</v>
      </c>
      <c r="BA878" t="str">
        <f t="shared" ca="1" si="69"/>
        <v>BAJO</v>
      </c>
    </row>
    <row r="879" spans="4:53" x14ac:dyDescent="0.35">
      <c r="D879" t="s">
        <v>5501</v>
      </c>
      <c r="E879" s="1">
        <v>39952</v>
      </c>
      <c r="F879" t="s">
        <v>123</v>
      </c>
      <c r="G879" t="s">
        <v>108</v>
      </c>
      <c r="H879" t="s">
        <v>454</v>
      </c>
      <c r="I879">
        <v>20001966</v>
      </c>
      <c r="J879" t="s">
        <v>28</v>
      </c>
      <c r="K879">
        <v>5</v>
      </c>
      <c r="L879" t="s">
        <v>27</v>
      </c>
      <c r="M879" t="s">
        <v>5502</v>
      </c>
      <c r="N879" t="s">
        <v>5503</v>
      </c>
      <c r="O879" t="s">
        <v>5504</v>
      </c>
      <c r="P879" t="s">
        <v>128</v>
      </c>
      <c r="Q879" s="1">
        <v>39844</v>
      </c>
      <c r="R879" t="s">
        <v>67</v>
      </c>
      <c r="S879" t="s">
        <v>27</v>
      </c>
      <c r="T879" t="s">
        <v>1784</v>
      </c>
      <c r="U879" t="s">
        <v>115</v>
      </c>
      <c r="V879" t="s">
        <v>130</v>
      </c>
      <c r="W879">
        <v>100</v>
      </c>
      <c r="X879">
        <v>20001966</v>
      </c>
      <c r="Y879" t="s">
        <v>131</v>
      </c>
      <c r="Z879" t="s">
        <v>119</v>
      </c>
      <c r="AA879" t="s">
        <v>24</v>
      </c>
      <c r="AB879" t="s">
        <v>133</v>
      </c>
      <c r="AC879" t="s">
        <v>25</v>
      </c>
      <c r="AD879" t="s">
        <v>121</v>
      </c>
      <c r="AE879">
        <v>10</v>
      </c>
      <c r="AF879" t="s">
        <v>27</v>
      </c>
      <c r="AG879" t="s">
        <v>26</v>
      </c>
      <c r="AH879" t="s">
        <v>123</v>
      </c>
      <c r="AI879" t="str">
        <f t="shared" si="65"/>
        <v>NO</v>
      </c>
      <c r="AJ879" t="str">
        <f t="shared" si="66"/>
        <v>COLMED</v>
      </c>
      <c r="AK879" t="str">
        <f>IF(ISNUMBER(SEARCH("FABRICANTE",AC879)),"FABRICANTE",IF(ISNUMBER(SEARCH("IMPORTADOR",AC879)),"IMPORTADOR","OTRO"))</f>
        <v>FABRICANTE</v>
      </c>
      <c r="AL879" t="str">
        <f>IF(LEFT(Y879,1)="A","Sistema digestivo",IF(LEFT(Y879,1)="B","Sangre",IF(LEFT(Y879,1)="C","Cardiovascular",IF(LEFT(Y879,1)="D","Dermatológico",IF(LEFT(Y879,1)="G","Genitourinario",IF(LEFT(Y879,1)="H","Hormonal",IF(LEFT(Y879,1)="J","Antiinfecciosos",IF(LEFT(Y879,1)="L","Oncológicos",IF(LEFT(Y879,1)="M","Musculoesquelético",IF(LEFT(Y879,1)="N","Sistema nervioso",IF(LEFT(Y879,1)="R","Respiratorio",IF(LEFT(Y879,1)="S","Oftálmico",IF(LEFT(Y879,1)="V","Varios","OTRO")))))))))))))</f>
        <v>Sistema nervioso</v>
      </c>
      <c r="AM879" t="str">
        <f>IF(AG879="Vigente","ACTIVO",IF(ISNUMBER(SEARCH("Inactivo",J879)),"INACTIVO","REVISAR"))</f>
        <v>ACTIVO</v>
      </c>
      <c r="AN879" t="str">
        <f ca="1">IF(OR(AF879="",AF879="null"),"",ROUND((AF879-TODAY())/365.25,2))</f>
        <v/>
      </c>
      <c r="AO879" t="str">
        <f ca="1">IF(AND(AG879="Vigente",OR(AF879="",AF879="null",AF879&gt;TODAY())),"SI",IF(AND(NOT(OR(AF879="",AF879="null")),AF879&lt;=TODAY()),"NO",IF(AG879="Vigente","SI","DESCONOCIDO")))</f>
        <v>SI</v>
      </c>
      <c r="AP879" t="str">
        <f>IF(AND(ISNUMBER(SEARCH("IMPORTAR",AA879)),ISNUMBER(SEARCH("FABRICAR",AA879))),"MIXTO",IF(ISNUMBER(SEARCH("IMPORTAR",AA879)),"IMPORTADO",IF(ISNUMBER(SEARCH("FABRICAR",AA879)),"LOCAL","OTRO")))</f>
        <v>LOCAL</v>
      </c>
      <c r="AQ879" t="str">
        <f>IF(AD879="Si","SI",IF(AD879="No","NO",""))</f>
        <v>NO</v>
      </c>
      <c r="AR879" t="str">
        <f>IF(ISNUMBER(SEARCH("®",N879)),"MARCA/INNOVADOR","GENERICO")</f>
        <v>GENERICO</v>
      </c>
      <c r="AS879">
        <f ca="1">IF(AE879&gt;100,RANDBETWEEN(500,5000),IF(AND(AE879&gt;=10,AE879&lt;=100),RANDBETWEEN(100,1000),RANDBETWEEN(10,200)))</f>
        <v>543</v>
      </c>
      <c r="AT879">
        <f t="shared" ca="1" si="67"/>
        <v>103</v>
      </c>
      <c r="AU879">
        <f ca="1">INT(AS879*RANDBETWEEN(120,200)/100)</f>
        <v>836</v>
      </c>
      <c r="AV879" s="2">
        <f ca="1">IF(LEFT(Y879,1)="L",RANDBETWEEN(500000,5000000),IF(LEFT(Y879,1)="C",RANDBETWEEN(5000,50000),IF(LEFT(Y879,1)="N",RANDBETWEEN(10000,150000),IF(LEFT(Y879,1)="J",RANDBETWEEN(8000,200000),RANDBETWEEN(5000,100000)))))</f>
        <v>13349</v>
      </c>
      <c r="AW879" s="2">
        <f ca="1">INT(AV879*RANDBETWEEN(30,60)/100)</f>
        <v>6007</v>
      </c>
      <c r="AX879">
        <f ca="1">IF(Z879="ORAL",RANDBETWEEN(1000,10000),IF(OR(Z879="INTRAVENOSA",Z879="INTRAMUSCULAR"),RANDBETWEEN(100,2000),IF(OR(Z879="OFTÁLMICA",Z879="TOPICA (EXTERNA)"),RANDBETWEEN(200,3000),RANDBETWEEN(100,1500))))</f>
        <v>1801</v>
      </c>
      <c r="AY879" s="2">
        <f ca="1">INT(AV879*RANDBETWEEN(90,130)/100)</f>
        <v>14016</v>
      </c>
      <c r="AZ879" t="str">
        <f t="shared" ca="1" si="68"/>
        <v>15.5%</v>
      </c>
      <c r="BA879" t="str">
        <f t="shared" ca="1" si="69"/>
        <v>BAJO</v>
      </c>
    </row>
    <row r="880" spans="4:53" x14ac:dyDescent="0.35">
      <c r="D880" t="s">
        <v>5505</v>
      </c>
      <c r="E880" s="1">
        <v>42226</v>
      </c>
      <c r="F880" t="s">
        <v>270</v>
      </c>
      <c r="G880" t="s">
        <v>108</v>
      </c>
      <c r="H880" t="s">
        <v>1823</v>
      </c>
      <c r="I880">
        <v>20084690</v>
      </c>
      <c r="J880" t="s">
        <v>28</v>
      </c>
      <c r="K880">
        <v>30</v>
      </c>
      <c r="L880" t="s">
        <v>27</v>
      </c>
      <c r="M880" t="s">
        <v>271</v>
      </c>
      <c r="N880" t="s">
        <v>272</v>
      </c>
      <c r="O880" t="s">
        <v>4630</v>
      </c>
      <c r="P880" t="s">
        <v>274</v>
      </c>
      <c r="Q880" s="1">
        <v>42202</v>
      </c>
      <c r="R880" t="s">
        <v>50</v>
      </c>
      <c r="S880" t="s">
        <v>27</v>
      </c>
      <c r="T880" t="s">
        <v>93</v>
      </c>
      <c r="U880" t="s">
        <v>115</v>
      </c>
      <c r="V880" t="s">
        <v>275</v>
      </c>
      <c r="W880">
        <v>80</v>
      </c>
      <c r="X880">
        <v>20084690</v>
      </c>
      <c r="Y880" t="s">
        <v>276</v>
      </c>
      <c r="Z880" t="s">
        <v>260</v>
      </c>
      <c r="AA880" t="s">
        <v>32</v>
      </c>
      <c r="AB880" t="s">
        <v>239</v>
      </c>
      <c r="AC880" t="s">
        <v>25</v>
      </c>
      <c r="AD880" t="s">
        <v>121</v>
      </c>
      <c r="AE880">
        <v>300</v>
      </c>
      <c r="AF880" t="s">
        <v>27</v>
      </c>
      <c r="AG880" t="s">
        <v>26</v>
      </c>
      <c r="AH880" t="s">
        <v>1822</v>
      </c>
      <c r="AI880" t="str">
        <f t="shared" si="65"/>
        <v>SI</v>
      </c>
      <c r="AJ880" t="str">
        <f t="shared" si="66"/>
        <v>LABORATORIOS DELTA</v>
      </c>
      <c r="AK880" t="str">
        <f>IF(ISNUMBER(SEARCH("FABRICANTE",AC880)),"FABRICANTE",IF(ISNUMBER(SEARCH("IMPORTADOR",AC880)),"IMPORTADOR","OTRO"))</f>
        <v>FABRICANTE</v>
      </c>
      <c r="AL880" t="str">
        <f>IF(LEFT(Y880,1)="A","Sistema digestivo",IF(LEFT(Y880,1)="B","Sangre",IF(LEFT(Y880,1)="C","Cardiovascular",IF(LEFT(Y880,1)="D","Dermatológico",IF(LEFT(Y880,1)="G","Genitourinario",IF(LEFT(Y880,1)="H","Hormonal",IF(LEFT(Y880,1)="J","Antiinfecciosos",IF(LEFT(Y880,1)="L","Oncológicos",IF(LEFT(Y880,1)="M","Musculoesquelético",IF(LEFT(Y880,1)="N","Sistema nervioso",IF(LEFT(Y880,1)="R","Respiratorio",IF(LEFT(Y880,1)="S","Oftálmico",IF(LEFT(Y880,1)="V","Varios","OTRO")))))))))))))</f>
        <v>Sangre</v>
      </c>
      <c r="AM880" t="str">
        <f>IF(AG880="Vigente","ACTIVO",IF(ISNUMBER(SEARCH("Inactivo",J880)),"INACTIVO","REVISAR"))</f>
        <v>ACTIVO</v>
      </c>
      <c r="AN880" t="str">
        <f ca="1">IF(OR(AF880="",AF880="null"),"",ROUND((AF880-TODAY())/365.25,2))</f>
        <v/>
      </c>
      <c r="AO880" t="str">
        <f ca="1">IF(AND(AG880="Vigente",OR(AF880="",AF880="null",AF880&gt;TODAY())),"SI",IF(AND(NOT(OR(AF880="",AF880="null")),AF880&lt;=TODAY()),"NO",IF(AG880="Vigente","SI","DESCONOCIDO")))</f>
        <v>SI</v>
      </c>
      <c r="AP880" t="str">
        <f>IF(AND(ISNUMBER(SEARCH("IMPORTAR",AA880)),ISNUMBER(SEARCH("FABRICAR",AA880))),"MIXTO",IF(ISNUMBER(SEARCH("IMPORTAR",AA880)),"IMPORTADO",IF(ISNUMBER(SEARCH("FABRICAR",AA880)),"LOCAL","OTRO")))</f>
        <v>IMPORTADO</v>
      </c>
      <c r="AQ880" t="str">
        <f>IF(AD880="Si","SI",IF(AD880="No","NO",""))</f>
        <v>NO</v>
      </c>
      <c r="AR880" t="str">
        <f>IF(ISNUMBER(SEARCH("®",N880)),"MARCA/INNOVADOR","GENERICO")</f>
        <v>GENERICO</v>
      </c>
      <c r="AS880">
        <f ca="1">IF(AE880&gt;100,RANDBETWEEN(500,5000),IF(AND(AE880&gt;=10,AE880&lt;=100),RANDBETWEEN(100,1000),RANDBETWEEN(10,200)))</f>
        <v>3518</v>
      </c>
      <c r="AT880">
        <f t="shared" ca="1" si="67"/>
        <v>985</v>
      </c>
      <c r="AU880">
        <f ca="1">INT(AS880*RANDBETWEEN(120,200)/100)</f>
        <v>4608</v>
      </c>
      <c r="AV880" s="2">
        <f ca="1">IF(LEFT(Y880,1)="L",RANDBETWEEN(500000,5000000),IF(LEFT(Y880,1)="C",RANDBETWEEN(5000,50000),IF(LEFT(Y880,1)="N",RANDBETWEEN(10000,150000),IF(LEFT(Y880,1)="J",RANDBETWEEN(8000,200000),RANDBETWEEN(5000,100000)))))</f>
        <v>28814</v>
      </c>
      <c r="AW880" s="2">
        <f ca="1">INT(AV880*RANDBETWEEN(30,60)/100)</f>
        <v>12966</v>
      </c>
      <c r="AX880">
        <f ca="1">IF(Z880="ORAL",RANDBETWEEN(1000,10000),IF(OR(Z880="INTRAVENOSA",Z880="INTRAMUSCULAR"),RANDBETWEEN(100,2000),IF(OR(Z880="OFTÁLMICA",Z880="TOPICA (EXTERNA)"),RANDBETWEEN(200,3000),RANDBETWEEN(100,1500))))</f>
        <v>1279</v>
      </c>
      <c r="AY880" s="2">
        <f ca="1">INT(AV880*RANDBETWEEN(90,130)/100)</f>
        <v>33712</v>
      </c>
      <c r="AZ880" t="str">
        <f t="shared" ca="1" si="68"/>
        <v>4.3%</v>
      </c>
      <c r="BA880" t="str">
        <f t="shared" ca="1" si="69"/>
        <v>BAJO</v>
      </c>
    </row>
    <row r="881" spans="4:53" x14ac:dyDescent="0.35">
      <c r="D881" t="s">
        <v>5506</v>
      </c>
      <c r="E881" s="1">
        <v>40997</v>
      </c>
      <c r="F881" t="s">
        <v>522</v>
      </c>
      <c r="G881" t="s">
        <v>108</v>
      </c>
      <c r="H881" t="s">
        <v>1490</v>
      </c>
      <c r="I881">
        <v>20035560</v>
      </c>
      <c r="J881" t="s">
        <v>28</v>
      </c>
      <c r="K881">
        <v>7</v>
      </c>
      <c r="L881" t="s">
        <v>27</v>
      </c>
      <c r="M881" t="s">
        <v>5507</v>
      </c>
      <c r="N881" t="s">
        <v>5508</v>
      </c>
      <c r="O881" t="s">
        <v>5509</v>
      </c>
      <c r="P881" t="s">
        <v>33</v>
      </c>
      <c r="Q881" s="1">
        <v>40814</v>
      </c>
      <c r="R881" t="s">
        <v>33</v>
      </c>
      <c r="S881" t="s">
        <v>27</v>
      </c>
      <c r="T881" t="s">
        <v>1490</v>
      </c>
      <c r="U881" t="s">
        <v>115</v>
      </c>
      <c r="V881" t="s">
        <v>321</v>
      </c>
      <c r="W881">
        <v>500</v>
      </c>
      <c r="X881">
        <v>20035560</v>
      </c>
      <c r="Y881" t="s">
        <v>322</v>
      </c>
      <c r="Z881" t="s">
        <v>119</v>
      </c>
      <c r="AA881" t="s">
        <v>24</v>
      </c>
      <c r="AB881" t="s">
        <v>120</v>
      </c>
      <c r="AC881" t="s">
        <v>25</v>
      </c>
      <c r="AD881" t="s">
        <v>121</v>
      </c>
      <c r="AE881">
        <v>10</v>
      </c>
      <c r="AF881" t="s">
        <v>27</v>
      </c>
      <c r="AG881" t="s">
        <v>26</v>
      </c>
      <c r="AH881" t="s">
        <v>522</v>
      </c>
      <c r="AI881" t="str">
        <f t="shared" si="65"/>
        <v>NO</v>
      </c>
      <c r="AJ881" t="str">
        <f t="shared" si="66"/>
        <v>LABORATORIO FRANCO COLOMBIANO - LAFRANCOL</v>
      </c>
      <c r="AK881" t="str">
        <f>IF(ISNUMBER(SEARCH("FABRICANTE",AC881)),"FABRICANTE",IF(ISNUMBER(SEARCH("IMPORTADOR",AC881)),"IMPORTADOR","OTRO"))</f>
        <v>FABRICANTE</v>
      </c>
      <c r="AL881" t="str">
        <f>IF(LEFT(Y881,1)="A","Sistema digestivo",IF(LEFT(Y881,1)="B","Sangre",IF(LEFT(Y881,1)="C","Cardiovascular",IF(LEFT(Y881,1)="D","Dermatológico",IF(LEFT(Y881,1)="G","Genitourinario",IF(LEFT(Y881,1)="H","Hormonal",IF(LEFT(Y881,1)="J","Antiinfecciosos",IF(LEFT(Y881,1)="L","Oncológicos",IF(LEFT(Y881,1)="M","Musculoesquelético",IF(LEFT(Y881,1)="N","Sistema nervioso",IF(LEFT(Y881,1)="R","Respiratorio",IF(LEFT(Y881,1)="S","Oftálmico",IF(LEFT(Y881,1)="V","Varios","OTRO")))))))))))))</f>
        <v>Sistema nervioso</v>
      </c>
      <c r="AM881" t="str">
        <f>IF(AG881="Vigente","ACTIVO",IF(ISNUMBER(SEARCH("Inactivo",J881)),"INACTIVO","REVISAR"))</f>
        <v>ACTIVO</v>
      </c>
      <c r="AN881" t="str">
        <f ca="1">IF(OR(AF881="",AF881="null"),"",ROUND((AF881-TODAY())/365.25,2))</f>
        <v/>
      </c>
      <c r="AO881" t="str">
        <f ca="1">IF(AND(AG881="Vigente",OR(AF881="",AF881="null",AF881&gt;TODAY())),"SI",IF(AND(NOT(OR(AF881="",AF881="null")),AF881&lt;=TODAY()),"NO",IF(AG881="Vigente","SI","DESCONOCIDO")))</f>
        <v>SI</v>
      </c>
      <c r="AP881" t="str">
        <f>IF(AND(ISNUMBER(SEARCH("IMPORTAR",AA881)),ISNUMBER(SEARCH("FABRICAR",AA881))),"MIXTO",IF(ISNUMBER(SEARCH("IMPORTAR",AA881)),"IMPORTADO",IF(ISNUMBER(SEARCH("FABRICAR",AA881)),"LOCAL","OTRO")))</f>
        <v>LOCAL</v>
      </c>
      <c r="AQ881" t="str">
        <f>IF(AD881="Si","SI",IF(AD881="No","NO",""))</f>
        <v>NO</v>
      </c>
      <c r="AR881" t="str">
        <f>IF(ISNUMBER(SEARCH("®",N881)),"MARCA/INNOVADOR","GENERICO")</f>
        <v>GENERICO</v>
      </c>
      <c r="AS881">
        <f ca="1">IF(AE881&gt;100,RANDBETWEEN(500,5000),IF(AND(AE881&gt;=10,AE881&lt;=100),RANDBETWEEN(100,1000),RANDBETWEEN(10,200)))</f>
        <v>525</v>
      </c>
      <c r="AT881">
        <f t="shared" ca="1" si="67"/>
        <v>120</v>
      </c>
      <c r="AU881">
        <f ca="1">INT(AS881*RANDBETWEEN(120,200)/100)</f>
        <v>1034</v>
      </c>
      <c r="AV881" s="2">
        <f ca="1">IF(LEFT(Y881,1)="L",RANDBETWEEN(500000,5000000),IF(LEFT(Y881,1)="C",RANDBETWEEN(5000,50000),IF(LEFT(Y881,1)="N",RANDBETWEEN(10000,150000),IF(LEFT(Y881,1)="J",RANDBETWEEN(8000,200000),RANDBETWEEN(5000,100000)))))</f>
        <v>92897</v>
      </c>
      <c r="AW881" s="2">
        <f ca="1">INT(AV881*RANDBETWEEN(30,60)/100)</f>
        <v>43661</v>
      </c>
      <c r="AX881">
        <f ca="1">IF(Z881="ORAL",RANDBETWEEN(1000,10000),IF(OR(Z881="INTRAVENOSA",Z881="INTRAMUSCULAR"),RANDBETWEEN(100,2000),IF(OR(Z881="OFTÁLMICA",Z881="TOPICA (EXTERNA)"),RANDBETWEEN(200,3000),RANDBETWEEN(100,1500))))</f>
        <v>7097</v>
      </c>
      <c r="AY881" s="2">
        <f ca="1">INT(AV881*RANDBETWEEN(90,130)/100)</f>
        <v>87323</v>
      </c>
      <c r="AZ881" t="str">
        <f t="shared" ca="1" si="68"/>
        <v>7.6%</v>
      </c>
      <c r="BA881" t="str">
        <f t="shared" ca="1" si="69"/>
        <v>BAJO</v>
      </c>
    </row>
    <row r="882" spans="4:53" x14ac:dyDescent="0.35">
      <c r="D882" t="s">
        <v>5510</v>
      </c>
      <c r="E882" s="1">
        <v>36276</v>
      </c>
      <c r="F882" t="s">
        <v>5511</v>
      </c>
      <c r="G882" t="s">
        <v>247</v>
      </c>
      <c r="H882" t="s">
        <v>44</v>
      </c>
      <c r="I882">
        <v>207520</v>
      </c>
      <c r="J882" t="s">
        <v>28</v>
      </c>
      <c r="K882">
        <v>3</v>
      </c>
      <c r="L882" t="s">
        <v>27</v>
      </c>
      <c r="M882" t="s">
        <v>5512</v>
      </c>
      <c r="N882" t="s">
        <v>5513</v>
      </c>
      <c r="O882" t="s">
        <v>5514</v>
      </c>
      <c r="P882" t="s">
        <v>2300</v>
      </c>
      <c r="Q882" s="1">
        <v>39031</v>
      </c>
      <c r="R882" t="s">
        <v>62</v>
      </c>
      <c r="S882" t="s">
        <v>27</v>
      </c>
      <c r="T882" t="s">
        <v>3878</v>
      </c>
      <c r="U882" t="s">
        <v>247</v>
      </c>
      <c r="V882" t="s">
        <v>5515</v>
      </c>
      <c r="W882">
        <v>1</v>
      </c>
      <c r="X882">
        <v>207520</v>
      </c>
      <c r="Y882" t="s">
        <v>5516</v>
      </c>
      <c r="Z882" t="s">
        <v>566</v>
      </c>
      <c r="AA882" t="s">
        <v>24</v>
      </c>
      <c r="AB882" t="s">
        <v>653</v>
      </c>
      <c r="AC882" t="s">
        <v>25</v>
      </c>
      <c r="AD882" t="s">
        <v>121</v>
      </c>
      <c r="AE882">
        <v>30</v>
      </c>
      <c r="AF882" t="s">
        <v>27</v>
      </c>
      <c r="AG882" t="s">
        <v>26</v>
      </c>
      <c r="AH882" t="s">
        <v>6705</v>
      </c>
      <c r="AI882" t="str">
        <f t="shared" si="65"/>
        <v>NO</v>
      </c>
      <c r="AJ882" t="str">
        <f t="shared" si="66"/>
        <v>BIOCHEM FARMACEUTICA DE COLOMBIAS.A.</v>
      </c>
      <c r="AK882" t="str">
        <f>IF(ISNUMBER(SEARCH("FABRICANTE",AC882)),"FABRICANTE",IF(ISNUMBER(SEARCH("IMPORTADOR",AC882)),"IMPORTADOR","OTRO"))</f>
        <v>FABRICANTE</v>
      </c>
      <c r="AL882" t="str">
        <f>IF(LEFT(Y882,1)="A","Sistema digestivo",IF(LEFT(Y882,1)="B","Sangre",IF(LEFT(Y882,1)="C","Cardiovascular",IF(LEFT(Y882,1)="D","Dermatológico",IF(LEFT(Y882,1)="G","Genitourinario",IF(LEFT(Y882,1)="H","Hormonal",IF(LEFT(Y882,1)="J","Antiinfecciosos",IF(LEFT(Y882,1)="L","Oncológicos",IF(LEFT(Y882,1)="M","Musculoesquelético",IF(LEFT(Y882,1)="N","Sistema nervioso",IF(LEFT(Y882,1)="R","Respiratorio",IF(LEFT(Y882,1)="S","Oftálmico",IF(LEFT(Y882,1)="V","Varios","OTRO")))))))))))))</f>
        <v>Dermatológico</v>
      </c>
      <c r="AM882" t="str">
        <f>IF(AG882="Vigente","ACTIVO",IF(ISNUMBER(SEARCH("Inactivo",J882)),"INACTIVO","REVISAR"))</f>
        <v>ACTIVO</v>
      </c>
      <c r="AN882" t="str">
        <f ca="1">IF(OR(AF882="",AF882="null"),"",ROUND((AF882-TODAY())/365.25,2))</f>
        <v/>
      </c>
      <c r="AO882" t="str">
        <f ca="1">IF(AND(AG882="Vigente",OR(AF882="",AF882="null",AF882&gt;TODAY())),"SI",IF(AND(NOT(OR(AF882="",AF882="null")),AF882&lt;=TODAY()),"NO",IF(AG882="Vigente","SI","DESCONOCIDO")))</f>
        <v>SI</v>
      </c>
      <c r="AP882" t="str">
        <f>IF(AND(ISNUMBER(SEARCH("IMPORTAR",AA882)),ISNUMBER(SEARCH("FABRICAR",AA882))),"MIXTO",IF(ISNUMBER(SEARCH("IMPORTAR",AA882)),"IMPORTADO",IF(ISNUMBER(SEARCH("FABRICAR",AA882)),"LOCAL","OTRO")))</f>
        <v>LOCAL</v>
      </c>
      <c r="AQ882" t="str">
        <f>IF(AD882="Si","SI",IF(AD882="No","NO",""))</f>
        <v>NO</v>
      </c>
      <c r="AR882" t="str">
        <f>IF(ISNUMBER(SEARCH("®",N882)),"MARCA/INNOVADOR","GENERICO")</f>
        <v>MARCA/INNOVADOR</v>
      </c>
      <c r="AS882">
        <f ca="1">IF(AE882&gt;100,RANDBETWEEN(500,5000),IF(AND(AE882&gt;=10,AE882&lt;=100),RANDBETWEEN(100,1000),RANDBETWEEN(10,200)))</f>
        <v>121</v>
      </c>
      <c r="AT882">
        <f t="shared" ca="1" si="67"/>
        <v>13</v>
      </c>
      <c r="AU882">
        <f ca="1">INT(AS882*RANDBETWEEN(120,200)/100)</f>
        <v>235</v>
      </c>
      <c r="AV882" s="2">
        <f ca="1">IF(LEFT(Y882,1)="L",RANDBETWEEN(500000,5000000),IF(LEFT(Y882,1)="C",RANDBETWEEN(5000,50000),IF(LEFT(Y882,1)="N",RANDBETWEEN(10000,150000),IF(LEFT(Y882,1)="J",RANDBETWEEN(8000,200000),RANDBETWEEN(5000,100000)))))</f>
        <v>82998</v>
      </c>
      <c r="AW882" s="2">
        <f ca="1">INT(AV882*RANDBETWEEN(30,60)/100)</f>
        <v>49798</v>
      </c>
      <c r="AX882">
        <f ca="1">IF(Z882="ORAL",RANDBETWEEN(1000,10000),IF(OR(Z882="INTRAVENOSA",Z882="INTRAMUSCULAR"),RANDBETWEEN(100,2000),IF(OR(Z882="OFTÁLMICA",Z882="TOPICA (EXTERNA)"),RANDBETWEEN(200,3000),RANDBETWEEN(100,1500))))</f>
        <v>941</v>
      </c>
      <c r="AY882" s="2">
        <f ca="1">INT(AV882*RANDBETWEEN(90,130)/100)</f>
        <v>77188</v>
      </c>
      <c r="AZ882" t="str">
        <f t="shared" ca="1" si="68"/>
        <v>14.6%</v>
      </c>
      <c r="BA882" t="str">
        <f t="shared" ca="1" si="69"/>
        <v>BAJO</v>
      </c>
    </row>
    <row r="883" spans="4:53" x14ac:dyDescent="0.35">
      <c r="D883" t="s">
        <v>5517</v>
      </c>
      <c r="E883" s="1">
        <v>42101</v>
      </c>
      <c r="F883" t="s">
        <v>2909</v>
      </c>
      <c r="G883" t="s">
        <v>108</v>
      </c>
      <c r="H883" t="s">
        <v>168</v>
      </c>
      <c r="I883">
        <v>20073835</v>
      </c>
      <c r="J883" t="s">
        <v>28</v>
      </c>
      <c r="K883">
        <v>14</v>
      </c>
      <c r="L883" t="s">
        <v>27</v>
      </c>
      <c r="M883" t="s">
        <v>5518</v>
      </c>
      <c r="N883" t="s">
        <v>5519</v>
      </c>
      <c r="O883" t="s">
        <v>5520</v>
      </c>
      <c r="P883" t="s">
        <v>33</v>
      </c>
      <c r="Q883" s="1">
        <v>42066</v>
      </c>
      <c r="R883" t="s">
        <v>33</v>
      </c>
      <c r="S883" t="s">
        <v>27</v>
      </c>
      <c r="T883" t="s">
        <v>172</v>
      </c>
      <c r="U883" t="s">
        <v>115</v>
      </c>
      <c r="V883" t="s">
        <v>309</v>
      </c>
      <c r="W883">
        <v>65</v>
      </c>
      <c r="X883">
        <v>20073835</v>
      </c>
      <c r="Y883" t="s">
        <v>310</v>
      </c>
      <c r="Z883" t="s">
        <v>119</v>
      </c>
      <c r="AA883" t="s">
        <v>24</v>
      </c>
      <c r="AB883" t="s">
        <v>120</v>
      </c>
      <c r="AC883" t="s">
        <v>25</v>
      </c>
      <c r="AD883" t="s">
        <v>121</v>
      </c>
      <c r="AE883">
        <v>400</v>
      </c>
      <c r="AF883" t="s">
        <v>27</v>
      </c>
      <c r="AG883" t="s">
        <v>26</v>
      </c>
      <c r="AH883" t="s">
        <v>976</v>
      </c>
      <c r="AI883" t="str">
        <f t="shared" si="65"/>
        <v>NO</v>
      </c>
      <c r="AJ883" t="str">
        <f t="shared" si="66"/>
        <v>NOVAMED</v>
      </c>
      <c r="AK883" t="str">
        <f>IF(ISNUMBER(SEARCH("FABRICANTE",AC883)),"FABRICANTE",IF(ISNUMBER(SEARCH("IMPORTADOR",AC883)),"IMPORTADOR","OTRO"))</f>
        <v>FABRICANTE</v>
      </c>
      <c r="AL883" t="str">
        <f>IF(LEFT(Y883,1)="A","Sistema digestivo",IF(LEFT(Y883,1)="B","Sangre",IF(LEFT(Y883,1)="C","Cardiovascular",IF(LEFT(Y883,1)="D","Dermatológico",IF(LEFT(Y883,1)="G","Genitourinario",IF(LEFT(Y883,1)="H","Hormonal",IF(LEFT(Y883,1)="J","Antiinfecciosos",IF(LEFT(Y883,1)="L","Oncológicos",IF(LEFT(Y883,1)="M","Musculoesquelético",IF(LEFT(Y883,1)="N","Sistema nervioso",IF(LEFT(Y883,1)="R","Respiratorio",IF(LEFT(Y883,1)="S","Oftálmico",IF(LEFT(Y883,1)="V","Varios","OTRO")))))))))))))</f>
        <v>Musculoesquelético</v>
      </c>
      <c r="AM883" t="str">
        <f>IF(AG883="Vigente","ACTIVO",IF(ISNUMBER(SEARCH("Inactivo",J883)),"INACTIVO","REVISAR"))</f>
        <v>ACTIVO</v>
      </c>
      <c r="AN883" t="str">
        <f ca="1">IF(OR(AF883="",AF883="null"),"",ROUND((AF883-TODAY())/365.25,2))</f>
        <v/>
      </c>
      <c r="AO883" t="str">
        <f ca="1">IF(AND(AG883="Vigente",OR(AF883="",AF883="null",AF883&gt;TODAY())),"SI",IF(AND(NOT(OR(AF883="",AF883="null")),AF883&lt;=TODAY()),"NO",IF(AG883="Vigente","SI","DESCONOCIDO")))</f>
        <v>SI</v>
      </c>
      <c r="AP883" t="str">
        <f>IF(AND(ISNUMBER(SEARCH("IMPORTAR",AA883)),ISNUMBER(SEARCH("FABRICAR",AA883))),"MIXTO",IF(ISNUMBER(SEARCH("IMPORTAR",AA883)),"IMPORTADO",IF(ISNUMBER(SEARCH("FABRICAR",AA883)),"LOCAL","OTRO")))</f>
        <v>LOCAL</v>
      </c>
      <c r="AQ883" t="str">
        <f>IF(AD883="Si","SI",IF(AD883="No","NO",""))</f>
        <v>NO</v>
      </c>
      <c r="AR883" t="str">
        <f>IF(ISNUMBER(SEARCH("®",N883)),"MARCA/INNOVADOR","GENERICO")</f>
        <v>MARCA/INNOVADOR</v>
      </c>
      <c r="AS883">
        <f ca="1">IF(AE883&gt;100,RANDBETWEEN(500,5000),IF(AND(AE883&gt;=10,AE883&lt;=100),RANDBETWEEN(100,1000),RANDBETWEEN(10,200)))</f>
        <v>4697</v>
      </c>
      <c r="AT883">
        <f t="shared" ca="1" si="67"/>
        <v>657</v>
      </c>
      <c r="AU883">
        <f ca="1">INT(AS883*RANDBETWEEN(120,200)/100)</f>
        <v>7045</v>
      </c>
      <c r="AV883" s="2">
        <f ca="1">IF(LEFT(Y883,1)="L",RANDBETWEEN(500000,5000000),IF(LEFT(Y883,1)="C",RANDBETWEEN(5000,50000),IF(LEFT(Y883,1)="N",RANDBETWEEN(10000,150000),IF(LEFT(Y883,1)="J",RANDBETWEEN(8000,200000),RANDBETWEEN(5000,100000)))))</f>
        <v>52528</v>
      </c>
      <c r="AW883" s="2">
        <f ca="1">INT(AV883*RANDBETWEEN(30,60)/100)</f>
        <v>23637</v>
      </c>
      <c r="AX883">
        <f ca="1">IF(Z883="ORAL",RANDBETWEEN(1000,10000),IF(OR(Z883="INTRAVENOSA",Z883="INTRAMUSCULAR"),RANDBETWEEN(100,2000),IF(OR(Z883="OFTÁLMICA",Z883="TOPICA (EXTERNA)"),RANDBETWEEN(200,3000),RANDBETWEEN(100,1500))))</f>
        <v>6677</v>
      </c>
      <c r="AY883" s="2">
        <f ca="1">INT(AV883*RANDBETWEEN(90,130)/100)</f>
        <v>64084</v>
      </c>
      <c r="AZ883" t="str">
        <f t="shared" ca="1" si="68"/>
        <v>17.1%</v>
      </c>
      <c r="BA883" t="str">
        <f t="shared" ca="1" si="69"/>
        <v>BAJO</v>
      </c>
    </row>
    <row r="884" spans="4:53" x14ac:dyDescent="0.35">
      <c r="D884" t="s">
        <v>5521</v>
      </c>
      <c r="E884" s="1">
        <v>39427</v>
      </c>
      <c r="F884" t="s">
        <v>5522</v>
      </c>
      <c r="G884" t="s">
        <v>108</v>
      </c>
      <c r="H884" t="s">
        <v>2801</v>
      </c>
      <c r="I884">
        <v>19981485</v>
      </c>
      <c r="J884" t="s">
        <v>28</v>
      </c>
      <c r="K884">
        <v>4</v>
      </c>
      <c r="L884" t="s">
        <v>5523</v>
      </c>
      <c r="M884" t="s">
        <v>5524</v>
      </c>
      <c r="N884" t="s">
        <v>5525</v>
      </c>
      <c r="O884" t="s">
        <v>5526</v>
      </c>
      <c r="P884" t="s">
        <v>234</v>
      </c>
      <c r="Q884" s="1">
        <v>42802</v>
      </c>
      <c r="R884" t="s">
        <v>151</v>
      </c>
      <c r="S884" t="s">
        <v>27</v>
      </c>
      <c r="T884" t="s">
        <v>182</v>
      </c>
      <c r="U884" t="s">
        <v>115</v>
      </c>
      <c r="V884" t="s">
        <v>5527</v>
      </c>
      <c r="W884" t="s">
        <v>1560</v>
      </c>
      <c r="X884">
        <v>19981485</v>
      </c>
      <c r="Y884" t="s">
        <v>5528</v>
      </c>
      <c r="Z884" t="s">
        <v>1762</v>
      </c>
      <c r="AA884" t="s">
        <v>32</v>
      </c>
      <c r="AB884" t="s">
        <v>133</v>
      </c>
      <c r="AC884" t="s">
        <v>38</v>
      </c>
      <c r="AD884" t="s">
        <v>121</v>
      </c>
      <c r="AE884">
        <v>1</v>
      </c>
      <c r="AF884" t="s">
        <v>27</v>
      </c>
      <c r="AG884" t="s">
        <v>26</v>
      </c>
      <c r="AH884" t="s">
        <v>6706</v>
      </c>
      <c r="AI884" t="str">
        <f t="shared" si="65"/>
        <v>NO</v>
      </c>
      <c r="AJ884" t="str">
        <f t="shared" si="66"/>
        <v>NOVARTIS PHARMA</v>
      </c>
      <c r="AK884" t="str">
        <f>IF(ISNUMBER(SEARCH("FABRICANTE",AC884)),"FABRICANTE",IF(ISNUMBER(SEARCH("IMPORTADOR",AC884)),"IMPORTADOR","OTRO"))</f>
        <v>IMPORTADOR</v>
      </c>
      <c r="AL884" t="str">
        <f>IF(LEFT(Y884,1)="A","Sistema digestivo",IF(LEFT(Y884,1)="B","Sangre",IF(LEFT(Y884,1)="C","Cardiovascular",IF(LEFT(Y884,1)="D","Dermatológico",IF(LEFT(Y884,1)="G","Genitourinario",IF(LEFT(Y884,1)="H","Hormonal",IF(LEFT(Y884,1)="J","Antiinfecciosos",IF(LEFT(Y884,1)="L","Oncológicos",IF(LEFT(Y884,1)="M","Musculoesquelético",IF(LEFT(Y884,1)="N","Sistema nervioso",IF(LEFT(Y884,1)="R","Respiratorio",IF(LEFT(Y884,1)="S","Oftálmico",IF(LEFT(Y884,1)="V","Varios","OTRO")))))))))))))</f>
        <v>Oftálmico</v>
      </c>
      <c r="AM884" t="str">
        <f>IF(AG884="Vigente","ACTIVO",IF(ISNUMBER(SEARCH("Inactivo",J884)),"INACTIVO","REVISAR"))</f>
        <v>ACTIVO</v>
      </c>
      <c r="AN884" t="str">
        <f ca="1">IF(OR(AF884="",AF884="null"),"",ROUND((AF884-TODAY())/365.25,2))</f>
        <v/>
      </c>
      <c r="AO884" t="str">
        <f ca="1">IF(AND(AG884="Vigente",OR(AF884="",AF884="null",AF884&gt;TODAY())),"SI",IF(AND(NOT(OR(AF884="",AF884="null")),AF884&lt;=TODAY()),"NO",IF(AG884="Vigente","SI","DESCONOCIDO")))</f>
        <v>SI</v>
      </c>
      <c r="AP884" t="str">
        <f>IF(AND(ISNUMBER(SEARCH("IMPORTAR",AA884)),ISNUMBER(SEARCH("FABRICAR",AA884))),"MIXTO",IF(ISNUMBER(SEARCH("IMPORTAR",AA884)),"IMPORTADO",IF(ISNUMBER(SEARCH("FABRICAR",AA884)),"LOCAL","OTRO")))</f>
        <v>IMPORTADO</v>
      </c>
      <c r="AQ884" t="str">
        <f>IF(AD884="Si","SI",IF(AD884="No","NO",""))</f>
        <v>NO</v>
      </c>
      <c r="AR884" t="str">
        <f>IF(ISNUMBER(SEARCH("®",N884)),"MARCA/INNOVADOR","GENERICO")</f>
        <v>MARCA/INNOVADOR</v>
      </c>
      <c r="AS884">
        <f ca="1">IF(AE884&gt;100,RANDBETWEEN(500,5000),IF(AND(AE884&gt;=10,AE884&lt;=100),RANDBETWEEN(100,1000),RANDBETWEEN(10,200)))</f>
        <v>133</v>
      </c>
      <c r="AT884">
        <f t="shared" ca="1" si="67"/>
        <v>35</v>
      </c>
      <c r="AU884">
        <f ca="1">INT(AS884*RANDBETWEEN(120,200)/100)</f>
        <v>219</v>
      </c>
      <c r="AV884" s="2">
        <f ca="1">IF(LEFT(Y884,1)="L",RANDBETWEEN(500000,5000000),IF(LEFT(Y884,1)="C",RANDBETWEEN(5000,50000),IF(LEFT(Y884,1)="N",RANDBETWEEN(10000,150000),IF(LEFT(Y884,1)="J",RANDBETWEEN(8000,200000),RANDBETWEEN(5000,100000)))))</f>
        <v>48647</v>
      </c>
      <c r="AW884" s="2">
        <f ca="1">INT(AV884*RANDBETWEEN(30,60)/100)</f>
        <v>17999</v>
      </c>
      <c r="AX884">
        <f ca="1">IF(Z884="ORAL",RANDBETWEEN(1000,10000),IF(OR(Z884="INTRAVENOSA",Z884="INTRAMUSCULAR"),RANDBETWEEN(100,2000),IF(OR(Z884="OFTÁLMICA",Z884="TOPICA (EXTERNA)"),RANDBETWEEN(200,3000),RANDBETWEEN(100,1500))))</f>
        <v>972</v>
      </c>
      <c r="AY884" s="2">
        <f ca="1">INT(AV884*RANDBETWEEN(90,130)/100)</f>
        <v>53998</v>
      </c>
      <c r="AZ884" t="str">
        <f t="shared" ca="1" si="68"/>
        <v>4.3%</v>
      </c>
      <c r="BA884" t="str">
        <f t="shared" ca="1" si="69"/>
        <v>BAJO</v>
      </c>
    </row>
    <row r="885" spans="4:53" x14ac:dyDescent="0.35">
      <c r="D885" t="s">
        <v>5529</v>
      </c>
      <c r="E885" s="1">
        <v>41226</v>
      </c>
      <c r="F885" t="s">
        <v>186</v>
      </c>
      <c r="G885" t="s">
        <v>108</v>
      </c>
      <c r="H885" t="s">
        <v>114</v>
      </c>
      <c r="I885">
        <v>20043340</v>
      </c>
      <c r="J885" t="s">
        <v>110</v>
      </c>
      <c r="K885">
        <v>31</v>
      </c>
      <c r="L885" t="s">
        <v>27</v>
      </c>
      <c r="M885" t="s">
        <v>5530</v>
      </c>
      <c r="N885" t="s">
        <v>5531</v>
      </c>
      <c r="O885" t="s">
        <v>5532</v>
      </c>
      <c r="P885" t="s">
        <v>33</v>
      </c>
      <c r="Q885" s="1">
        <v>42391</v>
      </c>
      <c r="R885" t="s">
        <v>33</v>
      </c>
      <c r="S885" t="s">
        <v>27</v>
      </c>
      <c r="T885" t="s">
        <v>114</v>
      </c>
      <c r="U885" t="s">
        <v>115</v>
      </c>
      <c r="V885" t="s">
        <v>954</v>
      </c>
      <c r="W885">
        <v>10</v>
      </c>
      <c r="X885">
        <v>20043340</v>
      </c>
      <c r="Y885" t="s">
        <v>955</v>
      </c>
      <c r="Z885" t="s">
        <v>119</v>
      </c>
      <c r="AA885" t="s">
        <v>24</v>
      </c>
      <c r="AB885" t="s">
        <v>120</v>
      </c>
      <c r="AC885" t="s">
        <v>25</v>
      </c>
      <c r="AD885" t="s">
        <v>121</v>
      </c>
      <c r="AE885">
        <v>42</v>
      </c>
      <c r="AF885" t="s">
        <v>27</v>
      </c>
      <c r="AG885" t="s">
        <v>26</v>
      </c>
      <c r="AH885" t="s">
        <v>186</v>
      </c>
      <c r="AI885" t="str">
        <f t="shared" si="65"/>
        <v>NO</v>
      </c>
      <c r="AJ885" t="str">
        <f t="shared" si="66"/>
        <v>LABORATORIOS LEGRAND</v>
      </c>
      <c r="AK885" t="str">
        <f>IF(ISNUMBER(SEARCH("FABRICANTE",AC885)),"FABRICANTE",IF(ISNUMBER(SEARCH("IMPORTADOR",AC885)),"IMPORTADOR","OTRO"))</f>
        <v>FABRICANTE</v>
      </c>
      <c r="AL885" t="str">
        <f>IF(LEFT(Y885,1)="A","Sistema digestivo",IF(LEFT(Y885,1)="B","Sangre",IF(LEFT(Y885,1)="C","Cardiovascular",IF(LEFT(Y885,1)="D","Dermatológico",IF(LEFT(Y885,1)="G","Genitourinario",IF(LEFT(Y885,1)="H","Hormonal",IF(LEFT(Y885,1)="J","Antiinfecciosos",IF(LEFT(Y885,1)="L","Oncológicos",IF(LEFT(Y885,1)="M","Musculoesquelético",IF(LEFT(Y885,1)="N","Sistema nervioso",IF(LEFT(Y885,1)="R","Respiratorio",IF(LEFT(Y885,1)="S","Oftálmico",IF(LEFT(Y885,1)="V","Varios","OTRO")))))))))))))</f>
        <v>Cardiovascular</v>
      </c>
      <c r="AM885" t="str">
        <f>IF(AG885="Vigente","ACTIVO",IF(ISNUMBER(SEARCH("Inactivo",J885)),"INACTIVO","REVISAR"))</f>
        <v>ACTIVO</v>
      </c>
      <c r="AN885" t="str">
        <f ca="1">IF(OR(AF885="",AF885="null"),"",ROUND((AF885-TODAY())/365.25,2))</f>
        <v/>
      </c>
      <c r="AO885" t="str">
        <f ca="1">IF(AND(AG885="Vigente",OR(AF885="",AF885="null",AF885&gt;TODAY())),"SI",IF(AND(NOT(OR(AF885="",AF885="null")),AF885&lt;=TODAY()),"NO",IF(AG885="Vigente","SI","DESCONOCIDO")))</f>
        <v>SI</v>
      </c>
      <c r="AP885" t="str">
        <f>IF(AND(ISNUMBER(SEARCH("IMPORTAR",AA885)),ISNUMBER(SEARCH("FABRICAR",AA885))),"MIXTO",IF(ISNUMBER(SEARCH("IMPORTAR",AA885)),"IMPORTADO",IF(ISNUMBER(SEARCH("FABRICAR",AA885)),"LOCAL","OTRO")))</f>
        <v>LOCAL</v>
      </c>
      <c r="AQ885" t="str">
        <f>IF(AD885="Si","SI",IF(AD885="No","NO",""))</f>
        <v>NO</v>
      </c>
      <c r="AR885" t="str">
        <f>IF(ISNUMBER(SEARCH("®",N885)),"MARCA/INNOVADOR","GENERICO")</f>
        <v>MARCA/INNOVADOR</v>
      </c>
      <c r="AS885">
        <f ca="1">IF(AE885&gt;100,RANDBETWEEN(500,5000),IF(AND(AE885&gt;=10,AE885&lt;=100),RANDBETWEEN(100,1000),RANDBETWEEN(10,200)))</f>
        <v>523</v>
      </c>
      <c r="AT885">
        <f t="shared" ca="1" si="67"/>
        <v>88</v>
      </c>
      <c r="AU885">
        <f ca="1">INT(AS885*RANDBETWEEN(120,200)/100)</f>
        <v>883</v>
      </c>
      <c r="AV885" s="2">
        <f ca="1">IF(LEFT(Y885,1)="L",RANDBETWEEN(500000,5000000),IF(LEFT(Y885,1)="C",RANDBETWEEN(5000,50000),IF(LEFT(Y885,1)="N",RANDBETWEEN(10000,150000),IF(LEFT(Y885,1)="J",RANDBETWEEN(8000,200000),RANDBETWEEN(5000,100000)))))</f>
        <v>29557</v>
      </c>
      <c r="AW885" s="2">
        <f ca="1">INT(AV885*RANDBETWEEN(30,60)/100)</f>
        <v>10936</v>
      </c>
      <c r="AX885">
        <f ca="1">IF(Z885="ORAL",RANDBETWEEN(1000,10000),IF(OR(Z885="INTRAVENOSA",Z885="INTRAMUSCULAR"),RANDBETWEEN(100,2000),IF(OR(Z885="OFTÁLMICA",Z885="TOPICA (EXTERNA)"),RANDBETWEEN(200,3000),RANDBETWEEN(100,1500))))</f>
        <v>8464</v>
      </c>
      <c r="AY885" s="2">
        <f ca="1">INT(AV885*RANDBETWEEN(90,130)/100)</f>
        <v>34877</v>
      </c>
      <c r="AZ885" t="str">
        <f t="shared" ca="1" si="68"/>
        <v>13.9%</v>
      </c>
      <c r="BA885" t="str">
        <f t="shared" ca="1" si="69"/>
        <v>ALTO</v>
      </c>
    </row>
    <row r="886" spans="4:53" x14ac:dyDescent="0.35">
      <c r="D886" t="s">
        <v>5533</v>
      </c>
      <c r="E886" s="1">
        <v>42489</v>
      </c>
      <c r="F886" t="s">
        <v>302</v>
      </c>
      <c r="G886" t="s">
        <v>108</v>
      </c>
      <c r="H886" t="s">
        <v>5534</v>
      </c>
      <c r="I886">
        <v>20077371</v>
      </c>
      <c r="J886" t="s">
        <v>28</v>
      </c>
      <c r="K886">
        <v>1</v>
      </c>
      <c r="L886" t="s">
        <v>27</v>
      </c>
      <c r="M886" t="s">
        <v>5535</v>
      </c>
      <c r="N886" t="s">
        <v>5536</v>
      </c>
      <c r="O886" t="s">
        <v>5537</v>
      </c>
      <c r="P886" t="s">
        <v>5538</v>
      </c>
      <c r="Q886" s="1">
        <v>42069</v>
      </c>
      <c r="R886" t="s">
        <v>73</v>
      </c>
      <c r="S886" t="s">
        <v>27</v>
      </c>
      <c r="T886" t="s">
        <v>5539</v>
      </c>
      <c r="U886" t="s">
        <v>247</v>
      </c>
      <c r="V886" t="s">
        <v>1073</v>
      </c>
      <c r="W886" t="s">
        <v>1117</v>
      </c>
      <c r="X886">
        <v>20077371</v>
      </c>
      <c r="Y886" t="s">
        <v>1077</v>
      </c>
      <c r="Z886" t="s">
        <v>119</v>
      </c>
      <c r="AA886" t="s">
        <v>24</v>
      </c>
      <c r="AB886" t="s">
        <v>1095</v>
      </c>
      <c r="AC886" t="s">
        <v>25</v>
      </c>
      <c r="AD886" t="s">
        <v>121</v>
      </c>
      <c r="AE886">
        <v>1</v>
      </c>
      <c r="AF886" t="s">
        <v>27</v>
      </c>
      <c r="AG886" t="s">
        <v>26</v>
      </c>
      <c r="AH886" t="s">
        <v>302</v>
      </c>
      <c r="AI886" t="str">
        <f t="shared" si="65"/>
        <v>NO</v>
      </c>
      <c r="AJ886" t="str">
        <f t="shared" si="66"/>
        <v>GLOBAL INTERNACIONAL MEDICINE- GIMED</v>
      </c>
      <c r="AK886" t="str">
        <f>IF(ISNUMBER(SEARCH("FABRICANTE",AC886)),"FABRICANTE",IF(ISNUMBER(SEARCH("IMPORTADOR",AC886)),"IMPORTADOR","OTRO"))</f>
        <v>FABRICANTE</v>
      </c>
      <c r="AL886" t="str">
        <f>IF(LEFT(Y886,1)="A","Sistema digestivo",IF(LEFT(Y886,1)="B","Sangre",IF(LEFT(Y886,1)="C","Cardiovascular",IF(LEFT(Y886,1)="D","Dermatológico",IF(LEFT(Y886,1)="G","Genitourinario",IF(LEFT(Y886,1)="H","Hormonal",IF(LEFT(Y886,1)="J","Antiinfecciosos",IF(LEFT(Y886,1)="L","Oncológicos",IF(LEFT(Y886,1)="M","Musculoesquelético",IF(LEFT(Y886,1)="N","Sistema nervioso",IF(LEFT(Y886,1)="R","Respiratorio",IF(LEFT(Y886,1)="S","Oftálmico",IF(LEFT(Y886,1)="V","Varios","OTRO")))))))))))))</f>
        <v>Musculoesquelético</v>
      </c>
      <c r="AM886" t="str">
        <f>IF(AG886="Vigente","ACTIVO",IF(ISNUMBER(SEARCH("Inactivo",J886)),"INACTIVO","REVISAR"))</f>
        <v>ACTIVO</v>
      </c>
      <c r="AN886" t="str">
        <f ca="1">IF(OR(AF886="",AF886="null"),"",ROUND((AF886-TODAY())/365.25,2))</f>
        <v/>
      </c>
      <c r="AO886" t="str">
        <f ca="1">IF(AND(AG886="Vigente",OR(AF886="",AF886="null",AF886&gt;TODAY())),"SI",IF(AND(NOT(OR(AF886="",AF886="null")),AF886&lt;=TODAY()),"NO",IF(AG886="Vigente","SI","DESCONOCIDO")))</f>
        <v>SI</v>
      </c>
      <c r="AP886" t="str">
        <f>IF(AND(ISNUMBER(SEARCH("IMPORTAR",AA886)),ISNUMBER(SEARCH("FABRICAR",AA886))),"MIXTO",IF(ISNUMBER(SEARCH("IMPORTAR",AA886)),"IMPORTADO",IF(ISNUMBER(SEARCH("FABRICAR",AA886)),"LOCAL","OTRO")))</f>
        <v>LOCAL</v>
      </c>
      <c r="AQ886" t="str">
        <f>IF(AD886="Si","SI",IF(AD886="No","NO",""))</f>
        <v>NO</v>
      </c>
      <c r="AR886" t="str">
        <f>IF(ISNUMBER(SEARCH("®",N886)),"MARCA/INNOVADOR","GENERICO")</f>
        <v>MARCA/INNOVADOR</v>
      </c>
      <c r="AS886">
        <f ca="1">IF(AE886&gt;100,RANDBETWEEN(500,5000),IF(AND(AE886&gt;=10,AE886&lt;=100),RANDBETWEEN(100,1000),RANDBETWEEN(10,200)))</f>
        <v>186</v>
      </c>
      <c r="AT886">
        <f t="shared" ca="1" si="67"/>
        <v>33</v>
      </c>
      <c r="AU886">
        <f ca="1">INT(AS886*RANDBETWEEN(120,200)/100)</f>
        <v>226</v>
      </c>
      <c r="AV886" s="2">
        <f ca="1">IF(LEFT(Y886,1)="L",RANDBETWEEN(500000,5000000),IF(LEFT(Y886,1)="C",RANDBETWEEN(5000,50000),IF(LEFT(Y886,1)="N",RANDBETWEEN(10000,150000),IF(LEFT(Y886,1)="J",RANDBETWEEN(8000,200000),RANDBETWEEN(5000,100000)))))</f>
        <v>5562</v>
      </c>
      <c r="AW886" s="2">
        <f ca="1">INT(AV886*RANDBETWEEN(30,60)/100)</f>
        <v>2391</v>
      </c>
      <c r="AX886">
        <f ca="1">IF(Z886="ORAL",RANDBETWEEN(1000,10000),IF(OR(Z886="INTRAVENOSA",Z886="INTRAMUSCULAR"),RANDBETWEEN(100,2000),IF(OR(Z886="OFTÁLMICA",Z886="TOPICA (EXTERNA)"),RANDBETWEEN(200,3000),RANDBETWEEN(100,1500))))</f>
        <v>3106</v>
      </c>
      <c r="AY886" s="2">
        <f ca="1">INT(AV886*RANDBETWEEN(90,130)/100)</f>
        <v>7063</v>
      </c>
      <c r="AZ886" t="str">
        <f t="shared" ca="1" si="68"/>
        <v>5.9%</v>
      </c>
      <c r="BA886" t="str">
        <f t="shared" ca="1" si="69"/>
        <v>BAJO</v>
      </c>
    </row>
    <row r="887" spans="4:53" x14ac:dyDescent="0.35">
      <c r="D887" t="s">
        <v>5540</v>
      </c>
      <c r="E887" s="1">
        <v>41975</v>
      </c>
      <c r="F887" t="s">
        <v>5541</v>
      </c>
      <c r="G887" t="s">
        <v>108</v>
      </c>
      <c r="H887" t="s">
        <v>1501</v>
      </c>
      <c r="I887">
        <v>20061746</v>
      </c>
      <c r="J887" t="s">
        <v>28</v>
      </c>
      <c r="K887">
        <v>12</v>
      </c>
      <c r="L887" t="s">
        <v>27</v>
      </c>
      <c r="M887" t="s">
        <v>1326</v>
      </c>
      <c r="N887" t="s">
        <v>1327</v>
      </c>
      <c r="O887" t="s">
        <v>2785</v>
      </c>
      <c r="P887" t="s">
        <v>97</v>
      </c>
      <c r="Q887" s="1">
        <v>44488</v>
      </c>
      <c r="R887" t="s">
        <v>258</v>
      </c>
      <c r="S887" t="s">
        <v>27</v>
      </c>
      <c r="T887" t="s">
        <v>1329</v>
      </c>
      <c r="U887" t="s">
        <v>115</v>
      </c>
      <c r="V887" t="s">
        <v>64</v>
      </c>
      <c r="W887" t="s">
        <v>5542</v>
      </c>
      <c r="X887">
        <v>20061746</v>
      </c>
      <c r="Y887" t="s">
        <v>259</v>
      </c>
      <c r="Z887" t="s">
        <v>260</v>
      </c>
      <c r="AA887" t="s">
        <v>32</v>
      </c>
      <c r="AB887" t="s">
        <v>133</v>
      </c>
      <c r="AC887" t="s">
        <v>25</v>
      </c>
      <c r="AD887" t="s">
        <v>155</v>
      </c>
      <c r="AE887">
        <v>1</v>
      </c>
      <c r="AF887" s="1">
        <v>401769</v>
      </c>
      <c r="AG887" t="s">
        <v>26</v>
      </c>
      <c r="AH887" t="s">
        <v>6839</v>
      </c>
      <c r="AI887" t="str">
        <f t="shared" si="65"/>
        <v>NO</v>
      </c>
      <c r="AJ887" t="str">
        <f t="shared" si="66"/>
        <v>FRESENIUS KABI AB</v>
      </c>
      <c r="AK887" t="str">
        <f>IF(ISNUMBER(SEARCH("FABRICANTE",AC887)),"FABRICANTE",IF(ISNUMBER(SEARCH("IMPORTADOR",AC887)),"IMPORTADOR","OTRO"))</f>
        <v>FABRICANTE</v>
      </c>
      <c r="AL887" t="str">
        <f>IF(LEFT(Y887,1)="A","Sistema digestivo",IF(LEFT(Y887,1)="B","Sangre",IF(LEFT(Y887,1)="C","Cardiovascular",IF(LEFT(Y887,1)="D","Dermatológico",IF(LEFT(Y887,1)="G","Genitourinario",IF(LEFT(Y887,1)="H","Hormonal",IF(LEFT(Y887,1)="J","Antiinfecciosos",IF(LEFT(Y887,1)="L","Oncológicos",IF(LEFT(Y887,1)="M","Musculoesquelético",IF(LEFT(Y887,1)="N","Sistema nervioso",IF(LEFT(Y887,1)="R","Respiratorio",IF(LEFT(Y887,1)="S","Oftálmico",IF(LEFT(Y887,1)="V","Varios","OTRO")))))))))))))</f>
        <v>Sangre</v>
      </c>
      <c r="AM887" t="str">
        <f>IF(AG887="Vigente","ACTIVO",IF(ISNUMBER(SEARCH("Inactivo",J887)),"INACTIVO","REVISAR"))</f>
        <v>ACTIVO</v>
      </c>
      <c r="AN887">
        <f ca="1">IF(OR(AF887="",AF887="null"),"",ROUND((AF887-TODAY())/365.25,2))</f>
        <v>973.58</v>
      </c>
      <c r="AO887" t="str">
        <f ca="1">IF(AND(AG887="Vigente",OR(AF887="",AF887="null",AF887&gt;TODAY())),"SI",IF(AND(NOT(OR(AF887="",AF887="null")),AF887&lt;=TODAY()),"NO",IF(AG887="Vigente","SI","DESCONOCIDO")))</f>
        <v>SI</v>
      </c>
      <c r="AP887" t="str">
        <f>IF(AND(ISNUMBER(SEARCH("IMPORTAR",AA887)),ISNUMBER(SEARCH("FABRICAR",AA887))),"MIXTO",IF(ISNUMBER(SEARCH("IMPORTAR",AA887)),"IMPORTADO",IF(ISNUMBER(SEARCH("FABRICAR",AA887)),"LOCAL","OTRO")))</f>
        <v>IMPORTADO</v>
      </c>
      <c r="AQ887" t="str">
        <f>IF(AD887="Si","SI",IF(AD887="No","NO",""))</f>
        <v>SI</v>
      </c>
      <c r="AR887" t="str">
        <f>IF(ISNUMBER(SEARCH("®",N887)),"MARCA/INNOVADOR","GENERICO")</f>
        <v>MARCA/INNOVADOR</v>
      </c>
      <c r="AS887">
        <f ca="1">IF(AE887&gt;100,RANDBETWEEN(500,5000),IF(AND(AE887&gt;=10,AE887&lt;=100),RANDBETWEEN(100,1000),RANDBETWEEN(10,200)))</f>
        <v>131</v>
      </c>
      <c r="AT887">
        <f t="shared" ca="1" si="67"/>
        <v>14</v>
      </c>
      <c r="AU887">
        <f ca="1">INT(AS887*RANDBETWEEN(120,200)/100)</f>
        <v>158</v>
      </c>
      <c r="AV887" s="2">
        <f ca="1">IF(LEFT(Y887,1)="L",RANDBETWEEN(500000,5000000),IF(LEFT(Y887,1)="C",RANDBETWEEN(5000,50000),IF(LEFT(Y887,1)="N",RANDBETWEEN(10000,150000),IF(LEFT(Y887,1)="J",RANDBETWEEN(8000,200000),RANDBETWEEN(5000,100000)))))</f>
        <v>80526</v>
      </c>
      <c r="AW887" s="2">
        <f ca="1">INT(AV887*RANDBETWEEN(30,60)/100)</f>
        <v>47510</v>
      </c>
      <c r="AX887">
        <f ca="1">IF(Z887="ORAL",RANDBETWEEN(1000,10000),IF(OR(Z887="INTRAVENOSA",Z887="INTRAMUSCULAR"),RANDBETWEEN(100,2000),IF(OR(Z887="OFTÁLMICA",Z887="TOPICA (EXTERNA)"),RANDBETWEEN(200,3000),RANDBETWEEN(100,1500))))</f>
        <v>560</v>
      </c>
      <c r="AY887" s="2">
        <f ca="1">INT(AV887*RANDBETWEEN(90,130)/100)</f>
        <v>92604</v>
      </c>
      <c r="AZ887" t="str">
        <f t="shared" ca="1" si="68"/>
        <v>3.7%</v>
      </c>
      <c r="BA887" t="str">
        <f t="shared" ca="1" si="69"/>
        <v>BAJO</v>
      </c>
    </row>
    <row r="888" spans="4:53" x14ac:dyDescent="0.35">
      <c r="D888" t="s">
        <v>5543</v>
      </c>
      <c r="E888" s="1">
        <v>40025</v>
      </c>
      <c r="F888" t="s">
        <v>5544</v>
      </c>
      <c r="G888" t="s">
        <v>108</v>
      </c>
      <c r="H888" t="s">
        <v>5545</v>
      </c>
      <c r="I888">
        <v>20006939</v>
      </c>
      <c r="J888" t="s">
        <v>28</v>
      </c>
      <c r="K888">
        <v>3</v>
      </c>
      <c r="L888" t="s">
        <v>27</v>
      </c>
      <c r="M888" t="s">
        <v>5546</v>
      </c>
      <c r="N888" t="s">
        <v>5547</v>
      </c>
      <c r="O888" t="s">
        <v>5548</v>
      </c>
      <c r="P888" t="s">
        <v>1124</v>
      </c>
      <c r="Q888" s="1">
        <v>43697</v>
      </c>
      <c r="R888" t="s">
        <v>4558</v>
      </c>
      <c r="S888" t="s">
        <v>27</v>
      </c>
      <c r="T888" t="s">
        <v>5549</v>
      </c>
      <c r="U888" t="s">
        <v>469</v>
      </c>
      <c r="V888" t="s">
        <v>5550</v>
      </c>
      <c r="W888">
        <v>10000</v>
      </c>
      <c r="X888">
        <v>20006939</v>
      </c>
      <c r="Y888" t="s">
        <v>5551</v>
      </c>
      <c r="Z888" t="s">
        <v>4560</v>
      </c>
      <c r="AA888" t="s">
        <v>24</v>
      </c>
      <c r="AB888" t="s">
        <v>133</v>
      </c>
      <c r="AC888" t="s">
        <v>25</v>
      </c>
      <c r="AD888" t="s">
        <v>121</v>
      </c>
      <c r="AE888">
        <v>1</v>
      </c>
      <c r="AF888" t="s">
        <v>27</v>
      </c>
      <c r="AG888" t="s">
        <v>26</v>
      </c>
      <c r="AH888" t="s">
        <v>5544</v>
      </c>
      <c r="AI888" t="str">
        <f t="shared" si="65"/>
        <v>NO</v>
      </c>
      <c r="AJ888" t="str">
        <f t="shared" si="66"/>
        <v>ZAMBON COLOMBIA</v>
      </c>
      <c r="AK888" t="str">
        <f>IF(ISNUMBER(SEARCH("FABRICANTE",AC888)),"FABRICANTE",IF(ISNUMBER(SEARCH("IMPORTADOR",AC888)),"IMPORTADOR","OTRO"))</f>
        <v>FABRICANTE</v>
      </c>
      <c r="AL888" t="str">
        <f>IF(LEFT(Y888,1)="A","Sistema digestivo",IF(LEFT(Y888,1)="B","Sangre",IF(LEFT(Y888,1)="C","Cardiovascular",IF(LEFT(Y888,1)="D","Dermatológico",IF(LEFT(Y888,1)="G","Genitourinario",IF(LEFT(Y888,1)="H","Hormonal",IF(LEFT(Y888,1)="J","Antiinfecciosos",IF(LEFT(Y888,1)="L","Oncológicos",IF(LEFT(Y888,1)="M","Musculoesquelético",IF(LEFT(Y888,1)="N","Sistema nervioso",IF(LEFT(Y888,1)="R","Respiratorio",IF(LEFT(Y888,1)="S","Oftálmico",IF(LEFT(Y888,1)="V","Varios","OTRO")))))))))))))</f>
        <v>Sistema digestivo</v>
      </c>
      <c r="AM888" t="str">
        <f>IF(AG888="Vigente","ACTIVO",IF(ISNUMBER(SEARCH("Inactivo",J888)),"INACTIVO","REVISAR"))</f>
        <v>ACTIVO</v>
      </c>
      <c r="AN888" t="str">
        <f ca="1">IF(OR(AF888="",AF888="null"),"",ROUND((AF888-TODAY())/365.25,2))</f>
        <v/>
      </c>
      <c r="AO888" t="str">
        <f ca="1">IF(AND(AG888="Vigente",OR(AF888="",AF888="null",AF888&gt;TODAY())),"SI",IF(AND(NOT(OR(AF888="",AF888="null")),AF888&lt;=TODAY()),"NO",IF(AG888="Vigente","SI","DESCONOCIDO")))</f>
        <v>SI</v>
      </c>
      <c r="AP888" t="str">
        <f>IF(AND(ISNUMBER(SEARCH("IMPORTAR",AA888)),ISNUMBER(SEARCH("FABRICAR",AA888))),"MIXTO",IF(ISNUMBER(SEARCH("IMPORTAR",AA888)),"IMPORTADO",IF(ISNUMBER(SEARCH("FABRICAR",AA888)),"LOCAL","OTRO")))</f>
        <v>LOCAL</v>
      </c>
      <c r="AQ888" t="str">
        <f>IF(AD888="Si","SI",IF(AD888="No","NO",""))</f>
        <v>NO</v>
      </c>
      <c r="AR888" t="str">
        <f>IF(ISNUMBER(SEARCH("®",N888)),"MARCA/INNOVADOR","GENERICO")</f>
        <v>MARCA/INNOVADOR</v>
      </c>
      <c r="AS888">
        <f ca="1">IF(AE888&gt;100,RANDBETWEEN(500,5000),IF(AND(AE888&gt;=10,AE888&lt;=100),RANDBETWEEN(100,1000),RANDBETWEEN(10,200)))</f>
        <v>153</v>
      </c>
      <c r="AT888">
        <f t="shared" ca="1" si="67"/>
        <v>19</v>
      </c>
      <c r="AU888">
        <f ca="1">INT(AS888*RANDBETWEEN(120,200)/100)</f>
        <v>298</v>
      </c>
      <c r="AV888" s="2">
        <f ca="1">IF(LEFT(Y888,1)="L",RANDBETWEEN(500000,5000000),IF(LEFT(Y888,1)="C",RANDBETWEEN(5000,50000),IF(LEFT(Y888,1)="N",RANDBETWEEN(10000,150000),IF(LEFT(Y888,1)="J",RANDBETWEEN(8000,200000),RANDBETWEEN(5000,100000)))))</f>
        <v>92118</v>
      </c>
      <c r="AW888" s="2">
        <f ca="1">INT(AV888*RANDBETWEEN(30,60)/100)</f>
        <v>54349</v>
      </c>
      <c r="AX888">
        <f ca="1">IF(Z888="ORAL",RANDBETWEEN(1000,10000),IF(OR(Z888="INTRAVENOSA",Z888="INTRAMUSCULAR"),RANDBETWEEN(100,2000),IF(OR(Z888="OFTÁLMICA",Z888="TOPICA (EXTERNA)"),RANDBETWEEN(200,3000),RANDBETWEEN(100,1500))))</f>
        <v>826</v>
      </c>
      <c r="AY888" s="2">
        <f ca="1">INT(AV888*RANDBETWEEN(90,130)/100)</f>
        <v>97645</v>
      </c>
      <c r="AZ888" t="str">
        <f t="shared" ca="1" si="68"/>
        <v>1%</v>
      </c>
      <c r="BA888" t="str">
        <f t="shared" ca="1" si="69"/>
        <v>BAJO</v>
      </c>
    </row>
    <row r="889" spans="4:53" x14ac:dyDescent="0.35">
      <c r="D889" t="s">
        <v>5552</v>
      </c>
      <c r="E889" s="1">
        <v>40240</v>
      </c>
      <c r="F889" t="s">
        <v>5203</v>
      </c>
      <c r="G889" t="s">
        <v>108</v>
      </c>
      <c r="H889" t="s">
        <v>5553</v>
      </c>
      <c r="I889">
        <v>20002706</v>
      </c>
      <c r="J889" t="s">
        <v>28</v>
      </c>
      <c r="K889">
        <v>11</v>
      </c>
      <c r="L889" t="s">
        <v>27</v>
      </c>
      <c r="M889" t="s">
        <v>5204</v>
      </c>
      <c r="N889" t="s">
        <v>5205</v>
      </c>
      <c r="O889" t="s">
        <v>5554</v>
      </c>
      <c r="P889" t="s">
        <v>5207</v>
      </c>
      <c r="Q889" s="1">
        <v>43279</v>
      </c>
      <c r="R889" t="s">
        <v>37</v>
      </c>
      <c r="S889" t="s">
        <v>27</v>
      </c>
      <c r="T889" t="s">
        <v>428</v>
      </c>
      <c r="U889" t="s">
        <v>115</v>
      </c>
      <c r="V889" t="s">
        <v>321</v>
      </c>
      <c r="W889">
        <v>5</v>
      </c>
      <c r="X889">
        <v>20002706</v>
      </c>
      <c r="Y889" t="s">
        <v>322</v>
      </c>
      <c r="Z889" t="s">
        <v>119</v>
      </c>
      <c r="AA889" t="s">
        <v>24</v>
      </c>
      <c r="AB889" t="s">
        <v>120</v>
      </c>
      <c r="AC889" t="s">
        <v>25</v>
      </c>
      <c r="AD889" t="s">
        <v>155</v>
      </c>
      <c r="AE889">
        <v>6</v>
      </c>
      <c r="AF889" t="s">
        <v>27</v>
      </c>
      <c r="AG889" t="s">
        <v>26</v>
      </c>
      <c r="AH889" t="s">
        <v>5203</v>
      </c>
      <c r="AI889" t="str">
        <f t="shared" si="65"/>
        <v>NO</v>
      </c>
      <c r="AJ889" t="str">
        <f t="shared" si="66"/>
        <v>LABORATORIOS SIEGFRIED</v>
      </c>
      <c r="AK889" t="str">
        <f>IF(ISNUMBER(SEARCH("FABRICANTE",AC889)),"FABRICANTE",IF(ISNUMBER(SEARCH("IMPORTADOR",AC889)),"IMPORTADOR","OTRO"))</f>
        <v>FABRICANTE</v>
      </c>
      <c r="AL889" t="str">
        <f>IF(LEFT(Y889,1)="A","Sistema digestivo",IF(LEFT(Y889,1)="B","Sangre",IF(LEFT(Y889,1)="C","Cardiovascular",IF(LEFT(Y889,1)="D","Dermatológico",IF(LEFT(Y889,1)="G","Genitourinario",IF(LEFT(Y889,1)="H","Hormonal",IF(LEFT(Y889,1)="J","Antiinfecciosos",IF(LEFT(Y889,1)="L","Oncológicos",IF(LEFT(Y889,1)="M","Musculoesquelético",IF(LEFT(Y889,1)="N","Sistema nervioso",IF(LEFT(Y889,1)="R","Respiratorio",IF(LEFT(Y889,1)="S","Oftálmico",IF(LEFT(Y889,1)="V","Varios","OTRO")))))))))))))</f>
        <v>Sistema nervioso</v>
      </c>
      <c r="AM889" t="str">
        <f>IF(AG889="Vigente","ACTIVO",IF(ISNUMBER(SEARCH("Inactivo",J889)),"INACTIVO","REVISAR"))</f>
        <v>ACTIVO</v>
      </c>
      <c r="AN889" t="str">
        <f ca="1">IF(OR(AF889="",AF889="null"),"",ROUND((AF889-TODAY())/365.25,2))</f>
        <v/>
      </c>
      <c r="AO889" t="str">
        <f ca="1">IF(AND(AG889="Vigente",OR(AF889="",AF889="null",AF889&gt;TODAY())),"SI",IF(AND(NOT(OR(AF889="",AF889="null")),AF889&lt;=TODAY()),"NO",IF(AG889="Vigente","SI","DESCONOCIDO")))</f>
        <v>SI</v>
      </c>
      <c r="AP889" t="str">
        <f>IF(AND(ISNUMBER(SEARCH("IMPORTAR",AA889)),ISNUMBER(SEARCH("FABRICAR",AA889))),"MIXTO",IF(ISNUMBER(SEARCH("IMPORTAR",AA889)),"IMPORTADO",IF(ISNUMBER(SEARCH("FABRICAR",AA889)),"LOCAL","OTRO")))</f>
        <v>LOCAL</v>
      </c>
      <c r="AQ889" t="str">
        <f>IF(AD889="Si","SI",IF(AD889="No","NO",""))</f>
        <v>SI</v>
      </c>
      <c r="AR889" t="str">
        <f>IF(ISNUMBER(SEARCH("®",N889)),"MARCA/INNOVADOR","GENERICO")</f>
        <v>MARCA/INNOVADOR</v>
      </c>
      <c r="AS889">
        <f ca="1">IF(AE889&gt;100,RANDBETWEEN(500,5000),IF(AND(AE889&gt;=10,AE889&lt;=100),RANDBETWEEN(100,1000),RANDBETWEEN(10,200)))</f>
        <v>153</v>
      </c>
      <c r="AT889">
        <f t="shared" ca="1" si="67"/>
        <v>18</v>
      </c>
      <c r="AU889">
        <f ca="1">INT(AS889*RANDBETWEEN(120,200)/100)</f>
        <v>286</v>
      </c>
      <c r="AV889" s="2">
        <f ca="1">IF(LEFT(Y889,1)="L",RANDBETWEEN(500000,5000000),IF(LEFT(Y889,1)="C",RANDBETWEEN(5000,50000),IF(LEFT(Y889,1)="N",RANDBETWEEN(10000,150000),IF(LEFT(Y889,1)="J",RANDBETWEEN(8000,200000),RANDBETWEEN(5000,100000)))))</f>
        <v>103684</v>
      </c>
      <c r="AW889" s="2">
        <f ca="1">INT(AV889*RANDBETWEEN(30,60)/100)</f>
        <v>33178</v>
      </c>
      <c r="AX889">
        <f ca="1">IF(Z889="ORAL",RANDBETWEEN(1000,10000),IF(OR(Z889="INTRAVENOSA",Z889="INTRAMUSCULAR"),RANDBETWEEN(100,2000),IF(OR(Z889="OFTÁLMICA",Z889="TOPICA (EXTERNA)"),RANDBETWEEN(200,3000),RANDBETWEEN(100,1500))))</f>
        <v>8975</v>
      </c>
      <c r="AY889" s="2">
        <f ca="1">INT(AV889*RANDBETWEEN(90,130)/100)</f>
        <v>110941</v>
      </c>
      <c r="AZ889" t="str">
        <f t="shared" ca="1" si="68"/>
        <v>6.2%</v>
      </c>
      <c r="BA889" t="str">
        <f t="shared" ca="1" si="69"/>
        <v>BAJO</v>
      </c>
    </row>
    <row r="890" spans="4:53" x14ac:dyDescent="0.35">
      <c r="D890" t="s">
        <v>5555</v>
      </c>
      <c r="E890" s="1">
        <v>42885</v>
      </c>
      <c r="F890" t="s">
        <v>966</v>
      </c>
      <c r="G890" t="s">
        <v>108</v>
      </c>
      <c r="H890" t="s">
        <v>44</v>
      </c>
      <c r="I890">
        <v>20105758</v>
      </c>
      <c r="J890" t="s">
        <v>28</v>
      </c>
      <c r="K890">
        <v>6</v>
      </c>
      <c r="L890" t="s">
        <v>27</v>
      </c>
      <c r="M890" t="s">
        <v>5556</v>
      </c>
      <c r="N890" t="s">
        <v>5557</v>
      </c>
      <c r="O890" t="s">
        <v>5558</v>
      </c>
      <c r="P890" t="s">
        <v>97</v>
      </c>
      <c r="Q890" s="1">
        <v>42870</v>
      </c>
      <c r="R890" t="s">
        <v>37</v>
      </c>
      <c r="S890" s="1">
        <v>44741</v>
      </c>
      <c r="T890" t="s">
        <v>972</v>
      </c>
      <c r="U890" t="s">
        <v>115</v>
      </c>
      <c r="V890" t="s">
        <v>321</v>
      </c>
      <c r="W890">
        <v>10</v>
      </c>
      <c r="X890">
        <v>20105758</v>
      </c>
      <c r="Y890" t="s">
        <v>322</v>
      </c>
      <c r="Z890" t="s">
        <v>119</v>
      </c>
      <c r="AA890" t="s">
        <v>24</v>
      </c>
      <c r="AB890" t="s">
        <v>120</v>
      </c>
      <c r="AC890" t="s">
        <v>25</v>
      </c>
      <c r="AD890" t="s">
        <v>155</v>
      </c>
      <c r="AE890">
        <v>4</v>
      </c>
      <c r="AF890" s="1">
        <v>401769</v>
      </c>
      <c r="AG890" t="s">
        <v>26</v>
      </c>
      <c r="AH890" t="s">
        <v>966</v>
      </c>
      <c r="AI890" t="str">
        <f t="shared" si="65"/>
        <v>NO</v>
      </c>
      <c r="AJ890" t="str">
        <f t="shared" si="66"/>
        <v>PATMAR</v>
      </c>
      <c r="AK890" t="str">
        <f>IF(ISNUMBER(SEARCH("FABRICANTE",AC890)),"FABRICANTE",IF(ISNUMBER(SEARCH("IMPORTADOR",AC890)),"IMPORTADOR","OTRO"))</f>
        <v>FABRICANTE</v>
      </c>
      <c r="AL890" t="str">
        <f>IF(LEFT(Y890,1)="A","Sistema digestivo",IF(LEFT(Y890,1)="B","Sangre",IF(LEFT(Y890,1)="C","Cardiovascular",IF(LEFT(Y890,1)="D","Dermatológico",IF(LEFT(Y890,1)="G","Genitourinario",IF(LEFT(Y890,1)="H","Hormonal",IF(LEFT(Y890,1)="J","Antiinfecciosos",IF(LEFT(Y890,1)="L","Oncológicos",IF(LEFT(Y890,1)="M","Musculoesquelético",IF(LEFT(Y890,1)="N","Sistema nervioso",IF(LEFT(Y890,1)="R","Respiratorio",IF(LEFT(Y890,1)="S","Oftálmico",IF(LEFT(Y890,1)="V","Varios","OTRO")))))))))))))</f>
        <v>Sistema nervioso</v>
      </c>
      <c r="AM890" t="str">
        <f>IF(AG890="Vigente","ACTIVO",IF(ISNUMBER(SEARCH("Inactivo",J890)),"INACTIVO","REVISAR"))</f>
        <v>ACTIVO</v>
      </c>
      <c r="AN890">
        <f ca="1">IF(OR(AF890="",AF890="null"),"",ROUND((AF890-TODAY())/365.25,2))</f>
        <v>973.58</v>
      </c>
      <c r="AO890" t="str">
        <f ca="1">IF(AND(AG890="Vigente",OR(AF890="",AF890="null",AF890&gt;TODAY())),"SI",IF(AND(NOT(OR(AF890="",AF890="null")),AF890&lt;=TODAY()),"NO",IF(AG890="Vigente","SI","DESCONOCIDO")))</f>
        <v>SI</v>
      </c>
      <c r="AP890" t="str">
        <f>IF(AND(ISNUMBER(SEARCH("IMPORTAR",AA890)),ISNUMBER(SEARCH("FABRICAR",AA890))),"MIXTO",IF(ISNUMBER(SEARCH("IMPORTAR",AA890)),"IMPORTADO",IF(ISNUMBER(SEARCH("FABRICAR",AA890)),"LOCAL","OTRO")))</f>
        <v>LOCAL</v>
      </c>
      <c r="AQ890" t="str">
        <f>IF(AD890="Si","SI",IF(AD890="No","NO",""))</f>
        <v>SI</v>
      </c>
      <c r="AR890" t="str">
        <f>IF(ISNUMBER(SEARCH("®",N890)),"MARCA/INNOVADOR","GENERICO")</f>
        <v>GENERICO</v>
      </c>
      <c r="AS890">
        <f ca="1">IF(AE890&gt;100,RANDBETWEEN(500,5000),IF(AND(AE890&gt;=10,AE890&lt;=100),RANDBETWEEN(100,1000),RANDBETWEEN(10,200)))</f>
        <v>161</v>
      </c>
      <c r="AT890">
        <f t="shared" ca="1" si="67"/>
        <v>38</v>
      </c>
      <c r="AU890">
        <f ca="1">INT(AS890*RANDBETWEEN(120,200)/100)</f>
        <v>194</v>
      </c>
      <c r="AV890" s="2">
        <f ca="1">IF(LEFT(Y890,1)="L",RANDBETWEEN(500000,5000000),IF(LEFT(Y890,1)="C",RANDBETWEEN(5000,50000),IF(LEFT(Y890,1)="N",RANDBETWEEN(10000,150000),IF(LEFT(Y890,1)="J",RANDBETWEEN(8000,200000),RANDBETWEEN(5000,100000)))))</f>
        <v>66072</v>
      </c>
      <c r="AW890" s="2">
        <f ca="1">INT(AV890*RANDBETWEEN(30,60)/100)</f>
        <v>37661</v>
      </c>
      <c r="AX890">
        <f ca="1">IF(Z890="ORAL",RANDBETWEEN(1000,10000),IF(OR(Z890="INTRAVENOSA",Z890="INTRAMUSCULAR"),RANDBETWEEN(100,2000),IF(OR(Z890="OFTÁLMICA",Z890="TOPICA (EXTERNA)"),RANDBETWEEN(200,3000),RANDBETWEEN(100,1500))))</f>
        <v>7189</v>
      </c>
      <c r="AY890" s="2">
        <f ca="1">INT(AV890*RANDBETWEEN(90,130)/100)</f>
        <v>79947</v>
      </c>
      <c r="AZ890" t="str">
        <f t="shared" ca="1" si="68"/>
        <v>12.8%</v>
      </c>
      <c r="BA890" t="str">
        <f t="shared" ca="1" si="69"/>
        <v>BAJO</v>
      </c>
    </row>
    <row r="891" spans="4:53" x14ac:dyDescent="0.35">
      <c r="D891" t="s">
        <v>5559</v>
      </c>
      <c r="E891" s="1">
        <v>43473</v>
      </c>
      <c r="F891" t="s">
        <v>123</v>
      </c>
      <c r="G891" t="s">
        <v>108</v>
      </c>
      <c r="H891" t="s">
        <v>545</v>
      </c>
      <c r="I891">
        <v>20130630</v>
      </c>
      <c r="J891" t="s">
        <v>110</v>
      </c>
      <c r="K891">
        <v>13</v>
      </c>
      <c r="L891" t="s">
        <v>27</v>
      </c>
      <c r="M891" t="s">
        <v>1952</v>
      </c>
      <c r="N891" t="s">
        <v>1953</v>
      </c>
      <c r="O891" t="s">
        <v>5560</v>
      </c>
      <c r="P891" t="s">
        <v>33</v>
      </c>
      <c r="Q891" s="1">
        <v>43461</v>
      </c>
      <c r="R891" t="s">
        <v>33</v>
      </c>
      <c r="S891" s="1">
        <v>45313</v>
      </c>
      <c r="T891" t="s">
        <v>545</v>
      </c>
      <c r="U891" t="s">
        <v>115</v>
      </c>
      <c r="V891" t="s">
        <v>1955</v>
      </c>
      <c r="W891" t="s">
        <v>1956</v>
      </c>
      <c r="X891">
        <v>20130630</v>
      </c>
      <c r="Y891" t="s">
        <v>1957</v>
      </c>
      <c r="Z891" t="s">
        <v>119</v>
      </c>
      <c r="AA891" t="s">
        <v>32</v>
      </c>
      <c r="AB891" t="s">
        <v>120</v>
      </c>
      <c r="AC891" t="s">
        <v>25</v>
      </c>
      <c r="AD891" t="s">
        <v>155</v>
      </c>
      <c r="AE891">
        <v>2</v>
      </c>
      <c r="AF891" t="s">
        <v>27</v>
      </c>
      <c r="AG891" t="s">
        <v>26</v>
      </c>
      <c r="AH891" t="s">
        <v>123</v>
      </c>
      <c r="AI891" t="str">
        <f t="shared" si="65"/>
        <v>NO</v>
      </c>
      <c r="AJ891" t="str">
        <f t="shared" si="66"/>
        <v>IPCA LABORATORIES</v>
      </c>
      <c r="AK891" t="str">
        <f>IF(ISNUMBER(SEARCH("FABRICANTE",AC891)),"FABRICANTE",IF(ISNUMBER(SEARCH("IMPORTADOR",AC891)),"IMPORTADOR","OTRO"))</f>
        <v>FABRICANTE</v>
      </c>
      <c r="AL891" t="str">
        <f>IF(LEFT(Y891,1)="A","Sistema digestivo",IF(LEFT(Y891,1)="B","Sangre",IF(LEFT(Y891,1)="C","Cardiovascular",IF(LEFT(Y891,1)="D","Dermatológico",IF(LEFT(Y891,1)="G","Genitourinario",IF(LEFT(Y891,1)="H","Hormonal",IF(LEFT(Y891,1)="J","Antiinfecciosos",IF(LEFT(Y891,1)="L","Oncológicos",IF(LEFT(Y891,1)="M","Musculoesquelético",IF(LEFT(Y891,1)="N","Sistema nervioso",IF(LEFT(Y891,1)="R","Respiratorio",IF(LEFT(Y891,1)="S","Oftálmico",IF(LEFT(Y891,1)="V","Varios","OTRO")))))))))))))</f>
        <v>Sistema nervioso</v>
      </c>
      <c r="AM891" t="str">
        <f>IF(AG891="Vigente","ACTIVO",IF(ISNUMBER(SEARCH("Inactivo",J891)),"INACTIVO","REVISAR"))</f>
        <v>ACTIVO</v>
      </c>
      <c r="AN891" t="str">
        <f ca="1">IF(OR(AF891="",AF891="null"),"",ROUND((AF891-TODAY())/365.25,2))</f>
        <v/>
      </c>
      <c r="AO891" t="str">
        <f ca="1">IF(AND(AG891="Vigente",OR(AF891="",AF891="null",AF891&gt;TODAY())),"SI",IF(AND(NOT(OR(AF891="",AF891="null")),AF891&lt;=TODAY()),"NO",IF(AG891="Vigente","SI","DESCONOCIDO")))</f>
        <v>SI</v>
      </c>
      <c r="AP891" t="str">
        <f>IF(AND(ISNUMBER(SEARCH("IMPORTAR",AA891)),ISNUMBER(SEARCH("FABRICAR",AA891))),"MIXTO",IF(ISNUMBER(SEARCH("IMPORTAR",AA891)),"IMPORTADO",IF(ISNUMBER(SEARCH("FABRICAR",AA891)),"LOCAL","OTRO")))</f>
        <v>IMPORTADO</v>
      </c>
      <c r="AQ891" t="str">
        <f>IF(AD891="Si","SI",IF(AD891="No","NO",""))</f>
        <v>SI</v>
      </c>
      <c r="AR891" t="str">
        <f>IF(ISNUMBER(SEARCH("®",N891)),"MARCA/INNOVADOR","GENERICO")</f>
        <v>GENERICO</v>
      </c>
      <c r="AS891">
        <f ca="1">IF(AE891&gt;100,RANDBETWEEN(500,5000),IF(AND(AE891&gt;=10,AE891&lt;=100),RANDBETWEEN(100,1000),RANDBETWEEN(10,200)))</f>
        <v>14</v>
      </c>
      <c r="AT891">
        <f t="shared" ca="1" si="67"/>
        <v>1</v>
      </c>
      <c r="AU891">
        <f ca="1">INT(AS891*RANDBETWEEN(120,200)/100)</f>
        <v>27</v>
      </c>
      <c r="AV891" s="2">
        <f ca="1">IF(LEFT(Y891,1)="L",RANDBETWEEN(500000,5000000),IF(LEFT(Y891,1)="C",RANDBETWEEN(5000,50000),IF(LEFT(Y891,1)="N",RANDBETWEEN(10000,150000),IF(LEFT(Y891,1)="J",RANDBETWEEN(8000,200000),RANDBETWEEN(5000,100000)))))</f>
        <v>10282</v>
      </c>
      <c r="AW891" s="2">
        <f ca="1">INT(AV891*RANDBETWEEN(30,60)/100)</f>
        <v>6066</v>
      </c>
      <c r="AX891">
        <f ca="1">IF(Z891="ORAL",RANDBETWEEN(1000,10000),IF(OR(Z891="INTRAVENOSA",Z891="INTRAMUSCULAR"),RANDBETWEEN(100,2000),IF(OR(Z891="OFTÁLMICA",Z891="TOPICA (EXTERNA)"),RANDBETWEEN(200,3000),RANDBETWEEN(100,1500))))</f>
        <v>2065</v>
      </c>
      <c r="AY891" s="2">
        <f ca="1">INT(AV891*RANDBETWEEN(90,130)/100)</f>
        <v>11721</v>
      </c>
      <c r="AZ891" t="str">
        <f t="shared" ca="1" si="68"/>
        <v>21.3%</v>
      </c>
      <c r="BA891" t="str">
        <f t="shared" ca="1" si="69"/>
        <v>ALTO</v>
      </c>
    </row>
    <row r="892" spans="4:53" x14ac:dyDescent="0.35">
      <c r="D892" t="s">
        <v>5561</v>
      </c>
      <c r="E892" t="s">
        <v>27</v>
      </c>
      <c r="F892" t="s">
        <v>5562</v>
      </c>
      <c r="G892" t="s">
        <v>108</v>
      </c>
      <c r="H892" t="s">
        <v>74</v>
      </c>
      <c r="I892">
        <v>20099719</v>
      </c>
      <c r="J892" t="s">
        <v>28</v>
      </c>
      <c r="K892">
        <v>5</v>
      </c>
      <c r="L892" t="s">
        <v>5563</v>
      </c>
      <c r="M892" t="s">
        <v>5564</v>
      </c>
      <c r="N892" t="s">
        <v>5565</v>
      </c>
      <c r="O892" t="s">
        <v>5566</v>
      </c>
      <c r="P892" t="s">
        <v>659</v>
      </c>
      <c r="Q892" s="1">
        <v>44400</v>
      </c>
      <c r="R892" t="s">
        <v>37</v>
      </c>
      <c r="S892" t="s">
        <v>27</v>
      </c>
      <c r="T892" t="s">
        <v>5567</v>
      </c>
      <c r="U892" t="s">
        <v>115</v>
      </c>
      <c r="V892" t="s">
        <v>79</v>
      </c>
      <c r="W892">
        <v>500</v>
      </c>
      <c r="X892">
        <v>20099719</v>
      </c>
      <c r="Y892" t="s">
        <v>1744</v>
      </c>
      <c r="Z892" t="s">
        <v>119</v>
      </c>
      <c r="AA892" t="s">
        <v>24</v>
      </c>
      <c r="AB892" t="s">
        <v>120</v>
      </c>
      <c r="AC892" t="s">
        <v>25</v>
      </c>
      <c r="AD892" t="s">
        <v>121</v>
      </c>
      <c r="AE892">
        <v>30</v>
      </c>
      <c r="AF892" t="s">
        <v>27</v>
      </c>
      <c r="AG892" t="s">
        <v>26</v>
      </c>
      <c r="AH892" t="s">
        <v>79</v>
      </c>
      <c r="AI892" t="str">
        <f t="shared" si="65"/>
        <v>NO</v>
      </c>
      <c r="AJ892" t="str">
        <f t="shared" si="66"/>
        <v>QUIRUPOS</v>
      </c>
      <c r="AK892" t="str">
        <f>IF(ISNUMBER(SEARCH("FABRICANTE",AC892)),"FABRICANTE",IF(ISNUMBER(SEARCH("IMPORTADOR",AC892)),"IMPORTADOR","OTRO"))</f>
        <v>FABRICANTE</v>
      </c>
      <c r="AL892" t="str">
        <f>IF(LEFT(Y892,1)="A","Sistema digestivo",IF(LEFT(Y892,1)="B","Sangre",IF(LEFT(Y892,1)="C","Cardiovascular",IF(LEFT(Y892,1)="D","Dermatológico",IF(LEFT(Y892,1)="G","Genitourinario",IF(LEFT(Y892,1)="H","Hormonal",IF(LEFT(Y892,1)="J","Antiinfecciosos",IF(LEFT(Y892,1)="L","Oncológicos",IF(LEFT(Y892,1)="M","Musculoesquelético",IF(LEFT(Y892,1)="N","Sistema nervioso",IF(LEFT(Y892,1)="R","Respiratorio",IF(LEFT(Y892,1)="S","Oftálmico",IF(LEFT(Y892,1)="V","Varios","OTRO")))))))))))))</f>
        <v>Antiinfecciosos</v>
      </c>
      <c r="AM892" t="str">
        <f>IF(AG892="Vigente","ACTIVO",IF(ISNUMBER(SEARCH("Inactivo",J892)),"INACTIVO","REVISAR"))</f>
        <v>ACTIVO</v>
      </c>
      <c r="AN892" t="str">
        <f ca="1">IF(OR(AF892="",AF892="null"),"",ROUND((AF892-TODAY())/365.25,2))</f>
        <v/>
      </c>
      <c r="AO892" t="str">
        <f ca="1">IF(AND(AG892="Vigente",OR(AF892="",AF892="null",AF892&gt;TODAY())),"SI",IF(AND(NOT(OR(AF892="",AF892="null")),AF892&lt;=TODAY()),"NO",IF(AG892="Vigente","SI","DESCONOCIDO")))</f>
        <v>SI</v>
      </c>
      <c r="AP892" t="str">
        <f>IF(AND(ISNUMBER(SEARCH("IMPORTAR",AA892)),ISNUMBER(SEARCH("FABRICAR",AA892))),"MIXTO",IF(ISNUMBER(SEARCH("IMPORTAR",AA892)),"IMPORTADO",IF(ISNUMBER(SEARCH("FABRICAR",AA892)),"LOCAL","OTRO")))</f>
        <v>LOCAL</v>
      </c>
      <c r="AQ892" t="str">
        <f>IF(AD892="Si","SI",IF(AD892="No","NO",""))</f>
        <v>NO</v>
      </c>
      <c r="AR892" t="str">
        <f>IF(ISNUMBER(SEARCH("®",N892)),"MARCA/INNOVADOR","GENERICO")</f>
        <v>MARCA/INNOVADOR</v>
      </c>
      <c r="AS892">
        <f ca="1">IF(AE892&gt;100,RANDBETWEEN(500,5000),IF(AND(AE892&gt;=10,AE892&lt;=100),RANDBETWEEN(100,1000),RANDBETWEEN(10,200)))</f>
        <v>770</v>
      </c>
      <c r="AT892">
        <f t="shared" ca="1" si="67"/>
        <v>115</v>
      </c>
      <c r="AU892">
        <f ca="1">INT(AS892*RANDBETWEEN(120,200)/100)</f>
        <v>962</v>
      </c>
      <c r="AV892" s="2">
        <f ca="1">IF(LEFT(Y892,1)="L",RANDBETWEEN(500000,5000000),IF(LEFT(Y892,1)="C",RANDBETWEEN(5000,50000),IF(LEFT(Y892,1)="N",RANDBETWEEN(10000,150000),IF(LEFT(Y892,1)="J",RANDBETWEEN(8000,200000),RANDBETWEEN(5000,100000)))))</f>
        <v>127057</v>
      </c>
      <c r="AW892" s="2">
        <f ca="1">INT(AV892*RANDBETWEEN(30,60)/100)</f>
        <v>48281</v>
      </c>
      <c r="AX892">
        <f ca="1">IF(Z892="ORAL",RANDBETWEEN(1000,10000),IF(OR(Z892="INTRAVENOSA",Z892="INTRAMUSCULAR"),RANDBETWEEN(100,2000),IF(OR(Z892="OFTÁLMICA",Z892="TOPICA (EXTERNA)"),RANDBETWEEN(200,3000),RANDBETWEEN(100,1500))))</f>
        <v>8423</v>
      </c>
      <c r="AY892" s="2">
        <f ca="1">INT(AV892*RANDBETWEEN(90,130)/100)</f>
        <v>115621</v>
      </c>
      <c r="AZ892" t="str">
        <f t="shared" ca="1" si="68"/>
        <v>11.9%</v>
      </c>
      <c r="BA892" t="str">
        <f t="shared" ca="1" si="69"/>
        <v>BAJO</v>
      </c>
    </row>
    <row r="893" spans="4:53" x14ac:dyDescent="0.35">
      <c r="D893" t="s">
        <v>5568</v>
      </c>
      <c r="E893" s="1">
        <v>43402</v>
      </c>
      <c r="F893" t="s">
        <v>5569</v>
      </c>
      <c r="G893" t="s">
        <v>108</v>
      </c>
      <c r="H893" t="s">
        <v>4056</v>
      </c>
      <c r="I893">
        <v>20121606</v>
      </c>
      <c r="J893" t="s">
        <v>28</v>
      </c>
      <c r="K893">
        <v>4</v>
      </c>
      <c r="L893" t="s">
        <v>5570</v>
      </c>
      <c r="M893" t="s">
        <v>5571</v>
      </c>
      <c r="N893" t="s">
        <v>5572</v>
      </c>
      <c r="O893" t="s">
        <v>5573</v>
      </c>
      <c r="P893" t="s">
        <v>5574</v>
      </c>
      <c r="Q893" s="1">
        <v>43216</v>
      </c>
      <c r="R893" t="s">
        <v>29</v>
      </c>
      <c r="S893" t="s">
        <v>27</v>
      </c>
      <c r="T893" t="s">
        <v>95</v>
      </c>
      <c r="U893" t="s">
        <v>115</v>
      </c>
      <c r="V893" t="s">
        <v>5148</v>
      </c>
      <c r="W893">
        <v>360</v>
      </c>
      <c r="X893">
        <v>20121606</v>
      </c>
      <c r="Y893" t="s">
        <v>5149</v>
      </c>
      <c r="Z893" t="s">
        <v>119</v>
      </c>
      <c r="AA893" t="s">
        <v>32</v>
      </c>
      <c r="AB893" t="s">
        <v>120</v>
      </c>
      <c r="AC893" t="s">
        <v>38</v>
      </c>
      <c r="AD893" t="s">
        <v>155</v>
      </c>
      <c r="AE893">
        <v>120</v>
      </c>
      <c r="AF893" t="s">
        <v>27</v>
      </c>
      <c r="AG893" t="s">
        <v>26</v>
      </c>
      <c r="AH893" t="s">
        <v>6707</v>
      </c>
      <c r="AI893" t="str">
        <f t="shared" si="65"/>
        <v>SI</v>
      </c>
      <c r="AJ893" t="str">
        <f t="shared" si="66"/>
        <v>INTAS PHARMACEUTICALS</v>
      </c>
      <c r="AK893" t="str">
        <f>IF(ISNUMBER(SEARCH("FABRICANTE",AC893)),"FABRICANTE",IF(ISNUMBER(SEARCH("IMPORTADOR",AC893)),"IMPORTADOR","OTRO"))</f>
        <v>IMPORTADOR</v>
      </c>
      <c r="AL893" t="str">
        <f>IF(LEFT(Y893,1)="A","Sistema digestivo",IF(LEFT(Y893,1)="B","Sangre",IF(LEFT(Y893,1)="C","Cardiovascular",IF(LEFT(Y893,1)="D","Dermatológico",IF(LEFT(Y893,1)="G","Genitourinario",IF(LEFT(Y893,1)="H","Hormonal",IF(LEFT(Y893,1)="J","Antiinfecciosos",IF(LEFT(Y893,1)="L","Oncológicos",IF(LEFT(Y893,1)="M","Musculoesquelético",IF(LEFT(Y893,1)="N","Sistema nervioso",IF(LEFT(Y893,1)="R","Respiratorio",IF(LEFT(Y893,1)="S","Oftálmico",IF(LEFT(Y893,1)="V","Varios","OTRO")))))))))))))</f>
        <v>Oncológicos</v>
      </c>
      <c r="AM893" t="str">
        <f>IF(AG893="Vigente","ACTIVO",IF(ISNUMBER(SEARCH("Inactivo",J893)),"INACTIVO","REVISAR"))</f>
        <v>ACTIVO</v>
      </c>
      <c r="AN893" t="str">
        <f ca="1">IF(OR(AF893="",AF893="null"),"",ROUND((AF893-TODAY())/365.25,2))</f>
        <v/>
      </c>
      <c r="AO893" t="str">
        <f ca="1">IF(AND(AG893="Vigente",OR(AF893="",AF893="null",AF893&gt;TODAY())),"SI",IF(AND(NOT(OR(AF893="",AF893="null")),AF893&lt;=TODAY()),"NO",IF(AG893="Vigente","SI","DESCONOCIDO")))</f>
        <v>SI</v>
      </c>
      <c r="AP893" t="str">
        <f>IF(AND(ISNUMBER(SEARCH("IMPORTAR",AA893)),ISNUMBER(SEARCH("FABRICAR",AA893))),"MIXTO",IF(ISNUMBER(SEARCH("IMPORTAR",AA893)),"IMPORTADO",IF(ISNUMBER(SEARCH("FABRICAR",AA893)),"LOCAL","OTRO")))</f>
        <v>IMPORTADO</v>
      </c>
      <c r="AQ893" t="str">
        <f>IF(AD893="Si","SI",IF(AD893="No","NO",""))</f>
        <v>SI</v>
      </c>
      <c r="AR893" t="str">
        <f>IF(ISNUMBER(SEARCH("®",N893)),"MARCA/INNOVADOR","GENERICO")</f>
        <v>MARCA/INNOVADOR</v>
      </c>
      <c r="AS893">
        <f ca="1">IF(AE893&gt;100,RANDBETWEEN(500,5000),IF(AND(AE893&gt;=10,AE893&lt;=100),RANDBETWEEN(100,1000),RANDBETWEEN(10,200)))</f>
        <v>1337</v>
      </c>
      <c r="AT893">
        <f t="shared" ca="1" si="67"/>
        <v>294</v>
      </c>
      <c r="AU893">
        <f ca="1">INT(AS893*RANDBETWEEN(120,200)/100)</f>
        <v>2553</v>
      </c>
      <c r="AV893" s="2">
        <f ca="1">IF(LEFT(Y893,1)="L",RANDBETWEEN(500000,5000000),IF(LEFT(Y893,1)="C",RANDBETWEEN(5000,50000),IF(LEFT(Y893,1)="N",RANDBETWEEN(10000,150000),IF(LEFT(Y893,1)="J",RANDBETWEEN(8000,200000),RANDBETWEEN(5000,100000)))))</f>
        <v>1937959</v>
      </c>
      <c r="AW893" s="2">
        <f ca="1">INT(AV893*RANDBETWEEN(30,60)/100)</f>
        <v>872081</v>
      </c>
      <c r="AX893">
        <f ca="1">IF(Z893="ORAL",RANDBETWEEN(1000,10000),IF(OR(Z893="INTRAVENOSA",Z893="INTRAMUSCULAR"),RANDBETWEEN(100,2000),IF(OR(Z893="OFTÁLMICA",Z893="TOPICA (EXTERNA)"),RANDBETWEEN(200,3000),RANDBETWEEN(100,1500))))</f>
        <v>8580</v>
      </c>
      <c r="AY893" s="2">
        <f ca="1">INT(AV893*RANDBETWEEN(90,130)/100)</f>
        <v>1976718</v>
      </c>
      <c r="AZ893" t="str">
        <f t="shared" ca="1" si="68"/>
        <v>16.2%</v>
      </c>
      <c r="BA893" t="str">
        <f t="shared" ca="1" si="69"/>
        <v>BAJO</v>
      </c>
    </row>
    <row r="894" spans="4:53" x14ac:dyDescent="0.35">
      <c r="D894" t="s">
        <v>5575</v>
      </c>
      <c r="E894" s="1">
        <v>43754</v>
      </c>
      <c r="F894" t="s">
        <v>1787</v>
      </c>
      <c r="G894" t="s">
        <v>108</v>
      </c>
      <c r="H894" t="s">
        <v>5576</v>
      </c>
      <c r="I894">
        <v>20162036</v>
      </c>
      <c r="J894" t="s">
        <v>28</v>
      </c>
      <c r="K894">
        <v>8</v>
      </c>
      <c r="L894" t="s">
        <v>5577</v>
      </c>
      <c r="M894" t="s">
        <v>5578</v>
      </c>
      <c r="N894" t="s">
        <v>5579</v>
      </c>
      <c r="O894" t="s">
        <v>5580</v>
      </c>
      <c r="P894" t="s">
        <v>845</v>
      </c>
      <c r="Q894" s="1">
        <v>43865</v>
      </c>
      <c r="R894" t="s">
        <v>29</v>
      </c>
      <c r="S894" t="s">
        <v>27</v>
      </c>
      <c r="T894" t="s">
        <v>308</v>
      </c>
      <c r="U894" t="s">
        <v>115</v>
      </c>
      <c r="V894" t="s">
        <v>1723</v>
      </c>
      <c r="W894">
        <v>500</v>
      </c>
      <c r="X894">
        <v>20162036</v>
      </c>
      <c r="Y894" t="s">
        <v>1724</v>
      </c>
      <c r="Z894" t="s">
        <v>119</v>
      </c>
      <c r="AA894" t="s">
        <v>24</v>
      </c>
      <c r="AB894" t="s">
        <v>120</v>
      </c>
      <c r="AC894" t="s">
        <v>25</v>
      </c>
      <c r="AD894" t="s">
        <v>155</v>
      </c>
      <c r="AE894">
        <v>20</v>
      </c>
      <c r="AF894" t="s">
        <v>27</v>
      </c>
      <c r="AG894" t="s">
        <v>26</v>
      </c>
      <c r="AH894" t="s">
        <v>1787</v>
      </c>
      <c r="AI894" t="str">
        <f t="shared" si="65"/>
        <v>NO</v>
      </c>
      <c r="AJ894" t="str">
        <f t="shared" si="66"/>
        <v>HUMAX PHARMACEUTICAL</v>
      </c>
      <c r="AK894" t="str">
        <f>IF(ISNUMBER(SEARCH("FABRICANTE",AC894)),"FABRICANTE",IF(ISNUMBER(SEARCH("IMPORTADOR",AC894)),"IMPORTADOR","OTRO"))</f>
        <v>FABRICANTE</v>
      </c>
      <c r="AL894" t="str">
        <f>IF(LEFT(Y894,1)="A","Sistema digestivo",IF(LEFT(Y894,1)="B","Sangre",IF(LEFT(Y894,1)="C","Cardiovascular",IF(LEFT(Y894,1)="D","Dermatológico",IF(LEFT(Y894,1)="G","Genitourinario",IF(LEFT(Y894,1)="H","Hormonal",IF(LEFT(Y894,1)="J","Antiinfecciosos",IF(LEFT(Y894,1)="L","Oncológicos",IF(LEFT(Y894,1)="M","Musculoesquelético",IF(LEFT(Y894,1)="N","Sistema nervioso",IF(LEFT(Y894,1)="R","Respiratorio",IF(LEFT(Y894,1)="S","Oftálmico",IF(LEFT(Y894,1)="V","Varios","OTRO")))))))))))))</f>
        <v>Sangre</v>
      </c>
      <c r="AM894" t="str">
        <f>IF(AG894="Vigente","ACTIVO",IF(ISNUMBER(SEARCH("Inactivo",J894)),"INACTIVO","REVISAR"))</f>
        <v>ACTIVO</v>
      </c>
      <c r="AN894" t="str">
        <f ca="1">IF(OR(AF894="",AF894="null"),"",ROUND((AF894-TODAY())/365.25,2))</f>
        <v/>
      </c>
      <c r="AO894" t="str">
        <f ca="1">IF(AND(AG894="Vigente",OR(AF894="",AF894="null",AF894&gt;TODAY())),"SI",IF(AND(NOT(OR(AF894="",AF894="null")),AF894&lt;=TODAY()),"NO",IF(AG894="Vigente","SI","DESCONOCIDO")))</f>
        <v>SI</v>
      </c>
      <c r="AP894" t="str">
        <f>IF(AND(ISNUMBER(SEARCH("IMPORTAR",AA894)),ISNUMBER(SEARCH("FABRICAR",AA894))),"MIXTO",IF(ISNUMBER(SEARCH("IMPORTAR",AA894)),"IMPORTADO",IF(ISNUMBER(SEARCH("FABRICAR",AA894)),"LOCAL","OTRO")))</f>
        <v>LOCAL</v>
      </c>
      <c r="AQ894" t="str">
        <f>IF(AD894="Si","SI",IF(AD894="No","NO",""))</f>
        <v>SI</v>
      </c>
      <c r="AR894" t="str">
        <f>IF(ISNUMBER(SEARCH("®",N894)),"MARCA/INNOVADOR","GENERICO")</f>
        <v>GENERICO</v>
      </c>
      <c r="AS894">
        <f ca="1">IF(AE894&gt;100,RANDBETWEEN(500,5000),IF(AND(AE894&gt;=10,AE894&lt;=100),RANDBETWEEN(100,1000),RANDBETWEEN(10,200)))</f>
        <v>857</v>
      </c>
      <c r="AT894">
        <f t="shared" ca="1" si="67"/>
        <v>222</v>
      </c>
      <c r="AU894">
        <f ca="1">INT(AS894*RANDBETWEEN(120,200)/100)</f>
        <v>1534</v>
      </c>
      <c r="AV894" s="2">
        <f ca="1">IF(LEFT(Y894,1)="L",RANDBETWEEN(500000,5000000),IF(LEFT(Y894,1)="C",RANDBETWEEN(5000,50000),IF(LEFT(Y894,1)="N",RANDBETWEEN(10000,150000),IF(LEFT(Y894,1)="J",RANDBETWEEN(8000,200000),RANDBETWEEN(5000,100000)))))</f>
        <v>55414</v>
      </c>
      <c r="AW894" s="2">
        <f ca="1">INT(AV894*RANDBETWEEN(30,60)/100)</f>
        <v>28261</v>
      </c>
      <c r="AX894">
        <f ca="1">IF(Z894="ORAL",RANDBETWEEN(1000,10000),IF(OR(Z894="INTRAVENOSA",Z894="INTRAMUSCULAR"),RANDBETWEEN(100,2000),IF(OR(Z894="OFTÁLMICA",Z894="TOPICA (EXTERNA)"),RANDBETWEEN(200,3000),RANDBETWEEN(100,1500))))</f>
        <v>7988</v>
      </c>
      <c r="AY894" s="2">
        <f ca="1">INT(AV894*RANDBETWEEN(90,130)/100)</f>
        <v>56522</v>
      </c>
      <c r="AZ894" t="str">
        <f t="shared" ca="1" si="68"/>
        <v>17.1%</v>
      </c>
      <c r="BA894" t="str">
        <f t="shared" ca="1" si="69"/>
        <v>BAJO</v>
      </c>
    </row>
    <row r="895" spans="4:53" x14ac:dyDescent="0.35">
      <c r="D895" t="s">
        <v>5581</v>
      </c>
      <c r="E895" s="1">
        <v>42180</v>
      </c>
      <c r="F895" t="s">
        <v>5582</v>
      </c>
      <c r="G895" t="s">
        <v>247</v>
      </c>
      <c r="H895" t="s">
        <v>114</v>
      </c>
      <c r="I895">
        <v>20078550</v>
      </c>
      <c r="J895" t="s">
        <v>28</v>
      </c>
      <c r="K895">
        <v>4</v>
      </c>
      <c r="L895" t="s">
        <v>27</v>
      </c>
      <c r="M895" t="s">
        <v>5583</v>
      </c>
      <c r="N895" t="s">
        <v>5584</v>
      </c>
      <c r="O895" t="s">
        <v>5585</v>
      </c>
      <c r="P895" t="s">
        <v>835</v>
      </c>
      <c r="Q895" s="1">
        <v>42075</v>
      </c>
      <c r="R895" t="s">
        <v>62</v>
      </c>
      <c r="S895" t="s">
        <v>27</v>
      </c>
      <c r="T895" t="s">
        <v>769</v>
      </c>
      <c r="U895" t="s">
        <v>247</v>
      </c>
      <c r="V895" t="s">
        <v>651</v>
      </c>
      <c r="W895" t="s">
        <v>433</v>
      </c>
      <c r="X895">
        <v>20078550</v>
      </c>
      <c r="Y895" t="s">
        <v>652</v>
      </c>
      <c r="Z895" t="s">
        <v>566</v>
      </c>
      <c r="AA895" t="s">
        <v>24</v>
      </c>
      <c r="AB895" t="s">
        <v>653</v>
      </c>
      <c r="AC895" t="s">
        <v>25</v>
      </c>
      <c r="AD895" t="s">
        <v>121</v>
      </c>
      <c r="AE895">
        <v>30</v>
      </c>
      <c r="AF895" t="s">
        <v>27</v>
      </c>
      <c r="AG895" t="s">
        <v>26</v>
      </c>
      <c r="AH895" t="s">
        <v>5550</v>
      </c>
      <c r="AI895" t="str">
        <f t="shared" si="65"/>
        <v>SI</v>
      </c>
      <c r="AJ895" t="str">
        <f t="shared" si="66"/>
        <v>LABORATORIOS BUSSIÉ</v>
      </c>
      <c r="AK895" t="str">
        <f>IF(ISNUMBER(SEARCH("FABRICANTE",AC895)),"FABRICANTE",IF(ISNUMBER(SEARCH("IMPORTADOR",AC895)),"IMPORTADOR","OTRO"))</f>
        <v>FABRICANTE</v>
      </c>
      <c r="AL895" t="str">
        <f>IF(LEFT(Y895,1)="A","Sistema digestivo",IF(LEFT(Y895,1)="B","Sangre",IF(LEFT(Y895,1)="C","Cardiovascular",IF(LEFT(Y895,1)="D","Dermatológico",IF(LEFT(Y895,1)="G","Genitourinario",IF(LEFT(Y895,1)="H","Hormonal",IF(LEFT(Y895,1)="J","Antiinfecciosos",IF(LEFT(Y895,1)="L","Oncológicos",IF(LEFT(Y895,1)="M","Musculoesquelético",IF(LEFT(Y895,1)="N","Sistema nervioso",IF(LEFT(Y895,1)="R","Respiratorio",IF(LEFT(Y895,1)="S","Oftálmico",IF(LEFT(Y895,1)="V","Varios","OTRO")))))))))))))</f>
        <v>Dermatológico</v>
      </c>
      <c r="AM895" t="str">
        <f>IF(AG895="Vigente","ACTIVO",IF(ISNUMBER(SEARCH("Inactivo",J895)),"INACTIVO","REVISAR"))</f>
        <v>ACTIVO</v>
      </c>
      <c r="AN895" t="str">
        <f ca="1">IF(OR(AF895="",AF895="null"),"",ROUND((AF895-TODAY())/365.25,2))</f>
        <v/>
      </c>
      <c r="AO895" t="str">
        <f ca="1">IF(AND(AG895="Vigente",OR(AF895="",AF895="null",AF895&gt;TODAY())),"SI",IF(AND(NOT(OR(AF895="",AF895="null")),AF895&lt;=TODAY()),"NO",IF(AG895="Vigente","SI","DESCONOCIDO")))</f>
        <v>SI</v>
      </c>
      <c r="AP895" t="str">
        <f>IF(AND(ISNUMBER(SEARCH("IMPORTAR",AA895)),ISNUMBER(SEARCH("FABRICAR",AA895))),"MIXTO",IF(ISNUMBER(SEARCH("IMPORTAR",AA895)),"IMPORTADO",IF(ISNUMBER(SEARCH("FABRICAR",AA895)),"LOCAL","OTRO")))</f>
        <v>LOCAL</v>
      </c>
      <c r="AQ895" t="str">
        <f>IF(AD895="Si","SI",IF(AD895="No","NO",""))</f>
        <v>NO</v>
      </c>
      <c r="AR895" t="str">
        <f>IF(ISNUMBER(SEARCH("®",N895)),"MARCA/INNOVADOR","GENERICO")</f>
        <v>MARCA/INNOVADOR</v>
      </c>
      <c r="AS895">
        <f ca="1">IF(AE895&gt;100,RANDBETWEEN(500,5000),IF(AND(AE895&gt;=10,AE895&lt;=100),RANDBETWEEN(100,1000),RANDBETWEEN(10,200)))</f>
        <v>336</v>
      </c>
      <c r="AT895">
        <f t="shared" ca="1" si="67"/>
        <v>36</v>
      </c>
      <c r="AU895">
        <f ca="1">INT(AS895*RANDBETWEEN(120,200)/100)</f>
        <v>510</v>
      </c>
      <c r="AV895" s="2">
        <f ca="1">IF(LEFT(Y895,1)="L",RANDBETWEEN(500000,5000000),IF(LEFT(Y895,1)="C",RANDBETWEEN(5000,50000),IF(LEFT(Y895,1)="N",RANDBETWEEN(10000,150000),IF(LEFT(Y895,1)="J",RANDBETWEEN(8000,200000),RANDBETWEEN(5000,100000)))))</f>
        <v>21604</v>
      </c>
      <c r="AW895" s="2">
        <f ca="1">INT(AV895*RANDBETWEEN(30,60)/100)</f>
        <v>9073</v>
      </c>
      <c r="AX895">
        <f ca="1">IF(Z895="ORAL",RANDBETWEEN(1000,10000),IF(OR(Z895="INTRAVENOSA",Z895="INTRAMUSCULAR"),RANDBETWEEN(100,2000),IF(OR(Z895="OFTÁLMICA",Z895="TOPICA (EXTERNA)"),RANDBETWEEN(200,3000),RANDBETWEEN(100,1500))))</f>
        <v>2351</v>
      </c>
      <c r="AY895" s="2">
        <f ca="1">INT(AV895*RANDBETWEEN(90,130)/100)</f>
        <v>23332</v>
      </c>
      <c r="AZ895" t="str">
        <f t="shared" ca="1" si="68"/>
        <v>4.5%</v>
      </c>
      <c r="BA895" t="str">
        <f t="shared" ca="1" si="69"/>
        <v>BAJO</v>
      </c>
    </row>
    <row r="896" spans="4:53" x14ac:dyDescent="0.35">
      <c r="D896" t="s">
        <v>5586</v>
      </c>
      <c r="E896" s="1">
        <v>36161</v>
      </c>
      <c r="F896" t="s">
        <v>286</v>
      </c>
      <c r="G896" t="s">
        <v>108</v>
      </c>
      <c r="H896" t="s">
        <v>928</v>
      </c>
      <c r="I896">
        <v>28412</v>
      </c>
      <c r="J896" t="s">
        <v>28</v>
      </c>
      <c r="K896">
        <v>4</v>
      </c>
      <c r="L896" t="s">
        <v>27</v>
      </c>
      <c r="M896" t="s">
        <v>5587</v>
      </c>
      <c r="N896" t="s">
        <v>5588</v>
      </c>
      <c r="O896" t="s">
        <v>5589</v>
      </c>
      <c r="P896" t="s">
        <v>2029</v>
      </c>
      <c r="Q896" s="1">
        <v>45076</v>
      </c>
      <c r="R896" t="s">
        <v>50</v>
      </c>
      <c r="S896" t="s">
        <v>27</v>
      </c>
      <c r="T896" t="s">
        <v>928</v>
      </c>
      <c r="U896" t="s">
        <v>115</v>
      </c>
      <c r="V896" t="s">
        <v>291</v>
      </c>
      <c r="W896">
        <v>1</v>
      </c>
      <c r="X896">
        <v>28412</v>
      </c>
      <c r="Y896" t="s">
        <v>292</v>
      </c>
      <c r="Z896" t="s">
        <v>132</v>
      </c>
      <c r="AA896" t="s">
        <v>24</v>
      </c>
      <c r="AB896" t="s">
        <v>120</v>
      </c>
      <c r="AC896" t="s">
        <v>25</v>
      </c>
      <c r="AD896" t="s">
        <v>121</v>
      </c>
      <c r="AE896">
        <v>30</v>
      </c>
      <c r="AF896" t="s">
        <v>27</v>
      </c>
      <c r="AG896" t="s">
        <v>26</v>
      </c>
      <c r="AH896" t="s">
        <v>286</v>
      </c>
      <c r="AI896" t="str">
        <f t="shared" si="65"/>
        <v>NO</v>
      </c>
      <c r="AJ896" t="str">
        <f t="shared" si="66"/>
        <v>LABORATORIOS ECAR</v>
      </c>
      <c r="AK896" t="str">
        <f>IF(ISNUMBER(SEARCH("FABRICANTE",AC896)),"FABRICANTE",IF(ISNUMBER(SEARCH("IMPORTADOR",AC896)),"IMPORTADOR","OTRO"))</f>
        <v>FABRICANTE</v>
      </c>
      <c r="AL896" t="str">
        <f>IF(LEFT(Y896,1)="A","Sistema digestivo",IF(LEFT(Y896,1)="B","Sangre",IF(LEFT(Y896,1)="C","Cardiovascular",IF(LEFT(Y896,1)="D","Dermatológico",IF(LEFT(Y896,1)="G","Genitourinario",IF(LEFT(Y896,1)="H","Hormonal",IF(LEFT(Y896,1)="J","Antiinfecciosos",IF(LEFT(Y896,1)="L","Oncológicos",IF(LEFT(Y896,1)="M","Musculoesquelético",IF(LEFT(Y896,1)="N","Sistema nervioso",IF(LEFT(Y896,1)="R","Respiratorio",IF(LEFT(Y896,1)="S","Oftálmico",IF(LEFT(Y896,1)="V","Varios","OTRO")))))))))))))</f>
        <v>Sangre</v>
      </c>
      <c r="AM896" t="str">
        <f>IF(AG896="Vigente","ACTIVO",IF(ISNUMBER(SEARCH("Inactivo",J896)),"INACTIVO","REVISAR"))</f>
        <v>ACTIVO</v>
      </c>
      <c r="AN896" t="str">
        <f ca="1">IF(OR(AF896="",AF896="null"),"",ROUND((AF896-TODAY())/365.25,2))</f>
        <v/>
      </c>
      <c r="AO896" t="str">
        <f ca="1">IF(AND(AG896="Vigente",OR(AF896="",AF896="null",AF896&gt;TODAY())),"SI",IF(AND(NOT(OR(AF896="",AF896="null")),AF896&lt;=TODAY()),"NO",IF(AG896="Vigente","SI","DESCONOCIDO")))</f>
        <v>SI</v>
      </c>
      <c r="AP896" t="str">
        <f>IF(AND(ISNUMBER(SEARCH("IMPORTAR",AA896)),ISNUMBER(SEARCH("FABRICAR",AA896))),"MIXTO",IF(ISNUMBER(SEARCH("IMPORTAR",AA896)),"IMPORTADO",IF(ISNUMBER(SEARCH("FABRICAR",AA896)),"LOCAL","OTRO")))</f>
        <v>LOCAL</v>
      </c>
      <c r="AQ896" t="str">
        <f>IF(AD896="Si","SI",IF(AD896="No","NO",""))</f>
        <v>NO</v>
      </c>
      <c r="AR896" t="str">
        <f>IF(ISNUMBER(SEARCH("®",N896)),"MARCA/INNOVADOR","GENERICO")</f>
        <v>GENERICO</v>
      </c>
      <c r="AS896">
        <f ca="1">IF(AE896&gt;100,RANDBETWEEN(500,5000),IF(AND(AE896&gt;=10,AE896&lt;=100),RANDBETWEEN(100,1000),RANDBETWEEN(10,200)))</f>
        <v>683</v>
      </c>
      <c r="AT896">
        <f t="shared" ca="1" si="67"/>
        <v>184</v>
      </c>
      <c r="AU896">
        <f ca="1">INT(AS896*RANDBETWEEN(120,200)/100)</f>
        <v>1249</v>
      </c>
      <c r="AV896" s="2">
        <f ca="1">IF(LEFT(Y896,1)="L",RANDBETWEEN(500000,5000000),IF(LEFT(Y896,1)="C",RANDBETWEEN(5000,50000),IF(LEFT(Y896,1)="N",RANDBETWEEN(10000,150000),IF(LEFT(Y896,1)="J",RANDBETWEEN(8000,200000),RANDBETWEEN(5000,100000)))))</f>
        <v>93003</v>
      </c>
      <c r="AW896" s="2">
        <f ca="1">INT(AV896*RANDBETWEEN(30,60)/100)</f>
        <v>41851</v>
      </c>
      <c r="AX896">
        <f ca="1">IF(Z896="ORAL",RANDBETWEEN(1000,10000),IF(OR(Z896="INTRAVENOSA",Z896="INTRAMUSCULAR"),RANDBETWEEN(100,2000),IF(OR(Z896="OFTÁLMICA",Z896="TOPICA (EXTERNA)"),RANDBETWEEN(200,3000),RANDBETWEEN(100,1500))))</f>
        <v>661</v>
      </c>
      <c r="AY896" s="2">
        <f ca="1">INT(AV896*RANDBETWEEN(90,130)/100)</f>
        <v>111603</v>
      </c>
      <c r="AZ896" t="str">
        <f t="shared" ca="1" si="68"/>
        <v>5%</v>
      </c>
      <c r="BA896" t="str">
        <f t="shared" ca="1" si="69"/>
        <v>BAJO</v>
      </c>
    </row>
    <row r="897" spans="4:53" x14ac:dyDescent="0.35">
      <c r="D897" t="s">
        <v>5590</v>
      </c>
      <c r="E897" s="1">
        <v>39043</v>
      </c>
      <c r="F897" t="s">
        <v>5591</v>
      </c>
      <c r="G897" t="s">
        <v>108</v>
      </c>
      <c r="H897" t="s">
        <v>1001</v>
      </c>
      <c r="I897">
        <v>19968360</v>
      </c>
      <c r="J897" t="s">
        <v>28</v>
      </c>
      <c r="K897">
        <v>3</v>
      </c>
      <c r="L897" t="s">
        <v>27</v>
      </c>
      <c r="M897" t="s">
        <v>5592</v>
      </c>
      <c r="N897" t="s">
        <v>5593</v>
      </c>
      <c r="O897" t="s">
        <v>5594</v>
      </c>
      <c r="P897" t="s">
        <v>274</v>
      </c>
      <c r="Q897" s="1">
        <v>42061</v>
      </c>
      <c r="R897" t="s">
        <v>50</v>
      </c>
      <c r="S897" t="s">
        <v>27</v>
      </c>
      <c r="T897" t="s">
        <v>1006</v>
      </c>
      <c r="U897" t="s">
        <v>115</v>
      </c>
      <c r="V897" t="s">
        <v>5595</v>
      </c>
      <c r="W897" t="s">
        <v>2402</v>
      </c>
      <c r="X897">
        <v>19968360</v>
      </c>
      <c r="Y897" t="s">
        <v>5596</v>
      </c>
      <c r="Z897" t="s">
        <v>132</v>
      </c>
      <c r="AA897" t="s">
        <v>32</v>
      </c>
      <c r="AB897" t="s">
        <v>120</v>
      </c>
      <c r="AC897" t="s">
        <v>38</v>
      </c>
      <c r="AD897" t="s">
        <v>155</v>
      </c>
      <c r="AE897">
        <v>2</v>
      </c>
      <c r="AF897" t="s">
        <v>27</v>
      </c>
      <c r="AG897" t="s">
        <v>26</v>
      </c>
      <c r="AH897" t="s">
        <v>5591</v>
      </c>
      <c r="AI897" t="str">
        <f t="shared" si="65"/>
        <v>NO</v>
      </c>
      <c r="AJ897" t="str">
        <f t="shared" si="66"/>
        <v>ASPEN LABS. MEXICO</v>
      </c>
      <c r="AK897" t="str">
        <f>IF(ISNUMBER(SEARCH("FABRICANTE",AC897)),"FABRICANTE",IF(ISNUMBER(SEARCH("IMPORTADOR",AC897)),"IMPORTADOR","OTRO"))</f>
        <v>IMPORTADOR</v>
      </c>
      <c r="AL897" t="str">
        <f>IF(LEFT(Y897,1)="A","Sistema digestivo",IF(LEFT(Y897,1)="B","Sangre",IF(LEFT(Y897,1)="C","Cardiovascular",IF(LEFT(Y897,1)="D","Dermatológico",IF(LEFT(Y897,1)="G","Genitourinario",IF(LEFT(Y897,1)="H","Hormonal",IF(LEFT(Y897,1)="J","Antiinfecciosos",IF(LEFT(Y897,1)="L","Oncológicos",IF(LEFT(Y897,1)="M","Musculoesquelético",IF(LEFT(Y897,1)="N","Sistema nervioso",IF(LEFT(Y897,1)="R","Respiratorio",IF(LEFT(Y897,1)="S","Oftálmico",IF(LEFT(Y897,1)="V","Varios","OTRO")))))))))))))</f>
        <v>Sangre</v>
      </c>
      <c r="AM897" t="str">
        <f>IF(AG897="Vigente","ACTIVO",IF(ISNUMBER(SEARCH("Inactivo",J897)),"INACTIVO","REVISAR"))</f>
        <v>ACTIVO</v>
      </c>
      <c r="AN897" t="str">
        <f ca="1">IF(OR(AF897="",AF897="null"),"",ROUND((AF897-TODAY())/365.25,2))</f>
        <v/>
      </c>
      <c r="AO897" t="str">
        <f ca="1">IF(AND(AG897="Vigente",OR(AF897="",AF897="null",AF897&gt;TODAY())),"SI",IF(AND(NOT(OR(AF897="",AF897="null")),AF897&lt;=TODAY()),"NO",IF(AG897="Vigente","SI","DESCONOCIDO")))</f>
        <v>SI</v>
      </c>
      <c r="AP897" t="str">
        <f>IF(AND(ISNUMBER(SEARCH("IMPORTAR",AA897)),ISNUMBER(SEARCH("FABRICAR",AA897))),"MIXTO",IF(ISNUMBER(SEARCH("IMPORTAR",AA897)),"IMPORTADO",IF(ISNUMBER(SEARCH("FABRICAR",AA897)),"LOCAL","OTRO")))</f>
        <v>IMPORTADO</v>
      </c>
      <c r="AQ897" t="str">
        <f>IF(AD897="Si","SI",IF(AD897="No","NO",""))</f>
        <v>SI</v>
      </c>
      <c r="AR897" t="str">
        <f>IF(ISNUMBER(SEARCH("®",N897)),"MARCA/INNOVADOR","GENERICO")</f>
        <v>MARCA/INNOVADOR</v>
      </c>
      <c r="AS897">
        <f ca="1">IF(AE897&gt;100,RANDBETWEEN(500,5000),IF(AND(AE897&gt;=10,AE897&lt;=100),RANDBETWEEN(100,1000),RANDBETWEEN(10,200)))</f>
        <v>151</v>
      </c>
      <c r="AT897">
        <f t="shared" ca="1" si="67"/>
        <v>42</v>
      </c>
      <c r="AU897">
        <f ca="1">INT(AS897*RANDBETWEEN(120,200)/100)</f>
        <v>291</v>
      </c>
      <c r="AV897" s="2">
        <f ca="1">IF(LEFT(Y897,1)="L",RANDBETWEEN(500000,5000000),IF(LEFT(Y897,1)="C",RANDBETWEEN(5000,50000),IF(LEFT(Y897,1)="N",RANDBETWEEN(10000,150000),IF(LEFT(Y897,1)="J",RANDBETWEEN(8000,200000),RANDBETWEEN(5000,100000)))))</f>
        <v>79128</v>
      </c>
      <c r="AW897" s="2">
        <f ca="1">INT(AV897*RANDBETWEEN(30,60)/100)</f>
        <v>43520</v>
      </c>
      <c r="AX897">
        <f ca="1">IF(Z897="ORAL",RANDBETWEEN(1000,10000),IF(OR(Z897="INTRAVENOSA",Z897="INTRAMUSCULAR"),RANDBETWEEN(100,2000),IF(OR(Z897="OFTÁLMICA",Z897="TOPICA (EXTERNA)"),RANDBETWEEN(200,3000),RANDBETWEEN(100,1500))))</f>
        <v>397</v>
      </c>
      <c r="AY897" s="2">
        <f ca="1">INT(AV897*RANDBETWEEN(90,130)/100)</f>
        <v>87040</v>
      </c>
      <c r="AZ897" t="str">
        <f t="shared" ca="1" si="68"/>
        <v>9.9%</v>
      </c>
      <c r="BA897" t="str">
        <f t="shared" ca="1" si="69"/>
        <v>BAJO</v>
      </c>
    </row>
    <row r="898" spans="4:53" x14ac:dyDescent="0.35">
      <c r="D898" t="s">
        <v>5597</v>
      </c>
      <c r="E898" s="1">
        <v>45370</v>
      </c>
      <c r="F898" t="s">
        <v>5598</v>
      </c>
      <c r="G898" t="s">
        <v>108</v>
      </c>
      <c r="H898" t="s">
        <v>177</v>
      </c>
      <c r="I898">
        <v>20208413</v>
      </c>
      <c r="J898" t="s">
        <v>28</v>
      </c>
      <c r="K898">
        <v>1</v>
      </c>
      <c r="L898" t="s">
        <v>27</v>
      </c>
      <c r="M898" t="s">
        <v>5599</v>
      </c>
      <c r="N898" t="s">
        <v>5600</v>
      </c>
      <c r="O898" t="s">
        <v>5601</v>
      </c>
      <c r="P898" t="s">
        <v>358</v>
      </c>
      <c r="Q898" s="1">
        <v>44814</v>
      </c>
      <c r="R898" t="s">
        <v>37</v>
      </c>
      <c r="S898" t="s">
        <v>27</v>
      </c>
      <c r="T898" t="s">
        <v>5602</v>
      </c>
      <c r="U898" t="s">
        <v>2793</v>
      </c>
      <c r="V898" t="s">
        <v>5603</v>
      </c>
      <c r="W898">
        <v>150</v>
      </c>
      <c r="X898">
        <v>20208413</v>
      </c>
      <c r="Y898" t="s">
        <v>5604</v>
      </c>
      <c r="Z898" t="s">
        <v>1168</v>
      </c>
      <c r="AA898" t="s">
        <v>32</v>
      </c>
      <c r="AB898" t="s">
        <v>120</v>
      </c>
      <c r="AC898" t="s">
        <v>38</v>
      </c>
      <c r="AD898" t="s">
        <v>121</v>
      </c>
      <c r="AE898">
        <v>10</v>
      </c>
      <c r="AF898" s="1">
        <v>401769</v>
      </c>
      <c r="AG898" t="s">
        <v>26</v>
      </c>
      <c r="AH898" t="s">
        <v>6840</v>
      </c>
      <c r="AI898" t="str">
        <f t="shared" si="65"/>
        <v>NO</v>
      </c>
      <c r="AJ898" t="str">
        <f t="shared" si="66"/>
        <v>NOVARTIS PHARMA</v>
      </c>
      <c r="AK898" t="str">
        <f>IF(ISNUMBER(SEARCH("FABRICANTE",AC898)),"FABRICANTE",IF(ISNUMBER(SEARCH("IMPORTADOR",AC898)),"IMPORTADOR","OTRO"))</f>
        <v>IMPORTADOR</v>
      </c>
      <c r="AL898" t="str">
        <f>IF(LEFT(Y898,1)="A","Sistema digestivo",IF(LEFT(Y898,1)="B","Sangre",IF(LEFT(Y898,1)="C","Cardiovascular",IF(LEFT(Y898,1)="D","Dermatológico",IF(LEFT(Y898,1)="G","Genitourinario",IF(LEFT(Y898,1)="H","Hormonal",IF(LEFT(Y898,1)="J","Antiinfecciosos",IF(LEFT(Y898,1)="L","Oncológicos",IF(LEFT(Y898,1)="M","Musculoesquelético",IF(LEFT(Y898,1)="N","Sistema nervioso",IF(LEFT(Y898,1)="R","Respiratorio",IF(LEFT(Y898,1)="S","Oftálmico",IF(LEFT(Y898,1)="V","Varios","OTRO")))))))))))))</f>
        <v>Respiratorio</v>
      </c>
      <c r="AM898" t="str">
        <f>IF(AG898="Vigente","ACTIVO",IF(ISNUMBER(SEARCH("Inactivo",J898)),"INACTIVO","REVISAR"))</f>
        <v>ACTIVO</v>
      </c>
      <c r="AN898">
        <f ca="1">IF(OR(AF898="",AF898="null"),"",ROUND((AF898-TODAY())/365.25,2))</f>
        <v>973.58</v>
      </c>
      <c r="AO898" t="str">
        <f ca="1">IF(AND(AG898="Vigente",OR(AF898="",AF898="null",AF898&gt;TODAY())),"SI",IF(AND(NOT(OR(AF898="",AF898="null")),AF898&lt;=TODAY()),"NO",IF(AG898="Vigente","SI","DESCONOCIDO")))</f>
        <v>SI</v>
      </c>
      <c r="AP898" t="str">
        <f>IF(AND(ISNUMBER(SEARCH("IMPORTAR",AA898)),ISNUMBER(SEARCH("FABRICAR",AA898))),"MIXTO",IF(ISNUMBER(SEARCH("IMPORTAR",AA898)),"IMPORTADO",IF(ISNUMBER(SEARCH("FABRICAR",AA898)),"LOCAL","OTRO")))</f>
        <v>IMPORTADO</v>
      </c>
      <c r="AQ898" t="str">
        <f>IF(AD898="Si","SI",IF(AD898="No","NO",""))</f>
        <v>NO</v>
      </c>
      <c r="AR898" t="str">
        <f>IF(ISNUMBER(SEARCH("®",N898)),"MARCA/INNOVADOR","GENERICO")</f>
        <v>MARCA/INNOVADOR</v>
      </c>
      <c r="AS898">
        <f ca="1">IF(AE898&gt;100,RANDBETWEEN(500,5000),IF(AND(AE898&gt;=10,AE898&lt;=100),RANDBETWEEN(100,1000),RANDBETWEEN(10,200)))</f>
        <v>914</v>
      </c>
      <c r="AT898">
        <f t="shared" ca="1" si="67"/>
        <v>219</v>
      </c>
      <c r="AU898">
        <f ca="1">INT(AS898*RANDBETWEEN(120,200)/100)</f>
        <v>1791</v>
      </c>
      <c r="AV898" s="2">
        <f ca="1">IF(LEFT(Y898,1)="L",RANDBETWEEN(500000,5000000),IF(LEFT(Y898,1)="C",RANDBETWEEN(5000,50000),IF(LEFT(Y898,1)="N",RANDBETWEEN(10000,150000),IF(LEFT(Y898,1)="J",RANDBETWEEN(8000,200000),RANDBETWEEN(5000,100000)))))</f>
        <v>20468</v>
      </c>
      <c r="AW898" s="2">
        <f ca="1">INT(AV898*RANDBETWEEN(30,60)/100)</f>
        <v>10848</v>
      </c>
      <c r="AX898">
        <f ca="1">IF(Z898="ORAL",RANDBETWEEN(1000,10000),IF(OR(Z898="INTRAVENOSA",Z898="INTRAMUSCULAR"),RANDBETWEEN(100,2000),IF(OR(Z898="OFTÁLMICA",Z898="TOPICA (EXTERNA)"),RANDBETWEEN(200,3000),RANDBETWEEN(100,1500))))</f>
        <v>651</v>
      </c>
      <c r="AY898" s="2">
        <f ca="1">INT(AV898*RANDBETWEEN(90,130)/100)</f>
        <v>20263</v>
      </c>
      <c r="AZ898" t="str">
        <f t="shared" ca="1" si="68"/>
        <v>5.1%</v>
      </c>
      <c r="BA898" t="str">
        <f t="shared" ca="1" si="69"/>
        <v>BAJO</v>
      </c>
    </row>
    <row r="899" spans="4:53" x14ac:dyDescent="0.35">
      <c r="D899" t="s">
        <v>5605</v>
      </c>
      <c r="E899" s="1">
        <v>42412</v>
      </c>
      <c r="F899" t="s">
        <v>3230</v>
      </c>
      <c r="G899" t="s">
        <v>108</v>
      </c>
      <c r="H899" t="s">
        <v>5606</v>
      </c>
      <c r="I899">
        <v>20076204</v>
      </c>
      <c r="J899" t="s">
        <v>28</v>
      </c>
      <c r="K899">
        <v>8</v>
      </c>
      <c r="L899" t="s">
        <v>5607</v>
      </c>
      <c r="M899" t="s">
        <v>3232</v>
      </c>
      <c r="N899" t="s">
        <v>3233</v>
      </c>
      <c r="O899" t="s">
        <v>5608</v>
      </c>
      <c r="P899" t="s">
        <v>621</v>
      </c>
      <c r="Q899" s="1">
        <v>42410</v>
      </c>
      <c r="R899" t="s">
        <v>50</v>
      </c>
      <c r="S899" t="s">
        <v>27</v>
      </c>
      <c r="T899" t="s">
        <v>3235</v>
      </c>
      <c r="U899" t="s">
        <v>115</v>
      </c>
      <c r="V899" t="s">
        <v>629</v>
      </c>
      <c r="W899">
        <v>50</v>
      </c>
      <c r="X899">
        <v>20076204</v>
      </c>
      <c r="Y899" t="s">
        <v>630</v>
      </c>
      <c r="Z899" t="s">
        <v>260</v>
      </c>
      <c r="AA899" t="s">
        <v>32</v>
      </c>
      <c r="AB899" t="s">
        <v>120</v>
      </c>
      <c r="AC899" t="s">
        <v>25</v>
      </c>
      <c r="AD899" t="s">
        <v>121</v>
      </c>
      <c r="AE899">
        <v>20</v>
      </c>
      <c r="AF899" t="s">
        <v>27</v>
      </c>
      <c r="AG899" t="s">
        <v>26</v>
      </c>
      <c r="AH899" t="s">
        <v>629</v>
      </c>
      <c r="AI899" t="str">
        <f t="shared" ref="AI899:AI962" si="70">IF(OR(ISNUMBER(SEARCH("+",F899)),ISNUMBER(SEARCH(".",F899))),"SI","NO")</f>
        <v>NO</v>
      </c>
      <c r="AJ899" t="str">
        <f t="shared" ref="AJ899:AJ962" si="7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899)," S.A.S.",""),"S.A.S.","")," S.A.S",""),"S.A.S","")," S.A.C.I.","")," S.A.C.I","")," SAS","")," S.A.","")," S.A","")," LTDA.","")," LTDA","")," LIMITED","")," LTD.","")," LTD","")," INC.","")," INC","")," GMBH &amp; CO. KG.","")," GMBH","")," LLC","")," A.G.","")," A.G","")," A/S","")," S.R.L.","")," S.R.L","")," S.P.A.","")," DE C.V.","")," AG",""),"  "," "))</f>
        <v>MENARINI INTERNATIONAL OPERATIONS</v>
      </c>
      <c r="AK899" t="str">
        <f>IF(ISNUMBER(SEARCH("FABRICANTE",AC899)),"FABRICANTE",IF(ISNUMBER(SEARCH("IMPORTADOR",AC899)),"IMPORTADOR","OTRO"))</f>
        <v>FABRICANTE</v>
      </c>
      <c r="AL899" t="str">
        <f>IF(LEFT(Y899,1)="A","Sistema digestivo",IF(LEFT(Y899,1)="B","Sangre",IF(LEFT(Y899,1)="C","Cardiovascular",IF(LEFT(Y899,1)="D","Dermatológico",IF(LEFT(Y899,1)="G","Genitourinario",IF(LEFT(Y899,1)="H","Hormonal",IF(LEFT(Y899,1)="J","Antiinfecciosos",IF(LEFT(Y899,1)="L","Oncológicos",IF(LEFT(Y899,1)="M","Musculoesquelético",IF(LEFT(Y899,1)="N","Sistema nervioso",IF(LEFT(Y899,1)="R","Respiratorio",IF(LEFT(Y899,1)="S","Oftálmico",IF(LEFT(Y899,1)="V","Varios","OTRO")))))))))))))</f>
        <v>Musculoesquelético</v>
      </c>
      <c r="AM899" t="str">
        <f>IF(AG899="Vigente","ACTIVO",IF(ISNUMBER(SEARCH("Inactivo",J899)),"INACTIVO","REVISAR"))</f>
        <v>ACTIVO</v>
      </c>
      <c r="AN899" t="str">
        <f ca="1">IF(OR(AF899="",AF899="null"),"",ROUND((AF899-TODAY())/365.25,2))</f>
        <v/>
      </c>
      <c r="AO899" t="str">
        <f ca="1">IF(AND(AG899="Vigente",OR(AF899="",AF899="null",AF899&gt;TODAY())),"SI",IF(AND(NOT(OR(AF899="",AF899="null")),AF899&lt;=TODAY()),"NO",IF(AG899="Vigente","SI","DESCONOCIDO")))</f>
        <v>SI</v>
      </c>
      <c r="AP899" t="str">
        <f>IF(AND(ISNUMBER(SEARCH("IMPORTAR",AA899)),ISNUMBER(SEARCH("FABRICAR",AA899))),"MIXTO",IF(ISNUMBER(SEARCH("IMPORTAR",AA899)),"IMPORTADO",IF(ISNUMBER(SEARCH("FABRICAR",AA899)),"LOCAL","OTRO")))</f>
        <v>IMPORTADO</v>
      </c>
      <c r="AQ899" t="str">
        <f>IF(AD899="Si","SI",IF(AD899="No","NO",""))</f>
        <v>NO</v>
      </c>
      <c r="AR899" t="str">
        <f>IF(ISNUMBER(SEARCH("®",N899)),"MARCA/INNOVADOR","GENERICO")</f>
        <v>MARCA/INNOVADOR</v>
      </c>
      <c r="AS899">
        <f ca="1">IF(AE899&gt;100,RANDBETWEEN(500,5000),IF(AND(AE899&gt;=10,AE899&lt;=100),RANDBETWEEN(100,1000),RANDBETWEEN(10,200)))</f>
        <v>662</v>
      </c>
      <c r="AT899">
        <f t="shared" ref="AT899:AT962" ca="1" si="72">INT(AS899*RANDBETWEEN(10,30)/100)</f>
        <v>66</v>
      </c>
      <c r="AU899">
        <f ca="1">INT(AS899*RANDBETWEEN(120,200)/100)</f>
        <v>1257</v>
      </c>
      <c r="AV899" s="2">
        <f ca="1">IF(LEFT(Y899,1)="L",RANDBETWEEN(500000,5000000),IF(LEFT(Y899,1)="C",RANDBETWEEN(5000,50000),IF(LEFT(Y899,1)="N",RANDBETWEEN(10000,150000),IF(LEFT(Y899,1)="J",RANDBETWEEN(8000,200000),RANDBETWEEN(5000,100000)))))</f>
        <v>97601</v>
      </c>
      <c r="AW899" s="2">
        <f ca="1">INT(AV899*RANDBETWEEN(30,60)/100)</f>
        <v>35136</v>
      </c>
      <c r="AX899">
        <f ca="1">IF(Z899="ORAL",RANDBETWEEN(1000,10000),IF(OR(Z899="INTRAVENOSA",Z899="INTRAMUSCULAR"),RANDBETWEEN(100,2000),IF(OR(Z899="OFTÁLMICA",Z899="TOPICA (EXTERNA)"),RANDBETWEEN(200,3000),RANDBETWEEN(100,1500))))</f>
        <v>866</v>
      </c>
      <c r="AY899" s="2">
        <f ca="1">INT(AV899*RANDBETWEEN(90,130)/100)</f>
        <v>99553</v>
      </c>
      <c r="AZ899" t="str">
        <f t="shared" ref="AZ899:AZ962" ca="1" si="73">IF(Z899="ORAL",RANDBETWEEN(50,250)/10,IF(OR(Z899="TOPICA (EXTERNA)",Z899="OFTÁLMICA"),RANDBETWEEN(20,150)/10,IF(OR(Z899="SUBCUTANEA",Z899="INTRAMUSCULAR"),RANDBETWEEN(10,100)/10,IF(Z899="INTRAVENOSA",RANDBETWEEN(1,50)/10,RANDBETWEEN(5,80)/10))))&amp;"%"</f>
        <v>0.6%</v>
      </c>
      <c r="BA899" t="str">
        <f t="shared" ref="BA899:BA962" ca="1" si="74">IF(OR(AG899&lt;&gt;"Vigente",AND(ISNUMBER(AF899),AF899&lt;TODAY()),AND(J899="Inactivo",NOT(ISNUMBER(AF899)))),"ALTO",IF(OR(AND(J899="Inactivo",ISNUMBER(AF899)),AND(ISNUMBER(AF899),AF899&gt;TODAY(),AF899&lt;=TODAY()+1825)),"MEDIO","BAJO"))</f>
        <v>BAJO</v>
      </c>
    </row>
    <row r="900" spans="4:53" x14ac:dyDescent="0.35">
      <c r="D900" t="s">
        <v>5609</v>
      </c>
      <c r="E900" s="1">
        <v>37580</v>
      </c>
      <c r="F900" t="s">
        <v>4137</v>
      </c>
      <c r="G900" t="s">
        <v>108</v>
      </c>
      <c r="H900" t="s">
        <v>4138</v>
      </c>
      <c r="I900">
        <v>19927923</v>
      </c>
      <c r="J900" t="s">
        <v>28</v>
      </c>
      <c r="K900">
        <v>6</v>
      </c>
      <c r="L900" t="s">
        <v>27</v>
      </c>
      <c r="M900" t="s">
        <v>4139</v>
      </c>
      <c r="N900" t="s">
        <v>4140</v>
      </c>
      <c r="O900" t="s">
        <v>5610</v>
      </c>
      <c r="P900" t="s">
        <v>2643</v>
      </c>
      <c r="Q900" s="1">
        <v>41085</v>
      </c>
      <c r="R900" t="s">
        <v>47</v>
      </c>
      <c r="S900" t="s">
        <v>27</v>
      </c>
      <c r="T900" t="s">
        <v>3215</v>
      </c>
      <c r="U900" t="s">
        <v>115</v>
      </c>
      <c r="V900" t="s">
        <v>817</v>
      </c>
      <c r="W900">
        <v>25</v>
      </c>
      <c r="X900">
        <v>19927923</v>
      </c>
      <c r="Y900" t="s">
        <v>818</v>
      </c>
      <c r="Z900" t="s">
        <v>119</v>
      </c>
      <c r="AA900" t="s">
        <v>32</v>
      </c>
      <c r="AB900" t="s">
        <v>120</v>
      </c>
      <c r="AC900" t="s">
        <v>25</v>
      </c>
      <c r="AD900" t="s">
        <v>121</v>
      </c>
      <c r="AE900">
        <v>30</v>
      </c>
      <c r="AF900" t="s">
        <v>27</v>
      </c>
      <c r="AG900" t="s">
        <v>26</v>
      </c>
      <c r="AH900" t="s">
        <v>6653</v>
      </c>
      <c r="AI900" t="str">
        <f t="shared" si="70"/>
        <v>SI</v>
      </c>
      <c r="AJ900" t="str">
        <f t="shared" si="71"/>
        <v>ASTRAZENECA COLOMBIA</v>
      </c>
      <c r="AK900" t="str">
        <f>IF(ISNUMBER(SEARCH("FABRICANTE",AC900)),"FABRICANTE",IF(ISNUMBER(SEARCH("IMPORTADOR",AC900)),"IMPORTADOR","OTRO"))</f>
        <v>FABRICANTE</v>
      </c>
      <c r="AL900" t="str">
        <f>IF(LEFT(Y900,1)="A","Sistema digestivo",IF(LEFT(Y900,1)="B","Sangre",IF(LEFT(Y900,1)="C","Cardiovascular",IF(LEFT(Y900,1)="D","Dermatológico",IF(LEFT(Y900,1)="G","Genitourinario",IF(LEFT(Y900,1)="H","Hormonal",IF(LEFT(Y900,1)="J","Antiinfecciosos",IF(LEFT(Y900,1)="L","Oncológicos",IF(LEFT(Y900,1)="M","Musculoesquelético",IF(LEFT(Y900,1)="N","Sistema nervioso",IF(LEFT(Y900,1)="R","Respiratorio",IF(LEFT(Y900,1)="S","Oftálmico",IF(LEFT(Y900,1)="V","Varios","OTRO")))))))))))))</f>
        <v>Cardiovascular</v>
      </c>
      <c r="AM900" t="str">
        <f>IF(AG900="Vigente","ACTIVO",IF(ISNUMBER(SEARCH("Inactivo",J900)),"INACTIVO","REVISAR"))</f>
        <v>ACTIVO</v>
      </c>
      <c r="AN900" t="str">
        <f ca="1">IF(OR(AF900="",AF900="null"),"",ROUND((AF900-TODAY())/365.25,2))</f>
        <v/>
      </c>
      <c r="AO900" t="str">
        <f ca="1">IF(AND(AG900="Vigente",OR(AF900="",AF900="null",AF900&gt;TODAY())),"SI",IF(AND(NOT(OR(AF900="",AF900="null")),AF900&lt;=TODAY()),"NO",IF(AG900="Vigente","SI","DESCONOCIDO")))</f>
        <v>SI</v>
      </c>
      <c r="AP900" t="str">
        <f>IF(AND(ISNUMBER(SEARCH("IMPORTAR",AA900)),ISNUMBER(SEARCH("FABRICAR",AA900))),"MIXTO",IF(ISNUMBER(SEARCH("IMPORTAR",AA900)),"IMPORTADO",IF(ISNUMBER(SEARCH("FABRICAR",AA900)),"LOCAL","OTRO")))</f>
        <v>IMPORTADO</v>
      </c>
      <c r="AQ900" t="str">
        <f>IF(AD900="Si","SI",IF(AD900="No","NO",""))</f>
        <v>NO</v>
      </c>
      <c r="AR900" t="str">
        <f>IF(ISNUMBER(SEARCH("®",N900)),"MARCA/INNOVADOR","GENERICO")</f>
        <v>MARCA/INNOVADOR</v>
      </c>
      <c r="AS900">
        <f ca="1">IF(AE900&gt;100,RANDBETWEEN(500,5000),IF(AND(AE900&gt;=10,AE900&lt;=100),RANDBETWEEN(100,1000),RANDBETWEEN(10,200)))</f>
        <v>822</v>
      </c>
      <c r="AT900">
        <f t="shared" ca="1" si="72"/>
        <v>172</v>
      </c>
      <c r="AU900">
        <f ca="1">INT(AS900*RANDBETWEEN(120,200)/100)</f>
        <v>1348</v>
      </c>
      <c r="AV900" s="2">
        <f ca="1">IF(LEFT(Y900,1)="L",RANDBETWEEN(500000,5000000),IF(LEFT(Y900,1)="C",RANDBETWEEN(5000,50000),IF(LEFT(Y900,1)="N",RANDBETWEEN(10000,150000),IF(LEFT(Y900,1)="J",RANDBETWEEN(8000,200000),RANDBETWEEN(5000,100000)))))</f>
        <v>19217</v>
      </c>
      <c r="AW900" s="2">
        <f ca="1">INT(AV900*RANDBETWEEN(30,60)/100)</f>
        <v>8071</v>
      </c>
      <c r="AX900">
        <f ca="1">IF(Z900="ORAL",RANDBETWEEN(1000,10000),IF(OR(Z900="INTRAVENOSA",Z900="INTRAMUSCULAR"),RANDBETWEEN(100,2000),IF(OR(Z900="OFTÁLMICA",Z900="TOPICA (EXTERNA)"),RANDBETWEEN(200,3000),RANDBETWEEN(100,1500))))</f>
        <v>1929</v>
      </c>
      <c r="AY900" s="2">
        <f ca="1">INT(AV900*RANDBETWEEN(90,130)/100)</f>
        <v>17295</v>
      </c>
      <c r="AZ900" t="str">
        <f t="shared" ca="1" si="73"/>
        <v>6.1%</v>
      </c>
      <c r="BA900" t="str">
        <f t="shared" ca="1" si="74"/>
        <v>BAJO</v>
      </c>
    </row>
    <row r="901" spans="4:53" x14ac:dyDescent="0.35">
      <c r="D901" t="s">
        <v>5611</v>
      </c>
      <c r="E901" s="1">
        <v>43480</v>
      </c>
      <c r="F901" t="s">
        <v>5612</v>
      </c>
      <c r="G901" t="s">
        <v>108</v>
      </c>
      <c r="H901" t="s">
        <v>39</v>
      </c>
      <c r="I901">
        <v>20144254</v>
      </c>
      <c r="J901" t="s">
        <v>28</v>
      </c>
      <c r="K901">
        <v>2</v>
      </c>
      <c r="L901" t="s">
        <v>5613</v>
      </c>
      <c r="M901" t="s">
        <v>5614</v>
      </c>
      <c r="N901" t="s">
        <v>5615</v>
      </c>
      <c r="O901" t="s">
        <v>5616</v>
      </c>
      <c r="P901" t="s">
        <v>1201</v>
      </c>
      <c r="Q901" s="1">
        <v>43398</v>
      </c>
      <c r="R901" t="s">
        <v>33</v>
      </c>
      <c r="S901" t="s">
        <v>27</v>
      </c>
      <c r="T901" t="s">
        <v>40</v>
      </c>
      <c r="U901" t="s">
        <v>115</v>
      </c>
      <c r="V901" t="s">
        <v>5612</v>
      </c>
      <c r="W901">
        <v>2</v>
      </c>
      <c r="X901">
        <v>20144254</v>
      </c>
      <c r="Y901" t="s">
        <v>5617</v>
      </c>
      <c r="Z901" t="s">
        <v>119</v>
      </c>
      <c r="AA901" t="s">
        <v>32</v>
      </c>
      <c r="AB901" t="s">
        <v>120</v>
      </c>
      <c r="AC901" t="s">
        <v>38</v>
      </c>
      <c r="AD901" t="s">
        <v>121</v>
      </c>
      <c r="AE901">
        <v>10</v>
      </c>
      <c r="AF901" t="s">
        <v>27</v>
      </c>
      <c r="AG901" t="s">
        <v>26</v>
      </c>
      <c r="AH901" t="s">
        <v>5612</v>
      </c>
      <c r="AI901" t="str">
        <f t="shared" si="70"/>
        <v>NO</v>
      </c>
      <c r="AJ901" t="str">
        <f t="shared" si="71"/>
        <v>HETERO LABS</v>
      </c>
      <c r="AK901" t="str">
        <f>IF(ISNUMBER(SEARCH("FABRICANTE",AC901)),"FABRICANTE",IF(ISNUMBER(SEARCH("IMPORTADOR",AC901)),"IMPORTADOR","OTRO"))</f>
        <v>IMPORTADOR</v>
      </c>
      <c r="AL901" t="str">
        <f>IF(LEFT(Y901,1)="A","Sistema digestivo",IF(LEFT(Y901,1)="B","Sangre",IF(LEFT(Y901,1)="C","Cardiovascular",IF(LEFT(Y901,1)="D","Dermatológico",IF(LEFT(Y901,1)="G","Genitourinario",IF(LEFT(Y901,1)="H","Hormonal",IF(LEFT(Y901,1)="J","Antiinfecciosos",IF(LEFT(Y901,1)="L","Oncológicos",IF(LEFT(Y901,1)="M","Musculoesquelético",IF(LEFT(Y901,1)="N","Sistema nervioso",IF(LEFT(Y901,1)="R","Respiratorio",IF(LEFT(Y901,1)="S","Oftálmico",IF(LEFT(Y901,1)="V","Varios","OTRO")))))))))))))</f>
        <v>Sistema nervioso</v>
      </c>
      <c r="AM901" t="str">
        <f>IF(AG901="Vigente","ACTIVO",IF(ISNUMBER(SEARCH("Inactivo",J901)),"INACTIVO","REVISAR"))</f>
        <v>ACTIVO</v>
      </c>
      <c r="AN901" t="str">
        <f ca="1">IF(OR(AF901="",AF901="null"),"",ROUND((AF901-TODAY())/365.25,2))</f>
        <v/>
      </c>
      <c r="AO901" t="str">
        <f ca="1">IF(AND(AG901="Vigente",OR(AF901="",AF901="null",AF901&gt;TODAY())),"SI",IF(AND(NOT(OR(AF901="",AF901="null")),AF901&lt;=TODAY()),"NO",IF(AG901="Vigente","SI","DESCONOCIDO")))</f>
        <v>SI</v>
      </c>
      <c r="AP901" t="str">
        <f>IF(AND(ISNUMBER(SEARCH("IMPORTAR",AA901)),ISNUMBER(SEARCH("FABRICAR",AA901))),"MIXTO",IF(ISNUMBER(SEARCH("IMPORTAR",AA901)),"IMPORTADO",IF(ISNUMBER(SEARCH("FABRICAR",AA901)),"LOCAL","OTRO")))</f>
        <v>IMPORTADO</v>
      </c>
      <c r="AQ901" t="str">
        <f>IF(AD901="Si","SI",IF(AD901="No","NO",""))</f>
        <v>NO</v>
      </c>
      <c r="AR901" t="str">
        <f>IF(ISNUMBER(SEARCH("®",N901)),"MARCA/INNOVADOR","GENERICO")</f>
        <v>GENERICO</v>
      </c>
      <c r="AS901">
        <f ca="1">IF(AE901&gt;100,RANDBETWEEN(500,5000),IF(AND(AE901&gt;=10,AE901&lt;=100),RANDBETWEEN(100,1000),RANDBETWEEN(10,200)))</f>
        <v>688</v>
      </c>
      <c r="AT901">
        <f t="shared" ca="1" si="72"/>
        <v>89</v>
      </c>
      <c r="AU901">
        <f ca="1">INT(AS901*RANDBETWEEN(120,200)/100)</f>
        <v>1252</v>
      </c>
      <c r="AV901" s="2">
        <f ca="1">IF(LEFT(Y901,1)="L",RANDBETWEEN(500000,5000000),IF(LEFT(Y901,1)="C",RANDBETWEEN(5000,50000),IF(LEFT(Y901,1)="N",RANDBETWEEN(10000,150000),IF(LEFT(Y901,1)="J",RANDBETWEEN(8000,200000),RANDBETWEEN(5000,100000)))))</f>
        <v>79335</v>
      </c>
      <c r="AW901" s="2">
        <f ca="1">INT(AV901*RANDBETWEEN(30,60)/100)</f>
        <v>37287</v>
      </c>
      <c r="AX901">
        <f ca="1">IF(Z901="ORAL",RANDBETWEEN(1000,10000),IF(OR(Z901="INTRAVENOSA",Z901="INTRAMUSCULAR"),RANDBETWEEN(100,2000),IF(OR(Z901="OFTÁLMICA",Z901="TOPICA (EXTERNA)"),RANDBETWEEN(200,3000),RANDBETWEEN(100,1500))))</f>
        <v>3730</v>
      </c>
      <c r="AY901" s="2">
        <f ca="1">INT(AV901*RANDBETWEEN(90,130)/100)</f>
        <v>79335</v>
      </c>
      <c r="AZ901" t="str">
        <f t="shared" ca="1" si="73"/>
        <v>16.3%</v>
      </c>
      <c r="BA901" t="str">
        <f t="shared" ca="1" si="74"/>
        <v>BAJO</v>
      </c>
    </row>
    <row r="902" spans="4:53" x14ac:dyDescent="0.35">
      <c r="D902" t="s">
        <v>5618</v>
      </c>
      <c r="E902" s="1">
        <v>41018</v>
      </c>
      <c r="F902" t="s">
        <v>5619</v>
      </c>
      <c r="G902" t="s">
        <v>108</v>
      </c>
      <c r="H902" t="s">
        <v>3828</v>
      </c>
      <c r="I902">
        <v>20040672</v>
      </c>
      <c r="J902" t="s">
        <v>110</v>
      </c>
      <c r="K902">
        <v>13</v>
      </c>
      <c r="L902" t="s">
        <v>27</v>
      </c>
      <c r="M902" t="s">
        <v>5620</v>
      </c>
      <c r="N902" t="s">
        <v>5621</v>
      </c>
      <c r="O902" t="s">
        <v>5622</v>
      </c>
      <c r="P902" t="s">
        <v>5623</v>
      </c>
      <c r="Q902" s="1">
        <v>40925</v>
      </c>
      <c r="R902" t="s">
        <v>867</v>
      </c>
      <c r="S902" s="1">
        <v>43804</v>
      </c>
      <c r="T902" t="s">
        <v>860</v>
      </c>
      <c r="U902" t="s">
        <v>247</v>
      </c>
      <c r="V902" t="s">
        <v>248</v>
      </c>
      <c r="W902" t="s">
        <v>5624</v>
      </c>
      <c r="X902">
        <v>20040672</v>
      </c>
      <c r="Y902" t="s">
        <v>249</v>
      </c>
      <c r="Z902" t="s">
        <v>119</v>
      </c>
      <c r="AA902" t="s">
        <v>24</v>
      </c>
      <c r="AB902" t="s">
        <v>1095</v>
      </c>
      <c r="AC902" t="s">
        <v>25</v>
      </c>
      <c r="AD902" t="s">
        <v>121</v>
      </c>
      <c r="AE902">
        <v>1</v>
      </c>
      <c r="AF902" t="s">
        <v>27</v>
      </c>
      <c r="AG902" t="s">
        <v>26</v>
      </c>
      <c r="AH902" t="s">
        <v>6731</v>
      </c>
      <c r="AI902" t="str">
        <f t="shared" si="70"/>
        <v>NO</v>
      </c>
      <c r="AJ902" t="str">
        <f t="shared" si="71"/>
        <v>ROCIPHAR</v>
      </c>
      <c r="AK902" t="str">
        <f>IF(ISNUMBER(SEARCH("FABRICANTE",AC902)),"FABRICANTE",IF(ISNUMBER(SEARCH("IMPORTADOR",AC902)),"IMPORTADOR","OTRO"))</f>
        <v>FABRICANTE</v>
      </c>
      <c r="AL902" t="str">
        <f>IF(LEFT(Y902,1)="A","Sistema digestivo",IF(LEFT(Y902,1)="B","Sangre",IF(LEFT(Y902,1)="C","Cardiovascular",IF(LEFT(Y902,1)="D","Dermatológico",IF(LEFT(Y902,1)="G","Genitourinario",IF(LEFT(Y902,1)="H","Hormonal",IF(LEFT(Y902,1)="J","Antiinfecciosos",IF(LEFT(Y902,1)="L","Oncológicos",IF(LEFT(Y902,1)="M","Musculoesquelético",IF(LEFT(Y902,1)="N","Sistema nervioso",IF(LEFT(Y902,1)="R","Respiratorio",IF(LEFT(Y902,1)="S","Oftálmico",IF(LEFT(Y902,1)="V","Varios","OTRO")))))))))))))</f>
        <v>Sistema digestivo</v>
      </c>
      <c r="AM902" t="str">
        <f>IF(AG902="Vigente","ACTIVO",IF(ISNUMBER(SEARCH("Inactivo",J902)),"INACTIVO","REVISAR"))</f>
        <v>ACTIVO</v>
      </c>
      <c r="AN902" t="str">
        <f ca="1">IF(OR(AF902="",AF902="null"),"",ROUND((AF902-TODAY())/365.25,2))</f>
        <v/>
      </c>
      <c r="AO902" t="str">
        <f ca="1">IF(AND(AG902="Vigente",OR(AF902="",AF902="null",AF902&gt;TODAY())),"SI",IF(AND(NOT(OR(AF902="",AF902="null")),AF902&lt;=TODAY()),"NO",IF(AG902="Vigente","SI","DESCONOCIDO")))</f>
        <v>SI</v>
      </c>
      <c r="AP902" t="str">
        <f>IF(AND(ISNUMBER(SEARCH("IMPORTAR",AA902)),ISNUMBER(SEARCH("FABRICAR",AA902))),"MIXTO",IF(ISNUMBER(SEARCH("IMPORTAR",AA902)),"IMPORTADO",IF(ISNUMBER(SEARCH("FABRICAR",AA902)),"LOCAL","OTRO")))</f>
        <v>LOCAL</v>
      </c>
      <c r="AQ902" t="str">
        <f>IF(AD902="Si","SI",IF(AD902="No","NO",""))</f>
        <v>NO</v>
      </c>
      <c r="AR902" t="str">
        <f>IF(ISNUMBER(SEARCH("®",N902)),"MARCA/INNOVADOR","GENERICO")</f>
        <v>MARCA/INNOVADOR</v>
      </c>
      <c r="AS902">
        <f ca="1">IF(AE902&gt;100,RANDBETWEEN(500,5000),IF(AND(AE902&gt;=10,AE902&lt;=100),RANDBETWEEN(100,1000),RANDBETWEEN(10,200)))</f>
        <v>154</v>
      </c>
      <c r="AT902">
        <f t="shared" ca="1" si="72"/>
        <v>32</v>
      </c>
      <c r="AU902">
        <f ca="1">INT(AS902*RANDBETWEEN(120,200)/100)</f>
        <v>203</v>
      </c>
      <c r="AV902" s="2">
        <f ca="1">IF(LEFT(Y902,1)="L",RANDBETWEEN(500000,5000000),IF(LEFT(Y902,1)="C",RANDBETWEEN(5000,50000),IF(LEFT(Y902,1)="N",RANDBETWEEN(10000,150000),IF(LEFT(Y902,1)="J",RANDBETWEEN(8000,200000),RANDBETWEEN(5000,100000)))))</f>
        <v>59521</v>
      </c>
      <c r="AW902" s="2">
        <f ca="1">INT(AV902*RANDBETWEEN(30,60)/100)</f>
        <v>26784</v>
      </c>
      <c r="AX902">
        <f ca="1">IF(Z902="ORAL",RANDBETWEEN(1000,10000),IF(OR(Z902="INTRAVENOSA",Z902="INTRAMUSCULAR"),RANDBETWEEN(100,2000),IF(OR(Z902="OFTÁLMICA",Z902="TOPICA (EXTERNA)"),RANDBETWEEN(200,3000),RANDBETWEEN(100,1500))))</f>
        <v>7177</v>
      </c>
      <c r="AY902" s="2">
        <f ca="1">INT(AV902*RANDBETWEEN(90,130)/100)</f>
        <v>71425</v>
      </c>
      <c r="AZ902" t="str">
        <f t="shared" ca="1" si="73"/>
        <v>18.1%</v>
      </c>
      <c r="BA902" t="str">
        <f t="shared" ca="1" si="74"/>
        <v>ALTO</v>
      </c>
    </row>
    <row r="903" spans="4:53" x14ac:dyDescent="0.35">
      <c r="D903" t="s">
        <v>5625</v>
      </c>
      <c r="E903" s="1">
        <v>41087</v>
      </c>
      <c r="F903" t="s">
        <v>70</v>
      </c>
      <c r="G903" t="s">
        <v>108</v>
      </c>
      <c r="H903" t="s">
        <v>146</v>
      </c>
      <c r="I903">
        <v>20039588</v>
      </c>
      <c r="J903" t="s">
        <v>28</v>
      </c>
      <c r="K903">
        <v>109</v>
      </c>
      <c r="L903" t="s">
        <v>27</v>
      </c>
      <c r="M903" t="s">
        <v>474</v>
      </c>
      <c r="N903" t="s">
        <v>475</v>
      </c>
      <c r="O903" t="s">
        <v>5626</v>
      </c>
      <c r="P903" t="s">
        <v>477</v>
      </c>
      <c r="Q903" s="1">
        <v>43745</v>
      </c>
      <c r="R903" t="s">
        <v>67</v>
      </c>
      <c r="S903" t="s">
        <v>27</v>
      </c>
      <c r="T903" t="s">
        <v>80</v>
      </c>
      <c r="U903" t="s">
        <v>247</v>
      </c>
      <c r="V903" t="s">
        <v>248</v>
      </c>
      <c r="W903" t="s">
        <v>1778</v>
      </c>
      <c r="X903">
        <v>20039588</v>
      </c>
      <c r="Y903" t="s">
        <v>249</v>
      </c>
      <c r="Z903" t="s">
        <v>119</v>
      </c>
      <c r="AA903" t="s">
        <v>24</v>
      </c>
      <c r="AB903" t="s">
        <v>120</v>
      </c>
      <c r="AC903" t="s">
        <v>25</v>
      </c>
      <c r="AD903" t="s">
        <v>155</v>
      </c>
      <c r="AE903">
        <v>7</v>
      </c>
      <c r="AF903" t="s">
        <v>27</v>
      </c>
      <c r="AG903" t="s">
        <v>26</v>
      </c>
      <c r="AH903" t="s">
        <v>6735</v>
      </c>
      <c r="AI903" t="str">
        <f t="shared" si="70"/>
        <v>NO</v>
      </c>
      <c r="AJ903" t="str">
        <f t="shared" si="71"/>
        <v>TECNOQUIMICAS</v>
      </c>
      <c r="AK903" t="str">
        <f>IF(ISNUMBER(SEARCH("FABRICANTE",AC903)),"FABRICANTE",IF(ISNUMBER(SEARCH("IMPORTADOR",AC903)),"IMPORTADOR","OTRO"))</f>
        <v>FABRICANTE</v>
      </c>
      <c r="AL903" t="str">
        <f>IF(LEFT(Y903,1)="A","Sistema digestivo",IF(LEFT(Y903,1)="B","Sangre",IF(LEFT(Y903,1)="C","Cardiovascular",IF(LEFT(Y903,1)="D","Dermatológico",IF(LEFT(Y903,1)="G","Genitourinario",IF(LEFT(Y903,1)="H","Hormonal",IF(LEFT(Y903,1)="J","Antiinfecciosos",IF(LEFT(Y903,1)="L","Oncológicos",IF(LEFT(Y903,1)="M","Musculoesquelético",IF(LEFT(Y903,1)="N","Sistema nervioso",IF(LEFT(Y903,1)="R","Respiratorio",IF(LEFT(Y903,1)="S","Oftálmico",IF(LEFT(Y903,1)="V","Varios","OTRO")))))))))))))</f>
        <v>Sistema digestivo</v>
      </c>
      <c r="AM903" t="str">
        <f>IF(AG903="Vigente","ACTIVO",IF(ISNUMBER(SEARCH("Inactivo",J903)),"INACTIVO","REVISAR"))</f>
        <v>ACTIVO</v>
      </c>
      <c r="AN903" t="str">
        <f ca="1">IF(OR(AF903="",AF903="null"),"",ROUND((AF903-TODAY())/365.25,2))</f>
        <v/>
      </c>
      <c r="AO903" t="str">
        <f ca="1">IF(AND(AG903="Vigente",OR(AF903="",AF903="null",AF903&gt;TODAY())),"SI",IF(AND(NOT(OR(AF903="",AF903="null")),AF903&lt;=TODAY()),"NO",IF(AG903="Vigente","SI","DESCONOCIDO")))</f>
        <v>SI</v>
      </c>
      <c r="AP903" t="str">
        <f>IF(AND(ISNUMBER(SEARCH("IMPORTAR",AA903)),ISNUMBER(SEARCH("FABRICAR",AA903))),"MIXTO",IF(ISNUMBER(SEARCH("IMPORTAR",AA903)),"IMPORTADO",IF(ISNUMBER(SEARCH("FABRICAR",AA903)),"LOCAL","OTRO")))</f>
        <v>LOCAL</v>
      </c>
      <c r="AQ903" t="str">
        <f>IF(AD903="Si","SI",IF(AD903="No","NO",""))</f>
        <v>SI</v>
      </c>
      <c r="AR903" t="str">
        <f>IF(ISNUMBER(SEARCH("®",N903)),"MARCA/INNOVADOR","GENERICO")</f>
        <v>MARCA/INNOVADOR</v>
      </c>
      <c r="AS903">
        <f ca="1">IF(AE903&gt;100,RANDBETWEEN(500,5000),IF(AND(AE903&gt;=10,AE903&lt;=100),RANDBETWEEN(100,1000),RANDBETWEEN(10,200)))</f>
        <v>162</v>
      </c>
      <c r="AT903">
        <f t="shared" ca="1" si="72"/>
        <v>17</v>
      </c>
      <c r="AU903">
        <f ca="1">INT(AS903*RANDBETWEEN(120,200)/100)</f>
        <v>230</v>
      </c>
      <c r="AV903" s="2">
        <f ca="1">IF(LEFT(Y903,1)="L",RANDBETWEEN(500000,5000000),IF(LEFT(Y903,1)="C",RANDBETWEEN(5000,50000),IF(LEFT(Y903,1)="N",RANDBETWEEN(10000,150000),IF(LEFT(Y903,1)="J",RANDBETWEEN(8000,200000),RANDBETWEEN(5000,100000)))))</f>
        <v>55189</v>
      </c>
      <c r="AW903" s="2">
        <f ca="1">INT(AV903*RANDBETWEEN(30,60)/100)</f>
        <v>16556</v>
      </c>
      <c r="AX903">
        <f ca="1">IF(Z903="ORAL",RANDBETWEEN(1000,10000),IF(OR(Z903="INTRAVENOSA",Z903="INTRAMUSCULAR"),RANDBETWEEN(100,2000),IF(OR(Z903="OFTÁLMICA",Z903="TOPICA (EXTERNA)"),RANDBETWEEN(200,3000),RANDBETWEEN(100,1500))))</f>
        <v>2781</v>
      </c>
      <c r="AY903" s="2">
        <f ca="1">INT(AV903*RANDBETWEEN(90,130)/100)</f>
        <v>52429</v>
      </c>
      <c r="AZ903" t="str">
        <f t="shared" ca="1" si="73"/>
        <v>7.9%</v>
      </c>
      <c r="BA903" t="str">
        <f t="shared" ca="1" si="74"/>
        <v>BAJO</v>
      </c>
    </row>
    <row r="904" spans="4:53" x14ac:dyDescent="0.35">
      <c r="D904" t="s">
        <v>5627</v>
      </c>
      <c r="E904" s="1">
        <v>42451</v>
      </c>
      <c r="F904" t="s">
        <v>515</v>
      </c>
      <c r="G904" t="s">
        <v>108</v>
      </c>
      <c r="H904" t="s">
        <v>1252</v>
      </c>
      <c r="I904">
        <v>20097708</v>
      </c>
      <c r="J904" t="s">
        <v>28</v>
      </c>
      <c r="K904">
        <v>49</v>
      </c>
      <c r="L904" t="s">
        <v>5628</v>
      </c>
      <c r="M904" t="s">
        <v>1253</v>
      </c>
      <c r="N904" t="s">
        <v>1254</v>
      </c>
      <c r="O904" t="s">
        <v>5629</v>
      </c>
      <c r="P904" t="s">
        <v>527</v>
      </c>
      <c r="Q904" s="1">
        <v>44828</v>
      </c>
      <c r="R904" t="s">
        <v>527</v>
      </c>
      <c r="S904" t="s">
        <v>27</v>
      </c>
      <c r="T904" t="s">
        <v>1256</v>
      </c>
      <c r="U904" t="s">
        <v>115</v>
      </c>
      <c r="V904" t="s">
        <v>162</v>
      </c>
      <c r="W904">
        <v>200</v>
      </c>
      <c r="X904">
        <v>20097708</v>
      </c>
      <c r="Y904" t="s">
        <v>164</v>
      </c>
      <c r="Z904" t="s">
        <v>119</v>
      </c>
      <c r="AA904" t="s">
        <v>848</v>
      </c>
      <c r="AB904" t="s">
        <v>120</v>
      </c>
      <c r="AC904" t="s">
        <v>25</v>
      </c>
      <c r="AD904" t="s">
        <v>121</v>
      </c>
      <c r="AE904">
        <v>60</v>
      </c>
      <c r="AF904" t="s">
        <v>27</v>
      </c>
      <c r="AG904" t="s">
        <v>26</v>
      </c>
      <c r="AH904" t="s">
        <v>515</v>
      </c>
      <c r="AI904" t="str">
        <f t="shared" si="70"/>
        <v>NO</v>
      </c>
      <c r="AJ904" t="str">
        <f t="shared" si="71"/>
        <v>GENOMMA LAB COLOMBIA</v>
      </c>
      <c r="AK904" t="str">
        <f>IF(ISNUMBER(SEARCH("FABRICANTE",AC904)),"FABRICANTE",IF(ISNUMBER(SEARCH("IMPORTADOR",AC904)),"IMPORTADOR","OTRO"))</f>
        <v>FABRICANTE</v>
      </c>
      <c r="AL904" t="str">
        <f>IF(LEFT(Y904,1)="A","Sistema digestivo",IF(LEFT(Y904,1)="B","Sangre",IF(LEFT(Y904,1)="C","Cardiovascular",IF(LEFT(Y904,1)="D","Dermatológico",IF(LEFT(Y904,1)="G","Genitourinario",IF(LEFT(Y904,1)="H","Hormonal",IF(LEFT(Y904,1)="J","Antiinfecciosos",IF(LEFT(Y904,1)="L","Oncológicos",IF(LEFT(Y904,1)="M","Musculoesquelético",IF(LEFT(Y904,1)="N","Sistema nervioso",IF(LEFT(Y904,1)="R","Respiratorio",IF(LEFT(Y904,1)="S","Oftálmico",IF(LEFT(Y904,1)="V","Varios","OTRO")))))))))))))</f>
        <v>Musculoesquelético</v>
      </c>
      <c r="AM904" t="str">
        <f>IF(AG904="Vigente","ACTIVO",IF(ISNUMBER(SEARCH("Inactivo",J904)),"INACTIVO","REVISAR"))</f>
        <v>ACTIVO</v>
      </c>
      <c r="AN904" t="str">
        <f ca="1">IF(OR(AF904="",AF904="null"),"",ROUND((AF904-TODAY())/365.25,2))</f>
        <v/>
      </c>
      <c r="AO904" t="str">
        <f ca="1">IF(AND(AG904="Vigente",OR(AF904="",AF904="null",AF904&gt;TODAY())),"SI",IF(AND(NOT(OR(AF904="",AF904="null")),AF904&lt;=TODAY()),"NO",IF(AG904="Vigente","SI","DESCONOCIDO")))</f>
        <v>SI</v>
      </c>
      <c r="AP904" t="str">
        <f>IF(AND(ISNUMBER(SEARCH("IMPORTAR",AA904)),ISNUMBER(SEARCH("FABRICAR",AA904))),"MIXTO",IF(ISNUMBER(SEARCH("IMPORTAR",AA904)),"IMPORTADO",IF(ISNUMBER(SEARCH("FABRICAR",AA904)),"LOCAL","OTRO")))</f>
        <v>IMPORTADO</v>
      </c>
      <c r="AQ904" t="str">
        <f>IF(AD904="Si","SI",IF(AD904="No","NO",""))</f>
        <v>NO</v>
      </c>
      <c r="AR904" t="str">
        <f>IF(ISNUMBER(SEARCH("®",N904)),"MARCA/INNOVADOR","GENERICO")</f>
        <v>MARCA/INNOVADOR</v>
      </c>
      <c r="AS904">
        <f ca="1">IF(AE904&gt;100,RANDBETWEEN(500,5000),IF(AND(AE904&gt;=10,AE904&lt;=100),RANDBETWEEN(100,1000),RANDBETWEEN(10,200)))</f>
        <v>951</v>
      </c>
      <c r="AT904">
        <f t="shared" ca="1" si="72"/>
        <v>180</v>
      </c>
      <c r="AU904">
        <f ca="1">INT(AS904*RANDBETWEEN(120,200)/100)</f>
        <v>1550</v>
      </c>
      <c r="AV904" s="2">
        <f ca="1">IF(LEFT(Y904,1)="L",RANDBETWEEN(500000,5000000),IF(LEFT(Y904,1)="C",RANDBETWEEN(5000,50000),IF(LEFT(Y904,1)="N",RANDBETWEEN(10000,150000),IF(LEFT(Y904,1)="J",RANDBETWEEN(8000,200000),RANDBETWEEN(5000,100000)))))</f>
        <v>31802</v>
      </c>
      <c r="AW904" s="2">
        <f ca="1">INT(AV904*RANDBETWEEN(30,60)/100)</f>
        <v>9540</v>
      </c>
      <c r="AX904">
        <f ca="1">IF(Z904="ORAL",RANDBETWEEN(1000,10000),IF(OR(Z904="INTRAVENOSA",Z904="INTRAMUSCULAR"),RANDBETWEEN(100,2000),IF(OR(Z904="OFTÁLMICA",Z904="TOPICA (EXTERNA)"),RANDBETWEEN(200,3000),RANDBETWEEN(100,1500))))</f>
        <v>3252</v>
      </c>
      <c r="AY904" s="2">
        <f ca="1">INT(AV904*RANDBETWEEN(90,130)/100)</f>
        <v>29257</v>
      </c>
      <c r="AZ904" t="str">
        <f t="shared" ca="1" si="73"/>
        <v>22.4%</v>
      </c>
      <c r="BA904" t="str">
        <f t="shared" ca="1" si="74"/>
        <v>BAJO</v>
      </c>
    </row>
    <row r="905" spans="4:53" x14ac:dyDescent="0.35">
      <c r="D905" t="s">
        <v>5630</v>
      </c>
      <c r="E905" s="1">
        <v>38089</v>
      </c>
      <c r="F905" t="s">
        <v>5631</v>
      </c>
      <c r="G905" t="s">
        <v>108</v>
      </c>
      <c r="H905" t="s">
        <v>158</v>
      </c>
      <c r="I905">
        <v>19943526</v>
      </c>
      <c r="J905" t="s">
        <v>110</v>
      </c>
      <c r="K905">
        <v>1</v>
      </c>
      <c r="L905" t="s">
        <v>27</v>
      </c>
      <c r="M905" t="s">
        <v>5632</v>
      </c>
      <c r="N905" t="s">
        <v>5633</v>
      </c>
      <c r="O905" t="s">
        <v>5634</v>
      </c>
      <c r="P905" t="s">
        <v>29</v>
      </c>
      <c r="Q905" s="1">
        <v>39031</v>
      </c>
      <c r="R905" t="s">
        <v>29</v>
      </c>
      <c r="S905" s="1">
        <v>41778</v>
      </c>
      <c r="T905" t="s">
        <v>80</v>
      </c>
      <c r="U905" t="s">
        <v>115</v>
      </c>
      <c r="V905" t="s">
        <v>817</v>
      </c>
      <c r="W905">
        <v>100</v>
      </c>
      <c r="X905">
        <v>19943526</v>
      </c>
      <c r="Y905" t="s">
        <v>818</v>
      </c>
      <c r="Z905" t="s">
        <v>119</v>
      </c>
      <c r="AA905" t="s">
        <v>24</v>
      </c>
      <c r="AB905" t="s">
        <v>120</v>
      </c>
      <c r="AC905" t="s">
        <v>25</v>
      </c>
      <c r="AD905" t="s">
        <v>121</v>
      </c>
      <c r="AE905">
        <v>10</v>
      </c>
      <c r="AF905" t="s">
        <v>27</v>
      </c>
      <c r="AG905" t="s">
        <v>26</v>
      </c>
      <c r="AH905" t="s">
        <v>5631</v>
      </c>
      <c r="AI905" t="str">
        <f t="shared" si="70"/>
        <v>NO</v>
      </c>
      <c r="AJ905" t="str">
        <f t="shared" si="71"/>
        <v>TECNOQUIMICAS</v>
      </c>
      <c r="AK905" t="str">
        <f>IF(ISNUMBER(SEARCH("FABRICANTE",AC905)),"FABRICANTE",IF(ISNUMBER(SEARCH("IMPORTADOR",AC905)),"IMPORTADOR","OTRO"))</f>
        <v>FABRICANTE</v>
      </c>
      <c r="AL905" t="str">
        <f>IF(LEFT(Y905,1)="A","Sistema digestivo",IF(LEFT(Y905,1)="B","Sangre",IF(LEFT(Y905,1)="C","Cardiovascular",IF(LEFT(Y905,1)="D","Dermatológico",IF(LEFT(Y905,1)="G","Genitourinario",IF(LEFT(Y905,1)="H","Hormonal",IF(LEFT(Y905,1)="J","Antiinfecciosos",IF(LEFT(Y905,1)="L","Oncológicos",IF(LEFT(Y905,1)="M","Musculoesquelético",IF(LEFT(Y905,1)="N","Sistema nervioso",IF(LEFT(Y905,1)="R","Respiratorio",IF(LEFT(Y905,1)="S","Oftálmico",IF(LEFT(Y905,1)="V","Varios","OTRO")))))))))))))</f>
        <v>Cardiovascular</v>
      </c>
      <c r="AM905" t="str">
        <f>IF(AG905="Vigente","ACTIVO",IF(ISNUMBER(SEARCH("Inactivo",J905)),"INACTIVO","REVISAR"))</f>
        <v>ACTIVO</v>
      </c>
      <c r="AN905" t="str">
        <f ca="1">IF(OR(AF905="",AF905="null"),"",ROUND((AF905-TODAY())/365.25,2))</f>
        <v/>
      </c>
      <c r="AO905" t="str">
        <f ca="1">IF(AND(AG905="Vigente",OR(AF905="",AF905="null",AF905&gt;TODAY())),"SI",IF(AND(NOT(OR(AF905="",AF905="null")),AF905&lt;=TODAY()),"NO",IF(AG905="Vigente","SI","DESCONOCIDO")))</f>
        <v>SI</v>
      </c>
      <c r="AP905" t="str">
        <f>IF(AND(ISNUMBER(SEARCH("IMPORTAR",AA905)),ISNUMBER(SEARCH("FABRICAR",AA905))),"MIXTO",IF(ISNUMBER(SEARCH("IMPORTAR",AA905)),"IMPORTADO",IF(ISNUMBER(SEARCH("FABRICAR",AA905)),"LOCAL","OTRO")))</f>
        <v>LOCAL</v>
      </c>
      <c r="AQ905" t="str">
        <f>IF(AD905="Si","SI",IF(AD905="No","NO",""))</f>
        <v>NO</v>
      </c>
      <c r="AR905" t="str">
        <f>IF(ISNUMBER(SEARCH("®",N905)),"MARCA/INNOVADOR","GENERICO")</f>
        <v>GENERICO</v>
      </c>
      <c r="AS905">
        <f ca="1">IF(AE905&gt;100,RANDBETWEEN(500,5000),IF(AND(AE905&gt;=10,AE905&lt;=100),RANDBETWEEN(100,1000),RANDBETWEEN(10,200)))</f>
        <v>383</v>
      </c>
      <c r="AT905">
        <f t="shared" ca="1" si="72"/>
        <v>84</v>
      </c>
      <c r="AU905">
        <f ca="1">INT(AS905*RANDBETWEEN(120,200)/100)</f>
        <v>628</v>
      </c>
      <c r="AV905" s="2">
        <f ca="1">IF(LEFT(Y905,1)="L",RANDBETWEEN(500000,5000000),IF(LEFT(Y905,1)="C",RANDBETWEEN(5000,50000),IF(LEFT(Y905,1)="N",RANDBETWEEN(10000,150000),IF(LEFT(Y905,1)="J",RANDBETWEEN(8000,200000),RANDBETWEEN(5000,100000)))))</f>
        <v>6775</v>
      </c>
      <c r="AW905" s="2">
        <f ca="1">INT(AV905*RANDBETWEEN(30,60)/100)</f>
        <v>2574</v>
      </c>
      <c r="AX905">
        <f ca="1">IF(Z905="ORAL",RANDBETWEEN(1000,10000),IF(OR(Z905="INTRAVENOSA",Z905="INTRAMUSCULAR"),RANDBETWEEN(100,2000),IF(OR(Z905="OFTÁLMICA",Z905="TOPICA (EXTERNA)"),RANDBETWEEN(200,3000),RANDBETWEEN(100,1500))))</f>
        <v>5580</v>
      </c>
      <c r="AY905" s="2">
        <f ca="1">INT(AV905*RANDBETWEEN(90,130)/100)</f>
        <v>8062</v>
      </c>
      <c r="AZ905" t="str">
        <f t="shared" ca="1" si="73"/>
        <v>23.9%</v>
      </c>
      <c r="BA905" t="str">
        <f t="shared" ca="1" si="74"/>
        <v>ALTO</v>
      </c>
    </row>
    <row r="906" spans="4:53" x14ac:dyDescent="0.35">
      <c r="D906" t="s">
        <v>5635</v>
      </c>
      <c r="E906" s="1">
        <v>36161</v>
      </c>
      <c r="F906" t="s">
        <v>339</v>
      </c>
      <c r="G906" t="s">
        <v>502</v>
      </c>
      <c r="H906" t="s">
        <v>5636</v>
      </c>
      <c r="I906">
        <v>230345</v>
      </c>
      <c r="J906" t="s">
        <v>28</v>
      </c>
      <c r="K906">
        <v>2</v>
      </c>
      <c r="L906" t="s">
        <v>27</v>
      </c>
      <c r="M906" t="s">
        <v>5637</v>
      </c>
      <c r="N906" t="s">
        <v>5638</v>
      </c>
      <c r="O906" t="s">
        <v>5639</v>
      </c>
      <c r="P906" t="s">
        <v>5640</v>
      </c>
      <c r="Q906" s="1">
        <v>39245</v>
      </c>
      <c r="R906" t="s">
        <v>1759</v>
      </c>
      <c r="S906" t="s">
        <v>27</v>
      </c>
      <c r="T906" t="s">
        <v>5636</v>
      </c>
      <c r="U906" t="s">
        <v>115</v>
      </c>
      <c r="V906" t="s">
        <v>4539</v>
      </c>
      <c r="W906">
        <v>1</v>
      </c>
      <c r="X906">
        <v>230345</v>
      </c>
      <c r="Y906" t="s">
        <v>4540</v>
      </c>
      <c r="Z906" t="s">
        <v>154</v>
      </c>
      <c r="AA906" t="s">
        <v>32</v>
      </c>
      <c r="AB906" t="s">
        <v>133</v>
      </c>
      <c r="AC906" t="s">
        <v>25</v>
      </c>
      <c r="AD906" t="s">
        <v>155</v>
      </c>
      <c r="AE906">
        <v>3</v>
      </c>
      <c r="AF906" t="s">
        <v>27</v>
      </c>
      <c r="AG906" t="s">
        <v>26</v>
      </c>
      <c r="AH906" t="s">
        <v>339</v>
      </c>
      <c r="AI906" t="str">
        <f t="shared" si="70"/>
        <v>NO</v>
      </c>
      <c r="AJ906" t="str">
        <f t="shared" si="71"/>
        <v>LABORATORIOS SOPHIA</v>
      </c>
      <c r="AK906" t="str">
        <f>IF(ISNUMBER(SEARCH("FABRICANTE",AC906)),"FABRICANTE",IF(ISNUMBER(SEARCH("IMPORTADOR",AC906)),"IMPORTADOR","OTRO"))</f>
        <v>FABRICANTE</v>
      </c>
      <c r="AL906" t="str">
        <f>IF(LEFT(Y906,1)="A","Sistema digestivo",IF(LEFT(Y906,1)="B","Sangre",IF(LEFT(Y906,1)="C","Cardiovascular",IF(LEFT(Y906,1)="D","Dermatológico",IF(LEFT(Y906,1)="G","Genitourinario",IF(LEFT(Y906,1)="H","Hormonal",IF(LEFT(Y906,1)="J","Antiinfecciosos",IF(LEFT(Y906,1)="L","Oncológicos",IF(LEFT(Y906,1)="M","Musculoesquelético",IF(LEFT(Y906,1)="N","Sistema nervioso",IF(LEFT(Y906,1)="R","Respiratorio",IF(LEFT(Y906,1)="S","Oftálmico",IF(LEFT(Y906,1)="V","Varios","OTRO")))))))))))))</f>
        <v>Oftálmico</v>
      </c>
      <c r="AM906" t="str">
        <f>IF(AG906="Vigente","ACTIVO",IF(ISNUMBER(SEARCH("Inactivo",J906)),"INACTIVO","REVISAR"))</f>
        <v>ACTIVO</v>
      </c>
      <c r="AN906" t="str">
        <f ca="1">IF(OR(AF906="",AF906="null"),"",ROUND((AF906-TODAY())/365.25,2))</f>
        <v/>
      </c>
      <c r="AO906" t="str">
        <f ca="1">IF(AND(AG906="Vigente",OR(AF906="",AF906="null",AF906&gt;TODAY())),"SI",IF(AND(NOT(OR(AF906="",AF906="null")),AF906&lt;=TODAY()),"NO",IF(AG906="Vigente","SI","DESCONOCIDO")))</f>
        <v>SI</v>
      </c>
      <c r="AP906" t="str">
        <f>IF(AND(ISNUMBER(SEARCH("IMPORTAR",AA906)),ISNUMBER(SEARCH("FABRICAR",AA906))),"MIXTO",IF(ISNUMBER(SEARCH("IMPORTAR",AA906)),"IMPORTADO",IF(ISNUMBER(SEARCH("FABRICAR",AA906)),"LOCAL","OTRO")))</f>
        <v>IMPORTADO</v>
      </c>
      <c r="AQ906" t="str">
        <f>IF(AD906="Si","SI",IF(AD906="No","NO",""))</f>
        <v>SI</v>
      </c>
      <c r="AR906" t="str">
        <f>IF(ISNUMBER(SEARCH("®",N906)),"MARCA/INNOVADOR","GENERICO")</f>
        <v>GENERICO</v>
      </c>
      <c r="AS906">
        <f ca="1">IF(AE906&gt;100,RANDBETWEEN(500,5000),IF(AND(AE906&gt;=10,AE906&lt;=100),RANDBETWEEN(100,1000),RANDBETWEEN(10,200)))</f>
        <v>124</v>
      </c>
      <c r="AT906">
        <f t="shared" ca="1" si="72"/>
        <v>12</v>
      </c>
      <c r="AU906">
        <f ca="1">INT(AS906*RANDBETWEEN(120,200)/100)</f>
        <v>223</v>
      </c>
      <c r="AV906" s="2">
        <f ca="1">IF(LEFT(Y906,1)="L",RANDBETWEEN(500000,5000000),IF(LEFT(Y906,1)="C",RANDBETWEEN(5000,50000),IF(LEFT(Y906,1)="N",RANDBETWEEN(10000,150000),IF(LEFT(Y906,1)="J",RANDBETWEEN(8000,200000),RANDBETWEEN(5000,100000)))))</f>
        <v>78153</v>
      </c>
      <c r="AW906" s="2">
        <f ca="1">INT(AV906*RANDBETWEEN(30,60)/100)</f>
        <v>32042</v>
      </c>
      <c r="AX906">
        <f ca="1">IF(Z906="ORAL",RANDBETWEEN(1000,10000),IF(OR(Z906="INTRAVENOSA",Z906="INTRAMUSCULAR"),RANDBETWEEN(100,2000),IF(OR(Z906="OFTÁLMICA",Z906="TOPICA (EXTERNA)"),RANDBETWEEN(200,3000),RANDBETWEEN(100,1500))))</f>
        <v>1975</v>
      </c>
      <c r="AY906" s="2">
        <f ca="1">INT(AV906*RANDBETWEEN(90,130)/100)</f>
        <v>84405</v>
      </c>
      <c r="AZ906" t="str">
        <f t="shared" ca="1" si="73"/>
        <v>14.4%</v>
      </c>
      <c r="BA906" t="str">
        <f t="shared" ca="1" si="74"/>
        <v>BAJO</v>
      </c>
    </row>
    <row r="907" spans="4:53" x14ac:dyDescent="0.35">
      <c r="D907" t="s">
        <v>5641</v>
      </c>
      <c r="E907" s="1">
        <v>44508</v>
      </c>
      <c r="F907" t="s">
        <v>5612</v>
      </c>
      <c r="G907" t="s">
        <v>108</v>
      </c>
      <c r="H907" t="s">
        <v>410</v>
      </c>
      <c r="I907">
        <v>20194076</v>
      </c>
      <c r="J907" t="s">
        <v>28</v>
      </c>
      <c r="K907">
        <v>5</v>
      </c>
      <c r="L907" t="s">
        <v>5642</v>
      </c>
      <c r="M907" t="s">
        <v>5643</v>
      </c>
      <c r="N907" t="s">
        <v>5644</v>
      </c>
      <c r="O907" t="s">
        <v>5645</v>
      </c>
      <c r="P907" t="s">
        <v>33</v>
      </c>
      <c r="Q907" s="1">
        <v>44328</v>
      </c>
      <c r="R907" t="s">
        <v>33</v>
      </c>
      <c r="S907" t="s">
        <v>27</v>
      </c>
      <c r="T907" t="s">
        <v>172</v>
      </c>
      <c r="U907" t="s">
        <v>115</v>
      </c>
      <c r="V907" t="s">
        <v>5612</v>
      </c>
      <c r="W907">
        <v>3</v>
      </c>
      <c r="X907">
        <v>20194076</v>
      </c>
      <c r="Y907" t="s">
        <v>5617</v>
      </c>
      <c r="Z907" t="s">
        <v>119</v>
      </c>
      <c r="AA907" t="s">
        <v>24</v>
      </c>
      <c r="AB907" t="s">
        <v>120</v>
      </c>
      <c r="AC907" t="s">
        <v>25</v>
      </c>
      <c r="AD907" t="s">
        <v>121</v>
      </c>
      <c r="AE907">
        <v>60</v>
      </c>
      <c r="AF907" t="s">
        <v>27</v>
      </c>
      <c r="AG907" t="s">
        <v>26</v>
      </c>
      <c r="AH907" t="s">
        <v>5612</v>
      </c>
      <c r="AI907" t="str">
        <f t="shared" si="70"/>
        <v>NO</v>
      </c>
      <c r="AJ907" t="str">
        <f t="shared" si="71"/>
        <v>NOVAMED</v>
      </c>
      <c r="AK907" t="str">
        <f>IF(ISNUMBER(SEARCH("FABRICANTE",AC907)),"FABRICANTE",IF(ISNUMBER(SEARCH("IMPORTADOR",AC907)),"IMPORTADOR","OTRO"))</f>
        <v>FABRICANTE</v>
      </c>
      <c r="AL907" t="str">
        <f>IF(LEFT(Y907,1)="A","Sistema digestivo",IF(LEFT(Y907,1)="B","Sangre",IF(LEFT(Y907,1)="C","Cardiovascular",IF(LEFT(Y907,1)="D","Dermatológico",IF(LEFT(Y907,1)="G","Genitourinario",IF(LEFT(Y907,1)="H","Hormonal",IF(LEFT(Y907,1)="J","Antiinfecciosos",IF(LEFT(Y907,1)="L","Oncológicos",IF(LEFT(Y907,1)="M","Musculoesquelético",IF(LEFT(Y907,1)="N","Sistema nervioso",IF(LEFT(Y907,1)="R","Respiratorio",IF(LEFT(Y907,1)="S","Oftálmico",IF(LEFT(Y907,1)="V","Varios","OTRO")))))))))))))</f>
        <v>Sistema nervioso</v>
      </c>
      <c r="AM907" t="str">
        <f>IF(AG907="Vigente","ACTIVO",IF(ISNUMBER(SEARCH("Inactivo",J907)),"INACTIVO","REVISAR"))</f>
        <v>ACTIVO</v>
      </c>
      <c r="AN907" t="str">
        <f ca="1">IF(OR(AF907="",AF907="null"),"",ROUND((AF907-TODAY())/365.25,2))</f>
        <v/>
      </c>
      <c r="AO907" t="str">
        <f ca="1">IF(AND(AG907="Vigente",OR(AF907="",AF907="null",AF907&gt;TODAY())),"SI",IF(AND(NOT(OR(AF907="",AF907="null")),AF907&lt;=TODAY()),"NO",IF(AG907="Vigente","SI","DESCONOCIDO")))</f>
        <v>SI</v>
      </c>
      <c r="AP907" t="str">
        <f>IF(AND(ISNUMBER(SEARCH("IMPORTAR",AA907)),ISNUMBER(SEARCH("FABRICAR",AA907))),"MIXTO",IF(ISNUMBER(SEARCH("IMPORTAR",AA907)),"IMPORTADO",IF(ISNUMBER(SEARCH("FABRICAR",AA907)),"LOCAL","OTRO")))</f>
        <v>LOCAL</v>
      </c>
      <c r="AQ907" t="str">
        <f>IF(AD907="Si","SI",IF(AD907="No","NO",""))</f>
        <v>NO</v>
      </c>
      <c r="AR907" t="str">
        <f>IF(ISNUMBER(SEARCH("®",N907)),"MARCA/INNOVADOR","GENERICO")</f>
        <v>MARCA/INNOVADOR</v>
      </c>
      <c r="AS907">
        <f ca="1">IF(AE907&gt;100,RANDBETWEEN(500,5000),IF(AND(AE907&gt;=10,AE907&lt;=100),RANDBETWEEN(100,1000),RANDBETWEEN(10,200)))</f>
        <v>830</v>
      </c>
      <c r="AT907">
        <f t="shared" ca="1" si="72"/>
        <v>91</v>
      </c>
      <c r="AU907">
        <f ca="1">INT(AS907*RANDBETWEEN(120,200)/100)</f>
        <v>1070</v>
      </c>
      <c r="AV907" s="2">
        <f ca="1">IF(LEFT(Y907,1)="L",RANDBETWEEN(500000,5000000),IF(LEFT(Y907,1)="C",RANDBETWEEN(5000,50000),IF(LEFT(Y907,1)="N",RANDBETWEEN(10000,150000),IF(LEFT(Y907,1)="J",RANDBETWEEN(8000,200000),RANDBETWEEN(5000,100000)))))</f>
        <v>37529</v>
      </c>
      <c r="AW907" s="2">
        <f ca="1">INT(AV907*RANDBETWEEN(30,60)/100)</f>
        <v>12384</v>
      </c>
      <c r="AX907">
        <f ca="1">IF(Z907="ORAL",RANDBETWEEN(1000,10000),IF(OR(Z907="INTRAVENOSA",Z907="INTRAMUSCULAR"),RANDBETWEEN(100,2000),IF(OR(Z907="OFTÁLMICA",Z907="TOPICA (EXTERNA)"),RANDBETWEEN(200,3000),RANDBETWEEN(100,1500))))</f>
        <v>7937</v>
      </c>
      <c r="AY907" s="2">
        <f ca="1">INT(AV907*RANDBETWEEN(90,130)/100)</f>
        <v>38654</v>
      </c>
      <c r="AZ907" t="str">
        <f t="shared" ca="1" si="73"/>
        <v>19.6%</v>
      </c>
      <c r="BA907" t="str">
        <f t="shared" ca="1" si="74"/>
        <v>BAJO</v>
      </c>
    </row>
    <row r="908" spans="4:53" x14ac:dyDescent="0.35">
      <c r="D908" t="s">
        <v>5646</v>
      </c>
      <c r="E908" s="1">
        <v>40729</v>
      </c>
      <c r="F908" t="s">
        <v>5647</v>
      </c>
      <c r="G908" t="s">
        <v>108</v>
      </c>
      <c r="H908" t="s">
        <v>2492</v>
      </c>
      <c r="I908">
        <v>20028094</v>
      </c>
      <c r="J908" t="s">
        <v>28</v>
      </c>
      <c r="K908">
        <v>6</v>
      </c>
      <c r="L908" t="s">
        <v>27</v>
      </c>
      <c r="M908" t="s">
        <v>5648</v>
      </c>
      <c r="N908" t="s">
        <v>5649</v>
      </c>
      <c r="O908" t="s">
        <v>5650</v>
      </c>
      <c r="P908" t="s">
        <v>2689</v>
      </c>
      <c r="Q908" s="1">
        <v>40640</v>
      </c>
      <c r="R908" t="s">
        <v>584</v>
      </c>
      <c r="S908" t="s">
        <v>27</v>
      </c>
      <c r="T908" t="s">
        <v>1574</v>
      </c>
      <c r="U908" t="s">
        <v>115</v>
      </c>
      <c r="V908" t="s">
        <v>5651</v>
      </c>
      <c r="W908">
        <v>40</v>
      </c>
      <c r="X908">
        <v>20028094</v>
      </c>
      <c r="Y908" t="s">
        <v>5652</v>
      </c>
      <c r="Z908" t="s">
        <v>119</v>
      </c>
      <c r="AA908" t="s">
        <v>32</v>
      </c>
      <c r="AB908" t="s">
        <v>120</v>
      </c>
      <c r="AC908" t="s">
        <v>25</v>
      </c>
      <c r="AD908" t="s">
        <v>121</v>
      </c>
      <c r="AE908">
        <v>28</v>
      </c>
      <c r="AF908" t="s">
        <v>27</v>
      </c>
      <c r="AG908" t="s">
        <v>26</v>
      </c>
      <c r="AH908" t="s">
        <v>6708</v>
      </c>
      <c r="AI908" t="str">
        <f t="shared" si="70"/>
        <v>SI</v>
      </c>
      <c r="AJ908" t="str">
        <f t="shared" si="71"/>
        <v>SANDOZ</v>
      </c>
      <c r="AK908" t="str">
        <f>IF(ISNUMBER(SEARCH("FABRICANTE",AC908)),"FABRICANTE",IF(ISNUMBER(SEARCH("IMPORTADOR",AC908)),"IMPORTADOR","OTRO"))</f>
        <v>FABRICANTE</v>
      </c>
      <c r="AL908" t="str">
        <f>IF(LEFT(Y908,1)="A","Sistema digestivo",IF(LEFT(Y908,1)="B","Sangre",IF(LEFT(Y908,1)="C","Cardiovascular",IF(LEFT(Y908,1)="D","Dermatológico",IF(LEFT(Y908,1)="G","Genitourinario",IF(LEFT(Y908,1)="H","Hormonal",IF(LEFT(Y908,1)="J","Antiinfecciosos",IF(LEFT(Y908,1)="L","Oncológicos",IF(LEFT(Y908,1)="M","Musculoesquelético",IF(LEFT(Y908,1)="N","Sistema nervioso",IF(LEFT(Y908,1)="R","Respiratorio",IF(LEFT(Y908,1)="S","Oftálmico",IF(LEFT(Y908,1)="V","Varios","OTRO")))))))))))))</f>
        <v>Sistema digestivo</v>
      </c>
      <c r="AM908" t="str">
        <f>IF(AG908="Vigente","ACTIVO",IF(ISNUMBER(SEARCH("Inactivo",J908)),"INACTIVO","REVISAR"))</f>
        <v>ACTIVO</v>
      </c>
      <c r="AN908" t="str">
        <f ca="1">IF(OR(AF908="",AF908="null"),"",ROUND((AF908-TODAY())/365.25,2))</f>
        <v/>
      </c>
      <c r="AO908" t="str">
        <f ca="1">IF(AND(AG908="Vigente",OR(AF908="",AF908="null",AF908&gt;TODAY())),"SI",IF(AND(NOT(OR(AF908="",AF908="null")),AF908&lt;=TODAY()),"NO",IF(AG908="Vigente","SI","DESCONOCIDO")))</f>
        <v>SI</v>
      </c>
      <c r="AP908" t="str">
        <f>IF(AND(ISNUMBER(SEARCH("IMPORTAR",AA908)),ISNUMBER(SEARCH("FABRICAR",AA908))),"MIXTO",IF(ISNUMBER(SEARCH("IMPORTAR",AA908)),"IMPORTADO",IF(ISNUMBER(SEARCH("FABRICAR",AA908)),"LOCAL","OTRO")))</f>
        <v>IMPORTADO</v>
      </c>
      <c r="AQ908" t="str">
        <f>IF(AD908="Si","SI",IF(AD908="No","NO",""))</f>
        <v>NO</v>
      </c>
      <c r="AR908" t="str">
        <f>IF(ISNUMBER(SEARCH("®",N908)),"MARCA/INNOVADOR","GENERICO")</f>
        <v>GENERICO</v>
      </c>
      <c r="AS908">
        <f ca="1">IF(AE908&gt;100,RANDBETWEEN(500,5000),IF(AND(AE908&gt;=10,AE908&lt;=100),RANDBETWEEN(100,1000),RANDBETWEEN(10,200)))</f>
        <v>911</v>
      </c>
      <c r="AT908">
        <f t="shared" ca="1" si="72"/>
        <v>200</v>
      </c>
      <c r="AU908">
        <f ca="1">INT(AS908*RANDBETWEEN(120,200)/100)</f>
        <v>1384</v>
      </c>
      <c r="AV908" s="2">
        <f ca="1">IF(LEFT(Y908,1)="L",RANDBETWEEN(500000,5000000),IF(LEFT(Y908,1)="C",RANDBETWEEN(5000,50000),IF(LEFT(Y908,1)="N",RANDBETWEEN(10000,150000),IF(LEFT(Y908,1)="J",RANDBETWEEN(8000,200000),RANDBETWEEN(5000,100000)))))</f>
        <v>17611</v>
      </c>
      <c r="AW908" s="2">
        <f ca="1">INT(AV908*RANDBETWEEN(30,60)/100)</f>
        <v>9862</v>
      </c>
      <c r="AX908">
        <f ca="1">IF(Z908="ORAL",RANDBETWEEN(1000,10000),IF(OR(Z908="INTRAVENOSA",Z908="INTRAMUSCULAR"),RANDBETWEEN(100,2000),IF(OR(Z908="OFTÁLMICA",Z908="TOPICA (EXTERNA)"),RANDBETWEEN(200,3000),RANDBETWEEN(100,1500))))</f>
        <v>7376</v>
      </c>
      <c r="AY908" s="2">
        <f ca="1">INT(AV908*RANDBETWEEN(90,130)/100)</f>
        <v>18491</v>
      </c>
      <c r="AZ908" t="str">
        <f t="shared" ca="1" si="73"/>
        <v>19.5%</v>
      </c>
      <c r="BA908" t="str">
        <f t="shared" ca="1" si="74"/>
        <v>BAJO</v>
      </c>
    </row>
    <row r="909" spans="4:53" x14ac:dyDescent="0.35">
      <c r="D909" t="s">
        <v>5653</v>
      </c>
      <c r="E909" s="1">
        <v>43704</v>
      </c>
      <c r="F909" t="s">
        <v>5654</v>
      </c>
      <c r="G909" t="s">
        <v>108</v>
      </c>
      <c r="H909" t="s">
        <v>645</v>
      </c>
      <c r="I909">
        <v>20146463</v>
      </c>
      <c r="J909" t="s">
        <v>28</v>
      </c>
      <c r="K909">
        <v>1</v>
      </c>
      <c r="L909" t="s">
        <v>5655</v>
      </c>
      <c r="M909" t="s">
        <v>5656</v>
      </c>
      <c r="N909" t="s">
        <v>5657</v>
      </c>
      <c r="O909" t="s">
        <v>5658</v>
      </c>
      <c r="P909" t="s">
        <v>1392</v>
      </c>
      <c r="Q909" s="1">
        <v>43299</v>
      </c>
      <c r="R909" t="s">
        <v>43</v>
      </c>
      <c r="S909" t="s">
        <v>27</v>
      </c>
      <c r="T909" t="s">
        <v>5659</v>
      </c>
      <c r="U909" t="s">
        <v>247</v>
      </c>
      <c r="V909" t="s">
        <v>4198</v>
      </c>
      <c r="W909">
        <v>1</v>
      </c>
      <c r="X909">
        <v>20146463</v>
      </c>
      <c r="Y909" t="s">
        <v>4199</v>
      </c>
      <c r="Z909" t="s">
        <v>566</v>
      </c>
      <c r="AA909" t="s">
        <v>24</v>
      </c>
      <c r="AB909" t="s">
        <v>653</v>
      </c>
      <c r="AC909" t="s">
        <v>25</v>
      </c>
      <c r="AD909" t="s">
        <v>121</v>
      </c>
      <c r="AE909">
        <v>1</v>
      </c>
      <c r="AF909" s="1">
        <v>401769</v>
      </c>
      <c r="AG909" t="s">
        <v>26</v>
      </c>
      <c r="AH909" t="s">
        <v>6841</v>
      </c>
      <c r="AI909" t="str">
        <f t="shared" si="70"/>
        <v>NO</v>
      </c>
      <c r="AJ909" t="str">
        <f t="shared" si="71"/>
        <v>LG PHARMA CIA</v>
      </c>
      <c r="AK909" t="str">
        <f>IF(ISNUMBER(SEARCH("FABRICANTE",AC909)),"FABRICANTE",IF(ISNUMBER(SEARCH("IMPORTADOR",AC909)),"IMPORTADOR","OTRO"))</f>
        <v>FABRICANTE</v>
      </c>
      <c r="AL909" t="str">
        <f>IF(LEFT(Y909,1)="A","Sistema digestivo",IF(LEFT(Y909,1)="B","Sangre",IF(LEFT(Y909,1)="C","Cardiovascular",IF(LEFT(Y909,1)="D","Dermatológico",IF(LEFT(Y909,1)="G","Genitourinario",IF(LEFT(Y909,1)="H","Hormonal",IF(LEFT(Y909,1)="J","Antiinfecciosos",IF(LEFT(Y909,1)="L","Oncológicos",IF(LEFT(Y909,1)="M","Musculoesquelético",IF(LEFT(Y909,1)="N","Sistema nervioso",IF(LEFT(Y909,1)="R","Respiratorio",IF(LEFT(Y909,1)="S","Oftálmico",IF(LEFT(Y909,1)="V","Varios","OTRO")))))))))))))</f>
        <v>Musculoesquelético</v>
      </c>
      <c r="AM909" t="str">
        <f>IF(AG909="Vigente","ACTIVO",IF(ISNUMBER(SEARCH("Inactivo",J909)),"INACTIVO","REVISAR"))</f>
        <v>ACTIVO</v>
      </c>
      <c r="AN909">
        <f ca="1">IF(OR(AF909="",AF909="null"),"",ROUND((AF909-TODAY())/365.25,2))</f>
        <v>973.58</v>
      </c>
      <c r="AO909" t="str">
        <f ca="1">IF(AND(AG909="Vigente",OR(AF909="",AF909="null",AF909&gt;TODAY())),"SI",IF(AND(NOT(OR(AF909="",AF909="null")),AF909&lt;=TODAY()),"NO",IF(AG909="Vigente","SI","DESCONOCIDO")))</f>
        <v>SI</v>
      </c>
      <c r="AP909" t="str">
        <f>IF(AND(ISNUMBER(SEARCH("IMPORTAR",AA909)),ISNUMBER(SEARCH("FABRICAR",AA909))),"MIXTO",IF(ISNUMBER(SEARCH("IMPORTAR",AA909)),"IMPORTADO",IF(ISNUMBER(SEARCH("FABRICAR",AA909)),"LOCAL","OTRO")))</f>
        <v>LOCAL</v>
      </c>
      <c r="AQ909" t="str">
        <f>IF(AD909="Si","SI",IF(AD909="No","NO",""))</f>
        <v>NO</v>
      </c>
      <c r="AR909" t="str">
        <f>IF(ISNUMBER(SEARCH("®",N909)),"MARCA/INNOVADOR","GENERICO")</f>
        <v>GENERICO</v>
      </c>
      <c r="AS909">
        <f ca="1">IF(AE909&gt;100,RANDBETWEEN(500,5000),IF(AND(AE909&gt;=10,AE909&lt;=100),RANDBETWEEN(100,1000),RANDBETWEEN(10,200)))</f>
        <v>91</v>
      </c>
      <c r="AT909">
        <f t="shared" ca="1" si="72"/>
        <v>23</v>
      </c>
      <c r="AU909">
        <f ca="1">INT(AS909*RANDBETWEEN(120,200)/100)</f>
        <v>173</v>
      </c>
      <c r="AV909" s="2">
        <f ca="1">IF(LEFT(Y909,1)="L",RANDBETWEEN(500000,5000000),IF(LEFT(Y909,1)="C",RANDBETWEEN(5000,50000),IF(LEFT(Y909,1)="N",RANDBETWEEN(10000,150000),IF(LEFT(Y909,1)="J",RANDBETWEEN(8000,200000),RANDBETWEEN(5000,100000)))))</f>
        <v>91778</v>
      </c>
      <c r="AW909" s="2">
        <f ca="1">INT(AV909*RANDBETWEEN(30,60)/100)</f>
        <v>46806</v>
      </c>
      <c r="AX909">
        <f ca="1">IF(Z909="ORAL",RANDBETWEEN(1000,10000),IF(OR(Z909="INTRAVENOSA",Z909="INTRAMUSCULAR"),RANDBETWEEN(100,2000),IF(OR(Z909="OFTÁLMICA",Z909="TOPICA (EXTERNA)"),RANDBETWEEN(200,3000),RANDBETWEEN(100,1500))))</f>
        <v>1439</v>
      </c>
      <c r="AY909" s="2">
        <f ca="1">INT(AV909*RANDBETWEEN(90,130)/100)</f>
        <v>108298</v>
      </c>
      <c r="AZ909" t="str">
        <f t="shared" ca="1" si="73"/>
        <v>3.1%</v>
      </c>
      <c r="BA909" t="str">
        <f t="shared" ca="1" si="74"/>
        <v>BAJO</v>
      </c>
    </row>
    <row r="910" spans="4:53" x14ac:dyDescent="0.35">
      <c r="D910" t="s">
        <v>5660</v>
      </c>
      <c r="E910" s="1">
        <v>40234</v>
      </c>
      <c r="F910" t="s">
        <v>5661</v>
      </c>
      <c r="G910" t="s">
        <v>247</v>
      </c>
      <c r="H910" t="s">
        <v>710</v>
      </c>
      <c r="I910">
        <v>20012019</v>
      </c>
      <c r="J910" t="s">
        <v>28</v>
      </c>
      <c r="K910">
        <v>1</v>
      </c>
      <c r="L910" t="s">
        <v>27</v>
      </c>
      <c r="M910" t="s">
        <v>5662</v>
      </c>
      <c r="N910" t="s">
        <v>5663</v>
      </c>
      <c r="O910" t="s">
        <v>5664</v>
      </c>
      <c r="P910" t="s">
        <v>5665</v>
      </c>
      <c r="Q910" s="1">
        <v>40141</v>
      </c>
      <c r="R910" t="s">
        <v>62</v>
      </c>
      <c r="S910" t="s">
        <v>27</v>
      </c>
      <c r="T910" t="s">
        <v>5666</v>
      </c>
      <c r="U910" t="s">
        <v>247</v>
      </c>
      <c r="V910" t="s">
        <v>1129</v>
      </c>
      <c r="W910" t="s">
        <v>433</v>
      </c>
      <c r="X910">
        <v>20012019</v>
      </c>
      <c r="Y910" t="s">
        <v>1130</v>
      </c>
      <c r="Z910" t="s">
        <v>566</v>
      </c>
      <c r="AA910" t="s">
        <v>24</v>
      </c>
      <c r="AB910" t="s">
        <v>653</v>
      </c>
      <c r="AC910" t="s">
        <v>25</v>
      </c>
      <c r="AD910" t="s">
        <v>121</v>
      </c>
      <c r="AE910">
        <v>30</v>
      </c>
      <c r="AF910" t="s">
        <v>27</v>
      </c>
      <c r="AG910" t="s">
        <v>26</v>
      </c>
      <c r="AH910" t="s">
        <v>6709</v>
      </c>
      <c r="AI910" t="str">
        <f t="shared" si="70"/>
        <v>SI</v>
      </c>
      <c r="AJ910" t="str">
        <f t="shared" si="71"/>
        <v>BELLEZA EXPRESS</v>
      </c>
      <c r="AK910" t="str">
        <f>IF(ISNUMBER(SEARCH("FABRICANTE",AC910)),"FABRICANTE",IF(ISNUMBER(SEARCH("IMPORTADOR",AC910)),"IMPORTADOR","OTRO"))</f>
        <v>FABRICANTE</v>
      </c>
      <c r="AL910" t="str">
        <f>IF(LEFT(Y910,1)="A","Sistema digestivo",IF(LEFT(Y910,1)="B","Sangre",IF(LEFT(Y910,1)="C","Cardiovascular",IF(LEFT(Y910,1)="D","Dermatológico",IF(LEFT(Y910,1)="G","Genitourinario",IF(LEFT(Y910,1)="H","Hormonal",IF(LEFT(Y910,1)="J","Antiinfecciosos",IF(LEFT(Y910,1)="L","Oncológicos",IF(LEFT(Y910,1)="M","Musculoesquelético",IF(LEFT(Y910,1)="N","Sistema nervioso",IF(LEFT(Y910,1)="R","Respiratorio",IF(LEFT(Y910,1)="S","Oftálmico",IF(LEFT(Y910,1)="V","Varios","OTRO")))))))))))))</f>
        <v>Dermatológico</v>
      </c>
      <c r="AM910" t="str">
        <f>IF(AG910="Vigente","ACTIVO",IF(ISNUMBER(SEARCH("Inactivo",J910)),"INACTIVO","REVISAR"))</f>
        <v>ACTIVO</v>
      </c>
      <c r="AN910" t="str">
        <f ca="1">IF(OR(AF910="",AF910="null"),"",ROUND((AF910-TODAY())/365.25,2))</f>
        <v/>
      </c>
      <c r="AO910" t="str">
        <f ca="1">IF(AND(AG910="Vigente",OR(AF910="",AF910="null",AF910&gt;TODAY())),"SI",IF(AND(NOT(OR(AF910="",AF910="null")),AF910&lt;=TODAY()),"NO",IF(AG910="Vigente","SI","DESCONOCIDO")))</f>
        <v>SI</v>
      </c>
      <c r="AP910" t="str">
        <f>IF(AND(ISNUMBER(SEARCH("IMPORTAR",AA910)),ISNUMBER(SEARCH("FABRICAR",AA910))),"MIXTO",IF(ISNUMBER(SEARCH("IMPORTAR",AA910)),"IMPORTADO",IF(ISNUMBER(SEARCH("FABRICAR",AA910)),"LOCAL","OTRO")))</f>
        <v>LOCAL</v>
      </c>
      <c r="AQ910" t="str">
        <f>IF(AD910="Si","SI",IF(AD910="No","NO",""))</f>
        <v>NO</v>
      </c>
      <c r="AR910" t="str">
        <f>IF(ISNUMBER(SEARCH("®",N910)),"MARCA/INNOVADOR","GENERICO")</f>
        <v>MARCA/INNOVADOR</v>
      </c>
      <c r="AS910">
        <f ca="1">IF(AE910&gt;100,RANDBETWEEN(500,5000),IF(AND(AE910&gt;=10,AE910&lt;=100),RANDBETWEEN(100,1000),RANDBETWEEN(10,200)))</f>
        <v>267</v>
      </c>
      <c r="AT910">
        <f t="shared" ca="1" si="72"/>
        <v>50</v>
      </c>
      <c r="AU910">
        <f ca="1">INT(AS910*RANDBETWEEN(120,200)/100)</f>
        <v>416</v>
      </c>
      <c r="AV910" s="2">
        <f ca="1">IF(LEFT(Y910,1)="L",RANDBETWEEN(500000,5000000),IF(LEFT(Y910,1)="C",RANDBETWEEN(5000,50000),IF(LEFT(Y910,1)="N",RANDBETWEEN(10000,150000),IF(LEFT(Y910,1)="J",RANDBETWEEN(8000,200000),RANDBETWEEN(5000,100000)))))</f>
        <v>71858</v>
      </c>
      <c r="AW910" s="2">
        <f ca="1">INT(AV910*RANDBETWEEN(30,60)/100)</f>
        <v>41677</v>
      </c>
      <c r="AX910">
        <f ca="1">IF(Z910="ORAL",RANDBETWEEN(1000,10000),IF(OR(Z910="INTRAVENOSA",Z910="INTRAMUSCULAR"),RANDBETWEEN(100,2000),IF(OR(Z910="OFTÁLMICA",Z910="TOPICA (EXTERNA)"),RANDBETWEEN(200,3000),RANDBETWEEN(100,1500))))</f>
        <v>1834</v>
      </c>
      <c r="AY910" s="2">
        <f ca="1">INT(AV910*RANDBETWEEN(90,130)/100)</f>
        <v>83355</v>
      </c>
      <c r="AZ910" t="str">
        <f t="shared" ca="1" si="73"/>
        <v>10.6%</v>
      </c>
      <c r="BA910" t="str">
        <f t="shared" ca="1" si="74"/>
        <v>BAJO</v>
      </c>
    </row>
    <row r="911" spans="4:53" x14ac:dyDescent="0.35">
      <c r="D911" t="s">
        <v>5667</v>
      </c>
      <c r="E911" s="1">
        <v>39835</v>
      </c>
      <c r="F911" t="s">
        <v>5668</v>
      </c>
      <c r="G911" t="s">
        <v>108</v>
      </c>
      <c r="H911" t="s">
        <v>503</v>
      </c>
      <c r="I911">
        <v>19993923</v>
      </c>
      <c r="J911" t="s">
        <v>28</v>
      </c>
      <c r="K911">
        <v>14</v>
      </c>
      <c r="L911" t="s">
        <v>27</v>
      </c>
      <c r="M911" t="s">
        <v>5669</v>
      </c>
      <c r="N911" t="s">
        <v>5670</v>
      </c>
      <c r="O911" t="s">
        <v>5671</v>
      </c>
      <c r="P911" t="s">
        <v>5672</v>
      </c>
      <c r="Q911" s="1">
        <v>44033</v>
      </c>
      <c r="R911" t="s">
        <v>50</v>
      </c>
      <c r="S911" t="s">
        <v>27</v>
      </c>
      <c r="T911" t="s">
        <v>508</v>
      </c>
      <c r="U911" t="s">
        <v>115</v>
      </c>
      <c r="V911" t="s">
        <v>5240</v>
      </c>
      <c r="W911">
        <v>10</v>
      </c>
      <c r="X911">
        <v>19993923</v>
      </c>
      <c r="Y911" t="s">
        <v>5241</v>
      </c>
      <c r="Z911" t="s">
        <v>213</v>
      </c>
      <c r="AA911" t="s">
        <v>24</v>
      </c>
      <c r="AB911" t="s">
        <v>120</v>
      </c>
      <c r="AC911" t="s">
        <v>25</v>
      </c>
      <c r="AD911" t="s">
        <v>121</v>
      </c>
      <c r="AE911">
        <v>50</v>
      </c>
      <c r="AF911" t="s">
        <v>27</v>
      </c>
      <c r="AG911" t="s">
        <v>26</v>
      </c>
      <c r="AH911" t="s">
        <v>5240</v>
      </c>
      <c r="AI911" t="str">
        <f t="shared" si="70"/>
        <v>SI</v>
      </c>
      <c r="AJ911" t="str">
        <f t="shared" si="71"/>
        <v>PRODUCTORA DE CAPSULAS DE GELATINA. PROCAPS</v>
      </c>
      <c r="AK911" t="str">
        <f>IF(ISNUMBER(SEARCH("FABRICANTE",AC911)),"FABRICANTE",IF(ISNUMBER(SEARCH("IMPORTADOR",AC911)),"IMPORTADOR","OTRO"))</f>
        <v>FABRICANTE</v>
      </c>
      <c r="AL911" t="str">
        <f>IF(LEFT(Y911,1)="A","Sistema digestivo",IF(LEFT(Y911,1)="B","Sangre",IF(LEFT(Y911,1)="C","Cardiovascular",IF(LEFT(Y911,1)="D","Dermatológico",IF(LEFT(Y911,1)="G","Genitourinario",IF(LEFT(Y911,1)="H","Hormonal",IF(LEFT(Y911,1)="J","Antiinfecciosos",IF(LEFT(Y911,1)="L","Oncológicos",IF(LEFT(Y911,1)="M","Musculoesquelético",IF(LEFT(Y911,1)="N","Sistema nervioso",IF(LEFT(Y911,1)="R","Respiratorio",IF(LEFT(Y911,1)="S","Oftálmico",IF(LEFT(Y911,1)="V","Varios","OTRO")))))))))))))</f>
        <v>Sistema digestivo</v>
      </c>
      <c r="AM911" t="str">
        <f>IF(AG911="Vigente","ACTIVO",IF(ISNUMBER(SEARCH("Inactivo",J911)),"INACTIVO","REVISAR"))</f>
        <v>ACTIVO</v>
      </c>
      <c r="AN911" t="str">
        <f ca="1">IF(OR(AF911="",AF911="null"),"",ROUND((AF911-TODAY())/365.25,2))</f>
        <v/>
      </c>
      <c r="AO911" t="str">
        <f ca="1">IF(AND(AG911="Vigente",OR(AF911="",AF911="null",AF911&gt;TODAY())),"SI",IF(AND(NOT(OR(AF911="",AF911="null")),AF911&lt;=TODAY()),"NO",IF(AG911="Vigente","SI","DESCONOCIDO")))</f>
        <v>SI</v>
      </c>
      <c r="AP911" t="str">
        <f>IF(AND(ISNUMBER(SEARCH("IMPORTAR",AA911)),ISNUMBER(SEARCH("FABRICAR",AA911))),"MIXTO",IF(ISNUMBER(SEARCH("IMPORTAR",AA911)),"IMPORTADO",IF(ISNUMBER(SEARCH("FABRICAR",AA911)),"LOCAL","OTRO")))</f>
        <v>LOCAL</v>
      </c>
      <c r="AQ911" t="str">
        <f>IF(AD911="Si","SI",IF(AD911="No","NO",""))</f>
        <v>NO</v>
      </c>
      <c r="AR911" t="str">
        <f>IF(ISNUMBER(SEARCH("®",N911)),"MARCA/INNOVADOR","GENERICO")</f>
        <v>GENERICO</v>
      </c>
      <c r="AS911">
        <f ca="1">IF(AE911&gt;100,RANDBETWEEN(500,5000),IF(AND(AE911&gt;=10,AE911&lt;=100),RANDBETWEEN(100,1000),RANDBETWEEN(10,200)))</f>
        <v>174</v>
      </c>
      <c r="AT911">
        <f t="shared" ca="1" si="72"/>
        <v>48</v>
      </c>
      <c r="AU911">
        <f ca="1">INT(AS911*RANDBETWEEN(120,200)/100)</f>
        <v>348</v>
      </c>
      <c r="AV911" s="2">
        <f ca="1">IF(LEFT(Y911,1)="L",RANDBETWEEN(500000,5000000),IF(LEFT(Y911,1)="C",RANDBETWEEN(5000,50000),IF(LEFT(Y911,1)="N",RANDBETWEEN(10000,150000),IF(LEFT(Y911,1)="J",RANDBETWEEN(8000,200000),RANDBETWEEN(5000,100000)))))</f>
        <v>28154</v>
      </c>
      <c r="AW911" s="2">
        <f ca="1">INT(AV911*RANDBETWEEN(30,60)/100)</f>
        <v>14640</v>
      </c>
      <c r="AX911">
        <f ca="1">IF(Z911="ORAL",RANDBETWEEN(1000,10000),IF(OR(Z911="INTRAVENOSA",Z911="INTRAMUSCULAR"),RANDBETWEEN(100,2000),IF(OR(Z911="OFTÁLMICA",Z911="TOPICA (EXTERNA)"),RANDBETWEEN(200,3000),RANDBETWEEN(100,1500))))</f>
        <v>475</v>
      </c>
      <c r="AY911" s="2">
        <f ca="1">INT(AV911*RANDBETWEEN(90,130)/100)</f>
        <v>26183</v>
      </c>
      <c r="AZ911" t="str">
        <f t="shared" ca="1" si="73"/>
        <v>7.9%</v>
      </c>
      <c r="BA911" t="str">
        <f t="shared" ca="1" si="74"/>
        <v>BAJO</v>
      </c>
    </row>
    <row r="912" spans="4:53" x14ac:dyDescent="0.35">
      <c r="D912" t="s">
        <v>5673</v>
      </c>
      <c r="E912" s="1">
        <v>42485</v>
      </c>
      <c r="F912" t="s">
        <v>522</v>
      </c>
      <c r="G912" t="s">
        <v>108</v>
      </c>
      <c r="H912" t="s">
        <v>454</v>
      </c>
      <c r="I912">
        <v>20102177</v>
      </c>
      <c r="J912" t="s">
        <v>28</v>
      </c>
      <c r="K912">
        <v>26</v>
      </c>
      <c r="L912" t="s">
        <v>5674</v>
      </c>
      <c r="M912" t="s">
        <v>5675</v>
      </c>
      <c r="N912" t="s">
        <v>5676</v>
      </c>
      <c r="O912" t="s">
        <v>5677</v>
      </c>
      <c r="P912" t="s">
        <v>659</v>
      </c>
      <c r="Q912" s="1">
        <v>44725</v>
      </c>
      <c r="R912" t="s">
        <v>527</v>
      </c>
      <c r="S912" t="s">
        <v>27</v>
      </c>
      <c r="T912" t="s">
        <v>5678</v>
      </c>
      <c r="U912" t="s">
        <v>115</v>
      </c>
      <c r="V912" t="s">
        <v>460</v>
      </c>
      <c r="W912">
        <v>500</v>
      </c>
      <c r="X912">
        <v>20102177</v>
      </c>
      <c r="Y912" t="s">
        <v>461</v>
      </c>
      <c r="Z912" t="s">
        <v>119</v>
      </c>
      <c r="AA912" t="s">
        <v>24</v>
      </c>
      <c r="AB912" t="s">
        <v>120</v>
      </c>
      <c r="AC912" t="s">
        <v>25</v>
      </c>
      <c r="AD912" t="s">
        <v>121</v>
      </c>
      <c r="AE912">
        <v>18</v>
      </c>
      <c r="AF912" t="s">
        <v>27</v>
      </c>
      <c r="AG912" t="s">
        <v>26</v>
      </c>
      <c r="AH912" t="s">
        <v>522</v>
      </c>
      <c r="AI912" t="str">
        <f t="shared" si="70"/>
        <v>NO</v>
      </c>
      <c r="AJ912" t="str">
        <f t="shared" si="71"/>
        <v>PROCTER &amp; GAMBLE COLOMBIA</v>
      </c>
      <c r="AK912" t="str">
        <f>IF(ISNUMBER(SEARCH("FABRICANTE",AC912)),"FABRICANTE",IF(ISNUMBER(SEARCH("IMPORTADOR",AC912)),"IMPORTADOR","OTRO"))</f>
        <v>FABRICANTE</v>
      </c>
      <c r="AL912" t="str">
        <f>IF(LEFT(Y912,1)="A","Sistema digestivo",IF(LEFT(Y912,1)="B","Sangre",IF(LEFT(Y912,1)="C","Cardiovascular",IF(LEFT(Y912,1)="D","Dermatológico",IF(LEFT(Y912,1)="G","Genitourinario",IF(LEFT(Y912,1)="H","Hormonal",IF(LEFT(Y912,1)="J","Antiinfecciosos",IF(LEFT(Y912,1)="L","Oncológicos",IF(LEFT(Y912,1)="M","Musculoesquelético",IF(LEFT(Y912,1)="N","Sistema nervioso",IF(LEFT(Y912,1)="R","Respiratorio",IF(LEFT(Y912,1)="S","Oftálmico",IF(LEFT(Y912,1)="V","Varios","OTRO")))))))))))))</f>
        <v>Respiratorio</v>
      </c>
      <c r="AM912" t="str">
        <f>IF(AG912="Vigente","ACTIVO",IF(ISNUMBER(SEARCH("Inactivo",J912)),"INACTIVO","REVISAR"))</f>
        <v>ACTIVO</v>
      </c>
      <c r="AN912" t="str">
        <f ca="1">IF(OR(AF912="",AF912="null"),"",ROUND((AF912-TODAY())/365.25,2))</f>
        <v/>
      </c>
      <c r="AO912" t="str">
        <f ca="1">IF(AND(AG912="Vigente",OR(AF912="",AF912="null",AF912&gt;TODAY())),"SI",IF(AND(NOT(OR(AF912="",AF912="null")),AF912&lt;=TODAY()),"NO",IF(AG912="Vigente","SI","DESCONOCIDO")))</f>
        <v>SI</v>
      </c>
      <c r="AP912" t="str">
        <f>IF(AND(ISNUMBER(SEARCH("IMPORTAR",AA912)),ISNUMBER(SEARCH("FABRICAR",AA912))),"MIXTO",IF(ISNUMBER(SEARCH("IMPORTAR",AA912)),"IMPORTADO",IF(ISNUMBER(SEARCH("FABRICAR",AA912)),"LOCAL","OTRO")))</f>
        <v>LOCAL</v>
      </c>
      <c r="AQ912" t="str">
        <f>IF(AD912="Si","SI",IF(AD912="No","NO",""))</f>
        <v>NO</v>
      </c>
      <c r="AR912" t="str">
        <f>IF(ISNUMBER(SEARCH("®",N912)),"MARCA/INNOVADOR","GENERICO")</f>
        <v>MARCA/INNOVADOR</v>
      </c>
      <c r="AS912">
        <f ca="1">IF(AE912&gt;100,RANDBETWEEN(500,5000),IF(AND(AE912&gt;=10,AE912&lt;=100),RANDBETWEEN(100,1000),RANDBETWEEN(10,200)))</f>
        <v>966</v>
      </c>
      <c r="AT912">
        <f t="shared" ca="1" si="72"/>
        <v>115</v>
      </c>
      <c r="AU912">
        <f ca="1">INT(AS912*RANDBETWEEN(120,200)/100)</f>
        <v>1333</v>
      </c>
      <c r="AV912" s="2">
        <f ca="1">IF(LEFT(Y912,1)="L",RANDBETWEEN(500000,5000000),IF(LEFT(Y912,1)="C",RANDBETWEEN(5000,50000),IF(LEFT(Y912,1)="N",RANDBETWEEN(10000,150000),IF(LEFT(Y912,1)="J",RANDBETWEEN(8000,200000),RANDBETWEEN(5000,100000)))))</f>
        <v>62810</v>
      </c>
      <c r="AW912" s="2">
        <f ca="1">INT(AV912*RANDBETWEEN(30,60)/100)</f>
        <v>32661</v>
      </c>
      <c r="AX912">
        <f ca="1">IF(Z912="ORAL",RANDBETWEEN(1000,10000),IF(OR(Z912="INTRAVENOSA",Z912="INTRAMUSCULAR"),RANDBETWEEN(100,2000),IF(OR(Z912="OFTÁLMICA",Z912="TOPICA (EXTERNA)"),RANDBETWEEN(200,3000),RANDBETWEEN(100,1500))))</f>
        <v>2538</v>
      </c>
      <c r="AY912" s="2">
        <f ca="1">INT(AV912*RANDBETWEEN(90,130)/100)</f>
        <v>74115</v>
      </c>
      <c r="AZ912" t="str">
        <f t="shared" ca="1" si="73"/>
        <v>12.3%</v>
      </c>
      <c r="BA912" t="str">
        <f t="shared" ca="1" si="74"/>
        <v>BAJO</v>
      </c>
    </row>
    <row r="913" spans="4:53" x14ac:dyDescent="0.35">
      <c r="D913" t="s">
        <v>5679</v>
      </c>
      <c r="E913" s="1">
        <v>45761</v>
      </c>
      <c r="F913" t="s">
        <v>5680</v>
      </c>
      <c r="G913" t="s">
        <v>108</v>
      </c>
      <c r="H913" t="s">
        <v>5681</v>
      </c>
      <c r="I913">
        <v>20232108</v>
      </c>
      <c r="J913" t="s">
        <v>28</v>
      </c>
      <c r="K913">
        <v>7</v>
      </c>
      <c r="L913" t="s">
        <v>27</v>
      </c>
      <c r="M913" t="s">
        <v>5682</v>
      </c>
      <c r="N913" t="s">
        <v>5683</v>
      </c>
      <c r="O913" t="s">
        <v>5684</v>
      </c>
      <c r="P913" t="s">
        <v>181</v>
      </c>
      <c r="Q913" s="1">
        <v>45742</v>
      </c>
      <c r="R913" t="s">
        <v>37</v>
      </c>
      <c r="S913" t="s">
        <v>27</v>
      </c>
      <c r="T913" t="s">
        <v>677</v>
      </c>
      <c r="U913" t="s">
        <v>115</v>
      </c>
      <c r="V913" t="s">
        <v>5680</v>
      </c>
      <c r="W913">
        <v>80</v>
      </c>
      <c r="X913">
        <v>20232108</v>
      </c>
      <c r="Y913" t="s">
        <v>5685</v>
      </c>
      <c r="Z913" t="s">
        <v>119</v>
      </c>
      <c r="AA913" t="s">
        <v>32</v>
      </c>
      <c r="AB913" t="s">
        <v>120</v>
      </c>
      <c r="AC913" t="s">
        <v>25</v>
      </c>
      <c r="AD913" t="s">
        <v>155</v>
      </c>
      <c r="AE913">
        <v>30</v>
      </c>
      <c r="AF913" s="1">
        <v>47603</v>
      </c>
      <c r="AG913" t="s">
        <v>26</v>
      </c>
      <c r="AH913" t="s">
        <v>5680</v>
      </c>
      <c r="AI913" t="str">
        <f t="shared" si="70"/>
        <v>NO</v>
      </c>
      <c r="AJ913" t="str">
        <f t="shared" si="71"/>
        <v>ELI LILLY AND COMPANY</v>
      </c>
      <c r="AK913" t="str">
        <f>IF(ISNUMBER(SEARCH("FABRICANTE",AC913)),"FABRICANTE",IF(ISNUMBER(SEARCH("IMPORTADOR",AC913)),"IMPORTADOR","OTRO"))</f>
        <v>FABRICANTE</v>
      </c>
      <c r="AL913" t="str">
        <f>IF(LEFT(Y913,1)="A","Sistema digestivo",IF(LEFT(Y913,1)="B","Sangre",IF(LEFT(Y913,1)="C","Cardiovascular",IF(LEFT(Y913,1)="D","Dermatológico",IF(LEFT(Y913,1)="G","Genitourinario",IF(LEFT(Y913,1)="H","Hormonal",IF(LEFT(Y913,1)="J","Antiinfecciosos",IF(LEFT(Y913,1)="L","Oncológicos",IF(LEFT(Y913,1)="M","Musculoesquelético",IF(LEFT(Y913,1)="N","Sistema nervioso",IF(LEFT(Y913,1)="R","Respiratorio",IF(LEFT(Y913,1)="S","Oftálmico",IF(LEFT(Y913,1)="V","Varios","OTRO")))))))))))))</f>
        <v>Oncológicos</v>
      </c>
      <c r="AM913" t="str">
        <f>IF(AG913="Vigente","ACTIVO",IF(ISNUMBER(SEARCH("Inactivo",J913)),"INACTIVO","REVISAR"))</f>
        <v>ACTIVO</v>
      </c>
      <c r="AN913">
        <f ca="1">IF(OR(AF913="",AF913="null"),"",ROUND((AF913-TODAY())/365.25,2))</f>
        <v>3.93</v>
      </c>
      <c r="AO913" t="str">
        <f ca="1">IF(AND(AG913="Vigente",OR(AF913="",AF913="null",AF913&gt;TODAY())),"SI",IF(AND(NOT(OR(AF913="",AF913="null")),AF913&lt;=TODAY()),"NO",IF(AG913="Vigente","SI","DESCONOCIDO")))</f>
        <v>SI</v>
      </c>
      <c r="AP913" t="str">
        <f>IF(AND(ISNUMBER(SEARCH("IMPORTAR",AA913)),ISNUMBER(SEARCH("FABRICAR",AA913))),"MIXTO",IF(ISNUMBER(SEARCH("IMPORTAR",AA913)),"IMPORTADO",IF(ISNUMBER(SEARCH("FABRICAR",AA913)),"LOCAL","OTRO")))</f>
        <v>IMPORTADO</v>
      </c>
      <c r="AQ913" t="str">
        <f>IF(AD913="Si","SI",IF(AD913="No","NO",""))</f>
        <v>SI</v>
      </c>
      <c r="AR913" t="str">
        <f>IF(ISNUMBER(SEARCH("®",N913)),"MARCA/INNOVADOR","GENERICO")</f>
        <v>MARCA/INNOVADOR</v>
      </c>
      <c r="AS913">
        <f ca="1">IF(AE913&gt;100,RANDBETWEEN(500,5000),IF(AND(AE913&gt;=10,AE913&lt;=100),RANDBETWEEN(100,1000),RANDBETWEEN(10,200)))</f>
        <v>309</v>
      </c>
      <c r="AT913">
        <f t="shared" ca="1" si="72"/>
        <v>89</v>
      </c>
      <c r="AU913">
        <f ca="1">INT(AS913*RANDBETWEEN(120,200)/100)</f>
        <v>475</v>
      </c>
      <c r="AV913" s="2">
        <f ca="1">IF(LEFT(Y913,1)="L",RANDBETWEEN(500000,5000000),IF(LEFT(Y913,1)="C",RANDBETWEEN(5000,50000),IF(LEFT(Y913,1)="N",RANDBETWEEN(10000,150000),IF(LEFT(Y913,1)="J",RANDBETWEEN(8000,200000),RANDBETWEEN(5000,100000)))))</f>
        <v>1473752</v>
      </c>
      <c r="AW913" s="2">
        <f ca="1">INT(AV913*RANDBETWEEN(30,60)/100)</f>
        <v>618975</v>
      </c>
      <c r="AX913">
        <f ca="1">IF(Z913="ORAL",RANDBETWEEN(1000,10000),IF(OR(Z913="INTRAVENOSA",Z913="INTRAMUSCULAR"),RANDBETWEEN(100,2000),IF(OR(Z913="OFTÁLMICA",Z913="TOPICA (EXTERNA)"),RANDBETWEEN(200,3000),RANDBETWEEN(100,1500))))</f>
        <v>3126</v>
      </c>
      <c r="AY913" s="2">
        <f ca="1">INT(AV913*RANDBETWEEN(90,130)/100)</f>
        <v>1783239</v>
      </c>
      <c r="AZ913" t="str">
        <f t="shared" ca="1" si="73"/>
        <v>9.6%</v>
      </c>
      <c r="BA913" t="str">
        <f t="shared" ca="1" si="74"/>
        <v>MEDIO</v>
      </c>
    </row>
    <row r="914" spans="4:53" x14ac:dyDescent="0.35">
      <c r="D914" t="s">
        <v>5686</v>
      </c>
      <c r="E914" s="1">
        <v>37852</v>
      </c>
      <c r="F914" t="s">
        <v>5687</v>
      </c>
      <c r="G914" t="s">
        <v>502</v>
      </c>
      <c r="H914" t="s">
        <v>1325</v>
      </c>
      <c r="I914">
        <v>19933606</v>
      </c>
      <c r="J914" t="s">
        <v>28</v>
      </c>
      <c r="K914">
        <v>4</v>
      </c>
      <c r="L914" t="s">
        <v>27</v>
      </c>
      <c r="M914" t="s">
        <v>3022</v>
      </c>
      <c r="N914" t="s">
        <v>3023</v>
      </c>
      <c r="O914" t="s">
        <v>3024</v>
      </c>
      <c r="P914" t="s">
        <v>257</v>
      </c>
      <c r="Q914" s="1">
        <v>41053</v>
      </c>
      <c r="R914" t="s">
        <v>50</v>
      </c>
      <c r="S914" t="s">
        <v>27</v>
      </c>
      <c r="T914" t="s">
        <v>3025</v>
      </c>
      <c r="U914" t="s">
        <v>247</v>
      </c>
      <c r="V914" t="s">
        <v>554</v>
      </c>
      <c r="W914">
        <v>9</v>
      </c>
      <c r="X914">
        <v>19933606</v>
      </c>
      <c r="Y914" t="s">
        <v>556</v>
      </c>
      <c r="Z914" t="s">
        <v>260</v>
      </c>
      <c r="AA914" t="s">
        <v>32</v>
      </c>
      <c r="AB914" t="s">
        <v>120</v>
      </c>
      <c r="AC914" t="s">
        <v>38</v>
      </c>
      <c r="AD914" t="s">
        <v>121</v>
      </c>
      <c r="AE914">
        <v>1000</v>
      </c>
      <c r="AF914" t="s">
        <v>27</v>
      </c>
      <c r="AG914" t="s">
        <v>26</v>
      </c>
      <c r="AH914" t="s">
        <v>6710</v>
      </c>
      <c r="AI914" t="str">
        <f t="shared" si="70"/>
        <v>NO</v>
      </c>
      <c r="AJ914" t="str">
        <f t="shared" si="71"/>
        <v>FRESENIUS KABI DEUTSCHLAND</v>
      </c>
      <c r="AK914" t="str">
        <f>IF(ISNUMBER(SEARCH("FABRICANTE",AC914)),"FABRICANTE",IF(ISNUMBER(SEARCH("IMPORTADOR",AC914)),"IMPORTADOR","OTRO"))</f>
        <v>IMPORTADOR</v>
      </c>
      <c r="AL914" t="str">
        <f>IF(LEFT(Y914,1)="A","Sistema digestivo",IF(LEFT(Y914,1)="B","Sangre",IF(LEFT(Y914,1)="C","Cardiovascular",IF(LEFT(Y914,1)="D","Dermatológico",IF(LEFT(Y914,1)="G","Genitourinario",IF(LEFT(Y914,1)="H","Hormonal",IF(LEFT(Y914,1)="J","Antiinfecciosos",IF(LEFT(Y914,1)="L","Oncológicos",IF(LEFT(Y914,1)="M","Musculoesquelético",IF(LEFT(Y914,1)="N","Sistema nervioso",IF(LEFT(Y914,1)="R","Respiratorio",IF(LEFT(Y914,1)="S","Oftálmico",IF(LEFT(Y914,1)="V","Varios","OTRO")))))))))))))</f>
        <v>Sangre</v>
      </c>
      <c r="AM914" t="str">
        <f>IF(AG914="Vigente","ACTIVO",IF(ISNUMBER(SEARCH("Inactivo",J914)),"INACTIVO","REVISAR"))</f>
        <v>ACTIVO</v>
      </c>
      <c r="AN914" t="str">
        <f ca="1">IF(OR(AF914="",AF914="null"),"",ROUND((AF914-TODAY())/365.25,2))</f>
        <v/>
      </c>
      <c r="AO914" t="str">
        <f ca="1">IF(AND(AG914="Vigente",OR(AF914="",AF914="null",AF914&gt;TODAY())),"SI",IF(AND(NOT(OR(AF914="",AF914="null")),AF914&lt;=TODAY()),"NO",IF(AG914="Vigente","SI","DESCONOCIDO")))</f>
        <v>SI</v>
      </c>
      <c r="AP914" t="str">
        <f>IF(AND(ISNUMBER(SEARCH("IMPORTAR",AA914)),ISNUMBER(SEARCH("FABRICAR",AA914))),"MIXTO",IF(ISNUMBER(SEARCH("IMPORTAR",AA914)),"IMPORTADO",IF(ISNUMBER(SEARCH("FABRICAR",AA914)),"LOCAL","OTRO")))</f>
        <v>IMPORTADO</v>
      </c>
      <c r="AQ914" t="str">
        <f>IF(AD914="Si","SI",IF(AD914="No","NO",""))</f>
        <v>NO</v>
      </c>
      <c r="AR914" t="str">
        <f>IF(ISNUMBER(SEARCH("®",N914)),"MARCA/INNOVADOR","GENERICO")</f>
        <v>GENERICO</v>
      </c>
      <c r="AS914">
        <f ca="1">IF(AE914&gt;100,RANDBETWEEN(500,5000),IF(AND(AE914&gt;=10,AE914&lt;=100),RANDBETWEEN(100,1000),RANDBETWEEN(10,200)))</f>
        <v>2196</v>
      </c>
      <c r="AT914">
        <f t="shared" ca="1" si="72"/>
        <v>505</v>
      </c>
      <c r="AU914">
        <f ca="1">INT(AS914*RANDBETWEEN(120,200)/100)</f>
        <v>2679</v>
      </c>
      <c r="AV914" s="2">
        <f ca="1">IF(LEFT(Y914,1)="L",RANDBETWEEN(500000,5000000),IF(LEFT(Y914,1)="C",RANDBETWEEN(5000,50000),IF(LEFT(Y914,1)="N",RANDBETWEEN(10000,150000),IF(LEFT(Y914,1)="J",RANDBETWEEN(8000,200000),RANDBETWEEN(5000,100000)))))</f>
        <v>45164</v>
      </c>
      <c r="AW914" s="2">
        <f ca="1">INT(AV914*RANDBETWEEN(30,60)/100)</f>
        <v>25291</v>
      </c>
      <c r="AX914">
        <f ca="1">IF(Z914="ORAL",RANDBETWEEN(1000,10000),IF(OR(Z914="INTRAVENOSA",Z914="INTRAMUSCULAR"),RANDBETWEEN(100,2000),IF(OR(Z914="OFTÁLMICA",Z914="TOPICA (EXTERNA)"),RANDBETWEEN(200,3000),RANDBETWEEN(100,1500))))</f>
        <v>395</v>
      </c>
      <c r="AY914" s="2">
        <f ca="1">INT(AV914*RANDBETWEEN(90,130)/100)</f>
        <v>54196</v>
      </c>
      <c r="AZ914" t="str">
        <f t="shared" ca="1" si="73"/>
        <v>4.4%</v>
      </c>
      <c r="BA914" t="str">
        <f t="shared" ca="1" si="74"/>
        <v>BAJO</v>
      </c>
    </row>
    <row r="915" spans="4:53" x14ac:dyDescent="0.35">
      <c r="D915" t="s">
        <v>5688</v>
      </c>
      <c r="E915" s="1">
        <v>37424</v>
      </c>
      <c r="F915" t="s">
        <v>5689</v>
      </c>
      <c r="G915" t="s">
        <v>502</v>
      </c>
      <c r="H915" t="s">
        <v>2424</v>
      </c>
      <c r="I915">
        <v>19929371</v>
      </c>
      <c r="J915" t="s">
        <v>110</v>
      </c>
      <c r="K915">
        <v>12</v>
      </c>
      <c r="L915" t="s">
        <v>27</v>
      </c>
      <c r="M915" t="s">
        <v>5690</v>
      </c>
      <c r="N915" t="s">
        <v>5691</v>
      </c>
      <c r="O915" t="s">
        <v>5692</v>
      </c>
      <c r="P915" t="s">
        <v>2428</v>
      </c>
      <c r="Q915" s="1">
        <v>40963</v>
      </c>
      <c r="R915" t="s">
        <v>50</v>
      </c>
      <c r="S915" s="1">
        <v>41177</v>
      </c>
      <c r="T915" t="s">
        <v>2424</v>
      </c>
      <c r="U915" t="s">
        <v>115</v>
      </c>
      <c r="V915" t="s">
        <v>2321</v>
      </c>
      <c r="W915">
        <v>20</v>
      </c>
      <c r="X915">
        <v>19929371</v>
      </c>
      <c r="Y915" t="s">
        <v>2322</v>
      </c>
      <c r="Z915" t="s">
        <v>132</v>
      </c>
      <c r="AA915" t="s">
        <v>24</v>
      </c>
      <c r="AB915" t="s">
        <v>120</v>
      </c>
      <c r="AC915" t="s">
        <v>25</v>
      </c>
      <c r="AD915" t="s">
        <v>121</v>
      </c>
      <c r="AE915">
        <v>72</v>
      </c>
      <c r="AF915" t="s">
        <v>27</v>
      </c>
      <c r="AG915" t="s">
        <v>26</v>
      </c>
      <c r="AH915" t="s">
        <v>5689</v>
      </c>
      <c r="AI915" t="str">
        <f t="shared" si="70"/>
        <v>NO</v>
      </c>
      <c r="AJ915" t="str">
        <f t="shared" si="71"/>
        <v>PRODUCTORA Y COMERCIALIZADORA ODONTOLOGICANEW STETIC</v>
      </c>
      <c r="AK915" t="str">
        <f>IF(ISNUMBER(SEARCH("FABRICANTE",AC915)),"FABRICANTE",IF(ISNUMBER(SEARCH("IMPORTADOR",AC915)),"IMPORTADOR","OTRO"))</f>
        <v>FABRICANTE</v>
      </c>
      <c r="AL915" t="str">
        <f>IF(LEFT(Y915,1)="A","Sistema digestivo",IF(LEFT(Y915,1)="B","Sangre",IF(LEFT(Y915,1)="C","Cardiovascular",IF(LEFT(Y915,1)="D","Dermatológico",IF(LEFT(Y915,1)="G","Genitourinario",IF(LEFT(Y915,1)="H","Hormonal",IF(LEFT(Y915,1)="J","Antiinfecciosos",IF(LEFT(Y915,1)="L","Oncológicos",IF(LEFT(Y915,1)="M","Musculoesquelético",IF(LEFT(Y915,1)="N","Sistema nervioso",IF(LEFT(Y915,1)="R","Respiratorio",IF(LEFT(Y915,1)="S","Oftálmico",IF(LEFT(Y915,1)="V","Varios","OTRO")))))))))))))</f>
        <v>Sistema nervioso</v>
      </c>
      <c r="AM915" t="str">
        <f>IF(AG915="Vigente","ACTIVO",IF(ISNUMBER(SEARCH("Inactivo",J915)),"INACTIVO","REVISAR"))</f>
        <v>ACTIVO</v>
      </c>
      <c r="AN915" t="str">
        <f ca="1">IF(OR(AF915="",AF915="null"),"",ROUND((AF915-TODAY())/365.25,2))</f>
        <v/>
      </c>
      <c r="AO915" t="str">
        <f ca="1">IF(AND(AG915="Vigente",OR(AF915="",AF915="null",AF915&gt;TODAY())),"SI",IF(AND(NOT(OR(AF915="",AF915="null")),AF915&lt;=TODAY()),"NO",IF(AG915="Vigente","SI","DESCONOCIDO")))</f>
        <v>SI</v>
      </c>
      <c r="AP915" t="str">
        <f>IF(AND(ISNUMBER(SEARCH("IMPORTAR",AA915)),ISNUMBER(SEARCH("FABRICAR",AA915))),"MIXTO",IF(ISNUMBER(SEARCH("IMPORTAR",AA915)),"IMPORTADO",IF(ISNUMBER(SEARCH("FABRICAR",AA915)),"LOCAL","OTRO")))</f>
        <v>LOCAL</v>
      </c>
      <c r="AQ915" t="str">
        <f>IF(AD915="Si","SI",IF(AD915="No","NO",""))</f>
        <v>NO</v>
      </c>
      <c r="AR915" t="str">
        <f>IF(ISNUMBER(SEARCH("®",N915)),"MARCA/INNOVADOR","GENERICO")</f>
        <v>GENERICO</v>
      </c>
      <c r="AS915">
        <f ca="1">IF(AE915&gt;100,RANDBETWEEN(500,5000),IF(AND(AE915&gt;=10,AE915&lt;=100),RANDBETWEEN(100,1000),RANDBETWEEN(10,200)))</f>
        <v>626</v>
      </c>
      <c r="AT915">
        <f t="shared" ca="1" si="72"/>
        <v>143</v>
      </c>
      <c r="AU915">
        <f ca="1">INT(AS915*RANDBETWEEN(120,200)/100)</f>
        <v>1026</v>
      </c>
      <c r="AV915" s="2">
        <f ca="1">IF(LEFT(Y915,1)="L",RANDBETWEEN(500000,5000000),IF(LEFT(Y915,1)="C",RANDBETWEEN(5000,50000),IF(LEFT(Y915,1)="N",RANDBETWEEN(10000,150000),IF(LEFT(Y915,1)="J",RANDBETWEEN(8000,200000),RANDBETWEEN(5000,100000)))))</f>
        <v>91813</v>
      </c>
      <c r="AW915" s="2">
        <f ca="1">INT(AV915*RANDBETWEEN(30,60)/100)</f>
        <v>31216</v>
      </c>
      <c r="AX915">
        <f ca="1">IF(Z915="ORAL",RANDBETWEEN(1000,10000),IF(OR(Z915="INTRAVENOSA",Z915="INTRAMUSCULAR"),RANDBETWEEN(100,2000),IF(OR(Z915="OFTÁLMICA",Z915="TOPICA (EXTERNA)"),RANDBETWEEN(200,3000),RANDBETWEEN(100,1500))))</f>
        <v>987</v>
      </c>
      <c r="AY915" s="2">
        <f ca="1">INT(AV915*RANDBETWEEN(90,130)/100)</f>
        <v>105584</v>
      </c>
      <c r="AZ915" t="str">
        <f t="shared" ca="1" si="73"/>
        <v>1.7%</v>
      </c>
      <c r="BA915" t="str">
        <f t="shared" ca="1" si="74"/>
        <v>ALTO</v>
      </c>
    </row>
    <row r="916" spans="4:53" x14ac:dyDescent="0.35">
      <c r="D916" t="s">
        <v>5693</v>
      </c>
      <c r="E916" s="1">
        <v>45443</v>
      </c>
      <c r="F916" t="s">
        <v>5694</v>
      </c>
      <c r="G916" t="s">
        <v>108</v>
      </c>
      <c r="H916" t="s">
        <v>308</v>
      </c>
      <c r="I916">
        <v>20188837</v>
      </c>
      <c r="J916" t="s">
        <v>28</v>
      </c>
      <c r="K916">
        <v>2</v>
      </c>
      <c r="L916" t="s">
        <v>5695</v>
      </c>
      <c r="M916" t="s">
        <v>5696</v>
      </c>
      <c r="N916" t="s">
        <v>5697</v>
      </c>
      <c r="O916" t="s">
        <v>5698</v>
      </c>
      <c r="P916" t="s">
        <v>5699</v>
      </c>
      <c r="Q916" s="1">
        <v>45440</v>
      </c>
      <c r="R916" t="s">
        <v>527</v>
      </c>
      <c r="S916" t="s">
        <v>27</v>
      </c>
      <c r="T916" t="s">
        <v>5700</v>
      </c>
      <c r="U916" t="s">
        <v>115</v>
      </c>
      <c r="V916" t="s">
        <v>1272</v>
      </c>
      <c r="W916">
        <v>300</v>
      </c>
      <c r="X916">
        <v>20188837</v>
      </c>
      <c r="Y916" t="s">
        <v>1273</v>
      </c>
      <c r="Z916" t="s">
        <v>119</v>
      </c>
      <c r="AA916" t="s">
        <v>32</v>
      </c>
      <c r="AB916" t="s">
        <v>120</v>
      </c>
      <c r="AC916" t="s">
        <v>38</v>
      </c>
      <c r="AD916" t="s">
        <v>121</v>
      </c>
      <c r="AE916">
        <v>20</v>
      </c>
      <c r="AF916" s="1">
        <v>401769</v>
      </c>
      <c r="AG916" t="s">
        <v>26</v>
      </c>
      <c r="AH916" t="s">
        <v>6842</v>
      </c>
      <c r="AI916" t="str">
        <f t="shared" si="70"/>
        <v>NO</v>
      </c>
      <c r="AJ916" t="str">
        <f t="shared" si="71"/>
        <v>TECNOFARMA DE C.V</v>
      </c>
      <c r="AK916" t="str">
        <f>IF(ISNUMBER(SEARCH("FABRICANTE",AC916)),"FABRICANTE",IF(ISNUMBER(SEARCH("IMPORTADOR",AC916)),"IMPORTADOR","OTRO"))</f>
        <v>IMPORTADOR</v>
      </c>
      <c r="AL916" t="str">
        <f>IF(LEFT(Y916,1)="A","Sistema digestivo",IF(LEFT(Y916,1)="B","Sangre",IF(LEFT(Y916,1)="C","Cardiovascular",IF(LEFT(Y916,1)="D","Dermatológico",IF(LEFT(Y916,1)="G","Genitourinario",IF(LEFT(Y916,1)="H","Hormonal",IF(LEFT(Y916,1)="J","Antiinfecciosos",IF(LEFT(Y916,1)="L","Oncológicos",IF(LEFT(Y916,1)="M","Musculoesquelético",IF(LEFT(Y916,1)="N","Sistema nervioso",IF(LEFT(Y916,1)="R","Respiratorio",IF(LEFT(Y916,1)="S","Oftálmico",IF(LEFT(Y916,1)="V","Varios","OTRO")))))))))))))</f>
        <v>Sistema digestivo</v>
      </c>
      <c r="AM916" t="str">
        <f>IF(AG916="Vigente","ACTIVO",IF(ISNUMBER(SEARCH("Inactivo",J916)),"INACTIVO","REVISAR"))</f>
        <v>ACTIVO</v>
      </c>
      <c r="AN916">
        <f ca="1">IF(OR(AF916="",AF916="null"),"",ROUND((AF916-TODAY())/365.25,2))</f>
        <v>973.58</v>
      </c>
      <c r="AO916" t="str">
        <f ca="1">IF(AND(AG916="Vigente",OR(AF916="",AF916="null",AF916&gt;TODAY())),"SI",IF(AND(NOT(OR(AF916="",AF916="null")),AF916&lt;=TODAY()),"NO",IF(AG916="Vigente","SI","DESCONOCIDO")))</f>
        <v>SI</v>
      </c>
      <c r="AP916" t="str">
        <f>IF(AND(ISNUMBER(SEARCH("IMPORTAR",AA916)),ISNUMBER(SEARCH("FABRICAR",AA916))),"MIXTO",IF(ISNUMBER(SEARCH("IMPORTAR",AA916)),"IMPORTADO",IF(ISNUMBER(SEARCH("FABRICAR",AA916)),"LOCAL","OTRO")))</f>
        <v>IMPORTADO</v>
      </c>
      <c r="AQ916" t="str">
        <f>IF(AD916="Si","SI",IF(AD916="No","NO",""))</f>
        <v>NO</v>
      </c>
      <c r="AR916" t="str">
        <f>IF(ISNUMBER(SEARCH("®",N916)),"MARCA/INNOVADOR","GENERICO")</f>
        <v>MARCA/INNOVADOR</v>
      </c>
      <c r="AS916">
        <f ca="1">IF(AE916&gt;100,RANDBETWEEN(500,5000),IF(AND(AE916&gt;=10,AE916&lt;=100),RANDBETWEEN(100,1000),RANDBETWEEN(10,200)))</f>
        <v>380</v>
      </c>
      <c r="AT916">
        <f t="shared" ca="1" si="72"/>
        <v>79</v>
      </c>
      <c r="AU916">
        <f ca="1">INT(AS916*RANDBETWEEN(120,200)/100)</f>
        <v>459</v>
      </c>
      <c r="AV916" s="2">
        <f ca="1">IF(LEFT(Y916,1)="L",RANDBETWEEN(500000,5000000),IF(LEFT(Y916,1)="C",RANDBETWEEN(5000,50000),IF(LEFT(Y916,1)="N",RANDBETWEEN(10000,150000),IF(LEFT(Y916,1)="J",RANDBETWEEN(8000,200000),RANDBETWEEN(5000,100000)))))</f>
        <v>86417</v>
      </c>
      <c r="AW916" s="2">
        <f ca="1">INT(AV916*RANDBETWEEN(30,60)/100)</f>
        <v>30245</v>
      </c>
      <c r="AX916">
        <f ca="1">IF(Z916="ORAL",RANDBETWEEN(1000,10000),IF(OR(Z916="INTRAVENOSA",Z916="INTRAMUSCULAR"),RANDBETWEEN(100,2000),IF(OR(Z916="OFTÁLMICA",Z916="TOPICA (EXTERNA)"),RANDBETWEEN(200,3000),RANDBETWEEN(100,1500))))</f>
        <v>3391</v>
      </c>
      <c r="AY916" s="2">
        <f ca="1">INT(AV916*RANDBETWEEN(90,130)/100)</f>
        <v>111477</v>
      </c>
      <c r="AZ916" t="str">
        <f t="shared" ca="1" si="73"/>
        <v>5.6%</v>
      </c>
      <c r="BA916" t="str">
        <f t="shared" ca="1" si="74"/>
        <v>BAJO</v>
      </c>
    </row>
    <row r="917" spans="4:53" x14ac:dyDescent="0.35">
      <c r="D917" t="s">
        <v>5701</v>
      </c>
      <c r="E917" s="1">
        <v>42548</v>
      </c>
      <c r="F917" t="s">
        <v>966</v>
      </c>
      <c r="G917" t="s">
        <v>108</v>
      </c>
      <c r="H917" t="s">
        <v>2071</v>
      </c>
      <c r="I917">
        <v>20090411</v>
      </c>
      <c r="J917" t="s">
        <v>28</v>
      </c>
      <c r="K917">
        <v>20</v>
      </c>
      <c r="L917" t="s">
        <v>27</v>
      </c>
      <c r="M917" t="s">
        <v>5702</v>
      </c>
      <c r="N917" t="s">
        <v>5703</v>
      </c>
      <c r="O917" t="s">
        <v>5704</v>
      </c>
      <c r="P917" t="s">
        <v>866</v>
      </c>
      <c r="Q917" s="1">
        <v>42160</v>
      </c>
      <c r="R917" t="s">
        <v>396</v>
      </c>
      <c r="S917" t="s">
        <v>27</v>
      </c>
      <c r="T917" t="s">
        <v>172</v>
      </c>
      <c r="U917" t="s">
        <v>115</v>
      </c>
      <c r="V917" t="s">
        <v>973</v>
      </c>
      <c r="W917">
        <v>20</v>
      </c>
      <c r="X917">
        <v>20090411</v>
      </c>
      <c r="Y917" t="s">
        <v>974</v>
      </c>
      <c r="Z917" t="s">
        <v>119</v>
      </c>
      <c r="AA917" t="s">
        <v>24</v>
      </c>
      <c r="AB917" t="s">
        <v>120</v>
      </c>
      <c r="AC917" t="s">
        <v>25</v>
      </c>
      <c r="AD917" t="s">
        <v>121</v>
      </c>
      <c r="AE917">
        <v>20</v>
      </c>
      <c r="AF917" t="s">
        <v>27</v>
      </c>
      <c r="AG917" t="s">
        <v>26</v>
      </c>
      <c r="AH917" t="s">
        <v>966</v>
      </c>
      <c r="AI917" t="str">
        <f t="shared" si="70"/>
        <v>NO</v>
      </c>
      <c r="AJ917" t="str">
        <f t="shared" si="71"/>
        <v>NOVAMED</v>
      </c>
      <c r="AK917" t="str">
        <f>IF(ISNUMBER(SEARCH("FABRICANTE",AC917)),"FABRICANTE",IF(ISNUMBER(SEARCH("IMPORTADOR",AC917)),"IMPORTADOR","OTRO"))</f>
        <v>FABRICANTE</v>
      </c>
      <c r="AL917" t="str">
        <f>IF(LEFT(Y917,1)="A","Sistema digestivo",IF(LEFT(Y917,1)="B","Sangre",IF(LEFT(Y917,1)="C","Cardiovascular",IF(LEFT(Y917,1)="D","Dermatológico",IF(LEFT(Y917,1)="G","Genitourinario",IF(LEFT(Y917,1)="H","Hormonal",IF(LEFT(Y917,1)="J","Antiinfecciosos",IF(LEFT(Y917,1)="L","Oncológicos",IF(LEFT(Y917,1)="M","Musculoesquelético",IF(LEFT(Y917,1)="N","Sistema nervioso",IF(LEFT(Y917,1)="R","Respiratorio",IF(LEFT(Y917,1)="S","Oftálmico",IF(LEFT(Y917,1)="V","Varios","OTRO")))))))))))))</f>
        <v>Respiratorio</v>
      </c>
      <c r="AM917" t="str">
        <f>IF(AG917="Vigente","ACTIVO",IF(ISNUMBER(SEARCH("Inactivo",J917)),"INACTIVO","REVISAR"))</f>
        <v>ACTIVO</v>
      </c>
      <c r="AN917" t="str">
        <f ca="1">IF(OR(AF917="",AF917="null"),"",ROUND((AF917-TODAY())/365.25,2))</f>
        <v/>
      </c>
      <c r="AO917" t="str">
        <f ca="1">IF(AND(AG917="Vigente",OR(AF917="",AF917="null",AF917&gt;TODAY())),"SI",IF(AND(NOT(OR(AF917="",AF917="null")),AF917&lt;=TODAY()),"NO",IF(AG917="Vigente","SI","DESCONOCIDO")))</f>
        <v>SI</v>
      </c>
      <c r="AP917" t="str">
        <f>IF(AND(ISNUMBER(SEARCH("IMPORTAR",AA917)),ISNUMBER(SEARCH("FABRICAR",AA917))),"MIXTO",IF(ISNUMBER(SEARCH("IMPORTAR",AA917)),"IMPORTADO",IF(ISNUMBER(SEARCH("FABRICAR",AA917)),"LOCAL","OTRO")))</f>
        <v>LOCAL</v>
      </c>
      <c r="AQ917" t="str">
        <f>IF(AD917="Si","SI",IF(AD917="No","NO",""))</f>
        <v>NO</v>
      </c>
      <c r="AR917" t="str">
        <f>IF(ISNUMBER(SEARCH("®",N917)),"MARCA/INNOVADOR","GENERICO")</f>
        <v>GENERICO</v>
      </c>
      <c r="AS917">
        <f ca="1">IF(AE917&gt;100,RANDBETWEEN(500,5000),IF(AND(AE917&gt;=10,AE917&lt;=100),RANDBETWEEN(100,1000),RANDBETWEEN(10,200)))</f>
        <v>828</v>
      </c>
      <c r="AT917">
        <f t="shared" ca="1" si="72"/>
        <v>91</v>
      </c>
      <c r="AU917">
        <f ca="1">INT(AS917*RANDBETWEEN(120,200)/100)</f>
        <v>1109</v>
      </c>
      <c r="AV917" s="2">
        <f ca="1">IF(LEFT(Y917,1)="L",RANDBETWEEN(500000,5000000),IF(LEFT(Y917,1)="C",RANDBETWEEN(5000,50000),IF(LEFT(Y917,1)="N",RANDBETWEEN(10000,150000),IF(LEFT(Y917,1)="J",RANDBETWEEN(8000,200000),RANDBETWEEN(5000,100000)))))</f>
        <v>14304</v>
      </c>
      <c r="AW917" s="2">
        <f ca="1">INT(AV917*RANDBETWEEN(30,60)/100)</f>
        <v>4577</v>
      </c>
      <c r="AX917">
        <f ca="1">IF(Z917="ORAL",RANDBETWEEN(1000,10000),IF(OR(Z917="INTRAVENOSA",Z917="INTRAMUSCULAR"),RANDBETWEEN(100,2000),IF(OR(Z917="OFTÁLMICA",Z917="TOPICA (EXTERNA)"),RANDBETWEEN(200,3000),RANDBETWEEN(100,1500))))</f>
        <v>5571</v>
      </c>
      <c r="AY917" s="2">
        <f ca="1">INT(AV917*RANDBETWEEN(90,130)/100)</f>
        <v>18166</v>
      </c>
      <c r="AZ917" t="str">
        <f t="shared" ca="1" si="73"/>
        <v>12.2%</v>
      </c>
      <c r="BA917" t="str">
        <f t="shared" ca="1" si="74"/>
        <v>BAJO</v>
      </c>
    </row>
    <row r="918" spans="4:53" x14ac:dyDescent="0.35">
      <c r="D918" t="s">
        <v>5705</v>
      </c>
      <c r="E918" s="1">
        <v>41360</v>
      </c>
      <c r="F918" t="s">
        <v>4512</v>
      </c>
      <c r="G918" t="s">
        <v>108</v>
      </c>
      <c r="H918" t="s">
        <v>454</v>
      </c>
      <c r="I918">
        <v>20057024</v>
      </c>
      <c r="J918" t="s">
        <v>28</v>
      </c>
      <c r="K918">
        <v>3</v>
      </c>
      <c r="L918" t="s">
        <v>27</v>
      </c>
      <c r="M918" t="s">
        <v>5706</v>
      </c>
      <c r="N918" t="s">
        <v>5707</v>
      </c>
      <c r="O918" t="s">
        <v>5708</v>
      </c>
      <c r="P918" t="s">
        <v>5709</v>
      </c>
      <c r="Q918" s="1">
        <v>45476</v>
      </c>
      <c r="R918" t="s">
        <v>33</v>
      </c>
      <c r="S918" t="s">
        <v>27</v>
      </c>
      <c r="T918" t="s">
        <v>454</v>
      </c>
      <c r="U918" t="s">
        <v>115</v>
      </c>
      <c r="V918" t="s">
        <v>5710</v>
      </c>
      <c r="W918" t="s">
        <v>641</v>
      </c>
      <c r="X918">
        <v>20057024</v>
      </c>
      <c r="Y918" t="s">
        <v>5711</v>
      </c>
      <c r="Z918" t="s">
        <v>119</v>
      </c>
      <c r="AA918" t="s">
        <v>24</v>
      </c>
      <c r="AB918" t="s">
        <v>120</v>
      </c>
      <c r="AC918" t="s">
        <v>25</v>
      </c>
      <c r="AD918" t="s">
        <v>121</v>
      </c>
      <c r="AE918">
        <v>28</v>
      </c>
      <c r="AF918" t="s">
        <v>27</v>
      </c>
      <c r="AG918" t="s">
        <v>26</v>
      </c>
      <c r="AH918" t="s">
        <v>4512</v>
      </c>
      <c r="AI918" t="str">
        <f t="shared" si="70"/>
        <v>NO</v>
      </c>
      <c r="AJ918" t="str">
        <f t="shared" si="71"/>
        <v>PROCAPS</v>
      </c>
      <c r="AK918" t="str">
        <f>IF(ISNUMBER(SEARCH("FABRICANTE",AC918)),"FABRICANTE",IF(ISNUMBER(SEARCH("IMPORTADOR",AC918)),"IMPORTADOR","OTRO"))</f>
        <v>FABRICANTE</v>
      </c>
      <c r="AL918" t="str">
        <f>IF(LEFT(Y918,1)="A","Sistema digestivo",IF(LEFT(Y918,1)="B","Sangre",IF(LEFT(Y918,1)="C","Cardiovascular",IF(LEFT(Y918,1)="D","Dermatológico",IF(LEFT(Y918,1)="G","Genitourinario",IF(LEFT(Y918,1)="H","Hormonal",IF(LEFT(Y918,1)="J","Antiinfecciosos",IF(LEFT(Y918,1)="L","Oncológicos",IF(LEFT(Y918,1)="M","Musculoesquelético",IF(LEFT(Y918,1)="N","Sistema nervioso",IF(LEFT(Y918,1)="R","Respiratorio",IF(LEFT(Y918,1)="S","Oftálmico",IF(LEFT(Y918,1)="V","Varios","OTRO")))))))))))))</f>
        <v>Genitourinario</v>
      </c>
      <c r="AM918" t="str">
        <f>IF(AG918="Vigente","ACTIVO",IF(ISNUMBER(SEARCH("Inactivo",J918)),"INACTIVO","REVISAR"))</f>
        <v>ACTIVO</v>
      </c>
      <c r="AN918" t="str">
        <f ca="1">IF(OR(AF918="",AF918="null"),"",ROUND((AF918-TODAY())/365.25,2))</f>
        <v/>
      </c>
      <c r="AO918" t="str">
        <f ca="1">IF(AND(AG918="Vigente",OR(AF918="",AF918="null",AF918&gt;TODAY())),"SI",IF(AND(NOT(OR(AF918="",AF918="null")),AF918&lt;=TODAY()),"NO",IF(AG918="Vigente","SI","DESCONOCIDO")))</f>
        <v>SI</v>
      </c>
      <c r="AP918" t="str">
        <f>IF(AND(ISNUMBER(SEARCH("IMPORTAR",AA918)),ISNUMBER(SEARCH("FABRICAR",AA918))),"MIXTO",IF(ISNUMBER(SEARCH("IMPORTAR",AA918)),"IMPORTADO",IF(ISNUMBER(SEARCH("FABRICAR",AA918)),"LOCAL","OTRO")))</f>
        <v>LOCAL</v>
      </c>
      <c r="AQ918" t="str">
        <f>IF(AD918="Si","SI",IF(AD918="No","NO",""))</f>
        <v>NO</v>
      </c>
      <c r="AR918" t="str">
        <f>IF(ISNUMBER(SEARCH("®",N918)),"MARCA/INNOVADOR","GENERICO")</f>
        <v>GENERICO</v>
      </c>
      <c r="AS918">
        <f ca="1">IF(AE918&gt;100,RANDBETWEEN(500,5000),IF(AND(AE918&gt;=10,AE918&lt;=100),RANDBETWEEN(100,1000),RANDBETWEEN(10,200)))</f>
        <v>355</v>
      </c>
      <c r="AT918">
        <f t="shared" ca="1" si="72"/>
        <v>63</v>
      </c>
      <c r="AU918">
        <f ca="1">INT(AS918*RANDBETWEEN(120,200)/100)</f>
        <v>443</v>
      </c>
      <c r="AV918" s="2">
        <f ca="1">IF(LEFT(Y918,1)="L",RANDBETWEEN(500000,5000000),IF(LEFT(Y918,1)="C",RANDBETWEEN(5000,50000),IF(LEFT(Y918,1)="N",RANDBETWEEN(10000,150000),IF(LEFT(Y918,1)="J",RANDBETWEEN(8000,200000),RANDBETWEEN(5000,100000)))))</f>
        <v>28337</v>
      </c>
      <c r="AW918" s="2">
        <f ca="1">INT(AV918*RANDBETWEEN(30,60)/100)</f>
        <v>13885</v>
      </c>
      <c r="AX918">
        <f ca="1">IF(Z918="ORAL",RANDBETWEEN(1000,10000),IF(OR(Z918="INTRAVENOSA",Z918="INTRAMUSCULAR"),RANDBETWEEN(100,2000),IF(OR(Z918="OFTÁLMICA",Z918="TOPICA (EXTERNA)"),RANDBETWEEN(200,3000),RANDBETWEEN(100,1500))))</f>
        <v>2186</v>
      </c>
      <c r="AY918" s="2">
        <f ca="1">INT(AV918*RANDBETWEEN(90,130)/100)</f>
        <v>32870</v>
      </c>
      <c r="AZ918" t="str">
        <f t="shared" ca="1" si="73"/>
        <v>16.3%</v>
      </c>
      <c r="BA918" t="str">
        <f t="shared" ca="1" si="74"/>
        <v>BAJO</v>
      </c>
    </row>
    <row r="919" spans="4:53" x14ac:dyDescent="0.35">
      <c r="D919" t="s">
        <v>5712</v>
      </c>
      <c r="E919" s="1">
        <v>41116</v>
      </c>
      <c r="F919" t="s">
        <v>660</v>
      </c>
      <c r="G919" t="s">
        <v>108</v>
      </c>
      <c r="H919" t="s">
        <v>114</v>
      </c>
      <c r="I919">
        <v>20047167</v>
      </c>
      <c r="J919" t="s">
        <v>28</v>
      </c>
      <c r="K919">
        <v>1</v>
      </c>
      <c r="L919" t="s">
        <v>27</v>
      </c>
      <c r="M919" t="s">
        <v>5713</v>
      </c>
      <c r="N919" t="s">
        <v>5714</v>
      </c>
      <c r="O919" t="s">
        <v>5715</v>
      </c>
      <c r="P919" t="s">
        <v>33</v>
      </c>
      <c r="Q919" s="1">
        <v>41099</v>
      </c>
      <c r="R919" t="s">
        <v>33</v>
      </c>
      <c r="S919" t="s">
        <v>27</v>
      </c>
      <c r="T919" t="s">
        <v>114</v>
      </c>
      <c r="U919" t="s">
        <v>115</v>
      </c>
      <c r="V919" t="s">
        <v>2437</v>
      </c>
      <c r="W919">
        <v>80</v>
      </c>
      <c r="X919">
        <v>20047167</v>
      </c>
      <c r="Y919" t="s">
        <v>2438</v>
      </c>
      <c r="Z919" t="s">
        <v>119</v>
      </c>
      <c r="AA919" t="s">
        <v>24</v>
      </c>
      <c r="AB919" t="s">
        <v>120</v>
      </c>
      <c r="AC919" t="s">
        <v>25</v>
      </c>
      <c r="AD919" t="s">
        <v>121</v>
      </c>
      <c r="AE919">
        <v>7</v>
      </c>
      <c r="AF919" t="s">
        <v>27</v>
      </c>
      <c r="AG919" t="s">
        <v>26</v>
      </c>
      <c r="AH919" t="s">
        <v>660</v>
      </c>
      <c r="AI919" t="str">
        <f t="shared" si="70"/>
        <v>NO</v>
      </c>
      <c r="AJ919" t="str">
        <f t="shared" si="71"/>
        <v>LABORATORIOS LEGRAND</v>
      </c>
      <c r="AK919" t="str">
        <f>IF(ISNUMBER(SEARCH("FABRICANTE",AC919)),"FABRICANTE",IF(ISNUMBER(SEARCH("IMPORTADOR",AC919)),"IMPORTADOR","OTRO"))</f>
        <v>FABRICANTE</v>
      </c>
      <c r="AL919" t="str">
        <f>IF(LEFT(Y919,1)="A","Sistema digestivo",IF(LEFT(Y919,1)="B","Sangre",IF(LEFT(Y919,1)="C","Cardiovascular",IF(LEFT(Y919,1)="D","Dermatológico",IF(LEFT(Y919,1)="G","Genitourinario",IF(LEFT(Y919,1)="H","Hormonal",IF(LEFT(Y919,1)="J","Antiinfecciosos",IF(LEFT(Y919,1)="L","Oncológicos",IF(LEFT(Y919,1)="M","Musculoesquelético",IF(LEFT(Y919,1)="N","Sistema nervioso",IF(LEFT(Y919,1)="R","Respiratorio",IF(LEFT(Y919,1)="S","Oftálmico",IF(LEFT(Y919,1)="V","Varios","OTRO")))))))))))))</f>
        <v>Cardiovascular</v>
      </c>
      <c r="AM919" t="str">
        <f>IF(AG919="Vigente","ACTIVO",IF(ISNUMBER(SEARCH("Inactivo",J919)),"INACTIVO","REVISAR"))</f>
        <v>ACTIVO</v>
      </c>
      <c r="AN919" t="str">
        <f ca="1">IF(OR(AF919="",AF919="null"),"",ROUND((AF919-TODAY())/365.25,2))</f>
        <v/>
      </c>
      <c r="AO919" t="str">
        <f ca="1">IF(AND(AG919="Vigente",OR(AF919="",AF919="null",AF919&gt;TODAY())),"SI",IF(AND(NOT(OR(AF919="",AF919="null")),AF919&lt;=TODAY()),"NO",IF(AG919="Vigente","SI","DESCONOCIDO")))</f>
        <v>SI</v>
      </c>
      <c r="AP919" t="str">
        <f>IF(AND(ISNUMBER(SEARCH("IMPORTAR",AA919)),ISNUMBER(SEARCH("FABRICAR",AA919))),"MIXTO",IF(ISNUMBER(SEARCH("IMPORTAR",AA919)),"IMPORTADO",IF(ISNUMBER(SEARCH("FABRICAR",AA919)),"LOCAL","OTRO")))</f>
        <v>LOCAL</v>
      </c>
      <c r="AQ919" t="str">
        <f>IF(AD919="Si","SI",IF(AD919="No","NO",""))</f>
        <v>NO</v>
      </c>
      <c r="AR919" t="str">
        <f>IF(ISNUMBER(SEARCH("®",N919)),"MARCA/INNOVADOR","GENERICO")</f>
        <v>MARCA/INNOVADOR</v>
      </c>
      <c r="AS919">
        <f ca="1">IF(AE919&gt;100,RANDBETWEEN(500,5000),IF(AND(AE919&gt;=10,AE919&lt;=100),RANDBETWEEN(100,1000),RANDBETWEEN(10,200)))</f>
        <v>44</v>
      </c>
      <c r="AT919">
        <f t="shared" ca="1" si="72"/>
        <v>7</v>
      </c>
      <c r="AU919">
        <f ca="1">INT(AS919*RANDBETWEEN(120,200)/100)</f>
        <v>64</v>
      </c>
      <c r="AV919" s="2">
        <f ca="1">IF(LEFT(Y919,1)="L",RANDBETWEEN(500000,5000000),IF(LEFT(Y919,1)="C",RANDBETWEEN(5000,50000),IF(LEFT(Y919,1)="N",RANDBETWEEN(10000,150000),IF(LEFT(Y919,1)="J",RANDBETWEEN(8000,200000),RANDBETWEEN(5000,100000)))))</f>
        <v>26452</v>
      </c>
      <c r="AW919" s="2">
        <f ca="1">INT(AV919*RANDBETWEEN(30,60)/100)</f>
        <v>11638</v>
      </c>
      <c r="AX919">
        <f ca="1">IF(Z919="ORAL",RANDBETWEEN(1000,10000),IF(OR(Z919="INTRAVENOSA",Z919="INTRAMUSCULAR"),RANDBETWEEN(100,2000),IF(OR(Z919="OFTÁLMICA",Z919="TOPICA (EXTERNA)"),RANDBETWEEN(200,3000),RANDBETWEEN(100,1500))))</f>
        <v>7756</v>
      </c>
      <c r="AY919" s="2">
        <f ca="1">INT(AV919*RANDBETWEEN(90,130)/100)</f>
        <v>32271</v>
      </c>
      <c r="AZ919" t="str">
        <f t="shared" ca="1" si="73"/>
        <v>23.1%</v>
      </c>
      <c r="BA919" t="str">
        <f t="shared" ca="1" si="74"/>
        <v>BAJO</v>
      </c>
    </row>
    <row r="920" spans="4:53" x14ac:dyDescent="0.35">
      <c r="D920" t="s">
        <v>5716</v>
      </c>
      <c r="E920" s="1">
        <v>43777</v>
      </c>
      <c r="F920" t="s">
        <v>4999</v>
      </c>
      <c r="G920" t="s">
        <v>108</v>
      </c>
      <c r="H920" t="s">
        <v>454</v>
      </c>
      <c r="I920">
        <v>20165041</v>
      </c>
      <c r="J920" t="s">
        <v>28</v>
      </c>
      <c r="K920">
        <v>6</v>
      </c>
      <c r="L920" t="s">
        <v>5717</v>
      </c>
      <c r="M920" t="s">
        <v>2228</v>
      </c>
      <c r="N920" t="s">
        <v>2229</v>
      </c>
      <c r="O920" t="s">
        <v>5718</v>
      </c>
      <c r="P920" t="s">
        <v>659</v>
      </c>
      <c r="Q920" s="1">
        <v>43763</v>
      </c>
      <c r="R920" t="s">
        <v>527</v>
      </c>
      <c r="S920" t="s">
        <v>27</v>
      </c>
      <c r="T920" t="s">
        <v>520</v>
      </c>
      <c r="U920" t="s">
        <v>115</v>
      </c>
      <c r="V920" t="s">
        <v>2231</v>
      </c>
      <c r="W920">
        <v>4</v>
      </c>
      <c r="X920">
        <v>20165041</v>
      </c>
      <c r="Y920" t="s">
        <v>2232</v>
      </c>
      <c r="Z920" t="s">
        <v>119</v>
      </c>
      <c r="AA920" t="s">
        <v>24</v>
      </c>
      <c r="AB920" t="s">
        <v>120</v>
      </c>
      <c r="AC920" t="s">
        <v>25</v>
      </c>
      <c r="AD920" t="s">
        <v>155</v>
      </c>
      <c r="AE920">
        <v>4</v>
      </c>
      <c r="AF920" t="s">
        <v>27</v>
      </c>
      <c r="AG920" t="s">
        <v>26</v>
      </c>
      <c r="AH920" t="s">
        <v>4999</v>
      </c>
      <c r="AI920" t="str">
        <f t="shared" si="70"/>
        <v>NO</v>
      </c>
      <c r="AJ920" t="str">
        <f t="shared" si="71"/>
        <v>HALEON COLOMBIA</v>
      </c>
      <c r="AK920" t="str">
        <f>IF(ISNUMBER(SEARCH("FABRICANTE",AC920)),"FABRICANTE",IF(ISNUMBER(SEARCH("IMPORTADOR",AC920)),"IMPORTADOR","OTRO"))</f>
        <v>FABRICANTE</v>
      </c>
      <c r="AL920" t="str">
        <f>IF(LEFT(Y920,1)="A","Sistema digestivo",IF(LEFT(Y920,1)="B","Sangre",IF(LEFT(Y920,1)="C","Cardiovascular",IF(LEFT(Y920,1)="D","Dermatológico",IF(LEFT(Y920,1)="G","Genitourinario",IF(LEFT(Y920,1)="H","Hormonal",IF(LEFT(Y920,1)="J","Antiinfecciosos",IF(LEFT(Y920,1)="L","Oncológicos",IF(LEFT(Y920,1)="M","Musculoesquelético",IF(LEFT(Y920,1)="N","Sistema nervioso",IF(LEFT(Y920,1)="R","Respiratorio",IF(LEFT(Y920,1)="S","Oftálmico",IF(LEFT(Y920,1)="V","Varios","OTRO")))))))))))))</f>
        <v>Respiratorio</v>
      </c>
      <c r="AM920" t="str">
        <f>IF(AG920="Vigente","ACTIVO",IF(ISNUMBER(SEARCH("Inactivo",J920)),"INACTIVO","REVISAR"))</f>
        <v>ACTIVO</v>
      </c>
      <c r="AN920" t="str">
        <f ca="1">IF(OR(AF920="",AF920="null"),"",ROUND((AF920-TODAY())/365.25,2))</f>
        <v/>
      </c>
      <c r="AO920" t="str">
        <f ca="1">IF(AND(AG920="Vigente",OR(AF920="",AF920="null",AF920&gt;TODAY())),"SI",IF(AND(NOT(OR(AF920="",AF920="null")),AF920&lt;=TODAY()),"NO",IF(AG920="Vigente","SI","DESCONOCIDO")))</f>
        <v>SI</v>
      </c>
      <c r="AP920" t="str">
        <f>IF(AND(ISNUMBER(SEARCH("IMPORTAR",AA920)),ISNUMBER(SEARCH("FABRICAR",AA920))),"MIXTO",IF(ISNUMBER(SEARCH("IMPORTAR",AA920)),"IMPORTADO",IF(ISNUMBER(SEARCH("FABRICAR",AA920)),"LOCAL","OTRO")))</f>
        <v>LOCAL</v>
      </c>
      <c r="AQ920" t="str">
        <f>IF(AD920="Si","SI",IF(AD920="No","NO",""))</f>
        <v>SI</v>
      </c>
      <c r="AR920" t="str">
        <f>IF(ISNUMBER(SEARCH("®",N920)),"MARCA/INNOVADOR","GENERICO")</f>
        <v>MARCA/INNOVADOR</v>
      </c>
      <c r="AS920">
        <f ca="1">IF(AE920&gt;100,RANDBETWEEN(500,5000),IF(AND(AE920&gt;=10,AE920&lt;=100),RANDBETWEEN(100,1000),RANDBETWEEN(10,200)))</f>
        <v>88</v>
      </c>
      <c r="AT920">
        <f t="shared" ca="1" si="72"/>
        <v>12</v>
      </c>
      <c r="AU920">
        <f ca="1">INT(AS920*RANDBETWEEN(120,200)/100)</f>
        <v>148</v>
      </c>
      <c r="AV920" s="2">
        <f ca="1">IF(LEFT(Y920,1)="L",RANDBETWEEN(500000,5000000),IF(LEFT(Y920,1)="C",RANDBETWEEN(5000,50000),IF(LEFT(Y920,1)="N",RANDBETWEEN(10000,150000),IF(LEFT(Y920,1)="J",RANDBETWEEN(8000,200000),RANDBETWEEN(5000,100000)))))</f>
        <v>58893</v>
      </c>
      <c r="AW920" s="2">
        <f ca="1">INT(AV920*RANDBETWEEN(30,60)/100)</f>
        <v>28268</v>
      </c>
      <c r="AX920">
        <f ca="1">IF(Z920="ORAL",RANDBETWEEN(1000,10000),IF(OR(Z920="INTRAVENOSA",Z920="INTRAMUSCULAR"),RANDBETWEEN(100,2000),IF(OR(Z920="OFTÁLMICA",Z920="TOPICA (EXTERNA)"),RANDBETWEEN(200,3000),RANDBETWEEN(100,1500))))</f>
        <v>6817</v>
      </c>
      <c r="AY920" s="2">
        <f ca="1">INT(AV920*RANDBETWEEN(90,130)/100)</f>
        <v>55948</v>
      </c>
      <c r="AZ920" t="str">
        <f t="shared" ca="1" si="73"/>
        <v>19.6%</v>
      </c>
      <c r="BA920" t="str">
        <f t="shared" ca="1" si="74"/>
        <v>BAJO</v>
      </c>
    </row>
    <row r="921" spans="4:53" x14ac:dyDescent="0.35">
      <c r="D921" t="s">
        <v>5719</v>
      </c>
      <c r="E921" s="1">
        <v>42124</v>
      </c>
      <c r="F921" t="s">
        <v>515</v>
      </c>
      <c r="G921" t="s">
        <v>108</v>
      </c>
      <c r="H921" t="s">
        <v>187</v>
      </c>
      <c r="I921">
        <v>20068196</v>
      </c>
      <c r="J921" t="s">
        <v>28</v>
      </c>
      <c r="K921">
        <v>51</v>
      </c>
      <c r="L921" t="s">
        <v>27</v>
      </c>
      <c r="M921" t="s">
        <v>5720</v>
      </c>
      <c r="N921" t="s">
        <v>5721</v>
      </c>
      <c r="O921" t="s">
        <v>5722</v>
      </c>
      <c r="P921" t="s">
        <v>527</v>
      </c>
      <c r="Q921" s="1">
        <v>43748</v>
      </c>
      <c r="R921" t="s">
        <v>527</v>
      </c>
      <c r="S921" t="s">
        <v>27</v>
      </c>
      <c r="T921" t="s">
        <v>80</v>
      </c>
      <c r="U921" t="s">
        <v>115</v>
      </c>
      <c r="V921" t="s">
        <v>321</v>
      </c>
      <c r="W921">
        <v>400</v>
      </c>
      <c r="X921">
        <v>20068196</v>
      </c>
      <c r="Y921" t="s">
        <v>322</v>
      </c>
      <c r="Z921" t="s">
        <v>119</v>
      </c>
      <c r="AA921" t="s">
        <v>24</v>
      </c>
      <c r="AB921" t="s">
        <v>120</v>
      </c>
      <c r="AC921" t="s">
        <v>25</v>
      </c>
      <c r="AD921" t="s">
        <v>121</v>
      </c>
      <c r="AE921">
        <v>14</v>
      </c>
      <c r="AF921" t="s">
        <v>27</v>
      </c>
      <c r="AG921" t="s">
        <v>26</v>
      </c>
      <c r="AH921" t="s">
        <v>515</v>
      </c>
      <c r="AI921" t="str">
        <f t="shared" si="70"/>
        <v>NO</v>
      </c>
      <c r="AJ921" t="str">
        <f t="shared" si="71"/>
        <v>TECNOQUIMICAS</v>
      </c>
      <c r="AK921" t="str">
        <f>IF(ISNUMBER(SEARCH("FABRICANTE",AC921)),"FABRICANTE",IF(ISNUMBER(SEARCH("IMPORTADOR",AC921)),"IMPORTADOR","OTRO"))</f>
        <v>FABRICANTE</v>
      </c>
      <c r="AL921" t="str">
        <f>IF(LEFT(Y921,1)="A","Sistema digestivo",IF(LEFT(Y921,1)="B","Sangre",IF(LEFT(Y921,1)="C","Cardiovascular",IF(LEFT(Y921,1)="D","Dermatológico",IF(LEFT(Y921,1)="G","Genitourinario",IF(LEFT(Y921,1)="H","Hormonal",IF(LEFT(Y921,1)="J","Antiinfecciosos",IF(LEFT(Y921,1)="L","Oncológicos",IF(LEFT(Y921,1)="M","Musculoesquelético",IF(LEFT(Y921,1)="N","Sistema nervioso",IF(LEFT(Y921,1)="R","Respiratorio",IF(LEFT(Y921,1)="S","Oftálmico",IF(LEFT(Y921,1)="V","Varios","OTRO")))))))))))))</f>
        <v>Sistema nervioso</v>
      </c>
      <c r="AM921" t="str">
        <f>IF(AG921="Vigente","ACTIVO",IF(ISNUMBER(SEARCH("Inactivo",J921)),"INACTIVO","REVISAR"))</f>
        <v>ACTIVO</v>
      </c>
      <c r="AN921" t="str">
        <f ca="1">IF(OR(AF921="",AF921="null"),"",ROUND((AF921-TODAY())/365.25,2))</f>
        <v/>
      </c>
      <c r="AO921" t="str">
        <f ca="1">IF(AND(AG921="Vigente",OR(AF921="",AF921="null",AF921&gt;TODAY())),"SI",IF(AND(NOT(OR(AF921="",AF921="null")),AF921&lt;=TODAY()),"NO",IF(AG921="Vigente","SI","DESCONOCIDO")))</f>
        <v>SI</v>
      </c>
      <c r="AP921" t="str">
        <f>IF(AND(ISNUMBER(SEARCH("IMPORTAR",AA921)),ISNUMBER(SEARCH("FABRICAR",AA921))),"MIXTO",IF(ISNUMBER(SEARCH("IMPORTAR",AA921)),"IMPORTADO",IF(ISNUMBER(SEARCH("FABRICAR",AA921)),"LOCAL","OTRO")))</f>
        <v>LOCAL</v>
      </c>
      <c r="AQ921" t="str">
        <f>IF(AD921="Si","SI",IF(AD921="No","NO",""))</f>
        <v>NO</v>
      </c>
      <c r="AR921" t="str">
        <f>IF(ISNUMBER(SEARCH("®",N921)),"MARCA/INNOVADOR","GENERICO")</f>
        <v>MARCA/INNOVADOR</v>
      </c>
      <c r="AS921">
        <f ca="1">IF(AE921&gt;100,RANDBETWEEN(500,5000),IF(AND(AE921&gt;=10,AE921&lt;=100),RANDBETWEEN(100,1000),RANDBETWEEN(10,200)))</f>
        <v>463</v>
      </c>
      <c r="AT921">
        <f t="shared" ca="1" si="72"/>
        <v>60</v>
      </c>
      <c r="AU921">
        <f ca="1">INT(AS921*RANDBETWEEN(120,200)/100)</f>
        <v>870</v>
      </c>
      <c r="AV921" s="2">
        <f ca="1">IF(LEFT(Y921,1)="L",RANDBETWEEN(500000,5000000),IF(LEFT(Y921,1)="C",RANDBETWEEN(5000,50000),IF(LEFT(Y921,1)="N",RANDBETWEEN(10000,150000),IF(LEFT(Y921,1)="J",RANDBETWEEN(8000,200000),RANDBETWEEN(5000,100000)))))</f>
        <v>139035</v>
      </c>
      <c r="AW921" s="2">
        <f ca="1">INT(AV921*RANDBETWEEN(30,60)/100)</f>
        <v>45881</v>
      </c>
      <c r="AX921">
        <f ca="1">IF(Z921="ORAL",RANDBETWEEN(1000,10000),IF(OR(Z921="INTRAVENOSA",Z921="INTRAMUSCULAR"),RANDBETWEEN(100,2000),IF(OR(Z921="OFTÁLMICA",Z921="TOPICA (EXTERNA)"),RANDBETWEEN(200,3000),RANDBETWEEN(100,1500))))</f>
        <v>5942</v>
      </c>
      <c r="AY921" s="2">
        <f ca="1">INT(AV921*RANDBETWEEN(90,130)/100)</f>
        <v>171013</v>
      </c>
      <c r="AZ921" t="str">
        <f t="shared" ca="1" si="73"/>
        <v>6%</v>
      </c>
      <c r="BA921" t="str">
        <f t="shared" ca="1" si="74"/>
        <v>BAJO</v>
      </c>
    </row>
    <row r="922" spans="4:53" x14ac:dyDescent="0.35">
      <c r="D922" t="s">
        <v>5723</v>
      </c>
      <c r="E922" s="1">
        <v>34967</v>
      </c>
      <c r="F922" t="s">
        <v>4255</v>
      </c>
      <c r="G922" t="s">
        <v>108</v>
      </c>
      <c r="H922" t="s">
        <v>1001</v>
      </c>
      <c r="I922">
        <v>52806</v>
      </c>
      <c r="J922" t="s">
        <v>28</v>
      </c>
      <c r="K922">
        <v>27</v>
      </c>
      <c r="L922" t="s">
        <v>5724</v>
      </c>
      <c r="M922" t="s">
        <v>4257</v>
      </c>
      <c r="N922" t="s">
        <v>4258</v>
      </c>
      <c r="O922" t="s">
        <v>5725</v>
      </c>
      <c r="P922" t="s">
        <v>29</v>
      </c>
      <c r="Q922" s="1">
        <v>41445</v>
      </c>
      <c r="R922" t="s">
        <v>29</v>
      </c>
      <c r="S922" s="1">
        <v>44470</v>
      </c>
      <c r="T922" t="s">
        <v>2414</v>
      </c>
      <c r="U922" t="s">
        <v>115</v>
      </c>
      <c r="V922" t="s">
        <v>3846</v>
      </c>
      <c r="W922">
        <v>5</v>
      </c>
      <c r="X922">
        <v>52806</v>
      </c>
      <c r="Y922" t="s">
        <v>3847</v>
      </c>
      <c r="Z922" t="s">
        <v>119</v>
      </c>
      <c r="AA922" t="s">
        <v>32</v>
      </c>
      <c r="AB922" t="s">
        <v>120</v>
      </c>
      <c r="AC922" t="s">
        <v>38</v>
      </c>
      <c r="AD922" t="s">
        <v>155</v>
      </c>
      <c r="AE922">
        <v>30</v>
      </c>
      <c r="AF922" t="s">
        <v>27</v>
      </c>
      <c r="AG922" t="s">
        <v>26</v>
      </c>
      <c r="AH922" t="s">
        <v>6821</v>
      </c>
      <c r="AI922" t="str">
        <f t="shared" si="70"/>
        <v>SI</v>
      </c>
      <c r="AJ922" t="str">
        <f t="shared" si="71"/>
        <v>ASPEN COLOMBIANA</v>
      </c>
      <c r="AK922" t="str">
        <f>IF(ISNUMBER(SEARCH("FABRICANTE",AC922)),"FABRICANTE",IF(ISNUMBER(SEARCH("IMPORTADOR",AC922)),"IMPORTADOR","OTRO"))</f>
        <v>IMPORTADOR</v>
      </c>
      <c r="AL922" t="str">
        <f>IF(LEFT(Y922,1)="A","Sistema digestivo",IF(LEFT(Y922,1)="B","Sangre",IF(LEFT(Y922,1)="C","Cardiovascular",IF(LEFT(Y922,1)="D","Dermatológico",IF(LEFT(Y922,1)="G","Genitourinario",IF(LEFT(Y922,1)="H","Hormonal",IF(LEFT(Y922,1)="J","Antiinfecciosos",IF(LEFT(Y922,1)="L","Oncológicos",IF(LEFT(Y922,1)="M","Musculoesquelético",IF(LEFT(Y922,1)="N","Sistema nervioso",IF(LEFT(Y922,1)="R","Respiratorio",IF(LEFT(Y922,1)="S","Oftálmico",IF(LEFT(Y922,1)="V","Varios","OTRO")))))))))))))</f>
        <v>Cardiovascular</v>
      </c>
      <c r="AM922" t="str">
        <f>IF(AG922="Vigente","ACTIVO",IF(ISNUMBER(SEARCH("Inactivo",J922)),"INACTIVO","REVISAR"))</f>
        <v>ACTIVO</v>
      </c>
      <c r="AN922" t="str">
        <f ca="1">IF(OR(AF922="",AF922="null"),"",ROUND((AF922-TODAY())/365.25,2))</f>
        <v/>
      </c>
      <c r="AO922" t="str">
        <f ca="1">IF(AND(AG922="Vigente",OR(AF922="",AF922="null",AF922&gt;TODAY())),"SI",IF(AND(NOT(OR(AF922="",AF922="null")),AF922&lt;=TODAY()),"NO",IF(AG922="Vigente","SI","DESCONOCIDO")))</f>
        <v>SI</v>
      </c>
      <c r="AP922" t="str">
        <f>IF(AND(ISNUMBER(SEARCH("IMPORTAR",AA922)),ISNUMBER(SEARCH("FABRICAR",AA922))),"MIXTO",IF(ISNUMBER(SEARCH("IMPORTAR",AA922)),"IMPORTADO",IF(ISNUMBER(SEARCH("FABRICAR",AA922)),"LOCAL","OTRO")))</f>
        <v>IMPORTADO</v>
      </c>
      <c r="AQ922" t="str">
        <f>IF(AD922="Si","SI",IF(AD922="No","NO",""))</f>
        <v>SI</v>
      </c>
      <c r="AR922" t="str">
        <f>IF(ISNUMBER(SEARCH("®",N922)),"MARCA/INNOVADOR","GENERICO")</f>
        <v>MARCA/INNOVADOR</v>
      </c>
      <c r="AS922">
        <f ca="1">IF(AE922&gt;100,RANDBETWEEN(500,5000),IF(AND(AE922&gt;=10,AE922&lt;=100),RANDBETWEEN(100,1000),RANDBETWEEN(10,200)))</f>
        <v>365</v>
      </c>
      <c r="AT922">
        <f t="shared" ca="1" si="72"/>
        <v>76</v>
      </c>
      <c r="AU922">
        <f ca="1">INT(AS922*RANDBETWEEN(120,200)/100)</f>
        <v>682</v>
      </c>
      <c r="AV922" s="2">
        <f ca="1">IF(LEFT(Y922,1)="L",RANDBETWEEN(500000,5000000),IF(LEFT(Y922,1)="C",RANDBETWEEN(5000,50000),IF(LEFT(Y922,1)="N",RANDBETWEEN(10000,150000),IF(LEFT(Y922,1)="J",RANDBETWEEN(8000,200000),RANDBETWEEN(5000,100000)))))</f>
        <v>10232</v>
      </c>
      <c r="AW922" s="2">
        <f ca="1">INT(AV922*RANDBETWEEN(30,60)/100)</f>
        <v>3478</v>
      </c>
      <c r="AX922">
        <f ca="1">IF(Z922="ORAL",RANDBETWEEN(1000,10000),IF(OR(Z922="INTRAVENOSA",Z922="INTRAMUSCULAR"),RANDBETWEEN(100,2000),IF(OR(Z922="OFTÁLMICA",Z922="TOPICA (EXTERNA)"),RANDBETWEEN(200,3000),RANDBETWEEN(100,1500))))</f>
        <v>4897</v>
      </c>
      <c r="AY922" s="2">
        <f ca="1">INT(AV922*RANDBETWEEN(90,130)/100)</f>
        <v>11766</v>
      </c>
      <c r="AZ922" t="str">
        <f t="shared" ca="1" si="73"/>
        <v>7.4%</v>
      </c>
      <c r="BA922" t="str">
        <f t="shared" ca="1" si="74"/>
        <v>BAJO</v>
      </c>
    </row>
    <row r="923" spans="4:53" x14ac:dyDescent="0.35">
      <c r="D923" t="s">
        <v>5726</v>
      </c>
      <c r="E923" s="1">
        <v>42191</v>
      </c>
      <c r="F923" t="s">
        <v>5727</v>
      </c>
      <c r="G923" t="s">
        <v>108</v>
      </c>
      <c r="H923" t="s">
        <v>633</v>
      </c>
      <c r="I923">
        <v>20080146</v>
      </c>
      <c r="J923" t="s">
        <v>28</v>
      </c>
      <c r="K923">
        <v>1</v>
      </c>
      <c r="L923" t="s">
        <v>5728</v>
      </c>
      <c r="M923" t="s">
        <v>5729</v>
      </c>
      <c r="N923" t="s">
        <v>5730</v>
      </c>
      <c r="O923" t="s">
        <v>5731</v>
      </c>
      <c r="P923" t="s">
        <v>574</v>
      </c>
      <c r="Q923" s="1">
        <v>42061</v>
      </c>
      <c r="R923" t="s">
        <v>29</v>
      </c>
      <c r="S923" t="s">
        <v>27</v>
      </c>
      <c r="T923" t="s">
        <v>639</v>
      </c>
      <c r="U923" t="s">
        <v>115</v>
      </c>
      <c r="V923" t="s">
        <v>5732</v>
      </c>
      <c r="W923">
        <v>2</v>
      </c>
      <c r="X923">
        <v>20080146</v>
      </c>
      <c r="Y923" t="s">
        <v>5733</v>
      </c>
      <c r="Z923" t="s">
        <v>119</v>
      </c>
      <c r="AA923" t="s">
        <v>32</v>
      </c>
      <c r="AB923" t="s">
        <v>120</v>
      </c>
      <c r="AC923" t="s">
        <v>25</v>
      </c>
      <c r="AD923" t="s">
        <v>121</v>
      </c>
      <c r="AE923">
        <v>28</v>
      </c>
      <c r="AF923" t="s">
        <v>27</v>
      </c>
      <c r="AG923" t="s">
        <v>26</v>
      </c>
      <c r="AH923" t="s">
        <v>5732</v>
      </c>
      <c r="AI923" t="str">
        <f t="shared" si="70"/>
        <v>NO</v>
      </c>
      <c r="AJ923" t="str">
        <f t="shared" si="71"/>
        <v>EXELTIS</v>
      </c>
      <c r="AK923" t="str">
        <f>IF(ISNUMBER(SEARCH("FABRICANTE",AC923)),"FABRICANTE",IF(ISNUMBER(SEARCH("IMPORTADOR",AC923)),"IMPORTADOR","OTRO"))</f>
        <v>FABRICANTE</v>
      </c>
      <c r="AL923" t="str">
        <f>IF(LEFT(Y923,1)="A","Sistema digestivo",IF(LEFT(Y923,1)="B","Sangre",IF(LEFT(Y923,1)="C","Cardiovascular",IF(LEFT(Y923,1)="D","Dermatológico",IF(LEFT(Y923,1)="G","Genitourinario",IF(LEFT(Y923,1)="H","Hormonal",IF(LEFT(Y923,1)="J","Antiinfecciosos",IF(LEFT(Y923,1)="L","Oncológicos",IF(LEFT(Y923,1)="M","Musculoesquelético",IF(LEFT(Y923,1)="N","Sistema nervioso",IF(LEFT(Y923,1)="R","Respiratorio",IF(LEFT(Y923,1)="S","Oftálmico",IF(LEFT(Y923,1)="V","Varios","OTRO")))))))))))))</f>
        <v>Genitourinario</v>
      </c>
      <c r="AM923" t="str">
        <f>IF(AG923="Vigente","ACTIVO",IF(ISNUMBER(SEARCH("Inactivo",J923)),"INACTIVO","REVISAR"))</f>
        <v>ACTIVO</v>
      </c>
      <c r="AN923" t="str">
        <f ca="1">IF(OR(AF923="",AF923="null"),"",ROUND((AF923-TODAY())/365.25,2))</f>
        <v/>
      </c>
      <c r="AO923" t="str">
        <f ca="1">IF(AND(AG923="Vigente",OR(AF923="",AF923="null",AF923&gt;TODAY())),"SI",IF(AND(NOT(OR(AF923="",AF923="null")),AF923&lt;=TODAY()),"NO",IF(AG923="Vigente","SI","DESCONOCIDO")))</f>
        <v>SI</v>
      </c>
      <c r="AP923" t="str">
        <f>IF(AND(ISNUMBER(SEARCH("IMPORTAR",AA923)),ISNUMBER(SEARCH("FABRICAR",AA923))),"MIXTO",IF(ISNUMBER(SEARCH("IMPORTAR",AA923)),"IMPORTADO",IF(ISNUMBER(SEARCH("FABRICAR",AA923)),"LOCAL","OTRO")))</f>
        <v>IMPORTADO</v>
      </c>
      <c r="AQ923" t="str">
        <f>IF(AD923="Si","SI",IF(AD923="No","NO",""))</f>
        <v>NO</v>
      </c>
      <c r="AR923" t="str">
        <f>IF(ISNUMBER(SEARCH("®",N923)),"MARCA/INNOVADOR","GENERICO")</f>
        <v>MARCA/INNOVADOR</v>
      </c>
      <c r="AS923">
        <f ca="1">IF(AE923&gt;100,RANDBETWEEN(500,5000),IF(AND(AE923&gt;=10,AE923&lt;=100),RANDBETWEEN(100,1000),RANDBETWEEN(10,200)))</f>
        <v>240</v>
      </c>
      <c r="AT923">
        <f t="shared" ca="1" si="72"/>
        <v>60</v>
      </c>
      <c r="AU923">
        <f ca="1">INT(AS923*RANDBETWEEN(120,200)/100)</f>
        <v>312</v>
      </c>
      <c r="AV923" s="2">
        <f ca="1">IF(LEFT(Y923,1)="L",RANDBETWEEN(500000,5000000),IF(LEFT(Y923,1)="C",RANDBETWEEN(5000,50000),IF(LEFT(Y923,1)="N",RANDBETWEEN(10000,150000),IF(LEFT(Y923,1)="J",RANDBETWEEN(8000,200000),RANDBETWEEN(5000,100000)))))</f>
        <v>89905</v>
      </c>
      <c r="AW923" s="2">
        <f ca="1">INT(AV923*RANDBETWEEN(30,60)/100)</f>
        <v>35962</v>
      </c>
      <c r="AX923">
        <f ca="1">IF(Z923="ORAL",RANDBETWEEN(1000,10000),IF(OR(Z923="INTRAVENOSA",Z923="INTRAMUSCULAR"),RANDBETWEEN(100,2000),IF(OR(Z923="OFTÁLMICA",Z923="TOPICA (EXTERNA)"),RANDBETWEEN(200,3000),RANDBETWEEN(100,1500))))</f>
        <v>1444</v>
      </c>
      <c r="AY923" s="2">
        <f ca="1">INT(AV923*RANDBETWEEN(90,130)/100)</f>
        <v>82712</v>
      </c>
      <c r="AZ923" t="str">
        <f t="shared" ca="1" si="73"/>
        <v>18.8%</v>
      </c>
      <c r="BA923" t="str">
        <f t="shared" ca="1" si="74"/>
        <v>BAJO</v>
      </c>
    </row>
    <row r="924" spans="4:53" x14ac:dyDescent="0.35">
      <c r="D924" t="s">
        <v>5734</v>
      </c>
      <c r="E924" s="1">
        <v>40465</v>
      </c>
      <c r="F924" t="s">
        <v>660</v>
      </c>
      <c r="G924" t="s">
        <v>108</v>
      </c>
      <c r="H924" t="s">
        <v>3872</v>
      </c>
      <c r="I924">
        <v>20015778</v>
      </c>
      <c r="J924" t="s">
        <v>28</v>
      </c>
      <c r="K924">
        <v>3</v>
      </c>
      <c r="L924" t="s">
        <v>5735</v>
      </c>
      <c r="M924" t="s">
        <v>5736</v>
      </c>
      <c r="N924" t="s">
        <v>5737</v>
      </c>
      <c r="O924" t="s">
        <v>5738</v>
      </c>
      <c r="P924" t="s">
        <v>4430</v>
      </c>
      <c r="Q924" s="1">
        <v>40463</v>
      </c>
      <c r="R924" t="s">
        <v>200</v>
      </c>
      <c r="S924" t="s">
        <v>27</v>
      </c>
      <c r="T924" t="s">
        <v>182</v>
      </c>
      <c r="U924" t="s">
        <v>115</v>
      </c>
      <c r="V924" t="s">
        <v>116</v>
      </c>
      <c r="W924">
        <v>160</v>
      </c>
      <c r="X924">
        <v>20015778</v>
      </c>
      <c r="Y924" t="s">
        <v>118</v>
      </c>
      <c r="Z924" t="s">
        <v>119</v>
      </c>
      <c r="AA924" t="s">
        <v>32</v>
      </c>
      <c r="AB924" t="s">
        <v>120</v>
      </c>
      <c r="AC924" t="s">
        <v>25</v>
      </c>
      <c r="AD924" t="s">
        <v>121</v>
      </c>
      <c r="AE924">
        <v>28</v>
      </c>
      <c r="AF924" t="s">
        <v>27</v>
      </c>
      <c r="AG924" t="s">
        <v>26</v>
      </c>
      <c r="AH924" t="s">
        <v>660</v>
      </c>
      <c r="AI924" t="str">
        <f t="shared" si="70"/>
        <v>NO</v>
      </c>
      <c r="AJ924" t="str">
        <f t="shared" si="71"/>
        <v>NOVARTIS PHARMA</v>
      </c>
      <c r="AK924" t="str">
        <f>IF(ISNUMBER(SEARCH("FABRICANTE",AC924)),"FABRICANTE",IF(ISNUMBER(SEARCH("IMPORTADOR",AC924)),"IMPORTADOR","OTRO"))</f>
        <v>FABRICANTE</v>
      </c>
      <c r="AL924" t="str">
        <f>IF(LEFT(Y924,1)="A","Sistema digestivo",IF(LEFT(Y924,1)="B","Sangre",IF(LEFT(Y924,1)="C","Cardiovascular",IF(LEFT(Y924,1)="D","Dermatológico",IF(LEFT(Y924,1)="G","Genitourinario",IF(LEFT(Y924,1)="H","Hormonal",IF(LEFT(Y924,1)="J","Antiinfecciosos",IF(LEFT(Y924,1)="L","Oncológicos",IF(LEFT(Y924,1)="M","Musculoesquelético",IF(LEFT(Y924,1)="N","Sistema nervioso",IF(LEFT(Y924,1)="R","Respiratorio",IF(LEFT(Y924,1)="S","Oftálmico",IF(LEFT(Y924,1)="V","Varios","OTRO")))))))))))))</f>
        <v>Cardiovascular</v>
      </c>
      <c r="AM924" t="str">
        <f>IF(AG924="Vigente","ACTIVO",IF(ISNUMBER(SEARCH("Inactivo",J924)),"INACTIVO","REVISAR"))</f>
        <v>ACTIVO</v>
      </c>
      <c r="AN924" t="str">
        <f ca="1">IF(OR(AF924="",AF924="null"),"",ROUND((AF924-TODAY())/365.25,2))</f>
        <v/>
      </c>
      <c r="AO924" t="str">
        <f ca="1">IF(AND(AG924="Vigente",OR(AF924="",AF924="null",AF924&gt;TODAY())),"SI",IF(AND(NOT(OR(AF924="",AF924="null")),AF924&lt;=TODAY()),"NO",IF(AG924="Vigente","SI","DESCONOCIDO")))</f>
        <v>SI</v>
      </c>
      <c r="AP924" t="str">
        <f>IF(AND(ISNUMBER(SEARCH("IMPORTAR",AA924)),ISNUMBER(SEARCH("FABRICAR",AA924))),"MIXTO",IF(ISNUMBER(SEARCH("IMPORTAR",AA924)),"IMPORTADO",IF(ISNUMBER(SEARCH("FABRICAR",AA924)),"LOCAL","OTRO")))</f>
        <v>IMPORTADO</v>
      </c>
      <c r="AQ924" t="str">
        <f>IF(AD924="Si","SI",IF(AD924="No","NO",""))</f>
        <v>NO</v>
      </c>
      <c r="AR924" t="str">
        <f>IF(ISNUMBER(SEARCH("®",N924)),"MARCA/INNOVADOR","GENERICO")</f>
        <v>MARCA/INNOVADOR</v>
      </c>
      <c r="AS924">
        <f ca="1">IF(AE924&gt;100,RANDBETWEEN(500,5000),IF(AND(AE924&gt;=10,AE924&lt;=100),RANDBETWEEN(100,1000),RANDBETWEEN(10,200)))</f>
        <v>345</v>
      </c>
      <c r="AT924">
        <f t="shared" ca="1" si="72"/>
        <v>96</v>
      </c>
      <c r="AU924">
        <f ca="1">INT(AS924*RANDBETWEEN(120,200)/100)</f>
        <v>417</v>
      </c>
      <c r="AV924" s="2">
        <f ca="1">IF(LEFT(Y924,1)="L",RANDBETWEEN(500000,5000000),IF(LEFT(Y924,1)="C",RANDBETWEEN(5000,50000),IF(LEFT(Y924,1)="N",RANDBETWEEN(10000,150000),IF(LEFT(Y924,1)="J",RANDBETWEEN(8000,200000),RANDBETWEEN(5000,100000)))))</f>
        <v>5194</v>
      </c>
      <c r="AW924" s="2">
        <f ca="1">INT(AV924*RANDBETWEEN(30,60)/100)</f>
        <v>1921</v>
      </c>
      <c r="AX924">
        <f ca="1">IF(Z924="ORAL",RANDBETWEEN(1000,10000),IF(OR(Z924="INTRAVENOSA",Z924="INTRAMUSCULAR"),RANDBETWEEN(100,2000),IF(OR(Z924="OFTÁLMICA",Z924="TOPICA (EXTERNA)"),RANDBETWEEN(200,3000),RANDBETWEEN(100,1500))))</f>
        <v>2776</v>
      </c>
      <c r="AY924" s="2">
        <f ca="1">INT(AV924*RANDBETWEEN(90,130)/100)</f>
        <v>5713</v>
      </c>
      <c r="AZ924" t="str">
        <f t="shared" ca="1" si="73"/>
        <v>20.4%</v>
      </c>
      <c r="BA924" t="str">
        <f t="shared" ca="1" si="74"/>
        <v>BAJO</v>
      </c>
    </row>
    <row r="925" spans="4:53" x14ac:dyDescent="0.35">
      <c r="D925" t="s">
        <v>5739</v>
      </c>
      <c r="E925" s="1">
        <v>36795</v>
      </c>
      <c r="F925" t="s">
        <v>5740</v>
      </c>
      <c r="G925" t="s">
        <v>108</v>
      </c>
      <c r="H925" t="s">
        <v>354</v>
      </c>
      <c r="I925">
        <v>19907394</v>
      </c>
      <c r="J925" t="s">
        <v>28</v>
      </c>
      <c r="K925">
        <v>6</v>
      </c>
      <c r="L925" t="s">
        <v>27</v>
      </c>
      <c r="M925" t="s">
        <v>5741</v>
      </c>
      <c r="N925" t="s">
        <v>5742</v>
      </c>
      <c r="O925" t="s">
        <v>5743</v>
      </c>
      <c r="P925" t="s">
        <v>754</v>
      </c>
      <c r="Q925" s="1">
        <v>40855</v>
      </c>
      <c r="R925" t="s">
        <v>50</v>
      </c>
      <c r="S925" t="s">
        <v>27</v>
      </c>
      <c r="T925" t="s">
        <v>354</v>
      </c>
      <c r="U925" t="s">
        <v>115</v>
      </c>
      <c r="V925" t="s">
        <v>5740</v>
      </c>
      <c r="W925">
        <v>2</v>
      </c>
      <c r="X925">
        <v>19907394</v>
      </c>
      <c r="Y925" t="s">
        <v>5744</v>
      </c>
      <c r="Z925" t="s">
        <v>260</v>
      </c>
      <c r="AA925" t="s">
        <v>32</v>
      </c>
      <c r="AB925" t="s">
        <v>120</v>
      </c>
      <c r="AC925" t="s">
        <v>38</v>
      </c>
      <c r="AD925" t="s">
        <v>121</v>
      </c>
      <c r="AE925">
        <v>1</v>
      </c>
      <c r="AF925" t="s">
        <v>27</v>
      </c>
      <c r="AG925" t="s">
        <v>26</v>
      </c>
      <c r="AH925" t="s">
        <v>5740</v>
      </c>
      <c r="AI925" t="str">
        <f t="shared" si="70"/>
        <v>NO</v>
      </c>
      <c r="AJ925" t="str">
        <f t="shared" si="71"/>
        <v>PFIZER</v>
      </c>
      <c r="AK925" t="str">
        <f>IF(ISNUMBER(SEARCH("FABRICANTE",AC925)),"FABRICANTE",IF(ISNUMBER(SEARCH("IMPORTADOR",AC925)),"IMPORTADOR","OTRO"))</f>
        <v>IMPORTADOR</v>
      </c>
      <c r="AL925" t="str">
        <f>IF(LEFT(Y925,1)="A","Sistema digestivo",IF(LEFT(Y925,1)="B","Sangre",IF(LEFT(Y925,1)="C","Cardiovascular",IF(LEFT(Y925,1)="D","Dermatológico",IF(LEFT(Y925,1)="G","Genitourinario",IF(LEFT(Y925,1)="H","Hormonal",IF(LEFT(Y925,1)="J","Antiinfecciosos",IF(LEFT(Y925,1)="L","Oncológicos",IF(LEFT(Y925,1)="M","Musculoesquelético",IF(LEFT(Y925,1)="N","Sistema nervioso",IF(LEFT(Y925,1)="R","Respiratorio",IF(LEFT(Y925,1)="S","Oftálmico",IF(LEFT(Y925,1)="V","Varios","OTRO")))))))))))))</f>
        <v>Antiinfecciosos</v>
      </c>
      <c r="AM925" t="str">
        <f>IF(AG925="Vigente","ACTIVO",IF(ISNUMBER(SEARCH("Inactivo",J925)),"INACTIVO","REVISAR"))</f>
        <v>ACTIVO</v>
      </c>
      <c r="AN925" t="str">
        <f ca="1">IF(OR(AF925="",AF925="null"),"",ROUND((AF925-TODAY())/365.25,2))</f>
        <v/>
      </c>
      <c r="AO925" t="str">
        <f ca="1">IF(AND(AG925="Vigente",OR(AF925="",AF925="null",AF925&gt;TODAY())),"SI",IF(AND(NOT(OR(AF925="",AF925="null")),AF925&lt;=TODAY()),"NO",IF(AG925="Vigente","SI","DESCONOCIDO")))</f>
        <v>SI</v>
      </c>
      <c r="AP925" t="str">
        <f>IF(AND(ISNUMBER(SEARCH("IMPORTAR",AA925)),ISNUMBER(SEARCH("FABRICAR",AA925))),"MIXTO",IF(ISNUMBER(SEARCH("IMPORTAR",AA925)),"IMPORTADO",IF(ISNUMBER(SEARCH("FABRICAR",AA925)),"LOCAL","OTRO")))</f>
        <v>IMPORTADO</v>
      </c>
      <c r="AQ925" t="str">
        <f>IF(AD925="Si","SI",IF(AD925="No","NO",""))</f>
        <v>NO</v>
      </c>
      <c r="AR925" t="str">
        <f>IF(ISNUMBER(SEARCH("®",N925)),"MARCA/INNOVADOR","GENERICO")</f>
        <v>MARCA/INNOVADOR</v>
      </c>
      <c r="AS925">
        <f ca="1">IF(AE925&gt;100,RANDBETWEEN(500,5000),IF(AND(AE925&gt;=10,AE925&lt;=100),RANDBETWEEN(100,1000),RANDBETWEEN(10,200)))</f>
        <v>160</v>
      </c>
      <c r="AT925">
        <f t="shared" ca="1" si="72"/>
        <v>48</v>
      </c>
      <c r="AU925">
        <f ca="1">INT(AS925*RANDBETWEEN(120,200)/100)</f>
        <v>260</v>
      </c>
      <c r="AV925" s="2">
        <f ca="1">IF(LEFT(Y925,1)="L",RANDBETWEEN(500000,5000000),IF(LEFT(Y925,1)="C",RANDBETWEEN(5000,50000),IF(LEFT(Y925,1)="N",RANDBETWEEN(10000,150000),IF(LEFT(Y925,1)="J",RANDBETWEEN(8000,200000),RANDBETWEEN(5000,100000)))))</f>
        <v>88113</v>
      </c>
      <c r="AW925" s="2">
        <f ca="1">INT(AV925*RANDBETWEEN(30,60)/100)</f>
        <v>27315</v>
      </c>
      <c r="AX925">
        <f ca="1">IF(Z925="ORAL",RANDBETWEEN(1000,10000),IF(OR(Z925="INTRAVENOSA",Z925="INTRAMUSCULAR"),RANDBETWEEN(100,2000),IF(OR(Z925="OFTÁLMICA",Z925="TOPICA (EXTERNA)"),RANDBETWEEN(200,3000),RANDBETWEEN(100,1500))))</f>
        <v>1110</v>
      </c>
      <c r="AY925" s="2">
        <f ca="1">INT(AV925*RANDBETWEEN(90,130)/100)</f>
        <v>113665</v>
      </c>
      <c r="AZ925" t="str">
        <f t="shared" ca="1" si="73"/>
        <v>0.1%</v>
      </c>
      <c r="BA925" t="str">
        <f t="shared" ca="1" si="74"/>
        <v>BAJO</v>
      </c>
    </row>
    <row r="926" spans="4:53" x14ac:dyDescent="0.35">
      <c r="D926" t="s">
        <v>5745</v>
      </c>
      <c r="E926" s="1">
        <v>40228</v>
      </c>
      <c r="F926" t="s">
        <v>107</v>
      </c>
      <c r="G926" t="s">
        <v>108</v>
      </c>
      <c r="H926" t="s">
        <v>158</v>
      </c>
      <c r="I926">
        <v>20009236</v>
      </c>
      <c r="J926" t="s">
        <v>110</v>
      </c>
      <c r="K926">
        <v>18</v>
      </c>
      <c r="L926" t="s">
        <v>27</v>
      </c>
      <c r="M926" t="s">
        <v>2111</v>
      </c>
      <c r="N926" t="s">
        <v>2112</v>
      </c>
      <c r="O926" t="s">
        <v>5746</v>
      </c>
      <c r="P926" t="s">
        <v>266</v>
      </c>
      <c r="Q926" s="1">
        <v>43550</v>
      </c>
      <c r="R926" t="s">
        <v>33</v>
      </c>
      <c r="S926" s="1">
        <v>45562</v>
      </c>
      <c r="T926" t="s">
        <v>80</v>
      </c>
      <c r="U926" t="s">
        <v>115</v>
      </c>
      <c r="V926" t="s">
        <v>415</v>
      </c>
      <c r="W926">
        <v>25</v>
      </c>
      <c r="X926">
        <v>20009236</v>
      </c>
      <c r="Y926" t="s">
        <v>416</v>
      </c>
      <c r="Z926" t="s">
        <v>119</v>
      </c>
      <c r="AA926" t="s">
        <v>24</v>
      </c>
      <c r="AB926" t="s">
        <v>120</v>
      </c>
      <c r="AC926" t="s">
        <v>25</v>
      </c>
      <c r="AD926" t="s">
        <v>121</v>
      </c>
      <c r="AE926">
        <v>150</v>
      </c>
      <c r="AF926" t="s">
        <v>27</v>
      </c>
      <c r="AG926" t="s">
        <v>26</v>
      </c>
      <c r="AH926" t="s">
        <v>107</v>
      </c>
      <c r="AI926" t="str">
        <f t="shared" si="70"/>
        <v>NO</v>
      </c>
      <c r="AJ926" t="str">
        <f t="shared" si="71"/>
        <v>TECNOQUIMICAS</v>
      </c>
      <c r="AK926" t="str">
        <f>IF(ISNUMBER(SEARCH("FABRICANTE",AC926)),"FABRICANTE",IF(ISNUMBER(SEARCH("IMPORTADOR",AC926)),"IMPORTADOR","OTRO"))</f>
        <v>FABRICANTE</v>
      </c>
      <c r="AL926" t="str">
        <f>IF(LEFT(Y926,1)="A","Sistema digestivo",IF(LEFT(Y926,1)="B","Sangre",IF(LEFT(Y926,1)="C","Cardiovascular",IF(LEFT(Y926,1)="D","Dermatológico",IF(LEFT(Y926,1)="G","Genitourinario",IF(LEFT(Y926,1)="H","Hormonal",IF(LEFT(Y926,1)="J","Antiinfecciosos",IF(LEFT(Y926,1)="L","Oncológicos",IF(LEFT(Y926,1)="M","Musculoesquelético",IF(LEFT(Y926,1)="N","Sistema nervioso",IF(LEFT(Y926,1)="R","Respiratorio",IF(LEFT(Y926,1)="S","Oftálmico",IF(LEFT(Y926,1)="V","Varios","OTRO")))))))))))))</f>
        <v>Cardiovascular</v>
      </c>
      <c r="AM926" t="str">
        <f>IF(AG926="Vigente","ACTIVO",IF(ISNUMBER(SEARCH("Inactivo",J926)),"INACTIVO","REVISAR"))</f>
        <v>ACTIVO</v>
      </c>
      <c r="AN926" t="str">
        <f ca="1">IF(OR(AF926="",AF926="null"),"",ROUND((AF926-TODAY())/365.25,2))</f>
        <v/>
      </c>
      <c r="AO926" t="str">
        <f ca="1">IF(AND(AG926="Vigente",OR(AF926="",AF926="null",AF926&gt;TODAY())),"SI",IF(AND(NOT(OR(AF926="",AF926="null")),AF926&lt;=TODAY()),"NO",IF(AG926="Vigente","SI","DESCONOCIDO")))</f>
        <v>SI</v>
      </c>
      <c r="AP926" t="str">
        <f>IF(AND(ISNUMBER(SEARCH("IMPORTAR",AA926)),ISNUMBER(SEARCH("FABRICAR",AA926))),"MIXTO",IF(ISNUMBER(SEARCH("IMPORTAR",AA926)),"IMPORTADO",IF(ISNUMBER(SEARCH("FABRICAR",AA926)),"LOCAL","OTRO")))</f>
        <v>LOCAL</v>
      </c>
      <c r="AQ926" t="str">
        <f>IF(AD926="Si","SI",IF(AD926="No","NO",""))</f>
        <v>NO</v>
      </c>
      <c r="AR926" t="str">
        <f>IF(ISNUMBER(SEARCH("®",N926)),"MARCA/INNOVADOR","GENERICO")</f>
        <v>GENERICO</v>
      </c>
      <c r="AS926">
        <f ca="1">IF(AE926&gt;100,RANDBETWEEN(500,5000),IF(AND(AE926&gt;=10,AE926&lt;=100),RANDBETWEEN(100,1000),RANDBETWEEN(10,200)))</f>
        <v>3506</v>
      </c>
      <c r="AT926">
        <f t="shared" ca="1" si="72"/>
        <v>1051</v>
      </c>
      <c r="AU926">
        <f ca="1">INT(AS926*RANDBETWEEN(120,200)/100)</f>
        <v>4838</v>
      </c>
      <c r="AV926" s="2">
        <f ca="1">IF(LEFT(Y926,1)="L",RANDBETWEEN(500000,5000000),IF(LEFT(Y926,1)="C",RANDBETWEEN(5000,50000),IF(LEFT(Y926,1)="N",RANDBETWEEN(10000,150000),IF(LEFT(Y926,1)="J",RANDBETWEEN(8000,200000),RANDBETWEEN(5000,100000)))))</f>
        <v>17091</v>
      </c>
      <c r="AW926" s="2">
        <f ca="1">INT(AV926*RANDBETWEEN(30,60)/100)</f>
        <v>8545</v>
      </c>
      <c r="AX926">
        <f ca="1">IF(Z926="ORAL",RANDBETWEEN(1000,10000),IF(OR(Z926="INTRAVENOSA",Z926="INTRAMUSCULAR"),RANDBETWEEN(100,2000),IF(OR(Z926="OFTÁLMICA",Z926="TOPICA (EXTERNA)"),RANDBETWEEN(200,3000),RANDBETWEEN(100,1500))))</f>
        <v>6035</v>
      </c>
      <c r="AY926" s="2">
        <f ca="1">INT(AV926*RANDBETWEEN(90,130)/100)</f>
        <v>22218</v>
      </c>
      <c r="AZ926" t="str">
        <f t="shared" ca="1" si="73"/>
        <v>19.2%</v>
      </c>
      <c r="BA926" t="str">
        <f t="shared" ca="1" si="74"/>
        <v>ALTO</v>
      </c>
    </row>
    <row r="927" spans="4:53" x14ac:dyDescent="0.35">
      <c r="D927" t="s">
        <v>5747</v>
      </c>
      <c r="E927" s="1">
        <v>38867</v>
      </c>
      <c r="F927" t="s">
        <v>5748</v>
      </c>
      <c r="G927" t="s">
        <v>108</v>
      </c>
      <c r="H927" t="s">
        <v>1490</v>
      </c>
      <c r="I927">
        <v>19962215</v>
      </c>
      <c r="J927" t="s">
        <v>28</v>
      </c>
      <c r="K927">
        <v>1</v>
      </c>
      <c r="L927" t="s">
        <v>27</v>
      </c>
      <c r="M927" t="s">
        <v>5749</v>
      </c>
      <c r="N927" t="s">
        <v>5750</v>
      </c>
      <c r="O927" t="s">
        <v>5751</v>
      </c>
      <c r="P927" t="s">
        <v>432</v>
      </c>
      <c r="Q927" s="1">
        <v>39105</v>
      </c>
      <c r="R927" t="s">
        <v>33</v>
      </c>
      <c r="S927" t="s">
        <v>27</v>
      </c>
      <c r="T927" t="s">
        <v>836</v>
      </c>
      <c r="U927" t="s">
        <v>115</v>
      </c>
      <c r="V927" t="s">
        <v>1696</v>
      </c>
      <c r="W927">
        <v>20</v>
      </c>
      <c r="X927">
        <v>19962215</v>
      </c>
      <c r="Y927" t="s">
        <v>1697</v>
      </c>
      <c r="Z927" t="s">
        <v>119</v>
      </c>
      <c r="AA927" t="s">
        <v>24</v>
      </c>
      <c r="AB927" t="s">
        <v>120</v>
      </c>
      <c r="AC927" t="s">
        <v>25</v>
      </c>
      <c r="AD927" t="s">
        <v>121</v>
      </c>
      <c r="AE927">
        <v>10</v>
      </c>
      <c r="AF927" t="s">
        <v>27</v>
      </c>
      <c r="AG927" t="s">
        <v>26</v>
      </c>
      <c r="AH927" t="s">
        <v>6711</v>
      </c>
      <c r="AI927" t="str">
        <f t="shared" si="70"/>
        <v>SI</v>
      </c>
      <c r="AJ927" t="str">
        <f t="shared" si="71"/>
        <v>AMERICAN GENERICS</v>
      </c>
      <c r="AK927" t="str">
        <f>IF(ISNUMBER(SEARCH("FABRICANTE",AC927)),"FABRICANTE",IF(ISNUMBER(SEARCH("IMPORTADOR",AC927)),"IMPORTADOR","OTRO"))</f>
        <v>FABRICANTE</v>
      </c>
      <c r="AL927" t="str">
        <f>IF(LEFT(Y927,1)="A","Sistema digestivo",IF(LEFT(Y927,1)="B","Sangre",IF(LEFT(Y927,1)="C","Cardiovascular",IF(LEFT(Y927,1)="D","Dermatológico",IF(LEFT(Y927,1)="G","Genitourinario",IF(LEFT(Y927,1)="H","Hormonal",IF(LEFT(Y927,1)="J","Antiinfecciosos",IF(LEFT(Y927,1)="L","Oncológicos",IF(LEFT(Y927,1)="M","Musculoesquelético",IF(LEFT(Y927,1)="N","Sistema nervioso",IF(LEFT(Y927,1)="R","Respiratorio",IF(LEFT(Y927,1)="S","Oftálmico",IF(LEFT(Y927,1)="V","Varios","OTRO")))))))))))))</f>
        <v>Sistema nervioso</v>
      </c>
      <c r="AM927" t="str">
        <f>IF(AG927="Vigente","ACTIVO",IF(ISNUMBER(SEARCH("Inactivo",J927)),"INACTIVO","REVISAR"))</f>
        <v>ACTIVO</v>
      </c>
      <c r="AN927" t="str">
        <f ca="1">IF(OR(AF927="",AF927="null"),"",ROUND((AF927-TODAY())/365.25,2))</f>
        <v/>
      </c>
      <c r="AO927" t="str">
        <f ca="1">IF(AND(AG927="Vigente",OR(AF927="",AF927="null",AF927&gt;TODAY())),"SI",IF(AND(NOT(OR(AF927="",AF927="null")),AF927&lt;=TODAY()),"NO",IF(AG927="Vigente","SI","DESCONOCIDO")))</f>
        <v>SI</v>
      </c>
      <c r="AP927" t="str">
        <f>IF(AND(ISNUMBER(SEARCH("IMPORTAR",AA927)),ISNUMBER(SEARCH("FABRICAR",AA927))),"MIXTO",IF(ISNUMBER(SEARCH("IMPORTAR",AA927)),"IMPORTADO",IF(ISNUMBER(SEARCH("FABRICAR",AA927)),"LOCAL","OTRO")))</f>
        <v>LOCAL</v>
      </c>
      <c r="AQ927" t="str">
        <f>IF(AD927="Si","SI",IF(AD927="No","NO",""))</f>
        <v>NO</v>
      </c>
      <c r="AR927" t="str">
        <f>IF(ISNUMBER(SEARCH("®",N927)),"MARCA/INNOVADOR","GENERICO")</f>
        <v>GENERICO</v>
      </c>
      <c r="AS927">
        <f ca="1">IF(AE927&gt;100,RANDBETWEEN(500,5000),IF(AND(AE927&gt;=10,AE927&lt;=100),RANDBETWEEN(100,1000),RANDBETWEEN(10,200)))</f>
        <v>498</v>
      </c>
      <c r="AT927">
        <f t="shared" ca="1" si="72"/>
        <v>94</v>
      </c>
      <c r="AU927">
        <f ca="1">INT(AS927*RANDBETWEEN(120,200)/100)</f>
        <v>996</v>
      </c>
      <c r="AV927" s="2">
        <f ca="1">IF(LEFT(Y927,1)="L",RANDBETWEEN(500000,5000000),IF(LEFT(Y927,1)="C",RANDBETWEEN(5000,50000),IF(LEFT(Y927,1)="N",RANDBETWEEN(10000,150000),IF(LEFT(Y927,1)="J",RANDBETWEEN(8000,200000),RANDBETWEEN(5000,100000)))))</f>
        <v>121676</v>
      </c>
      <c r="AW927" s="2">
        <f ca="1">INT(AV927*RANDBETWEEN(30,60)/100)</f>
        <v>40153</v>
      </c>
      <c r="AX927">
        <f ca="1">IF(Z927="ORAL",RANDBETWEEN(1000,10000),IF(OR(Z927="INTRAVENOSA",Z927="INTRAMUSCULAR"),RANDBETWEEN(100,2000),IF(OR(Z927="OFTÁLMICA",Z927="TOPICA (EXTERNA)"),RANDBETWEEN(200,3000),RANDBETWEEN(100,1500))))</f>
        <v>6428</v>
      </c>
      <c r="AY927" s="2">
        <f ca="1">INT(AV927*RANDBETWEEN(90,130)/100)</f>
        <v>148444</v>
      </c>
      <c r="AZ927" t="str">
        <f t="shared" ca="1" si="73"/>
        <v>11.9%</v>
      </c>
      <c r="BA927" t="str">
        <f t="shared" ca="1" si="74"/>
        <v>BAJO</v>
      </c>
    </row>
    <row r="928" spans="4:53" x14ac:dyDescent="0.35">
      <c r="D928" t="s">
        <v>5752</v>
      </c>
      <c r="E928" s="1">
        <v>42030</v>
      </c>
      <c r="F928" t="s">
        <v>5753</v>
      </c>
      <c r="G928" t="s">
        <v>108</v>
      </c>
      <c r="H928" t="s">
        <v>5754</v>
      </c>
      <c r="I928">
        <v>20070804</v>
      </c>
      <c r="J928" t="s">
        <v>28</v>
      </c>
      <c r="K928">
        <v>4</v>
      </c>
      <c r="L928" t="s">
        <v>27</v>
      </c>
      <c r="M928" t="s">
        <v>5755</v>
      </c>
      <c r="N928" t="s">
        <v>5756</v>
      </c>
      <c r="O928" t="s">
        <v>5757</v>
      </c>
      <c r="P928" t="s">
        <v>181</v>
      </c>
      <c r="Q928" s="1">
        <v>41996</v>
      </c>
      <c r="R928" t="s">
        <v>37</v>
      </c>
      <c r="S928" t="s">
        <v>27</v>
      </c>
      <c r="T928" t="s">
        <v>449</v>
      </c>
      <c r="U928" t="s">
        <v>115</v>
      </c>
      <c r="V928" t="s">
        <v>5753</v>
      </c>
      <c r="W928">
        <v>4</v>
      </c>
      <c r="X928">
        <v>20070804</v>
      </c>
      <c r="Y928" t="s">
        <v>5758</v>
      </c>
      <c r="Z928" t="s">
        <v>119</v>
      </c>
      <c r="AA928" t="s">
        <v>32</v>
      </c>
      <c r="AB928" t="s">
        <v>120</v>
      </c>
      <c r="AC928" t="s">
        <v>25</v>
      </c>
      <c r="AD928" t="s">
        <v>121</v>
      </c>
      <c r="AE928">
        <v>30</v>
      </c>
      <c r="AF928" t="s">
        <v>27</v>
      </c>
      <c r="AG928" t="s">
        <v>26</v>
      </c>
      <c r="AH928" t="s">
        <v>5753</v>
      </c>
      <c r="AI928" t="str">
        <f t="shared" si="70"/>
        <v>NO</v>
      </c>
      <c r="AJ928" t="str">
        <f t="shared" si="71"/>
        <v>MSN LABORATORIES PRIVATE</v>
      </c>
      <c r="AK928" t="str">
        <f>IF(ISNUMBER(SEARCH("FABRICANTE",AC928)),"FABRICANTE",IF(ISNUMBER(SEARCH("IMPORTADOR",AC928)),"IMPORTADOR","OTRO"))</f>
        <v>FABRICANTE</v>
      </c>
      <c r="AL928" t="str">
        <f>IF(LEFT(Y928,1)="A","Sistema digestivo",IF(LEFT(Y928,1)="B","Sangre",IF(LEFT(Y928,1)="C","Cardiovascular",IF(LEFT(Y928,1)="D","Dermatológico",IF(LEFT(Y928,1)="G","Genitourinario",IF(LEFT(Y928,1)="H","Hormonal",IF(LEFT(Y928,1)="J","Antiinfecciosos",IF(LEFT(Y928,1)="L","Oncológicos",IF(LEFT(Y928,1)="M","Musculoesquelético",IF(LEFT(Y928,1)="N","Sistema nervioso",IF(LEFT(Y928,1)="R","Respiratorio",IF(LEFT(Y928,1)="S","Oftálmico",IF(LEFT(Y928,1)="V","Varios","OTRO")))))))))))))</f>
        <v>Genitourinario</v>
      </c>
      <c r="AM928" t="str">
        <f>IF(AG928="Vigente","ACTIVO",IF(ISNUMBER(SEARCH("Inactivo",J928)),"INACTIVO","REVISAR"))</f>
        <v>ACTIVO</v>
      </c>
      <c r="AN928" t="str">
        <f ca="1">IF(OR(AF928="",AF928="null"),"",ROUND((AF928-TODAY())/365.25,2))</f>
        <v/>
      </c>
      <c r="AO928" t="str">
        <f ca="1">IF(AND(AG928="Vigente",OR(AF928="",AF928="null",AF928&gt;TODAY())),"SI",IF(AND(NOT(OR(AF928="",AF928="null")),AF928&lt;=TODAY()),"NO",IF(AG928="Vigente","SI","DESCONOCIDO")))</f>
        <v>SI</v>
      </c>
      <c r="AP928" t="str">
        <f>IF(AND(ISNUMBER(SEARCH("IMPORTAR",AA928)),ISNUMBER(SEARCH("FABRICAR",AA928))),"MIXTO",IF(ISNUMBER(SEARCH("IMPORTAR",AA928)),"IMPORTADO",IF(ISNUMBER(SEARCH("FABRICAR",AA928)),"LOCAL","OTRO")))</f>
        <v>IMPORTADO</v>
      </c>
      <c r="AQ928" t="str">
        <f>IF(AD928="Si","SI",IF(AD928="No","NO",""))</f>
        <v>NO</v>
      </c>
      <c r="AR928" t="str">
        <f>IF(ISNUMBER(SEARCH("®",N928)),"MARCA/INNOVADOR","GENERICO")</f>
        <v>MARCA/INNOVADOR</v>
      </c>
      <c r="AS928">
        <f ca="1">IF(AE928&gt;100,RANDBETWEEN(500,5000),IF(AND(AE928&gt;=10,AE928&lt;=100),RANDBETWEEN(100,1000),RANDBETWEEN(10,200)))</f>
        <v>654</v>
      </c>
      <c r="AT928">
        <f t="shared" ca="1" si="72"/>
        <v>170</v>
      </c>
      <c r="AU928">
        <f ca="1">INT(AS928*RANDBETWEEN(120,200)/100)</f>
        <v>1151</v>
      </c>
      <c r="AV928" s="2">
        <f ca="1">IF(LEFT(Y928,1)="L",RANDBETWEEN(500000,5000000),IF(LEFT(Y928,1)="C",RANDBETWEEN(5000,50000),IF(LEFT(Y928,1)="N",RANDBETWEEN(10000,150000),IF(LEFT(Y928,1)="J",RANDBETWEEN(8000,200000),RANDBETWEEN(5000,100000)))))</f>
        <v>57230</v>
      </c>
      <c r="AW928" s="2">
        <f ca="1">INT(AV928*RANDBETWEEN(30,60)/100)</f>
        <v>34338</v>
      </c>
      <c r="AX928">
        <f ca="1">IF(Z928="ORAL",RANDBETWEEN(1000,10000),IF(OR(Z928="INTRAVENOSA",Z928="INTRAMUSCULAR"),RANDBETWEEN(100,2000),IF(OR(Z928="OFTÁLMICA",Z928="TOPICA (EXTERNA)"),RANDBETWEEN(200,3000),RANDBETWEEN(100,1500))))</f>
        <v>5778</v>
      </c>
      <c r="AY928" s="2">
        <f ca="1">INT(AV928*RANDBETWEEN(90,130)/100)</f>
        <v>61808</v>
      </c>
      <c r="AZ928" t="str">
        <f t="shared" ca="1" si="73"/>
        <v>9.9%</v>
      </c>
      <c r="BA928" t="str">
        <f t="shared" ca="1" si="74"/>
        <v>BAJO</v>
      </c>
    </row>
    <row r="929" spans="4:53" x14ac:dyDescent="0.35">
      <c r="D929" t="s">
        <v>5759</v>
      </c>
      <c r="E929" s="1">
        <v>44399</v>
      </c>
      <c r="F929" t="s">
        <v>3523</v>
      </c>
      <c r="G929" t="s">
        <v>108</v>
      </c>
      <c r="H929" t="s">
        <v>114</v>
      </c>
      <c r="I929">
        <v>20166878</v>
      </c>
      <c r="J929" t="s">
        <v>28</v>
      </c>
      <c r="K929">
        <v>1</v>
      </c>
      <c r="L929" t="s">
        <v>5760</v>
      </c>
      <c r="M929" t="s">
        <v>5761</v>
      </c>
      <c r="N929" t="s">
        <v>5762</v>
      </c>
      <c r="O929" t="s">
        <v>5763</v>
      </c>
      <c r="P929" t="s">
        <v>2643</v>
      </c>
      <c r="Q929" s="1">
        <v>43812</v>
      </c>
      <c r="R929" t="s">
        <v>47</v>
      </c>
      <c r="S929" t="s">
        <v>27</v>
      </c>
      <c r="T929" t="s">
        <v>114</v>
      </c>
      <c r="U929" t="s">
        <v>115</v>
      </c>
      <c r="V929" t="s">
        <v>5764</v>
      </c>
      <c r="W929">
        <v>10</v>
      </c>
      <c r="X929">
        <v>20166878</v>
      </c>
      <c r="Y929" t="s">
        <v>5765</v>
      </c>
      <c r="Z929" t="s">
        <v>119</v>
      </c>
      <c r="AA929" t="s">
        <v>24</v>
      </c>
      <c r="AB929" t="s">
        <v>120</v>
      </c>
      <c r="AC929" t="s">
        <v>25</v>
      </c>
      <c r="AD929" t="s">
        <v>121</v>
      </c>
      <c r="AE929">
        <v>20</v>
      </c>
      <c r="AF929" t="s">
        <v>27</v>
      </c>
      <c r="AG929" t="s">
        <v>26</v>
      </c>
      <c r="AH929" t="s">
        <v>3523</v>
      </c>
      <c r="AI929" t="str">
        <f t="shared" si="70"/>
        <v>NO</v>
      </c>
      <c r="AJ929" t="str">
        <f t="shared" si="71"/>
        <v>LABORATORIOS LEGRAND</v>
      </c>
      <c r="AK929" t="str">
        <f>IF(ISNUMBER(SEARCH("FABRICANTE",AC929)),"FABRICANTE",IF(ISNUMBER(SEARCH("IMPORTADOR",AC929)),"IMPORTADOR","OTRO"))</f>
        <v>FABRICANTE</v>
      </c>
      <c r="AL929" t="str">
        <f>IF(LEFT(Y929,1)="A","Sistema digestivo",IF(LEFT(Y929,1)="B","Sangre",IF(LEFT(Y929,1)="C","Cardiovascular",IF(LEFT(Y929,1)="D","Dermatológico",IF(LEFT(Y929,1)="G","Genitourinario",IF(LEFT(Y929,1)="H","Hormonal",IF(LEFT(Y929,1)="J","Antiinfecciosos",IF(LEFT(Y929,1)="L","Oncológicos",IF(LEFT(Y929,1)="M","Musculoesquelético",IF(LEFT(Y929,1)="N","Sistema nervioso",IF(LEFT(Y929,1)="R","Respiratorio",IF(LEFT(Y929,1)="S","Oftálmico",IF(LEFT(Y929,1)="V","Varios","OTRO")))))))))))))</f>
        <v>Sistema nervioso</v>
      </c>
      <c r="AM929" t="str">
        <f>IF(AG929="Vigente","ACTIVO",IF(ISNUMBER(SEARCH("Inactivo",J929)),"INACTIVO","REVISAR"))</f>
        <v>ACTIVO</v>
      </c>
      <c r="AN929" t="str">
        <f ca="1">IF(OR(AF929="",AF929="null"),"",ROUND((AF929-TODAY())/365.25,2))</f>
        <v/>
      </c>
      <c r="AO929" t="str">
        <f ca="1">IF(AND(AG929="Vigente",OR(AF929="",AF929="null",AF929&gt;TODAY())),"SI",IF(AND(NOT(OR(AF929="",AF929="null")),AF929&lt;=TODAY()),"NO",IF(AG929="Vigente","SI","DESCONOCIDO")))</f>
        <v>SI</v>
      </c>
      <c r="AP929" t="str">
        <f>IF(AND(ISNUMBER(SEARCH("IMPORTAR",AA929)),ISNUMBER(SEARCH("FABRICAR",AA929))),"MIXTO",IF(ISNUMBER(SEARCH("IMPORTAR",AA929)),"IMPORTADO",IF(ISNUMBER(SEARCH("FABRICAR",AA929)),"LOCAL","OTRO")))</f>
        <v>LOCAL</v>
      </c>
      <c r="AQ929" t="str">
        <f>IF(AD929="Si","SI",IF(AD929="No","NO",""))</f>
        <v>NO</v>
      </c>
      <c r="AR929" t="str">
        <f>IF(ISNUMBER(SEARCH("®",N929)),"MARCA/INNOVADOR","GENERICO")</f>
        <v>MARCA/INNOVADOR</v>
      </c>
      <c r="AS929">
        <f ca="1">IF(AE929&gt;100,RANDBETWEEN(500,5000),IF(AND(AE929&gt;=10,AE929&lt;=100),RANDBETWEEN(100,1000),RANDBETWEEN(10,200)))</f>
        <v>695</v>
      </c>
      <c r="AT929">
        <f t="shared" ca="1" si="72"/>
        <v>97</v>
      </c>
      <c r="AU929">
        <f ca="1">INT(AS929*RANDBETWEEN(120,200)/100)</f>
        <v>945</v>
      </c>
      <c r="AV929" s="2">
        <f ca="1">IF(LEFT(Y929,1)="L",RANDBETWEEN(500000,5000000),IF(LEFT(Y929,1)="C",RANDBETWEEN(5000,50000),IF(LEFT(Y929,1)="N",RANDBETWEEN(10000,150000),IF(LEFT(Y929,1)="J",RANDBETWEEN(8000,200000),RANDBETWEEN(5000,100000)))))</f>
        <v>73406</v>
      </c>
      <c r="AW929" s="2">
        <f ca="1">INT(AV929*RANDBETWEEN(30,60)/100)</f>
        <v>26426</v>
      </c>
      <c r="AX929">
        <f ca="1">IF(Z929="ORAL",RANDBETWEEN(1000,10000),IF(OR(Z929="INTRAVENOSA",Z929="INTRAMUSCULAR"),RANDBETWEEN(100,2000),IF(OR(Z929="OFTÁLMICA",Z929="TOPICA (EXTERNA)"),RANDBETWEEN(200,3000),RANDBETWEEN(100,1500))))</f>
        <v>7948</v>
      </c>
      <c r="AY929" s="2">
        <f ca="1">INT(AV929*RANDBETWEEN(90,130)/100)</f>
        <v>76342</v>
      </c>
      <c r="AZ929" t="str">
        <f t="shared" ca="1" si="73"/>
        <v>20.6%</v>
      </c>
      <c r="BA929" t="str">
        <f t="shared" ca="1" si="74"/>
        <v>BAJO</v>
      </c>
    </row>
    <row r="930" spans="4:53" x14ac:dyDescent="0.35">
      <c r="D930" t="s">
        <v>5766</v>
      </c>
      <c r="E930" s="1">
        <v>39784</v>
      </c>
      <c r="F930" t="s">
        <v>186</v>
      </c>
      <c r="G930" t="s">
        <v>108</v>
      </c>
      <c r="H930" t="s">
        <v>1069</v>
      </c>
      <c r="I930">
        <v>19993410</v>
      </c>
      <c r="J930" t="s">
        <v>28</v>
      </c>
      <c r="K930">
        <v>7</v>
      </c>
      <c r="L930" t="s">
        <v>27</v>
      </c>
      <c r="M930" t="s">
        <v>5767</v>
      </c>
      <c r="N930" t="s">
        <v>5768</v>
      </c>
      <c r="O930" t="s">
        <v>5769</v>
      </c>
      <c r="P930" t="s">
        <v>29</v>
      </c>
      <c r="Q930" s="1">
        <v>39702</v>
      </c>
      <c r="R930" t="s">
        <v>29</v>
      </c>
      <c r="S930" t="s">
        <v>27</v>
      </c>
      <c r="T930" t="s">
        <v>1069</v>
      </c>
      <c r="U930" t="s">
        <v>115</v>
      </c>
      <c r="V930" t="s">
        <v>5770</v>
      </c>
      <c r="W930">
        <v>10</v>
      </c>
      <c r="X930">
        <v>19993410</v>
      </c>
      <c r="Y930" t="s">
        <v>5771</v>
      </c>
      <c r="Z930" t="s">
        <v>119</v>
      </c>
      <c r="AA930" t="s">
        <v>32</v>
      </c>
      <c r="AB930" t="s">
        <v>120</v>
      </c>
      <c r="AC930" t="s">
        <v>25</v>
      </c>
      <c r="AD930" t="s">
        <v>121</v>
      </c>
      <c r="AE930">
        <v>10</v>
      </c>
      <c r="AF930" t="s">
        <v>27</v>
      </c>
      <c r="AG930" t="s">
        <v>26</v>
      </c>
      <c r="AH930" t="s">
        <v>186</v>
      </c>
      <c r="AI930" t="str">
        <f t="shared" si="70"/>
        <v>NO</v>
      </c>
      <c r="AJ930" t="str">
        <f t="shared" si="71"/>
        <v>FARMACEUTICA PARAGUAYA</v>
      </c>
      <c r="AK930" t="str">
        <f>IF(ISNUMBER(SEARCH("FABRICANTE",AC930)),"FABRICANTE",IF(ISNUMBER(SEARCH("IMPORTADOR",AC930)),"IMPORTADOR","OTRO"))</f>
        <v>FABRICANTE</v>
      </c>
      <c r="AL930" t="str">
        <f>IF(LEFT(Y930,1)="A","Sistema digestivo",IF(LEFT(Y930,1)="B","Sangre",IF(LEFT(Y930,1)="C","Cardiovascular",IF(LEFT(Y930,1)="D","Dermatológico",IF(LEFT(Y930,1)="G","Genitourinario",IF(LEFT(Y930,1)="H","Hormonal",IF(LEFT(Y930,1)="J","Antiinfecciosos",IF(LEFT(Y930,1)="L","Oncológicos",IF(LEFT(Y930,1)="M","Musculoesquelético",IF(LEFT(Y930,1)="N","Sistema nervioso",IF(LEFT(Y930,1)="R","Respiratorio",IF(LEFT(Y930,1)="S","Oftálmico",IF(LEFT(Y930,1)="V","Varios","OTRO")))))))))))))</f>
        <v>Cardiovascular</v>
      </c>
      <c r="AM930" t="str">
        <f>IF(AG930="Vigente","ACTIVO",IF(ISNUMBER(SEARCH("Inactivo",J930)),"INACTIVO","REVISAR"))</f>
        <v>ACTIVO</v>
      </c>
      <c r="AN930" t="str">
        <f ca="1">IF(OR(AF930="",AF930="null"),"",ROUND((AF930-TODAY())/365.25,2))</f>
        <v/>
      </c>
      <c r="AO930" t="str">
        <f ca="1">IF(AND(AG930="Vigente",OR(AF930="",AF930="null",AF930&gt;TODAY())),"SI",IF(AND(NOT(OR(AF930="",AF930="null")),AF930&lt;=TODAY()),"NO",IF(AG930="Vigente","SI","DESCONOCIDO")))</f>
        <v>SI</v>
      </c>
      <c r="AP930" t="str">
        <f>IF(AND(ISNUMBER(SEARCH("IMPORTAR",AA930)),ISNUMBER(SEARCH("FABRICAR",AA930))),"MIXTO",IF(ISNUMBER(SEARCH("IMPORTAR",AA930)),"IMPORTADO",IF(ISNUMBER(SEARCH("FABRICAR",AA930)),"LOCAL","OTRO")))</f>
        <v>IMPORTADO</v>
      </c>
      <c r="AQ930" t="str">
        <f>IF(AD930="Si","SI",IF(AD930="No","NO",""))</f>
        <v>NO</v>
      </c>
      <c r="AR930" t="str">
        <f>IF(ISNUMBER(SEARCH("®",N930)),"MARCA/INNOVADOR","GENERICO")</f>
        <v>GENERICO</v>
      </c>
      <c r="AS930">
        <f ca="1">IF(AE930&gt;100,RANDBETWEEN(500,5000),IF(AND(AE930&gt;=10,AE930&lt;=100),RANDBETWEEN(100,1000),RANDBETWEEN(10,200)))</f>
        <v>818</v>
      </c>
      <c r="AT930">
        <f t="shared" ca="1" si="72"/>
        <v>163</v>
      </c>
      <c r="AU930">
        <f ca="1">INT(AS930*RANDBETWEEN(120,200)/100)</f>
        <v>1415</v>
      </c>
      <c r="AV930" s="2">
        <f ca="1">IF(LEFT(Y930,1)="L",RANDBETWEEN(500000,5000000),IF(LEFT(Y930,1)="C",RANDBETWEEN(5000,50000),IF(LEFT(Y930,1)="N",RANDBETWEEN(10000,150000),IF(LEFT(Y930,1)="J",RANDBETWEEN(8000,200000),RANDBETWEEN(5000,100000)))))</f>
        <v>31721</v>
      </c>
      <c r="AW930" s="2">
        <f ca="1">INT(AV930*RANDBETWEEN(30,60)/100)</f>
        <v>11419</v>
      </c>
      <c r="AX930">
        <f ca="1">IF(Z930="ORAL",RANDBETWEEN(1000,10000),IF(OR(Z930="INTRAVENOSA",Z930="INTRAMUSCULAR"),RANDBETWEEN(100,2000),IF(OR(Z930="OFTÁLMICA",Z930="TOPICA (EXTERNA)"),RANDBETWEEN(200,3000),RANDBETWEEN(100,1500))))</f>
        <v>5272</v>
      </c>
      <c r="AY930" s="2">
        <f ca="1">INT(AV930*RANDBETWEEN(90,130)/100)</f>
        <v>37113</v>
      </c>
      <c r="AZ930" t="str">
        <f t="shared" ca="1" si="73"/>
        <v>8.2%</v>
      </c>
      <c r="BA930" t="str">
        <f t="shared" ca="1" si="74"/>
        <v>BAJO</v>
      </c>
    </row>
    <row r="931" spans="4:53" x14ac:dyDescent="0.35">
      <c r="D931" t="s">
        <v>5772</v>
      </c>
      <c r="E931" s="1">
        <v>36082</v>
      </c>
      <c r="F931" t="s">
        <v>5773</v>
      </c>
      <c r="G931" t="s">
        <v>108</v>
      </c>
      <c r="H931" t="s">
        <v>1001</v>
      </c>
      <c r="I931">
        <v>227312</v>
      </c>
      <c r="J931" t="s">
        <v>110</v>
      </c>
      <c r="K931">
        <v>52</v>
      </c>
      <c r="L931" t="s">
        <v>27</v>
      </c>
      <c r="M931" t="s">
        <v>5774</v>
      </c>
      <c r="N931" t="s">
        <v>5775</v>
      </c>
      <c r="O931" t="s">
        <v>5776</v>
      </c>
      <c r="P931" t="s">
        <v>659</v>
      </c>
      <c r="Q931" s="1">
        <v>43307</v>
      </c>
      <c r="R931" t="s">
        <v>780</v>
      </c>
      <c r="S931" s="1">
        <v>43528</v>
      </c>
      <c r="T931" t="s">
        <v>1001</v>
      </c>
      <c r="U931" t="s">
        <v>115</v>
      </c>
      <c r="V931" t="s">
        <v>782</v>
      </c>
      <c r="W931">
        <v>150</v>
      </c>
      <c r="X931">
        <v>227312</v>
      </c>
      <c r="Y931" t="s">
        <v>783</v>
      </c>
      <c r="Z931" t="s">
        <v>119</v>
      </c>
      <c r="AA931" t="s">
        <v>32</v>
      </c>
      <c r="AB931" t="s">
        <v>120</v>
      </c>
      <c r="AC931" t="s">
        <v>38</v>
      </c>
      <c r="AD931" t="s">
        <v>121</v>
      </c>
      <c r="AE931">
        <v>7</v>
      </c>
      <c r="AF931" t="s">
        <v>27</v>
      </c>
      <c r="AG931" t="s">
        <v>26</v>
      </c>
      <c r="AH931" t="s">
        <v>782</v>
      </c>
      <c r="AI931" t="str">
        <f t="shared" si="70"/>
        <v>NO</v>
      </c>
      <c r="AJ931" t="str">
        <f t="shared" si="71"/>
        <v>ASPEN COLOMBIANA</v>
      </c>
      <c r="AK931" t="str">
        <f>IF(ISNUMBER(SEARCH("FABRICANTE",AC931)),"FABRICANTE",IF(ISNUMBER(SEARCH("IMPORTADOR",AC931)),"IMPORTADOR","OTRO"))</f>
        <v>IMPORTADOR</v>
      </c>
      <c r="AL931" t="str">
        <f>IF(LEFT(Y931,1)="A","Sistema digestivo",IF(LEFT(Y931,1)="B","Sangre",IF(LEFT(Y931,1)="C","Cardiovascular",IF(LEFT(Y931,1)="D","Dermatológico",IF(LEFT(Y931,1)="G","Genitourinario",IF(LEFT(Y931,1)="H","Hormonal",IF(LEFT(Y931,1)="J","Antiinfecciosos",IF(LEFT(Y931,1)="L","Oncológicos",IF(LEFT(Y931,1)="M","Musculoesquelético",IF(LEFT(Y931,1)="N","Sistema nervioso",IF(LEFT(Y931,1)="R","Respiratorio",IF(LEFT(Y931,1)="S","Oftálmico",IF(LEFT(Y931,1)="V","Varios","OTRO")))))))))))))</f>
        <v>Sistema nervioso</v>
      </c>
      <c r="AM931" t="str">
        <f>IF(AG931="Vigente","ACTIVO",IF(ISNUMBER(SEARCH("Inactivo",J931)),"INACTIVO","REVISAR"))</f>
        <v>ACTIVO</v>
      </c>
      <c r="AN931" t="str">
        <f ca="1">IF(OR(AF931="",AF931="null"),"",ROUND((AF931-TODAY())/365.25,2))</f>
        <v/>
      </c>
      <c r="AO931" t="str">
        <f ca="1">IF(AND(AG931="Vigente",OR(AF931="",AF931="null",AF931&gt;TODAY())),"SI",IF(AND(NOT(OR(AF931="",AF931="null")),AF931&lt;=TODAY()),"NO",IF(AG931="Vigente","SI","DESCONOCIDO")))</f>
        <v>SI</v>
      </c>
      <c r="AP931" t="str">
        <f>IF(AND(ISNUMBER(SEARCH("IMPORTAR",AA931)),ISNUMBER(SEARCH("FABRICAR",AA931))),"MIXTO",IF(ISNUMBER(SEARCH("IMPORTAR",AA931)),"IMPORTADO",IF(ISNUMBER(SEARCH("FABRICAR",AA931)),"LOCAL","OTRO")))</f>
        <v>IMPORTADO</v>
      </c>
      <c r="AQ931" t="str">
        <f>IF(AD931="Si","SI",IF(AD931="No","NO",""))</f>
        <v>NO</v>
      </c>
      <c r="AR931" t="str">
        <f>IF(ISNUMBER(SEARCH("®",N931)),"MARCA/INNOVADOR","GENERICO")</f>
        <v>MARCA/INNOVADOR</v>
      </c>
      <c r="AS931">
        <f ca="1">IF(AE931&gt;100,RANDBETWEEN(500,5000),IF(AND(AE931&gt;=10,AE931&lt;=100),RANDBETWEEN(100,1000),RANDBETWEEN(10,200)))</f>
        <v>29</v>
      </c>
      <c r="AT931">
        <f t="shared" ca="1" si="72"/>
        <v>3</v>
      </c>
      <c r="AU931">
        <f ca="1">INT(AS931*RANDBETWEEN(120,200)/100)</f>
        <v>51</v>
      </c>
      <c r="AV931" s="2">
        <f ca="1">IF(LEFT(Y931,1)="L",RANDBETWEEN(500000,5000000),IF(LEFT(Y931,1)="C",RANDBETWEEN(5000,50000),IF(LEFT(Y931,1)="N",RANDBETWEEN(10000,150000),IF(LEFT(Y931,1)="J",RANDBETWEEN(8000,200000),RANDBETWEEN(5000,100000)))))</f>
        <v>23540</v>
      </c>
      <c r="AW931" s="2">
        <f ca="1">INT(AV931*RANDBETWEEN(30,60)/100)</f>
        <v>9180</v>
      </c>
      <c r="AX931">
        <f ca="1">IF(Z931="ORAL",RANDBETWEEN(1000,10000),IF(OR(Z931="INTRAVENOSA",Z931="INTRAMUSCULAR"),RANDBETWEEN(100,2000),IF(OR(Z931="OFTÁLMICA",Z931="TOPICA (EXTERNA)"),RANDBETWEEN(200,3000),RANDBETWEEN(100,1500))))</f>
        <v>1622</v>
      </c>
      <c r="AY931" s="2">
        <f ca="1">INT(AV931*RANDBETWEEN(90,130)/100)</f>
        <v>23540</v>
      </c>
      <c r="AZ931" t="str">
        <f t="shared" ca="1" si="73"/>
        <v>11.5%</v>
      </c>
      <c r="BA931" t="str">
        <f t="shared" ca="1" si="74"/>
        <v>ALTO</v>
      </c>
    </row>
    <row r="932" spans="4:53" x14ac:dyDescent="0.35">
      <c r="D932" t="s">
        <v>5777</v>
      </c>
      <c r="E932" s="1">
        <v>40889</v>
      </c>
      <c r="F932" t="s">
        <v>5778</v>
      </c>
      <c r="G932" t="s">
        <v>108</v>
      </c>
      <c r="H932" t="s">
        <v>545</v>
      </c>
      <c r="I932">
        <v>20032447</v>
      </c>
      <c r="J932" t="s">
        <v>28</v>
      </c>
      <c r="K932">
        <v>30</v>
      </c>
      <c r="L932" t="s">
        <v>27</v>
      </c>
      <c r="M932" t="s">
        <v>5779</v>
      </c>
      <c r="N932" t="s">
        <v>5780</v>
      </c>
      <c r="O932" t="s">
        <v>5781</v>
      </c>
      <c r="P932" t="s">
        <v>33</v>
      </c>
      <c r="Q932" s="1">
        <v>44592</v>
      </c>
      <c r="R932" t="s">
        <v>33</v>
      </c>
      <c r="S932" t="s">
        <v>27</v>
      </c>
      <c r="T932" t="s">
        <v>1951</v>
      </c>
      <c r="U932" t="s">
        <v>115</v>
      </c>
      <c r="V932" t="s">
        <v>75</v>
      </c>
      <c r="W932">
        <v>125</v>
      </c>
      <c r="X932">
        <v>20032447</v>
      </c>
      <c r="Y932" t="s">
        <v>72</v>
      </c>
      <c r="Z932" t="s">
        <v>119</v>
      </c>
      <c r="AA932" t="s">
        <v>32</v>
      </c>
      <c r="AB932" t="s">
        <v>120</v>
      </c>
      <c r="AC932" t="s">
        <v>25</v>
      </c>
      <c r="AD932" t="s">
        <v>121</v>
      </c>
      <c r="AE932">
        <v>70</v>
      </c>
      <c r="AF932" t="s">
        <v>27</v>
      </c>
      <c r="AG932" t="s">
        <v>26</v>
      </c>
      <c r="AH932" t="s">
        <v>6759</v>
      </c>
      <c r="AI932" t="str">
        <f t="shared" si="70"/>
        <v>SI</v>
      </c>
      <c r="AJ932" t="str">
        <f t="shared" si="71"/>
        <v>IPCA LABORATORIES SUCURSAL COLOMBIA</v>
      </c>
      <c r="AK932" t="str">
        <f>IF(ISNUMBER(SEARCH("FABRICANTE",AC932)),"FABRICANTE",IF(ISNUMBER(SEARCH("IMPORTADOR",AC932)),"IMPORTADOR","OTRO"))</f>
        <v>FABRICANTE</v>
      </c>
      <c r="AL932" t="str">
        <f>IF(LEFT(Y932,1)="A","Sistema digestivo",IF(LEFT(Y932,1)="B","Sangre",IF(LEFT(Y932,1)="C","Cardiovascular",IF(LEFT(Y932,1)="D","Dermatológico",IF(LEFT(Y932,1)="G","Genitourinario",IF(LEFT(Y932,1)="H","Hormonal",IF(LEFT(Y932,1)="J","Antiinfecciosos",IF(LEFT(Y932,1)="L","Oncológicos",IF(LEFT(Y932,1)="M","Musculoesquelético",IF(LEFT(Y932,1)="N","Sistema nervioso",IF(LEFT(Y932,1)="R","Respiratorio",IF(LEFT(Y932,1)="S","Oftálmico",IF(LEFT(Y932,1)="V","Varios","OTRO")))))))))))))</f>
        <v>Antiinfecciosos</v>
      </c>
      <c r="AM932" t="str">
        <f>IF(AG932="Vigente","ACTIVO",IF(ISNUMBER(SEARCH("Inactivo",J932)),"INACTIVO","REVISAR"))</f>
        <v>ACTIVO</v>
      </c>
      <c r="AN932" t="str">
        <f ca="1">IF(OR(AF932="",AF932="null"),"",ROUND((AF932-TODAY())/365.25,2))</f>
        <v/>
      </c>
      <c r="AO932" t="str">
        <f ca="1">IF(AND(AG932="Vigente",OR(AF932="",AF932="null",AF932&gt;TODAY())),"SI",IF(AND(NOT(OR(AF932="",AF932="null")),AF932&lt;=TODAY()),"NO",IF(AG932="Vigente","SI","DESCONOCIDO")))</f>
        <v>SI</v>
      </c>
      <c r="AP932" t="str">
        <f>IF(AND(ISNUMBER(SEARCH("IMPORTAR",AA932)),ISNUMBER(SEARCH("FABRICAR",AA932))),"MIXTO",IF(ISNUMBER(SEARCH("IMPORTAR",AA932)),"IMPORTADO",IF(ISNUMBER(SEARCH("FABRICAR",AA932)),"LOCAL","OTRO")))</f>
        <v>IMPORTADO</v>
      </c>
      <c r="AQ932" t="str">
        <f>IF(AD932="Si","SI",IF(AD932="No","NO",""))</f>
        <v>NO</v>
      </c>
      <c r="AR932" t="str">
        <f>IF(ISNUMBER(SEARCH("®",N932)),"MARCA/INNOVADOR","GENERICO")</f>
        <v>MARCA/INNOVADOR</v>
      </c>
      <c r="AS932">
        <f ca="1">IF(AE932&gt;100,RANDBETWEEN(500,5000),IF(AND(AE932&gt;=10,AE932&lt;=100),RANDBETWEEN(100,1000),RANDBETWEEN(10,200)))</f>
        <v>876</v>
      </c>
      <c r="AT932">
        <f t="shared" ca="1" si="72"/>
        <v>192</v>
      </c>
      <c r="AU932">
        <f ca="1">INT(AS932*RANDBETWEEN(120,200)/100)</f>
        <v>1068</v>
      </c>
      <c r="AV932" s="2">
        <f ca="1">IF(LEFT(Y932,1)="L",RANDBETWEEN(500000,5000000),IF(LEFT(Y932,1)="C",RANDBETWEEN(5000,50000),IF(LEFT(Y932,1)="N",RANDBETWEEN(10000,150000),IF(LEFT(Y932,1)="J",RANDBETWEEN(8000,200000),RANDBETWEEN(5000,100000)))))</f>
        <v>153187</v>
      </c>
      <c r="AW932" s="2">
        <f ca="1">INT(AV932*RANDBETWEEN(30,60)/100)</f>
        <v>91912</v>
      </c>
      <c r="AX932">
        <f ca="1">IF(Z932="ORAL",RANDBETWEEN(1000,10000),IF(OR(Z932="INTRAVENOSA",Z932="INTRAMUSCULAR"),RANDBETWEEN(100,2000),IF(OR(Z932="OFTÁLMICA",Z932="TOPICA (EXTERNA)"),RANDBETWEEN(200,3000),RANDBETWEEN(100,1500))))</f>
        <v>9063</v>
      </c>
      <c r="AY932" s="2">
        <f ca="1">INT(AV932*RANDBETWEEN(90,130)/100)</f>
        <v>182292</v>
      </c>
      <c r="AZ932" t="str">
        <f t="shared" ca="1" si="73"/>
        <v>19.6%</v>
      </c>
      <c r="BA932" t="str">
        <f t="shared" ca="1" si="74"/>
        <v>BAJO</v>
      </c>
    </row>
    <row r="933" spans="4:53" x14ac:dyDescent="0.35">
      <c r="D933" t="s">
        <v>5782</v>
      </c>
      <c r="E933" s="1">
        <v>42352</v>
      </c>
      <c r="F933" t="s">
        <v>2302</v>
      </c>
      <c r="G933" t="s">
        <v>108</v>
      </c>
      <c r="H933" t="s">
        <v>2741</v>
      </c>
      <c r="I933">
        <v>20098211</v>
      </c>
      <c r="J933" t="s">
        <v>28</v>
      </c>
      <c r="K933">
        <v>2</v>
      </c>
      <c r="L933" t="s">
        <v>27</v>
      </c>
      <c r="M933" t="s">
        <v>5783</v>
      </c>
      <c r="N933" t="s">
        <v>5784</v>
      </c>
      <c r="O933" t="s">
        <v>5785</v>
      </c>
      <c r="P933" t="s">
        <v>5786</v>
      </c>
      <c r="Q933" s="1">
        <v>42340</v>
      </c>
      <c r="R933" t="s">
        <v>1302</v>
      </c>
      <c r="S933" t="s">
        <v>27</v>
      </c>
      <c r="T933" t="s">
        <v>2089</v>
      </c>
      <c r="U933" t="s">
        <v>115</v>
      </c>
      <c r="V933" t="s">
        <v>1522</v>
      </c>
      <c r="W933">
        <v>500</v>
      </c>
      <c r="X933">
        <v>20098211</v>
      </c>
      <c r="Y933" t="s">
        <v>1523</v>
      </c>
      <c r="Z933" t="s">
        <v>1305</v>
      </c>
      <c r="AA933" t="s">
        <v>848</v>
      </c>
      <c r="AB933" t="s">
        <v>120</v>
      </c>
      <c r="AC933" t="s">
        <v>38</v>
      </c>
      <c r="AD933" t="s">
        <v>121</v>
      </c>
      <c r="AE933">
        <v>3</v>
      </c>
      <c r="AF933" t="s">
        <v>27</v>
      </c>
      <c r="AG933" t="s">
        <v>26</v>
      </c>
      <c r="AH933" t="s">
        <v>2302</v>
      </c>
      <c r="AI933" t="str">
        <f t="shared" si="70"/>
        <v>NO</v>
      </c>
      <c r="AJ933" t="str">
        <f t="shared" si="71"/>
        <v>COOPERATIVA NACIONAL DE DROGUISTAS DETALLISTAS - COOPIDROGAS</v>
      </c>
      <c r="AK933" t="str">
        <f>IF(ISNUMBER(SEARCH("FABRICANTE",AC933)),"FABRICANTE",IF(ISNUMBER(SEARCH("IMPORTADOR",AC933)),"IMPORTADOR","OTRO"))</f>
        <v>IMPORTADOR</v>
      </c>
      <c r="AL933" t="str">
        <f>IF(LEFT(Y933,1)="A","Sistema digestivo",IF(LEFT(Y933,1)="B","Sangre",IF(LEFT(Y933,1)="C","Cardiovascular",IF(LEFT(Y933,1)="D","Dermatológico",IF(LEFT(Y933,1)="G","Genitourinario",IF(LEFT(Y933,1)="H","Hormonal",IF(LEFT(Y933,1)="J","Antiinfecciosos",IF(LEFT(Y933,1)="L","Oncológicos",IF(LEFT(Y933,1)="M","Musculoesquelético",IF(LEFT(Y933,1)="N","Sistema nervioso",IF(LEFT(Y933,1)="R","Respiratorio",IF(LEFT(Y933,1)="S","Oftálmico",IF(LEFT(Y933,1)="V","Varios","OTRO")))))))))))))</f>
        <v>Genitourinario</v>
      </c>
      <c r="AM933" t="str">
        <f>IF(AG933="Vigente","ACTIVO",IF(ISNUMBER(SEARCH("Inactivo",J933)),"INACTIVO","REVISAR"))</f>
        <v>ACTIVO</v>
      </c>
      <c r="AN933" t="str">
        <f ca="1">IF(OR(AF933="",AF933="null"),"",ROUND((AF933-TODAY())/365.25,2))</f>
        <v/>
      </c>
      <c r="AO933" t="str">
        <f ca="1">IF(AND(AG933="Vigente",OR(AF933="",AF933="null",AF933&gt;TODAY())),"SI",IF(AND(NOT(OR(AF933="",AF933="null")),AF933&lt;=TODAY()),"NO",IF(AG933="Vigente","SI","DESCONOCIDO")))</f>
        <v>SI</v>
      </c>
      <c r="AP933" t="str">
        <f>IF(AND(ISNUMBER(SEARCH("IMPORTAR",AA933)),ISNUMBER(SEARCH("FABRICAR",AA933))),"MIXTO",IF(ISNUMBER(SEARCH("IMPORTAR",AA933)),"IMPORTADO",IF(ISNUMBER(SEARCH("FABRICAR",AA933)),"LOCAL","OTRO")))</f>
        <v>IMPORTADO</v>
      </c>
      <c r="AQ933" t="str">
        <f>IF(AD933="Si","SI",IF(AD933="No","NO",""))</f>
        <v>NO</v>
      </c>
      <c r="AR933" t="str">
        <f>IF(ISNUMBER(SEARCH("®",N933)),"MARCA/INNOVADOR","GENERICO")</f>
        <v>MARCA/INNOVADOR</v>
      </c>
      <c r="AS933">
        <f ca="1">IF(AE933&gt;100,RANDBETWEEN(500,5000),IF(AND(AE933&gt;=10,AE933&lt;=100),RANDBETWEEN(100,1000),RANDBETWEEN(10,200)))</f>
        <v>88</v>
      </c>
      <c r="AT933">
        <f t="shared" ca="1" si="72"/>
        <v>9</v>
      </c>
      <c r="AU933">
        <f ca="1">INT(AS933*RANDBETWEEN(120,200)/100)</f>
        <v>143</v>
      </c>
      <c r="AV933" s="2">
        <f ca="1">IF(LEFT(Y933,1)="L",RANDBETWEEN(500000,5000000),IF(LEFT(Y933,1)="C",RANDBETWEEN(5000,50000),IF(LEFT(Y933,1)="N",RANDBETWEEN(10000,150000),IF(LEFT(Y933,1)="J",RANDBETWEEN(8000,200000),RANDBETWEEN(5000,100000)))))</f>
        <v>6004</v>
      </c>
      <c r="AW933" s="2">
        <f ca="1">INT(AV933*RANDBETWEEN(30,60)/100)</f>
        <v>2221</v>
      </c>
      <c r="AX933">
        <f ca="1">IF(Z933="ORAL",RANDBETWEEN(1000,10000),IF(OR(Z933="INTRAVENOSA",Z933="INTRAMUSCULAR"),RANDBETWEEN(100,2000),IF(OR(Z933="OFTÁLMICA",Z933="TOPICA (EXTERNA)"),RANDBETWEEN(200,3000),RANDBETWEEN(100,1500))))</f>
        <v>487</v>
      </c>
      <c r="AY933" s="2">
        <f ca="1">INT(AV933*RANDBETWEEN(90,130)/100)</f>
        <v>6544</v>
      </c>
      <c r="AZ933" t="str">
        <f t="shared" ca="1" si="73"/>
        <v>2%</v>
      </c>
      <c r="BA933" t="str">
        <f t="shared" ca="1" si="74"/>
        <v>BAJO</v>
      </c>
    </row>
    <row r="934" spans="4:53" x14ac:dyDescent="0.35">
      <c r="D934" t="s">
        <v>5787</v>
      </c>
      <c r="E934" s="1">
        <v>36596</v>
      </c>
      <c r="F934" t="s">
        <v>5788</v>
      </c>
      <c r="G934" t="s">
        <v>108</v>
      </c>
      <c r="H934" t="s">
        <v>1120</v>
      </c>
      <c r="I934">
        <v>38361</v>
      </c>
      <c r="J934" t="s">
        <v>110</v>
      </c>
      <c r="K934">
        <v>4</v>
      </c>
      <c r="L934" t="s">
        <v>27</v>
      </c>
      <c r="M934" t="s">
        <v>5789</v>
      </c>
      <c r="N934" t="s">
        <v>5790</v>
      </c>
      <c r="O934" t="s">
        <v>5791</v>
      </c>
      <c r="P934" t="s">
        <v>29</v>
      </c>
      <c r="Q934" s="1">
        <v>39031</v>
      </c>
      <c r="R934" t="s">
        <v>29</v>
      </c>
      <c r="S934" s="1">
        <v>40249</v>
      </c>
      <c r="T934" t="s">
        <v>428</v>
      </c>
      <c r="U934" t="s">
        <v>115</v>
      </c>
      <c r="V934" t="s">
        <v>2346</v>
      </c>
      <c r="W934">
        <v>80</v>
      </c>
      <c r="X934">
        <v>38361</v>
      </c>
      <c r="Y934" t="s">
        <v>2347</v>
      </c>
      <c r="Z934" t="s">
        <v>119</v>
      </c>
      <c r="AA934" t="s">
        <v>32</v>
      </c>
      <c r="AB934" t="s">
        <v>120</v>
      </c>
      <c r="AC934" t="s">
        <v>25</v>
      </c>
      <c r="AD934" t="s">
        <v>121</v>
      </c>
      <c r="AE934">
        <v>100</v>
      </c>
      <c r="AF934" t="s">
        <v>27</v>
      </c>
      <c r="AG934" t="s">
        <v>26</v>
      </c>
      <c r="AH934" t="s">
        <v>5788</v>
      </c>
      <c r="AI934" t="str">
        <f t="shared" si="70"/>
        <v>NO</v>
      </c>
      <c r="AJ934" t="str">
        <f t="shared" si="71"/>
        <v>LABORATORIOS SIEGFRIED</v>
      </c>
      <c r="AK934" t="str">
        <f>IF(ISNUMBER(SEARCH("FABRICANTE",AC934)),"FABRICANTE",IF(ISNUMBER(SEARCH("IMPORTADOR",AC934)),"IMPORTADOR","OTRO"))</f>
        <v>FABRICANTE</v>
      </c>
      <c r="AL934" t="str">
        <f>IF(LEFT(Y934,1)="A","Sistema digestivo",IF(LEFT(Y934,1)="B","Sangre",IF(LEFT(Y934,1)="C","Cardiovascular",IF(LEFT(Y934,1)="D","Dermatológico",IF(LEFT(Y934,1)="G","Genitourinario",IF(LEFT(Y934,1)="H","Hormonal",IF(LEFT(Y934,1)="J","Antiinfecciosos",IF(LEFT(Y934,1)="L","Oncológicos",IF(LEFT(Y934,1)="M","Musculoesquelético",IF(LEFT(Y934,1)="N","Sistema nervioso",IF(LEFT(Y934,1)="R","Respiratorio",IF(LEFT(Y934,1)="S","Oftálmico",IF(LEFT(Y934,1)="V","Varios","OTRO")))))))))))))</f>
        <v>Antiinfecciosos</v>
      </c>
      <c r="AM934" t="str">
        <f>IF(AG934="Vigente","ACTIVO",IF(ISNUMBER(SEARCH("Inactivo",J934)),"INACTIVO","REVISAR"))</f>
        <v>ACTIVO</v>
      </c>
      <c r="AN934" t="str">
        <f ca="1">IF(OR(AF934="",AF934="null"),"",ROUND((AF934-TODAY())/365.25,2))</f>
        <v/>
      </c>
      <c r="AO934" t="str">
        <f ca="1">IF(AND(AG934="Vigente",OR(AF934="",AF934="null",AF934&gt;TODAY())),"SI",IF(AND(NOT(OR(AF934="",AF934="null")),AF934&lt;=TODAY()),"NO",IF(AG934="Vigente","SI","DESCONOCIDO")))</f>
        <v>SI</v>
      </c>
      <c r="AP934" t="str">
        <f>IF(AND(ISNUMBER(SEARCH("IMPORTAR",AA934)),ISNUMBER(SEARCH("FABRICAR",AA934))),"MIXTO",IF(ISNUMBER(SEARCH("IMPORTAR",AA934)),"IMPORTADO",IF(ISNUMBER(SEARCH("FABRICAR",AA934)),"LOCAL","OTRO")))</f>
        <v>IMPORTADO</v>
      </c>
      <c r="AQ934" t="str">
        <f>IF(AD934="Si","SI",IF(AD934="No","NO",""))</f>
        <v>NO</v>
      </c>
      <c r="AR934" t="str">
        <f>IF(ISNUMBER(SEARCH("®",N934)),"MARCA/INNOVADOR","GENERICO")</f>
        <v>MARCA/INNOVADOR</v>
      </c>
      <c r="AS934">
        <f ca="1">IF(AE934&gt;100,RANDBETWEEN(500,5000),IF(AND(AE934&gt;=10,AE934&lt;=100),RANDBETWEEN(100,1000),RANDBETWEEN(10,200)))</f>
        <v>297</v>
      </c>
      <c r="AT934">
        <f t="shared" ca="1" si="72"/>
        <v>83</v>
      </c>
      <c r="AU934">
        <f ca="1">INT(AS934*RANDBETWEEN(120,200)/100)</f>
        <v>406</v>
      </c>
      <c r="AV934" s="2">
        <f ca="1">IF(LEFT(Y934,1)="L",RANDBETWEEN(500000,5000000),IF(LEFT(Y934,1)="C",RANDBETWEEN(5000,50000),IF(LEFT(Y934,1)="N",RANDBETWEEN(10000,150000),IF(LEFT(Y934,1)="J",RANDBETWEEN(8000,200000),RANDBETWEEN(5000,100000)))))</f>
        <v>134566</v>
      </c>
      <c r="AW934" s="2">
        <f ca="1">INT(AV934*RANDBETWEEN(30,60)/100)</f>
        <v>67283</v>
      </c>
      <c r="AX934">
        <f ca="1">IF(Z934="ORAL",RANDBETWEEN(1000,10000),IF(OR(Z934="INTRAVENOSA",Z934="INTRAMUSCULAR"),RANDBETWEEN(100,2000),IF(OR(Z934="OFTÁLMICA",Z934="TOPICA (EXTERNA)"),RANDBETWEEN(200,3000),RANDBETWEEN(100,1500))))</f>
        <v>5039</v>
      </c>
      <c r="AY934" s="2">
        <f ca="1">INT(AV934*RANDBETWEEN(90,130)/100)</f>
        <v>135911</v>
      </c>
      <c r="AZ934" t="str">
        <f t="shared" ca="1" si="73"/>
        <v>11.3%</v>
      </c>
      <c r="BA934" t="str">
        <f t="shared" ca="1" si="74"/>
        <v>ALTO</v>
      </c>
    </row>
    <row r="935" spans="4:53" x14ac:dyDescent="0.35">
      <c r="D935" t="s">
        <v>5792</v>
      </c>
      <c r="E935" s="1">
        <v>35776</v>
      </c>
      <c r="F935" t="s">
        <v>1510</v>
      </c>
      <c r="G935" t="s">
        <v>108</v>
      </c>
      <c r="H935" t="s">
        <v>4414</v>
      </c>
      <c r="I935">
        <v>1984916</v>
      </c>
      <c r="J935" t="s">
        <v>110</v>
      </c>
      <c r="K935">
        <v>1</v>
      </c>
      <c r="L935" t="s">
        <v>27</v>
      </c>
      <c r="M935" t="s">
        <v>5793</v>
      </c>
      <c r="N935" t="s">
        <v>5794</v>
      </c>
      <c r="O935" t="s">
        <v>5795</v>
      </c>
      <c r="P935" t="s">
        <v>29</v>
      </c>
      <c r="Q935" s="1">
        <v>39031</v>
      </c>
      <c r="R935" t="s">
        <v>33</v>
      </c>
      <c r="S935" t="s">
        <v>27</v>
      </c>
      <c r="T935" t="s">
        <v>2523</v>
      </c>
      <c r="U935" t="s">
        <v>115</v>
      </c>
      <c r="V935" t="s">
        <v>1514</v>
      </c>
      <c r="W935">
        <v>120</v>
      </c>
      <c r="X935">
        <v>1984916</v>
      </c>
      <c r="Y935" t="s">
        <v>1515</v>
      </c>
      <c r="Z935" t="s">
        <v>119</v>
      </c>
      <c r="AA935" t="s">
        <v>32</v>
      </c>
      <c r="AB935" t="s">
        <v>120</v>
      </c>
      <c r="AC935" t="s">
        <v>38</v>
      </c>
      <c r="AD935" t="s">
        <v>155</v>
      </c>
      <c r="AE935">
        <v>2</v>
      </c>
      <c r="AF935" t="s">
        <v>27</v>
      </c>
      <c r="AG935" t="s">
        <v>26</v>
      </c>
      <c r="AH935" t="s">
        <v>1510</v>
      </c>
      <c r="AI935" t="str">
        <f t="shared" si="70"/>
        <v>NO</v>
      </c>
      <c r="AJ935" t="str">
        <f t="shared" si="71"/>
        <v>OPELLA HEALTHCARE COLOMBIA</v>
      </c>
      <c r="AK935" t="str">
        <f>IF(ISNUMBER(SEARCH("FABRICANTE",AC935)),"FABRICANTE",IF(ISNUMBER(SEARCH("IMPORTADOR",AC935)),"IMPORTADOR","OTRO"))</f>
        <v>IMPORTADOR</v>
      </c>
      <c r="AL935" t="str">
        <f>IF(LEFT(Y935,1)="A","Sistema digestivo",IF(LEFT(Y935,1)="B","Sangre",IF(LEFT(Y935,1)="C","Cardiovascular",IF(LEFT(Y935,1)="D","Dermatológico",IF(LEFT(Y935,1)="G","Genitourinario",IF(LEFT(Y935,1)="H","Hormonal",IF(LEFT(Y935,1)="J","Antiinfecciosos",IF(LEFT(Y935,1)="L","Oncológicos",IF(LEFT(Y935,1)="M","Musculoesquelético",IF(LEFT(Y935,1)="N","Sistema nervioso",IF(LEFT(Y935,1)="R","Respiratorio",IF(LEFT(Y935,1)="S","Oftálmico",IF(LEFT(Y935,1)="V","Varios","OTRO")))))))))))))</f>
        <v>Respiratorio</v>
      </c>
      <c r="AM935" t="str">
        <f>IF(AG935="Vigente","ACTIVO",IF(ISNUMBER(SEARCH("Inactivo",J935)),"INACTIVO","REVISAR"))</f>
        <v>ACTIVO</v>
      </c>
      <c r="AN935" t="str">
        <f ca="1">IF(OR(AF935="",AF935="null"),"",ROUND((AF935-TODAY())/365.25,2))</f>
        <v/>
      </c>
      <c r="AO935" t="str">
        <f ca="1">IF(AND(AG935="Vigente",OR(AF935="",AF935="null",AF935&gt;TODAY())),"SI",IF(AND(NOT(OR(AF935="",AF935="null")),AF935&lt;=TODAY()),"NO",IF(AG935="Vigente","SI","DESCONOCIDO")))</f>
        <v>SI</v>
      </c>
      <c r="AP935" t="str">
        <f>IF(AND(ISNUMBER(SEARCH("IMPORTAR",AA935)),ISNUMBER(SEARCH("FABRICAR",AA935))),"MIXTO",IF(ISNUMBER(SEARCH("IMPORTAR",AA935)),"IMPORTADO",IF(ISNUMBER(SEARCH("FABRICAR",AA935)),"LOCAL","OTRO")))</f>
        <v>IMPORTADO</v>
      </c>
      <c r="AQ935" t="str">
        <f>IF(AD935="Si","SI",IF(AD935="No","NO",""))</f>
        <v>SI</v>
      </c>
      <c r="AR935" t="str">
        <f>IF(ISNUMBER(SEARCH("®",N935)),"MARCA/INNOVADOR","GENERICO")</f>
        <v>MARCA/INNOVADOR</v>
      </c>
      <c r="AS935">
        <f ca="1">IF(AE935&gt;100,RANDBETWEEN(500,5000),IF(AND(AE935&gt;=10,AE935&lt;=100),RANDBETWEEN(100,1000),RANDBETWEEN(10,200)))</f>
        <v>199</v>
      </c>
      <c r="AT935">
        <f t="shared" ca="1" si="72"/>
        <v>33</v>
      </c>
      <c r="AU935">
        <f ca="1">INT(AS935*RANDBETWEEN(120,200)/100)</f>
        <v>382</v>
      </c>
      <c r="AV935" s="2">
        <f ca="1">IF(LEFT(Y935,1)="L",RANDBETWEEN(500000,5000000),IF(LEFT(Y935,1)="C",RANDBETWEEN(5000,50000),IF(LEFT(Y935,1)="N",RANDBETWEEN(10000,150000),IF(LEFT(Y935,1)="J",RANDBETWEEN(8000,200000),RANDBETWEEN(5000,100000)))))</f>
        <v>13310</v>
      </c>
      <c r="AW935" s="2">
        <f ca="1">INT(AV935*RANDBETWEEN(30,60)/100)</f>
        <v>5590</v>
      </c>
      <c r="AX935">
        <f ca="1">IF(Z935="ORAL",RANDBETWEEN(1000,10000),IF(OR(Z935="INTRAVENOSA",Z935="INTRAMUSCULAR"),RANDBETWEEN(100,2000),IF(OR(Z935="OFTÁLMICA",Z935="TOPICA (EXTERNA)"),RANDBETWEEN(200,3000),RANDBETWEEN(100,1500))))</f>
        <v>9889</v>
      </c>
      <c r="AY935" s="2">
        <f ca="1">INT(AV935*RANDBETWEEN(90,130)/100)</f>
        <v>16637</v>
      </c>
      <c r="AZ935" t="str">
        <f t="shared" ca="1" si="73"/>
        <v>11.4%</v>
      </c>
      <c r="BA935" t="str">
        <f t="shared" ca="1" si="74"/>
        <v>ALTO</v>
      </c>
    </row>
    <row r="936" spans="4:53" x14ac:dyDescent="0.35">
      <c r="D936" t="s">
        <v>5796</v>
      </c>
      <c r="E936" s="1">
        <v>44823</v>
      </c>
      <c r="F936" t="s">
        <v>5797</v>
      </c>
      <c r="G936" t="s">
        <v>108</v>
      </c>
      <c r="H936" t="s">
        <v>325</v>
      </c>
      <c r="I936">
        <v>20219960</v>
      </c>
      <c r="J936" t="s">
        <v>28</v>
      </c>
      <c r="K936">
        <v>2</v>
      </c>
      <c r="L936" t="s">
        <v>5798</v>
      </c>
      <c r="M936" t="s">
        <v>5799</v>
      </c>
      <c r="N936" t="s">
        <v>5800</v>
      </c>
      <c r="O936" t="s">
        <v>5801</v>
      </c>
      <c r="P936" t="s">
        <v>5802</v>
      </c>
      <c r="Q936" s="1">
        <v>44797</v>
      </c>
      <c r="R936" t="s">
        <v>564</v>
      </c>
      <c r="S936" t="s">
        <v>27</v>
      </c>
      <c r="T936" t="s">
        <v>325</v>
      </c>
      <c r="U936" t="s">
        <v>247</v>
      </c>
      <c r="V936" t="s">
        <v>5797</v>
      </c>
      <c r="W936">
        <v>5</v>
      </c>
      <c r="X936">
        <v>20219960</v>
      </c>
      <c r="Y936" t="s">
        <v>5803</v>
      </c>
      <c r="Z936" t="s">
        <v>566</v>
      </c>
      <c r="AA936" t="s">
        <v>24</v>
      </c>
      <c r="AB936" t="s">
        <v>653</v>
      </c>
      <c r="AC936" t="s">
        <v>25</v>
      </c>
      <c r="AD936" t="s">
        <v>121</v>
      </c>
      <c r="AE936">
        <v>3</v>
      </c>
      <c r="AF936" t="s">
        <v>27</v>
      </c>
      <c r="AG936" t="s">
        <v>26</v>
      </c>
      <c r="AH936" t="s">
        <v>5797</v>
      </c>
      <c r="AI936" t="str">
        <f t="shared" si="70"/>
        <v>NO</v>
      </c>
      <c r="AJ936" t="str">
        <f t="shared" si="71"/>
        <v>LABORATORIO PROFESIONAL FARMACEUTICO - LABORATORIOS LAPROFF</v>
      </c>
      <c r="AK936" t="str">
        <f>IF(ISNUMBER(SEARCH("FABRICANTE",AC936)),"FABRICANTE",IF(ISNUMBER(SEARCH("IMPORTADOR",AC936)),"IMPORTADOR","OTRO"))</f>
        <v>FABRICANTE</v>
      </c>
      <c r="AL936" t="str">
        <f>IF(LEFT(Y936,1)="A","Sistema digestivo",IF(LEFT(Y936,1)="B","Sangre",IF(LEFT(Y936,1)="C","Cardiovascular",IF(LEFT(Y936,1)="D","Dermatológico",IF(LEFT(Y936,1)="G","Genitourinario",IF(LEFT(Y936,1)="H","Hormonal",IF(LEFT(Y936,1)="J","Antiinfecciosos",IF(LEFT(Y936,1)="L","Oncológicos",IF(LEFT(Y936,1)="M","Musculoesquelético",IF(LEFT(Y936,1)="N","Sistema nervioso",IF(LEFT(Y936,1)="R","Respiratorio",IF(LEFT(Y936,1)="S","Oftálmico",IF(LEFT(Y936,1)="V","Varios","OTRO")))))))))))))</f>
        <v>Dermatológico</v>
      </c>
      <c r="AM936" t="str">
        <f>IF(AG936="Vigente","ACTIVO",IF(ISNUMBER(SEARCH("Inactivo",J936)),"INACTIVO","REVISAR"))</f>
        <v>ACTIVO</v>
      </c>
      <c r="AN936" t="str">
        <f ca="1">IF(OR(AF936="",AF936="null"),"",ROUND((AF936-TODAY())/365.25,2))</f>
        <v/>
      </c>
      <c r="AO936" t="str">
        <f ca="1">IF(AND(AG936="Vigente",OR(AF936="",AF936="null",AF936&gt;TODAY())),"SI",IF(AND(NOT(OR(AF936="",AF936="null")),AF936&lt;=TODAY()),"NO",IF(AG936="Vigente","SI","DESCONOCIDO")))</f>
        <v>SI</v>
      </c>
      <c r="AP936" t="str">
        <f>IF(AND(ISNUMBER(SEARCH("IMPORTAR",AA936)),ISNUMBER(SEARCH("FABRICAR",AA936))),"MIXTO",IF(ISNUMBER(SEARCH("IMPORTAR",AA936)),"IMPORTADO",IF(ISNUMBER(SEARCH("FABRICAR",AA936)),"LOCAL","OTRO")))</f>
        <v>LOCAL</v>
      </c>
      <c r="AQ936" t="str">
        <f>IF(AD936="Si","SI",IF(AD936="No","NO",""))</f>
        <v>NO</v>
      </c>
      <c r="AR936" t="str">
        <f>IF(ISNUMBER(SEARCH("®",N936)),"MARCA/INNOVADOR","GENERICO")</f>
        <v>GENERICO</v>
      </c>
      <c r="AS936">
        <f ca="1">IF(AE936&gt;100,RANDBETWEEN(500,5000),IF(AND(AE936&gt;=10,AE936&lt;=100),RANDBETWEEN(100,1000),RANDBETWEEN(10,200)))</f>
        <v>194</v>
      </c>
      <c r="AT936">
        <f t="shared" ca="1" si="72"/>
        <v>29</v>
      </c>
      <c r="AU936">
        <f ca="1">INT(AS936*RANDBETWEEN(120,200)/100)</f>
        <v>322</v>
      </c>
      <c r="AV936" s="2">
        <f ca="1">IF(LEFT(Y936,1)="L",RANDBETWEEN(500000,5000000),IF(LEFT(Y936,1)="C",RANDBETWEEN(5000,50000),IF(LEFT(Y936,1)="N",RANDBETWEEN(10000,150000),IF(LEFT(Y936,1)="J",RANDBETWEEN(8000,200000),RANDBETWEEN(5000,100000)))))</f>
        <v>14308</v>
      </c>
      <c r="AW936" s="2">
        <f ca="1">INT(AV936*RANDBETWEEN(30,60)/100)</f>
        <v>7726</v>
      </c>
      <c r="AX936">
        <f ca="1">IF(Z936="ORAL",RANDBETWEEN(1000,10000),IF(OR(Z936="INTRAVENOSA",Z936="INTRAMUSCULAR"),RANDBETWEEN(100,2000),IF(OR(Z936="OFTÁLMICA",Z936="TOPICA (EXTERNA)"),RANDBETWEEN(200,3000),RANDBETWEEN(100,1500))))</f>
        <v>2087</v>
      </c>
      <c r="AY936" s="2">
        <f ca="1">INT(AV936*RANDBETWEEN(90,130)/100)</f>
        <v>15595</v>
      </c>
      <c r="AZ936" t="str">
        <f t="shared" ca="1" si="73"/>
        <v>7.2%</v>
      </c>
      <c r="BA936" t="str">
        <f t="shared" ca="1" si="74"/>
        <v>BAJO</v>
      </c>
    </row>
    <row r="937" spans="4:53" x14ac:dyDescent="0.35">
      <c r="D937" t="s">
        <v>5804</v>
      </c>
      <c r="E937" s="1">
        <v>42173</v>
      </c>
      <c r="F937" t="s">
        <v>5805</v>
      </c>
      <c r="G937" t="s">
        <v>108</v>
      </c>
      <c r="H937" t="s">
        <v>168</v>
      </c>
      <c r="I937">
        <v>20074661</v>
      </c>
      <c r="J937" t="s">
        <v>110</v>
      </c>
      <c r="K937">
        <v>32</v>
      </c>
      <c r="L937" t="s">
        <v>27</v>
      </c>
      <c r="M937" t="s">
        <v>5806</v>
      </c>
      <c r="N937" t="s">
        <v>5807</v>
      </c>
      <c r="O937" t="s">
        <v>5808</v>
      </c>
      <c r="P937" t="s">
        <v>33</v>
      </c>
      <c r="Q937" s="1">
        <v>42160</v>
      </c>
      <c r="R937" t="s">
        <v>33</v>
      </c>
      <c r="S937" t="s">
        <v>27</v>
      </c>
      <c r="T937" t="s">
        <v>172</v>
      </c>
      <c r="U937" t="s">
        <v>115</v>
      </c>
      <c r="V937" t="s">
        <v>3637</v>
      </c>
      <c r="W937">
        <v>400</v>
      </c>
      <c r="X937">
        <v>20074661</v>
      </c>
      <c r="Y937" t="s">
        <v>3638</v>
      </c>
      <c r="Z937" t="s">
        <v>119</v>
      </c>
      <c r="AA937" t="s">
        <v>24</v>
      </c>
      <c r="AB937" t="s">
        <v>120</v>
      </c>
      <c r="AC937" t="s">
        <v>25</v>
      </c>
      <c r="AD937" t="s">
        <v>121</v>
      </c>
      <c r="AE937">
        <v>600</v>
      </c>
      <c r="AF937" t="s">
        <v>27</v>
      </c>
      <c r="AG937" t="s">
        <v>26</v>
      </c>
      <c r="AH937" t="s">
        <v>515</v>
      </c>
      <c r="AI937" t="str">
        <f t="shared" si="70"/>
        <v>NO</v>
      </c>
      <c r="AJ937" t="str">
        <f t="shared" si="71"/>
        <v>NOVAMED</v>
      </c>
      <c r="AK937" t="str">
        <f>IF(ISNUMBER(SEARCH("FABRICANTE",AC937)),"FABRICANTE",IF(ISNUMBER(SEARCH("IMPORTADOR",AC937)),"IMPORTADOR","OTRO"))</f>
        <v>FABRICANTE</v>
      </c>
      <c r="AL937" t="str">
        <f>IF(LEFT(Y937,1)="A","Sistema digestivo",IF(LEFT(Y937,1)="B","Sangre",IF(LEFT(Y937,1)="C","Cardiovascular",IF(LEFT(Y937,1)="D","Dermatológico",IF(LEFT(Y937,1)="G","Genitourinario",IF(LEFT(Y937,1)="H","Hormonal",IF(LEFT(Y937,1)="J","Antiinfecciosos",IF(LEFT(Y937,1)="L","Oncológicos",IF(LEFT(Y937,1)="M","Musculoesquelético",IF(LEFT(Y937,1)="N","Sistema nervioso",IF(LEFT(Y937,1)="R","Respiratorio",IF(LEFT(Y937,1)="S","Oftálmico",IF(LEFT(Y937,1)="V","Varios","OTRO")))))))))))))</f>
        <v>Sistema digestivo</v>
      </c>
      <c r="AM937" t="str">
        <f>IF(AG937="Vigente","ACTIVO",IF(ISNUMBER(SEARCH("Inactivo",J937)),"INACTIVO","REVISAR"))</f>
        <v>ACTIVO</v>
      </c>
      <c r="AN937" t="str">
        <f ca="1">IF(OR(AF937="",AF937="null"),"",ROUND((AF937-TODAY())/365.25,2))</f>
        <v/>
      </c>
      <c r="AO937" t="str">
        <f ca="1">IF(AND(AG937="Vigente",OR(AF937="",AF937="null",AF937&gt;TODAY())),"SI",IF(AND(NOT(OR(AF937="",AF937="null")),AF937&lt;=TODAY()),"NO",IF(AG937="Vigente","SI","DESCONOCIDO")))</f>
        <v>SI</v>
      </c>
      <c r="AP937" t="str">
        <f>IF(AND(ISNUMBER(SEARCH("IMPORTAR",AA937)),ISNUMBER(SEARCH("FABRICAR",AA937))),"MIXTO",IF(ISNUMBER(SEARCH("IMPORTAR",AA937)),"IMPORTADO",IF(ISNUMBER(SEARCH("FABRICAR",AA937)),"LOCAL","OTRO")))</f>
        <v>LOCAL</v>
      </c>
      <c r="AQ937" t="str">
        <f>IF(AD937="Si","SI",IF(AD937="No","NO",""))</f>
        <v>NO</v>
      </c>
      <c r="AR937" t="str">
        <f>IF(ISNUMBER(SEARCH("®",N937)),"MARCA/INNOVADOR","GENERICO")</f>
        <v>MARCA/INNOVADOR</v>
      </c>
      <c r="AS937">
        <f ca="1">IF(AE937&gt;100,RANDBETWEEN(500,5000),IF(AND(AE937&gt;=10,AE937&lt;=100),RANDBETWEEN(100,1000),RANDBETWEEN(10,200)))</f>
        <v>3591</v>
      </c>
      <c r="AT937">
        <f t="shared" ca="1" si="72"/>
        <v>395</v>
      </c>
      <c r="AU937">
        <f ca="1">INT(AS937*RANDBETWEEN(120,200)/100)</f>
        <v>5494</v>
      </c>
      <c r="AV937" s="2">
        <f ca="1">IF(LEFT(Y937,1)="L",RANDBETWEEN(500000,5000000),IF(LEFT(Y937,1)="C",RANDBETWEEN(5000,50000),IF(LEFT(Y937,1)="N",RANDBETWEEN(10000,150000),IF(LEFT(Y937,1)="J",RANDBETWEEN(8000,200000),RANDBETWEEN(5000,100000)))))</f>
        <v>36540</v>
      </c>
      <c r="AW937" s="2">
        <f ca="1">INT(AV937*RANDBETWEEN(30,60)/100)</f>
        <v>18270</v>
      </c>
      <c r="AX937">
        <f ca="1">IF(Z937="ORAL",RANDBETWEEN(1000,10000),IF(OR(Z937="INTRAVENOSA",Z937="INTRAMUSCULAR"),RANDBETWEEN(100,2000),IF(OR(Z937="OFTÁLMICA",Z937="TOPICA (EXTERNA)"),RANDBETWEEN(200,3000),RANDBETWEEN(100,1500))))</f>
        <v>6051</v>
      </c>
      <c r="AY937" s="2">
        <f ca="1">INT(AV937*RANDBETWEEN(90,130)/100)</f>
        <v>37636</v>
      </c>
      <c r="AZ937" t="str">
        <f t="shared" ca="1" si="73"/>
        <v>20.2%</v>
      </c>
      <c r="BA937" t="str">
        <f t="shared" ca="1" si="74"/>
        <v>ALTO</v>
      </c>
    </row>
    <row r="938" spans="4:53" x14ac:dyDescent="0.35">
      <c r="D938" t="s">
        <v>5809</v>
      </c>
      <c r="E938" s="1">
        <v>40947</v>
      </c>
      <c r="F938" t="s">
        <v>3959</v>
      </c>
      <c r="G938" t="s">
        <v>108</v>
      </c>
      <c r="H938" t="s">
        <v>168</v>
      </c>
      <c r="I938">
        <v>20031913</v>
      </c>
      <c r="J938" t="s">
        <v>28</v>
      </c>
      <c r="K938">
        <v>1</v>
      </c>
      <c r="L938" t="s">
        <v>27</v>
      </c>
      <c r="M938" t="s">
        <v>3960</v>
      </c>
      <c r="N938" t="s">
        <v>3961</v>
      </c>
      <c r="O938" t="s">
        <v>5810</v>
      </c>
      <c r="P938" t="s">
        <v>37</v>
      </c>
      <c r="Q938" s="1">
        <v>40785</v>
      </c>
      <c r="R938" t="s">
        <v>37</v>
      </c>
      <c r="S938" t="s">
        <v>27</v>
      </c>
      <c r="T938" t="s">
        <v>172</v>
      </c>
      <c r="U938" t="s">
        <v>115</v>
      </c>
      <c r="V938" t="s">
        <v>460</v>
      </c>
      <c r="W938">
        <v>5</v>
      </c>
      <c r="X938">
        <v>20031913</v>
      </c>
      <c r="Y938" t="s">
        <v>461</v>
      </c>
      <c r="Z938" t="s">
        <v>119</v>
      </c>
      <c r="AA938" t="s">
        <v>24</v>
      </c>
      <c r="AB938" t="s">
        <v>120</v>
      </c>
      <c r="AC938" t="s">
        <v>25</v>
      </c>
      <c r="AD938" t="s">
        <v>121</v>
      </c>
      <c r="AE938">
        <v>10</v>
      </c>
      <c r="AF938" t="s">
        <v>27</v>
      </c>
      <c r="AG938" t="s">
        <v>26</v>
      </c>
      <c r="AH938" t="s">
        <v>1379</v>
      </c>
      <c r="AI938" t="str">
        <f t="shared" si="70"/>
        <v>SI</v>
      </c>
      <c r="AJ938" t="str">
        <f t="shared" si="71"/>
        <v>NOVAMED</v>
      </c>
      <c r="AK938" t="str">
        <f>IF(ISNUMBER(SEARCH("FABRICANTE",AC938)),"FABRICANTE",IF(ISNUMBER(SEARCH("IMPORTADOR",AC938)),"IMPORTADOR","OTRO"))</f>
        <v>FABRICANTE</v>
      </c>
      <c r="AL938" t="str">
        <f>IF(LEFT(Y938,1)="A","Sistema digestivo",IF(LEFT(Y938,1)="B","Sangre",IF(LEFT(Y938,1)="C","Cardiovascular",IF(LEFT(Y938,1)="D","Dermatológico",IF(LEFT(Y938,1)="G","Genitourinario",IF(LEFT(Y938,1)="H","Hormonal",IF(LEFT(Y938,1)="J","Antiinfecciosos",IF(LEFT(Y938,1)="L","Oncológicos",IF(LEFT(Y938,1)="M","Musculoesquelético",IF(LEFT(Y938,1)="N","Sistema nervioso",IF(LEFT(Y938,1)="R","Respiratorio",IF(LEFT(Y938,1)="S","Oftálmico",IF(LEFT(Y938,1)="V","Varios","OTRO")))))))))))))</f>
        <v>Respiratorio</v>
      </c>
      <c r="AM938" t="str">
        <f>IF(AG938="Vigente","ACTIVO",IF(ISNUMBER(SEARCH("Inactivo",J938)),"INACTIVO","REVISAR"))</f>
        <v>ACTIVO</v>
      </c>
      <c r="AN938" t="str">
        <f ca="1">IF(OR(AF938="",AF938="null"),"",ROUND((AF938-TODAY())/365.25,2))</f>
        <v/>
      </c>
      <c r="AO938" t="str">
        <f ca="1">IF(AND(AG938="Vigente",OR(AF938="",AF938="null",AF938&gt;TODAY())),"SI",IF(AND(NOT(OR(AF938="",AF938="null")),AF938&lt;=TODAY()),"NO",IF(AG938="Vigente","SI","DESCONOCIDO")))</f>
        <v>SI</v>
      </c>
      <c r="AP938" t="str">
        <f>IF(AND(ISNUMBER(SEARCH("IMPORTAR",AA938)),ISNUMBER(SEARCH("FABRICAR",AA938))),"MIXTO",IF(ISNUMBER(SEARCH("IMPORTAR",AA938)),"IMPORTADO",IF(ISNUMBER(SEARCH("FABRICAR",AA938)),"LOCAL","OTRO")))</f>
        <v>LOCAL</v>
      </c>
      <c r="AQ938" t="str">
        <f>IF(AD938="Si","SI",IF(AD938="No","NO",""))</f>
        <v>NO</v>
      </c>
      <c r="AR938" t="str">
        <f>IF(ISNUMBER(SEARCH("®",N938)),"MARCA/INNOVADOR","GENERICO")</f>
        <v>MARCA/INNOVADOR</v>
      </c>
      <c r="AS938">
        <f ca="1">IF(AE938&gt;100,RANDBETWEEN(500,5000),IF(AND(AE938&gt;=10,AE938&lt;=100),RANDBETWEEN(100,1000),RANDBETWEEN(10,200)))</f>
        <v>323</v>
      </c>
      <c r="AT938">
        <f t="shared" ca="1" si="72"/>
        <v>71</v>
      </c>
      <c r="AU938">
        <f ca="1">INT(AS938*RANDBETWEEN(120,200)/100)</f>
        <v>390</v>
      </c>
      <c r="AV938" s="2">
        <f ca="1">IF(LEFT(Y938,1)="L",RANDBETWEEN(500000,5000000),IF(LEFT(Y938,1)="C",RANDBETWEEN(5000,50000),IF(LEFT(Y938,1)="N",RANDBETWEEN(10000,150000),IF(LEFT(Y938,1)="J",RANDBETWEEN(8000,200000),RANDBETWEEN(5000,100000)))))</f>
        <v>49010</v>
      </c>
      <c r="AW938" s="2">
        <f ca="1">INT(AV938*RANDBETWEEN(30,60)/100)</f>
        <v>16173</v>
      </c>
      <c r="AX938">
        <f ca="1">IF(Z938="ORAL",RANDBETWEEN(1000,10000),IF(OR(Z938="INTRAVENOSA",Z938="INTRAMUSCULAR"),RANDBETWEEN(100,2000),IF(OR(Z938="OFTÁLMICA",Z938="TOPICA (EXTERNA)"),RANDBETWEEN(200,3000),RANDBETWEEN(100,1500))))</f>
        <v>8211</v>
      </c>
      <c r="AY938" s="2">
        <f ca="1">INT(AV938*RANDBETWEEN(90,130)/100)</f>
        <v>60772</v>
      </c>
      <c r="AZ938" t="str">
        <f t="shared" ca="1" si="73"/>
        <v>23.4%</v>
      </c>
      <c r="BA938" t="str">
        <f t="shared" ca="1" si="74"/>
        <v>BAJO</v>
      </c>
    </row>
    <row r="939" spans="4:53" x14ac:dyDescent="0.35">
      <c r="D939" t="s">
        <v>5811</v>
      </c>
      <c r="E939" s="1">
        <v>36789</v>
      </c>
      <c r="F939" t="s">
        <v>5812</v>
      </c>
      <c r="G939" t="s">
        <v>108</v>
      </c>
      <c r="H939" t="s">
        <v>114</v>
      </c>
      <c r="I939">
        <v>19907966</v>
      </c>
      <c r="J939" t="s">
        <v>28</v>
      </c>
      <c r="K939">
        <v>2</v>
      </c>
      <c r="L939" t="s">
        <v>27</v>
      </c>
      <c r="M939" t="s">
        <v>5813</v>
      </c>
      <c r="N939" t="s">
        <v>5814</v>
      </c>
      <c r="O939" t="s">
        <v>5815</v>
      </c>
      <c r="P939" t="s">
        <v>2473</v>
      </c>
      <c r="Q939" s="1">
        <v>39031</v>
      </c>
      <c r="R939" t="s">
        <v>5337</v>
      </c>
      <c r="S939" t="s">
        <v>27</v>
      </c>
      <c r="T939" t="s">
        <v>5816</v>
      </c>
      <c r="U939" t="s">
        <v>115</v>
      </c>
      <c r="V939" t="s">
        <v>1859</v>
      </c>
      <c r="W939">
        <v>15</v>
      </c>
      <c r="X939">
        <v>19907966</v>
      </c>
      <c r="Y939" t="s">
        <v>1860</v>
      </c>
      <c r="Z939" t="s">
        <v>119</v>
      </c>
      <c r="AA939" t="s">
        <v>24</v>
      </c>
      <c r="AB939" t="s">
        <v>133</v>
      </c>
      <c r="AC939" t="s">
        <v>25</v>
      </c>
      <c r="AD939" t="s">
        <v>121</v>
      </c>
      <c r="AE939">
        <v>20</v>
      </c>
      <c r="AF939" t="s">
        <v>27</v>
      </c>
      <c r="AG939" t="s">
        <v>26</v>
      </c>
      <c r="AH939" t="s">
        <v>6712</v>
      </c>
      <c r="AI939" t="str">
        <f t="shared" si="70"/>
        <v>SI</v>
      </c>
      <c r="AJ939" t="str">
        <f t="shared" si="71"/>
        <v>GRUPO UNIPHARM Y/O LABORATORIOS UNI</v>
      </c>
      <c r="AK939" t="str">
        <f>IF(ISNUMBER(SEARCH("FABRICANTE",AC939)),"FABRICANTE",IF(ISNUMBER(SEARCH("IMPORTADOR",AC939)),"IMPORTADOR","OTRO"))</f>
        <v>FABRICANTE</v>
      </c>
      <c r="AL939" t="str">
        <f>IF(LEFT(Y939,1)="A","Sistema digestivo",IF(LEFT(Y939,1)="B","Sangre",IF(LEFT(Y939,1)="C","Cardiovascular",IF(LEFT(Y939,1)="D","Dermatológico",IF(LEFT(Y939,1)="G","Genitourinario",IF(LEFT(Y939,1)="H","Hormonal",IF(LEFT(Y939,1)="J","Antiinfecciosos",IF(LEFT(Y939,1)="L","Oncológicos",IF(LEFT(Y939,1)="M","Musculoesquelético",IF(LEFT(Y939,1)="N","Sistema nervioso",IF(LEFT(Y939,1)="R","Respiratorio",IF(LEFT(Y939,1)="S","Oftálmico",IF(LEFT(Y939,1)="V","Varios","OTRO")))))))))))))</f>
        <v>Musculoesquelético</v>
      </c>
      <c r="AM939" t="str">
        <f>IF(AG939="Vigente","ACTIVO",IF(ISNUMBER(SEARCH("Inactivo",J939)),"INACTIVO","REVISAR"))</f>
        <v>ACTIVO</v>
      </c>
      <c r="AN939" t="str">
        <f ca="1">IF(OR(AF939="",AF939="null"),"",ROUND((AF939-TODAY())/365.25,2))</f>
        <v/>
      </c>
      <c r="AO939" t="str">
        <f ca="1">IF(AND(AG939="Vigente",OR(AF939="",AF939="null",AF939&gt;TODAY())),"SI",IF(AND(NOT(OR(AF939="",AF939="null")),AF939&lt;=TODAY()),"NO",IF(AG939="Vigente","SI","DESCONOCIDO")))</f>
        <v>SI</v>
      </c>
      <c r="AP939" t="str">
        <f>IF(AND(ISNUMBER(SEARCH("IMPORTAR",AA939)),ISNUMBER(SEARCH("FABRICAR",AA939))),"MIXTO",IF(ISNUMBER(SEARCH("IMPORTAR",AA939)),"IMPORTADO",IF(ISNUMBER(SEARCH("FABRICAR",AA939)),"LOCAL","OTRO")))</f>
        <v>LOCAL</v>
      </c>
      <c r="AQ939" t="str">
        <f>IF(AD939="Si","SI",IF(AD939="No","NO",""))</f>
        <v>NO</v>
      </c>
      <c r="AR939" t="str">
        <f>IF(ISNUMBER(SEARCH("®",N939)),"MARCA/INNOVADOR","GENERICO")</f>
        <v>GENERICO</v>
      </c>
      <c r="AS939">
        <f ca="1">IF(AE939&gt;100,RANDBETWEEN(500,5000),IF(AND(AE939&gt;=10,AE939&lt;=100),RANDBETWEEN(100,1000),RANDBETWEEN(10,200)))</f>
        <v>401</v>
      </c>
      <c r="AT939">
        <f t="shared" ca="1" si="72"/>
        <v>48</v>
      </c>
      <c r="AU939">
        <f ca="1">INT(AS939*RANDBETWEEN(120,200)/100)</f>
        <v>737</v>
      </c>
      <c r="AV939" s="2">
        <f ca="1">IF(LEFT(Y939,1)="L",RANDBETWEEN(500000,5000000),IF(LEFT(Y939,1)="C",RANDBETWEEN(5000,50000),IF(LEFT(Y939,1)="N",RANDBETWEEN(10000,150000),IF(LEFT(Y939,1)="J",RANDBETWEEN(8000,200000),RANDBETWEEN(5000,100000)))))</f>
        <v>67514</v>
      </c>
      <c r="AW939" s="2">
        <f ca="1">INT(AV939*RANDBETWEEN(30,60)/100)</f>
        <v>29706</v>
      </c>
      <c r="AX939">
        <f ca="1">IF(Z939="ORAL",RANDBETWEEN(1000,10000),IF(OR(Z939="INTRAVENOSA",Z939="INTRAMUSCULAR"),RANDBETWEEN(100,2000),IF(OR(Z939="OFTÁLMICA",Z939="TOPICA (EXTERNA)"),RANDBETWEEN(200,3000),RANDBETWEEN(100,1500))))</f>
        <v>9254</v>
      </c>
      <c r="AY939" s="2">
        <f ca="1">INT(AV939*RANDBETWEEN(90,130)/100)</f>
        <v>85067</v>
      </c>
      <c r="AZ939" t="str">
        <f t="shared" ca="1" si="73"/>
        <v>8.9%</v>
      </c>
      <c r="BA939" t="str">
        <f t="shared" ca="1" si="74"/>
        <v>BAJO</v>
      </c>
    </row>
    <row r="940" spans="4:53" x14ac:dyDescent="0.35">
      <c r="D940" t="s">
        <v>5817</v>
      </c>
      <c r="E940" s="1">
        <v>42695</v>
      </c>
      <c r="F940" t="s">
        <v>5818</v>
      </c>
      <c r="G940" t="s">
        <v>108</v>
      </c>
      <c r="H940" t="s">
        <v>5819</v>
      </c>
      <c r="I940">
        <v>20103748</v>
      </c>
      <c r="J940" t="s">
        <v>28</v>
      </c>
      <c r="K940">
        <v>37</v>
      </c>
      <c r="L940" t="s">
        <v>27</v>
      </c>
      <c r="M940" t="s">
        <v>5820</v>
      </c>
      <c r="N940" t="s">
        <v>5821</v>
      </c>
      <c r="O940" t="s">
        <v>5822</v>
      </c>
      <c r="P940" t="s">
        <v>5823</v>
      </c>
      <c r="Q940" s="1">
        <v>43035</v>
      </c>
      <c r="R940" t="s">
        <v>1163</v>
      </c>
      <c r="S940" t="s">
        <v>27</v>
      </c>
      <c r="T940" t="s">
        <v>5824</v>
      </c>
      <c r="U940" t="s">
        <v>807</v>
      </c>
      <c r="V940" t="s">
        <v>5825</v>
      </c>
      <c r="W940">
        <v>250</v>
      </c>
      <c r="X940">
        <v>20103748</v>
      </c>
      <c r="Y940" t="s">
        <v>5826</v>
      </c>
      <c r="Z940" t="s">
        <v>1168</v>
      </c>
      <c r="AA940" t="s">
        <v>848</v>
      </c>
      <c r="AB940" t="s">
        <v>120</v>
      </c>
      <c r="AC940" t="s">
        <v>25</v>
      </c>
      <c r="AD940" t="s">
        <v>121</v>
      </c>
      <c r="AE940">
        <v>50</v>
      </c>
      <c r="AF940" t="s">
        <v>27</v>
      </c>
      <c r="AG940" t="s">
        <v>26</v>
      </c>
      <c r="AH940" t="s">
        <v>5818</v>
      </c>
      <c r="AI940" t="str">
        <f t="shared" si="70"/>
        <v>NO</v>
      </c>
      <c r="AJ940" t="str">
        <f t="shared" si="71"/>
        <v>NOVAMED</v>
      </c>
      <c r="AK940" t="str">
        <f>IF(ISNUMBER(SEARCH("FABRICANTE",AC940)),"FABRICANTE",IF(ISNUMBER(SEARCH("IMPORTADOR",AC940)),"IMPORTADOR","OTRO"))</f>
        <v>FABRICANTE</v>
      </c>
      <c r="AL940" t="str">
        <f>IF(LEFT(Y940,1)="A","Sistema digestivo",IF(LEFT(Y940,1)="B","Sangre",IF(LEFT(Y940,1)="C","Cardiovascular",IF(LEFT(Y940,1)="D","Dermatológico",IF(LEFT(Y940,1)="G","Genitourinario",IF(LEFT(Y940,1)="H","Hormonal",IF(LEFT(Y940,1)="J","Antiinfecciosos",IF(LEFT(Y940,1)="L","Oncológicos",IF(LEFT(Y940,1)="M","Musculoesquelético",IF(LEFT(Y940,1)="N","Sistema nervioso",IF(LEFT(Y940,1)="R","Respiratorio",IF(LEFT(Y940,1)="S","Oftálmico",IF(LEFT(Y940,1)="V","Varios","OTRO")))))))))))))</f>
        <v>Respiratorio</v>
      </c>
      <c r="AM940" t="str">
        <f>IF(AG940="Vigente","ACTIVO",IF(ISNUMBER(SEARCH("Inactivo",J940)),"INACTIVO","REVISAR"))</f>
        <v>ACTIVO</v>
      </c>
      <c r="AN940" t="str">
        <f ca="1">IF(OR(AF940="",AF940="null"),"",ROUND((AF940-TODAY())/365.25,2))</f>
        <v/>
      </c>
      <c r="AO940" t="str">
        <f ca="1">IF(AND(AG940="Vigente",OR(AF940="",AF940="null",AF940&gt;TODAY())),"SI",IF(AND(NOT(OR(AF940="",AF940="null")),AF940&lt;=TODAY()),"NO",IF(AG940="Vigente","SI","DESCONOCIDO")))</f>
        <v>SI</v>
      </c>
      <c r="AP940" t="str">
        <f>IF(AND(ISNUMBER(SEARCH("IMPORTAR",AA940)),ISNUMBER(SEARCH("FABRICAR",AA940))),"MIXTO",IF(ISNUMBER(SEARCH("IMPORTAR",AA940)),"IMPORTADO",IF(ISNUMBER(SEARCH("FABRICAR",AA940)),"LOCAL","OTRO")))</f>
        <v>IMPORTADO</v>
      </c>
      <c r="AQ940" t="str">
        <f>IF(AD940="Si","SI",IF(AD940="No","NO",""))</f>
        <v>NO</v>
      </c>
      <c r="AR940" t="str">
        <f>IF(ISNUMBER(SEARCH("®",N940)),"MARCA/INNOVADOR","GENERICO")</f>
        <v>MARCA/INNOVADOR</v>
      </c>
      <c r="AS940">
        <f ca="1">IF(AE940&gt;100,RANDBETWEEN(500,5000),IF(AND(AE940&gt;=10,AE940&lt;=100),RANDBETWEEN(100,1000),RANDBETWEEN(10,200)))</f>
        <v>995</v>
      </c>
      <c r="AT940">
        <f t="shared" ca="1" si="72"/>
        <v>228</v>
      </c>
      <c r="AU940">
        <f ca="1">INT(AS940*RANDBETWEEN(120,200)/100)</f>
        <v>1512</v>
      </c>
      <c r="AV940" s="2">
        <f ca="1">IF(LEFT(Y940,1)="L",RANDBETWEEN(500000,5000000),IF(LEFT(Y940,1)="C",RANDBETWEEN(5000,50000),IF(LEFT(Y940,1)="N",RANDBETWEEN(10000,150000),IF(LEFT(Y940,1)="J",RANDBETWEEN(8000,200000),RANDBETWEEN(5000,100000)))))</f>
        <v>82492</v>
      </c>
      <c r="AW940" s="2">
        <f ca="1">INT(AV940*RANDBETWEEN(30,60)/100)</f>
        <v>27222</v>
      </c>
      <c r="AX940">
        <f ca="1">IF(Z940="ORAL",RANDBETWEEN(1000,10000),IF(OR(Z940="INTRAVENOSA",Z940="INTRAMUSCULAR"),RANDBETWEEN(100,2000),IF(OR(Z940="OFTÁLMICA",Z940="TOPICA (EXTERNA)"),RANDBETWEEN(200,3000),RANDBETWEEN(100,1500))))</f>
        <v>139</v>
      </c>
      <c r="AY940" s="2">
        <f ca="1">INT(AV940*RANDBETWEEN(90,130)/100)</f>
        <v>90741</v>
      </c>
      <c r="AZ940" t="str">
        <f t="shared" ca="1" si="73"/>
        <v>7.2%</v>
      </c>
      <c r="BA940" t="str">
        <f t="shared" ca="1" si="74"/>
        <v>BAJO</v>
      </c>
    </row>
    <row r="941" spans="4:53" x14ac:dyDescent="0.35">
      <c r="D941" t="s">
        <v>5827</v>
      </c>
      <c r="E941" s="1">
        <v>36629</v>
      </c>
      <c r="F941" t="s">
        <v>5828</v>
      </c>
      <c r="G941" t="s">
        <v>108</v>
      </c>
      <c r="H941" t="s">
        <v>1019</v>
      </c>
      <c r="I941">
        <v>36475</v>
      </c>
      <c r="J941" t="s">
        <v>110</v>
      </c>
      <c r="K941">
        <v>17</v>
      </c>
      <c r="L941" t="s">
        <v>27</v>
      </c>
      <c r="M941" t="s">
        <v>5829</v>
      </c>
      <c r="N941" t="s">
        <v>5830</v>
      </c>
      <c r="O941" t="s">
        <v>5831</v>
      </c>
      <c r="P941" t="s">
        <v>2300</v>
      </c>
      <c r="Q941" s="1">
        <v>42601</v>
      </c>
      <c r="R941" t="s">
        <v>5832</v>
      </c>
      <c r="S941" s="1">
        <v>43508</v>
      </c>
      <c r="T941" t="s">
        <v>1019</v>
      </c>
      <c r="U941" t="s">
        <v>247</v>
      </c>
      <c r="V941" t="s">
        <v>5833</v>
      </c>
      <c r="W941">
        <v>20</v>
      </c>
      <c r="X941">
        <v>36475</v>
      </c>
      <c r="Y941" t="s">
        <v>5834</v>
      </c>
      <c r="Z941" t="s">
        <v>566</v>
      </c>
      <c r="AA941" t="s">
        <v>24</v>
      </c>
      <c r="AB941" t="s">
        <v>653</v>
      </c>
      <c r="AC941" t="s">
        <v>25</v>
      </c>
      <c r="AD941" t="s">
        <v>121</v>
      </c>
      <c r="AE941">
        <v>1</v>
      </c>
      <c r="AF941" t="s">
        <v>27</v>
      </c>
      <c r="AG941" t="s">
        <v>26</v>
      </c>
      <c r="AH941" t="s">
        <v>6843</v>
      </c>
      <c r="AI941" t="str">
        <f t="shared" si="70"/>
        <v>NO</v>
      </c>
      <c r="AJ941" t="str">
        <f t="shared" si="71"/>
        <v>LABORATORIOS NEOLTDA.</v>
      </c>
      <c r="AK941" t="str">
        <f>IF(ISNUMBER(SEARCH("FABRICANTE",AC941)),"FABRICANTE",IF(ISNUMBER(SEARCH("IMPORTADOR",AC941)),"IMPORTADOR","OTRO"))</f>
        <v>FABRICANTE</v>
      </c>
      <c r="AL941" t="str">
        <f>IF(LEFT(Y941,1)="A","Sistema digestivo",IF(LEFT(Y941,1)="B","Sangre",IF(LEFT(Y941,1)="C","Cardiovascular",IF(LEFT(Y941,1)="D","Dermatológico",IF(LEFT(Y941,1)="G","Genitourinario",IF(LEFT(Y941,1)="H","Hormonal",IF(LEFT(Y941,1)="J","Antiinfecciosos",IF(LEFT(Y941,1)="L","Oncológicos",IF(LEFT(Y941,1)="M","Musculoesquelético",IF(LEFT(Y941,1)="N","Sistema nervioso",IF(LEFT(Y941,1)="R","Respiratorio",IF(LEFT(Y941,1)="S","Oftálmico",IF(LEFT(Y941,1)="V","Varios","OTRO")))))))))))))</f>
        <v>Dermatológico</v>
      </c>
      <c r="AM941" t="str">
        <f>IF(AG941="Vigente","ACTIVO",IF(ISNUMBER(SEARCH("Inactivo",J941)),"INACTIVO","REVISAR"))</f>
        <v>ACTIVO</v>
      </c>
      <c r="AN941" t="str">
        <f ca="1">IF(OR(AF941="",AF941="null"),"",ROUND((AF941-TODAY())/365.25,2))</f>
        <v/>
      </c>
      <c r="AO941" t="str">
        <f ca="1">IF(AND(AG941="Vigente",OR(AF941="",AF941="null",AF941&gt;TODAY())),"SI",IF(AND(NOT(OR(AF941="",AF941="null")),AF941&lt;=TODAY()),"NO",IF(AG941="Vigente","SI","DESCONOCIDO")))</f>
        <v>SI</v>
      </c>
      <c r="AP941" t="str">
        <f>IF(AND(ISNUMBER(SEARCH("IMPORTAR",AA941)),ISNUMBER(SEARCH("FABRICAR",AA941))),"MIXTO",IF(ISNUMBER(SEARCH("IMPORTAR",AA941)),"IMPORTADO",IF(ISNUMBER(SEARCH("FABRICAR",AA941)),"LOCAL","OTRO")))</f>
        <v>LOCAL</v>
      </c>
      <c r="AQ941" t="str">
        <f>IF(AD941="Si","SI",IF(AD941="No","NO",""))</f>
        <v>NO</v>
      </c>
      <c r="AR941" t="str">
        <f>IF(ISNUMBER(SEARCH("®",N941)),"MARCA/INNOVADOR","GENERICO")</f>
        <v>MARCA/INNOVADOR</v>
      </c>
      <c r="AS941">
        <f ca="1">IF(AE941&gt;100,RANDBETWEEN(500,5000),IF(AND(AE941&gt;=10,AE941&lt;=100),RANDBETWEEN(100,1000),RANDBETWEEN(10,200)))</f>
        <v>31</v>
      </c>
      <c r="AT941">
        <f t="shared" ca="1" si="72"/>
        <v>8</v>
      </c>
      <c r="AU941">
        <f ca="1">INT(AS941*RANDBETWEEN(120,200)/100)</f>
        <v>48</v>
      </c>
      <c r="AV941" s="2">
        <f ca="1">IF(LEFT(Y941,1)="L",RANDBETWEEN(500000,5000000),IF(LEFT(Y941,1)="C",RANDBETWEEN(5000,50000),IF(LEFT(Y941,1)="N",RANDBETWEEN(10000,150000),IF(LEFT(Y941,1)="J",RANDBETWEEN(8000,200000),RANDBETWEEN(5000,100000)))))</f>
        <v>25766</v>
      </c>
      <c r="AW941" s="2">
        <f ca="1">INT(AV941*RANDBETWEEN(30,60)/100)</f>
        <v>10821</v>
      </c>
      <c r="AX941">
        <f ca="1">IF(Z941="ORAL",RANDBETWEEN(1000,10000),IF(OR(Z941="INTRAVENOSA",Z941="INTRAMUSCULAR"),RANDBETWEEN(100,2000),IF(OR(Z941="OFTÁLMICA",Z941="TOPICA (EXTERNA)"),RANDBETWEEN(200,3000),RANDBETWEEN(100,1500))))</f>
        <v>633</v>
      </c>
      <c r="AY941" s="2">
        <f ca="1">INT(AV941*RANDBETWEEN(90,130)/100)</f>
        <v>30919</v>
      </c>
      <c r="AZ941" t="str">
        <f t="shared" ca="1" si="73"/>
        <v>6.5%</v>
      </c>
      <c r="BA941" t="str">
        <f t="shared" ca="1" si="74"/>
        <v>ALTO</v>
      </c>
    </row>
    <row r="942" spans="4:53" x14ac:dyDescent="0.35">
      <c r="D942" t="s">
        <v>5835</v>
      </c>
      <c r="E942" s="1">
        <v>35866</v>
      </c>
      <c r="F942" t="s">
        <v>5836</v>
      </c>
      <c r="G942" t="s">
        <v>108</v>
      </c>
      <c r="H942" t="s">
        <v>454</v>
      </c>
      <c r="I942">
        <v>31404</v>
      </c>
      <c r="J942" t="s">
        <v>28</v>
      </c>
      <c r="K942">
        <v>14</v>
      </c>
      <c r="L942" t="s">
        <v>27</v>
      </c>
      <c r="M942" t="s">
        <v>5837</v>
      </c>
      <c r="N942" t="s">
        <v>5838</v>
      </c>
      <c r="O942" t="s">
        <v>5839</v>
      </c>
      <c r="P942" t="s">
        <v>527</v>
      </c>
      <c r="Q942" s="1">
        <v>39031</v>
      </c>
      <c r="R942" t="s">
        <v>527</v>
      </c>
      <c r="S942" t="s">
        <v>27</v>
      </c>
      <c r="T942" t="s">
        <v>454</v>
      </c>
      <c r="U942" t="s">
        <v>469</v>
      </c>
      <c r="V942" t="s">
        <v>5840</v>
      </c>
      <c r="W942">
        <v>5000</v>
      </c>
      <c r="X942">
        <v>31404</v>
      </c>
      <c r="Y942" t="s">
        <v>5841</v>
      </c>
      <c r="Z942" t="s">
        <v>119</v>
      </c>
      <c r="AA942" t="s">
        <v>24</v>
      </c>
      <c r="AB942" t="s">
        <v>120</v>
      </c>
      <c r="AC942" t="s">
        <v>25</v>
      </c>
      <c r="AD942" t="s">
        <v>121</v>
      </c>
      <c r="AE942">
        <v>100</v>
      </c>
      <c r="AF942" t="s">
        <v>27</v>
      </c>
      <c r="AG942" t="s">
        <v>26</v>
      </c>
      <c r="AH942" t="s">
        <v>120</v>
      </c>
      <c r="AI942" t="str">
        <f t="shared" si="70"/>
        <v>SI</v>
      </c>
      <c r="AJ942" t="str">
        <f t="shared" si="71"/>
        <v>PROCAPS</v>
      </c>
      <c r="AK942" t="str">
        <f>IF(ISNUMBER(SEARCH("FABRICANTE",AC942)),"FABRICANTE",IF(ISNUMBER(SEARCH("IMPORTADOR",AC942)),"IMPORTADOR","OTRO"))</f>
        <v>FABRICANTE</v>
      </c>
      <c r="AL942" t="str">
        <f>IF(LEFT(Y942,1)="A","Sistema digestivo",IF(LEFT(Y942,1)="B","Sangre",IF(LEFT(Y942,1)="C","Cardiovascular",IF(LEFT(Y942,1)="D","Dermatológico",IF(LEFT(Y942,1)="G","Genitourinario",IF(LEFT(Y942,1)="H","Hormonal",IF(LEFT(Y942,1)="J","Antiinfecciosos",IF(LEFT(Y942,1)="L","Oncológicos",IF(LEFT(Y942,1)="M","Musculoesquelético",IF(LEFT(Y942,1)="N","Sistema nervioso",IF(LEFT(Y942,1)="R","Respiratorio",IF(LEFT(Y942,1)="S","Oftálmico",IF(LEFT(Y942,1)="V","Varios","OTRO")))))))))))))</f>
        <v>Sistema digestivo</v>
      </c>
      <c r="AM942" t="str">
        <f>IF(AG942="Vigente","ACTIVO",IF(ISNUMBER(SEARCH("Inactivo",J942)),"INACTIVO","REVISAR"))</f>
        <v>ACTIVO</v>
      </c>
      <c r="AN942" t="str">
        <f ca="1">IF(OR(AF942="",AF942="null"),"",ROUND((AF942-TODAY())/365.25,2))</f>
        <v/>
      </c>
      <c r="AO942" t="str">
        <f ca="1">IF(AND(AG942="Vigente",OR(AF942="",AF942="null",AF942&gt;TODAY())),"SI",IF(AND(NOT(OR(AF942="",AF942="null")),AF942&lt;=TODAY()),"NO",IF(AG942="Vigente","SI","DESCONOCIDO")))</f>
        <v>SI</v>
      </c>
      <c r="AP942" t="str">
        <f>IF(AND(ISNUMBER(SEARCH("IMPORTAR",AA942)),ISNUMBER(SEARCH("FABRICAR",AA942))),"MIXTO",IF(ISNUMBER(SEARCH("IMPORTAR",AA942)),"IMPORTADO",IF(ISNUMBER(SEARCH("FABRICAR",AA942)),"LOCAL","OTRO")))</f>
        <v>LOCAL</v>
      </c>
      <c r="AQ942" t="str">
        <f>IF(AD942="Si","SI",IF(AD942="No","NO",""))</f>
        <v>NO</v>
      </c>
      <c r="AR942" t="str">
        <f>IF(ISNUMBER(SEARCH("®",N942)),"MARCA/INNOVADOR","GENERICO")</f>
        <v>GENERICO</v>
      </c>
      <c r="AS942">
        <f ca="1">IF(AE942&gt;100,RANDBETWEEN(500,5000),IF(AND(AE942&gt;=10,AE942&lt;=100),RANDBETWEEN(100,1000),RANDBETWEEN(10,200)))</f>
        <v>458</v>
      </c>
      <c r="AT942">
        <f t="shared" ca="1" si="72"/>
        <v>68</v>
      </c>
      <c r="AU942">
        <f ca="1">INT(AS942*RANDBETWEEN(120,200)/100)</f>
        <v>751</v>
      </c>
      <c r="AV942" s="2">
        <f ca="1">IF(LEFT(Y942,1)="L",RANDBETWEEN(500000,5000000),IF(LEFT(Y942,1)="C",RANDBETWEEN(5000,50000),IF(LEFT(Y942,1)="N",RANDBETWEEN(10000,150000),IF(LEFT(Y942,1)="J",RANDBETWEEN(8000,200000),RANDBETWEEN(5000,100000)))))</f>
        <v>9750</v>
      </c>
      <c r="AW942" s="2">
        <f ca="1">INT(AV942*RANDBETWEEN(30,60)/100)</f>
        <v>5655</v>
      </c>
      <c r="AX942">
        <f ca="1">IF(Z942="ORAL",RANDBETWEEN(1000,10000),IF(OR(Z942="INTRAVENOSA",Z942="INTRAMUSCULAR"),RANDBETWEEN(100,2000),IF(OR(Z942="OFTÁLMICA",Z942="TOPICA (EXTERNA)"),RANDBETWEEN(200,3000),RANDBETWEEN(100,1500))))</f>
        <v>5514</v>
      </c>
      <c r="AY942" s="2">
        <f ca="1">INT(AV942*RANDBETWEEN(90,130)/100)</f>
        <v>11310</v>
      </c>
      <c r="AZ942" t="str">
        <f t="shared" ca="1" si="73"/>
        <v>5%</v>
      </c>
      <c r="BA942" t="str">
        <f t="shared" ca="1" si="74"/>
        <v>BAJO</v>
      </c>
    </row>
    <row r="943" spans="4:53" x14ac:dyDescent="0.35">
      <c r="D943" t="s">
        <v>5842</v>
      </c>
      <c r="E943" s="1">
        <v>35787</v>
      </c>
      <c r="F943" t="s">
        <v>5843</v>
      </c>
      <c r="G943" t="s">
        <v>108</v>
      </c>
      <c r="H943" t="s">
        <v>549</v>
      </c>
      <c r="I943">
        <v>208141</v>
      </c>
      <c r="J943" t="s">
        <v>110</v>
      </c>
      <c r="K943">
        <v>25</v>
      </c>
      <c r="L943" t="s">
        <v>27</v>
      </c>
      <c r="M943" t="s">
        <v>550</v>
      </c>
      <c r="N943" t="s">
        <v>551</v>
      </c>
      <c r="O943" t="s">
        <v>2243</v>
      </c>
      <c r="P943" t="s">
        <v>553</v>
      </c>
      <c r="Q943" s="1">
        <v>39225</v>
      </c>
      <c r="R943" t="s">
        <v>50</v>
      </c>
      <c r="S943" t="s">
        <v>27</v>
      </c>
      <c r="T943" t="s">
        <v>549</v>
      </c>
      <c r="U943" t="s">
        <v>247</v>
      </c>
      <c r="V943" t="s">
        <v>554</v>
      </c>
      <c r="W943" t="s">
        <v>5844</v>
      </c>
      <c r="X943">
        <v>208141</v>
      </c>
      <c r="Y943" t="s">
        <v>556</v>
      </c>
      <c r="Z943" t="s">
        <v>260</v>
      </c>
      <c r="AA943" t="s">
        <v>32</v>
      </c>
      <c r="AB943" t="s">
        <v>120</v>
      </c>
      <c r="AC943" t="s">
        <v>38</v>
      </c>
      <c r="AD943" t="s">
        <v>121</v>
      </c>
      <c r="AE943">
        <v>1</v>
      </c>
      <c r="AF943" t="s">
        <v>27</v>
      </c>
      <c r="AG943" t="s">
        <v>26</v>
      </c>
      <c r="AH943" t="s">
        <v>6713</v>
      </c>
      <c r="AI943" t="str">
        <f t="shared" si="70"/>
        <v>NO</v>
      </c>
      <c r="AJ943" t="str">
        <f t="shared" si="71"/>
        <v>LABORATORIOS BAXTER</v>
      </c>
      <c r="AK943" t="str">
        <f>IF(ISNUMBER(SEARCH("FABRICANTE",AC943)),"FABRICANTE",IF(ISNUMBER(SEARCH("IMPORTADOR",AC943)),"IMPORTADOR","OTRO"))</f>
        <v>IMPORTADOR</v>
      </c>
      <c r="AL943" t="str">
        <f>IF(LEFT(Y943,1)="A","Sistema digestivo",IF(LEFT(Y943,1)="B","Sangre",IF(LEFT(Y943,1)="C","Cardiovascular",IF(LEFT(Y943,1)="D","Dermatológico",IF(LEFT(Y943,1)="G","Genitourinario",IF(LEFT(Y943,1)="H","Hormonal",IF(LEFT(Y943,1)="J","Antiinfecciosos",IF(LEFT(Y943,1)="L","Oncológicos",IF(LEFT(Y943,1)="M","Musculoesquelético",IF(LEFT(Y943,1)="N","Sistema nervioso",IF(LEFT(Y943,1)="R","Respiratorio",IF(LEFT(Y943,1)="S","Oftálmico",IF(LEFT(Y943,1)="V","Varios","OTRO")))))))))))))</f>
        <v>Sangre</v>
      </c>
      <c r="AM943" t="str">
        <f>IF(AG943="Vigente","ACTIVO",IF(ISNUMBER(SEARCH("Inactivo",J943)),"INACTIVO","REVISAR"))</f>
        <v>ACTIVO</v>
      </c>
      <c r="AN943" t="str">
        <f ca="1">IF(OR(AF943="",AF943="null"),"",ROUND((AF943-TODAY())/365.25,2))</f>
        <v/>
      </c>
      <c r="AO943" t="str">
        <f ca="1">IF(AND(AG943="Vigente",OR(AF943="",AF943="null",AF943&gt;TODAY())),"SI",IF(AND(NOT(OR(AF943="",AF943="null")),AF943&lt;=TODAY()),"NO",IF(AG943="Vigente","SI","DESCONOCIDO")))</f>
        <v>SI</v>
      </c>
      <c r="AP943" t="str">
        <f>IF(AND(ISNUMBER(SEARCH("IMPORTAR",AA943)),ISNUMBER(SEARCH("FABRICAR",AA943))),"MIXTO",IF(ISNUMBER(SEARCH("IMPORTAR",AA943)),"IMPORTADO",IF(ISNUMBER(SEARCH("FABRICAR",AA943)),"LOCAL","OTRO")))</f>
        <v>IMPORTADO</v>
      </c>
      <c r="AQ943" t="str">
        <f>IF(AD943="Si","SI",IF(AD943="No","NO",""))</f>
        <v>NO</v>
      </c>
      <c r="AR943" t="str">
        <f>IF(ISNUMBER(SEARCH("®",N943)),"MARCA/INNOVADOR","GENERICO")</f>
        <v>GENERICO</v>
      </c>
      <c r="AS943">
        <f ca="1">IF(AE943&gt;100,RANDBETWEEN(500,5000),IF(AND(AE943&gt;=10,AE943&lt;=100),RANDBETWEEN(100,1000),RANDBETWEEN(10,200)))</f>
        <v>125</v>
      </c>
      <c r="AT943">
        <f t="shared" ca="1" si="72"/>
        <v>12</v>
      </c>
      <c r="AU943">
        <f ca="1">INT(AS943*RANDBETWEEN(120,200)/100)</f>
        <v>166</v>
      </c>
      <c r="AV943" s="2">
        <f ca="1">IF(LEFT(Y943,1)="L",RANDBETWEEN(500000,5000000),IF(LEFT(Y943,1)="C",RANDBETWEEN(5000,50000),IF(LEFT(Y943,1)="N",RANDBETWEEN(10000,150000),IF(LEFT(Y943,1)="J",RANDBETWEEN(8000,200000),RANDBETWEEN(5000,100000)))))</f>
        <v>36225</v>
      </c>
      <c r="AW943" s="2">
        <f ca="1">INT(AV943*RANDBETWEEN(30,60)/100)</f>
        <v>13403</v>
      </c>
      <c r="AX943">
        <f ca="1">IF(Z943="ORAL",RANDBETWEEN(1000,10000),IF(OR(Z943="INTRAVENOSA",Z943="INTRAMUSCULAR"),RANDBETWEEN(100,2000),IF(OR(Z943="OFTÁLMICA",Z943="TOPICA (EXTERNA)"),RANDBETWEEN(200,3000),RANDBETWEEN(100,1500))))</f>
        <v>1444</v>
      </c>
      <c r="AY943" s="2">
        <f ca="1">INT(AV943*RANDBETWEEN(90,130)/100)</f>
        <v>34776</v>
      </c>
      <c r="AZ943" t="str">
        <f t="shared" ca="1" si="73"/>
        <v>4.4%</v>
      </c>
      <c r="BA943" t="str">
        <f t="shared" ca="1" si="74"/>
        <v>ALTO</v>
      </c>
    </row>
    <row r="944" spans="4:53" x14ac:dyDescent="0.35">
      <c r="D944" t="s">
        <v>5845</v>
      </c>
      <c r="E944" s="1">
        <v>45789</v>
      </c>
      <c r="F944" t="s">
        <v>1819</v>
      </c>
      <c r="G944" t="s">
        <v>108</v>
      </c>
      <c r="H944" t="s">
        <v>5846</v>
      </c>
      <c r="I944">
        <v>20279274</v>
      </c>
      <c r="J944" t="s">
        <v>28</v>
      </c>
      <c r="K944">
        <v>9</v>
      </c>
      <c r="L944" t="s">
        <v>27</v>
      </c>
      <c r="M944" t="s">
        <v>5847</v>
      </c>
      <c r="N944" t="s">
        <v>5848</v>
      </c>
      <c r="O944" t="s">
        <v>5849</v>
      </c>
      <c r="P944" t="s">
        <v>5850</v>
      </c>
      <c r="Q944" s="1">
        <v>45819</v>
      </c>
      <c r="R944" t="s">
        <v>1818</v>
      </c>
      <c r="S944" t="s">
        <v>27</v>
      </c>
      <c r="T944" t="s">
        <v>5846</v>
      </c>
      <c r="U944" t="s">
        <v>1982</v>
      </c>
      <c r="V944" t="s">
        <v>5848</v>
      </c>
      <c r="W944">
        <v>21</v>
      </c>
      <c r="X944">
        <v>20279274</v>
      </c>
      <c r="Y944" t="s">
        <v>5851</v>
      </c>
      <c r="Z944" t="s">
        <v>1168</v>
      </c>
      <c r="AA944" t="s">
        <v>24</v>
      </c>
      <c r="AB944" t="s">
        <v>1983</v>
      </c>
      <c r="AC944" t="s">
        <v>25</v>
      </c>
      <c r="AD944" t="s">
        <v>121</v>
      </c>
      <c r="AE944">
        <v>1</v>
      </c>
      <c r="AF944" s="1">
        <v>47630</v>
      </c>
      <c r="AG944" t="s">
        <v>26</v>
      </c>
      <c r="AH944" t="s">
        <v>1819</v>
      </c>
      <c r="AI944" t="str">
        <f t="shared" si="70"/>
        <v>NO</v>
      </c>
      <c r="AJ944" t="str">
        <f t="shared" si="71"/>
        <v>GASES Y SUMINISTROS DEL CARIBE</v>
      </c>
      <c r="AK944" t="str">
        <f>IF(ISNUMBER(SEARCH("FABRICANTE",AC944)),"FABRICANTE",IF(ISNUMBER(SEARCH("IMPORTADOR",AC944)),"IMPORTADOR","OTRO"))</f>
        <v>FABRICANTE</v>
      </c>
      <c r="AL944" t="str">
        <f>IF(LEFT(Y944,1)="A","Sistema digestivo",IF(LEFT(Y944,1)="B","Sangre",IF(LEFT(Y944,1)="C","Cardiovascular",IF(LEFT(Y944,1)="D","Dermatológico",IF(LEFT(Y944,1)="G","Genitourinario",IF(LEFT(Y944,1)="H","Hormonal",IF(LEFT(Y944,1)="J","Antiinfecciosos",IF(LEFT(Y944,1)="L","Oncológicos",IF(LEFT(Y944,1)="M","Musculoesquelético",IF(LEFT(Y944,1)="N","Sistema nervioso",IF(LEFT(Y944,1)="R","Respiratorio",IF(LEFT(Y944,1)="S","Oftálmico",IF(LEFT(Y944,1)="V","Varios","OTRO")))))))))))))</f>
        <v>Varios</v>
      </c>
      <c r="AM944" t="str">
        <f>IF(AG944="Vigente","ACTIVO",IF(ISNUMBER(SEARCH("Inactivo",J944)),"INACTIVO","REVISAR"))</f>
        <v>ACTIVO</v>
      </c>
      <c r="AN944">
        <f ca="1">IF(OR(AF944="",AF944="null"),"",ROUND((AF944-TODAY())/365.25,2))</f>
        <v>4</v>
      </c>
      <c r="AO944" t="str">
        <f ca="1">IF(AND(AG944="Vigente",OR(AF944="",AF944="null",AF944&gt;TODAY())),"SI",IF(AND(NOT(OR(AF944="",AF944="null")),AF944&lt;=TODAY()),"NO",IF(AG944="Vigente","SI","DESCONOCIDO")))</f>
        <v>SI</v>
      </c>
      <c r="AP944" t="str">
        <f>IF(AND(ISNUMBER(SEARCH("IMPORTAR",AA944)),ISNUMBER(SEARCH("FABRICAR",AA944))),"MIXTO",IF(ISNUMBER(SEARCH("IMPORTAR",AA944)),"IMPORTADO",IF(ISNUMBER(SEARCH("FABRICAR",AA944)),"LOCAL","OTRO")))</f>
        <v>LOCAL</v>
      </c>
      <c r="AQ944" t="str">
        <f>IF(AD944="Si","SI",IF(AD944="No","NO",""))</f>
        <v>NO</v>
      </c>
      <c r="AR944" t="str">
        <f>IF(ISNUMBER(SEARCH("®",N944)),"MARCA/INNOVADOR","GENERICO")</f>
        <v>GENERICO</v>
      </c>
      <c r="AS944">
        <f ca="1">IF(AE944&gt;100,RANDBETWEEN(500,5000),IF(AND(AE944&gt;=10,AE944&lt;=100),RANDBETWEEN(100,1000),RANDBETWEEN(10,200)))</f>
        <v>192</v>
      </c>
      <c r="AT944">
        <f t="shared" ca="1" si="72"/>
        <v>42</v>
      </c>
      <c r="AU944">
        <f ca="1">INT(AS944*RANDBETWEEN(120,200)/100)</f>
        <v>253</v>
      </c>
      <c r="AV944" s="2">
        <f ca="1">IF(LEFT(Y944,1)="L",RANDBETWEEN(500000,5000000),IF(LEFT(Y944,1)="C",RANDBETWEEN(5000,50000),IF(LEFT(Y944,1)="N",RANDBETWEEN(10000,150000),IF(LEFT(Y944,1)="J",RANDBETWEEN(8000,200000),RANDBETWEEN(5000,100000)))))</f>
        <v>68574</v>
      </c>
      <c r="AW944" s="2">
        <f ca="1">INT(AV944*RANDBETWEEN(30,60)/100)</f>
        <v>20572</v>
      </c>
      <c r="AX944">
        <f ca="1">IF(Z944="ORAL",RANDBETWEEN(1000,10000),IF(OR(Z944="INTRAVENOSA",Z944="INTRAMUSCULAR"),RANDBETWEEN(100,2000),IF(OR(Z944="OFTÁLMICA",Z944="TOPICA (EXTERNA)"),RANDBETWEEN(200,3000),RANDBETWEEN(100,1500))))</f>
        <v>935</v>
      </c>
      <c r="AY944" s="2">
        <f ca="1">INT(AV944*RANDBETWEEN(90,130)/100)</f>
        <v>76117</v>
      </c>
      <c r="AZ944" t="str">
        <f t="shared" ca="1" si="73"/>
        <v>2.6%</v>
      </c>
      <c r="BA944" t="str">
        <f t="shared" ca="1" si="74"/>
        <v>MEDIO</v>
      </c>
    </row>
    <row r="945" spans="4:53" x14ac:dyDescent="0.35">
      <c r="D945" t="s">
        <v>5852</v>
      </c>
      <c r="E945" s="1">
        <v>41527</v>
      </c>
      <c r="F945" t="s">
        <v>5853</v>
      </c>
      <c r="G945" t="s">
        <v>108</v>
      </c>
      <c r="H945" t="s">
        <v>445</v>
      </c>
      <c r="I945">
        <v>20056052</v>
      </c>
      <c r="J945" t="s">
        <v>28</v>
      </c>
      <c r="K945">
        <v>28</v>
      </c>
      <c r="L945" t="s">
        <v>27</v>
      </c>
      <c r="M945" t="s">
        <v>5854</v>
      </c>
      <c r="N945" t="s">
        <v>5855</v>
      </c>
      <c r="O945" t="s">
        <v>5856</v>
      </c>
      <c r="P945" t="s">
        <v>266</v>
      </c>
      <c r="Q945" s="1">
        <v>44763</v>
      </c>
      <c r="R945" t="s">
        <v>33</v>
      </c>
      <c r="S945" t="s">
        <v>27</v>
      </c>
      <c r="T945" t="s">
        <v>4606</v>
      </c>
      <c r="U945" t="s">
        <v>115</v>
      </c>
      <c r="V945" t="s">
        <v>5857</v>
      </c>
      <c r="W945">
        <v>75</v>
      </c>
      <c r="X945">
        <v>20056052</v>
      </c>
      <c r="Y945" t="s">
        <v>5858</v>
      </c>
      <c r="Z945" t="s">
        <v>119</v>
      </c>
      <c r="AA945" t="s">
        <v>32</v>
      </c>
      <c r="AB945" t="s">
        <v>120</v>
      </c>
      <c r="AC945" t="s">
        <v>38</v>
      </c>
      <c r="AD945" t="s">
        <v>155</v>
      </c>
      <c r="AE945">
        <v>14</v>
      </c>
      <c r="AF945" t="s">
        <v>27</v>
      </c>
      <c r="AG945" t="s">
        <v>26</v>
      </c>
      <c r="AH945" t="s">
        <v>6714</v>
      </c>
      <c r="AI945" t="str">
        <f t="shared" si="70"/>
        <v>SI</v>
      </c>
      <c r="AJ945" t="str">
        <f t="shared" si="71"/>
        <v>MSN LABORATORIES PRIVATED</v>
      </c>
      <c r="AK945" t="str">
        <f>IF(ISNUMBER(SEARCH("FABRICANTE",AC945)),"FABRICANTE",IF(ISNUMBER(SEARCH("IMPORTADOR",AC945)),"IMPORTADOR","OTRO"))</f>
        <v>IMPORTADOR</v>
      </c>
      <c r="AL945" t="str">
        <f>IF(LEFT(Y945,1)="A","Sistema digestivo",IF(LEFT(Y945,1)="B","Sangre",IF(LEFT(Y945,1)="C","Cardiovascular",IF(LEFT(Y945,1)="D","Dermatológico",IF(LEFT(Y945,1)="G","Genitourinario",IF(LEFT(Y945,1)="H","Hormonal",IF(LEFT(Y945,1)="J","Antiinfecciosos",IF(LEFT(Y945,1)="L","Oncológicos",IF(LEFT(Y945,1)="M","Musculoesquelético",IF(LEFT(Y945,1)="N","Sistema nervioso",IF(LEFT(Y945,1)="R","Respiratorio",IF(LEFT(Y945,1)="S","Oftálmico",IF(LEFT(Y945,1)="V","Varios","OTRO")))))))))))))</f>
        <v>Sangre</v>
      </c>
      <c r="AM945" t="str">
        <f>IF(AG945="Vigente","ACTIVO",IF(ISNUMBER(SEARCH("Inactivo",J945)),"INACTIVO","REVISAR"))</f>
        <v>ACTIVO</v>
      </c>
      <c r="AN945" t="str">
        <f ca="1">IF(OR(AF945="",AF945="null"),"",ROUND((AF945-TODAY())/365.25,2))</f>
        <v/>
      </c>
      <c r="AO945" t="str">
        <f ca="1">IF(AND(AG945="Vigente",OR(AF945="",AF945="null",AF945&gt;TODAY())),"SI",IF(AND(NOT(OR(AF945="",AF945="null")),AF945&lt;=TODAY()),"NO",IF(AG945="Vigente","SI","DESCONOCIDO")))</f>
        <v>SI</v>
      </c>
      <c r="AP945" t="str">
        <f>IF(AND(ISNUMBER(SEARCH("IMPORTAR",AA945)),ISNUMBER(SEARCH("FABRICAR",AA945))),"MIXTO",IF(ISNUMBER(SEARCH("IMPORTAR",AA945)),"IMPORTADO",IF(ISNUMBER(SEARCH("FABRICAR",AA945)),"LOCAL","OTRO")))</f>
        <v>IMPORTADO</v>
      </c>
      <c r="AQ945" t="str">
        <f>IF(AD945="Si","SI",IF(AD945="No","NO",""))</f>
        <v>SI</v>
      </c>
      <c r="AR945" t="str">
        <f>IF(ISNUMBER(SEARCH("®",N945)),"MARCA/INNOVADOR","GENERICO")</f>
        <v>MARCA/INNOVADOR</v>
      </c>
      <c r="AS945">
        <f ca="1">IF(AE945&gt;100,RANDBETWEEN(500,5000),IF(AND(AE945&gt;=10,AE945&lt;=100),RANDBETWEEN(100,1000),RANDBETWEEN(10,200)))</f>
        <v>548</v>
      </c>
      <c r="AT945">
        <f t="shared" ca="1" si="72"/>
        <v>87</v>
      </c>
      <c r="AU945">
        <f ca="1">INT(AS945*RANDBETWEEN(120,200)/100)</f>
        <v>920</v>
      </c>
      <c r="AV945" s="2">
        <f ca="1">IF(LEFT(Y945,1)="L",RANDBETWEEN(500000,5000000),IF(LEFT(Y945,1)="C",RANDBETWEEN(5000,50000),IF(LEFT(Y945,1)="N",RANDBETWEEN(10000,150000),IF(LEFT(Y945,1)="J",RANDBETWEEN(8000,200000),RANDBETWEEN(5000,100000)))))</f>
        <v>99162</v>
      </c>
      <c r="AW945" s="2">
        <f ca="1">INT(AV945*RANDBETWEEN(30,60)/100)</f>
        <v>32723</v>
      </c>
      <c r="AX945">
        <f ca="1">IF(Z945="ORAL",RANDBETWEEN(1000,10000),IF(OR(Z945="INTRAVENOSA",Z945="INTRAMUSCULAR"),RANDBETWEEN(100,2000),IF(OR(Z945="OFTÁLMICA",Z945="TOPICA (EXTERNA)"),RANDBETWEEN(200,3000),RANDBETWEEN(100,1500))))</f>
        <v>2080</v>
      </c>
      <c r="AY945" s="2">
        <f ca="1">INT(AV945*RANDBETWEEN(90,130)/100)</f>
        <v>100153</v>
      </c>
      <c r="AZ945" t="str">
        <f t="shared" ca="1" si="73"/>
        <v>5.9%</v>
      </c>
      <c r="BA945" t="str">
        <f t="shared" ca="1" si="74"/>
        <v>BAJO</v>
      </c>
    </row>
    <row r="946" spans="4:53" x14ac:dyDescent="0.35">
      <c r="D946" t="s">
        <v>5859</v>
      </c>
      <c r="E946" s="1">
        <v>41781</v>
      </c>
      <c r="F946" t="s">
        <v>5860</v>
      </c>
      <c r="G946" t="s">
        <v>108</v>
      </c>
      <c r="H946" t="s">
        <v>80</v>
      </c>
      <c r="I946">
        <v>20064548</v>
      </c>
      <c r="J946" t="s">
        <v>28</v>
      </c>
      <c r="K946">
        <v>19</v>
      </c>
      <c r="L946" t="s">
        <v>27</v>
      </c>
      <c r="M946" t="s">
        <v>5861</v>
      </c>
      <c r="N946" t="s">
        <v>5862</v>
      </c>
      <c r="O946" t="s">
        <v>5863</v>
      </c>
      <c r="P946" t="s">
        <v>526</v>
      </c>
      <c r="Q946" s="1">
        <v>41604</v>
      </c>
      <c r="R946" t="s">
        <v>527</v>
      </c>
      <c r="S946" t="s">
        <v>27</v>
      </c>
      <c r="T946" t="s">
        <v>81</v>
      </c>
      <c r="U946" t="s">
        <v>115</v>
      </c>
      <c r="V946" t="s">
        <v>162</v>
      </c>
      <c r="W946" t="s">
        <v>1117</v>
      </c>
      <c r="X946">
        <v>20064548</v>
      </c>
      <c r="Y946" t="s">
        <v>164</v>
      </c>
      <c r="Z946" t="s">
        <v>119</v>
      </c>
      <c r="AA946" t="s">
        <v>24</v>
      </c>
      <c r="AB946" t="s">
        <v>120</v>
      </c>
      <c r="AC946" t="s">
        <v>25</v>
      </c>
      <c r="AD946" t="s">
        <v>155</v>
      </c>
      <c r="AE946">
        <v>7</v>
      </c>
      <c r="AF946" t="s">
        <v>27</v>
      </c>
      <c r="AG946" t="s">
        <v>26</v>
      </c>
      <c r="AH946" t="s">
        <v>5860</v>
      </c>
      <c r="AI946" t="str">
        <f t="shared" si="70"/>
        <v>NO</v>
      </c>
      <c r="AJ946" t="str">
        <f t="shared" si="71"/>
        <v>LABORATORIOS MK</v>
      </c>
      <c r="AK946" t="str">
        <f>IF(ISNUMBER(SEARCH("FABRICANTE",AC946)),"FABRICANTE",IF(ISNUMBER(SEARCH("IMPORTADOR",AC946)),"IMPORTADOR","OTRO"))</f>
        <v>FABRICANTE</v>
      </c>
      <c r="AL946" t="str">
        <f>IF(LEFT(Y946,1)="A","Sistema digestivo",IF(LEFT(Y946,1)="B","Sangre",IF(LEFT(Y946,1)="C","Cardiovascular",IF(LEFT(Y946,1)="D","Dermatológico",IF(LEFT(Y946,1)="G","Genitourinario",IF(LEFT(Y946,1)="H","Hormonal",IF(LEFT(Y946,1)="J","Antiinfecciosos",IF(LEFT(Y946,1)="L","Oncológicos",IF(LEFT(Y946,1)="M","Musculoesquelético",IF(LEFT(Y946,1)="N","Sistema nervioso",IF(LEFT(Y946,1)="R","Respiratorio",IF(LEFT(Y946,1)="S","Oftálmico",IF(LEFT(Y946,1)="V","Varios","OTRO")))))))))))))</f>
        <v>Musculoesquelético</v>
      </c>
      <c r="AM946" t="str">
        <f>IF(AG946="Vigente","ACTIVO",IF(ISNUMBER(SEARCH("Inactivo",J946)),"INACTIVO","REVISAR"))</f>
        <v>ACTIVO</v>
      </c>
      <c r="AN946" t="str">
        <f ca="1">IF(OR(AF946="",AF946="null"),"",ROUND((AF946-TODAY())/365.25,2))</f>
        <v/>
      </c>
      <c r="AO946" t="str">
        <f ca="1">IF(AND(AG946="Vigente",OR(AF946="",AF946="null",AF946&gt;TODAY())),"SI",IF(AND(NOT(OR(AF946="",AF946="null")),AF946&lt;=TODAY()),"NO",IF(AG946="Vigente","SI","DESCONOCIDO")))</f>
        <v>SI</v>
      </c>
      <c r="AP946" t="str">
        <f>IF(AND(ISNUMBER(SEARCH("IMPORTAR",AA946)),ISNUMBER(SEARCH("FABRICAR",AA946))),"MIXTO",IF(ISNUMBER(SEARCH("IMPORTAR",AA946)),"IMPORTADO",IF(ISNUMBER(SEARCH("FABRICAR",AA946)),"LOCAL","OTRO")))</f>
        <v>LOCAL</v>
      </c>
      <c r="AQ946" t="str">
        <f>IF(AD946="Si","SI",IF(AD946="No","NO",""))</f>
        <v>SI</v>
      </c>
      <c r="AR946" t="str">
        <f>IF(ISNUMBER(SEARCH("®",N946)),"MARCA/INNOVADOR","GENERICO")</f>
        <v>MARCA/INNOVADOR</v>
      </c>
      <c r="AS946">
        <f ca="1">IF(AE946&gt;100,RANDBETWEEN(500,5000),IF(AND(AE946&gt;=10,AE946&lt;=100),RANDBETWEEN(100,1000),RANDBETWEEN(10,200)))</f>
        <v>198</v>
      </c>
      <c r="AT946">
        <f t="shared" ca="1" si="72"/>
        <v>25</v>
      </c>
      <c r="AU946">
        <f ca="1">INT(AS946*RANDBETWEEN(120,200)/100)</f>
        <v>362</v>
      </c>
      <c r="AV946" s="2">
        <f ca="1">IF(LEFT(Y946,1)="L",RANDBETWEEN(500000,5000000),IF(LEFT(Y946,1)="C",RANDBETWEEN(5000,50000),IF(LEFT(Y946,1)="N",RANDBETWEEN(10000,150000),IF(LEFT(Y946,1)="J",RANDBETWEEN(8000,200000),RANDBETWEEN(5000,100000)))))</f>
        <v>15026</v>
      </c>
      <c r="AW946" s="2">
        <f ca="1">INT(AV946*RANDBETWEEN(30,60)/100)</f>
        <v>8114</v>
      </c>
      <c r="AX946">
        <f ca="1">IF(Z946="ORAL",RANDBETWEEN(1000,10000),IF(OR(Z946="INTRAVENOSA",Z946="INTRAMUSCULAR"),RANDBETWEEN(100,2000),IF(OR(Z946="OFTÁLMICA",Z946="TOPICA (EXTERNA)"),RANDBETWEEN(200,3000),RANDBETWEEN(100,1500))))</f>
        <v>5862</v>
      </c>
      <c r="AY946" s="2">
        <f ca="1">INT(AV946*RANDBETWEEN(90,130)/100)</f>
        <v>14274</v>
      </c>
      <c r="AZ946" t="str">
        <f t="shared" ca="1" si="73"/>
        <v>11.6%</v>
      </c>
      <c r="BA946" t="str">
        <f t="shared" ca="1" si="74"/>
        <v>BAJO</v>
      </c>
    </row>
    <row r="947" spans="4:53" x14ac:dyDescent="0.35">
      <c r="D947" t="s">
        <v>5864</v>
      </c>
      <c r="E947" s="1">
        <v>40240</v>
      </c>
      <c r="F947" t="s">
        <v>522</v>
      </c>
      <c r="G947" t="s">
        <v>108</v>
      </c>
      <c r="H947" t="s">
        <v>5553</v>
      </c>
      <c r="I947">
        <v>20002706</v>
      </c>
      <c r="J947" t="s">
        <v>28</v>
      </c>
      <c r="K947">
        <v>3</v>
      </c>
      <c r="L947" t="s">
        <v>27</v>
      </c>
      <c r="M947" t="s">
        <v>5204</v>
      </c>
      <c r="N947" t="s">
        <v>5205</v>
      </c>
      <c r="O947" t="s">
        <v>5865</v>
      </c>
      <c r="P947" t="s">
        <v>358</v>
      </c>
      <c r="Q947" s="1">
        <v>39862</v>
      </c>
      <c r="R947" t="s">
        <v>37</v>
      </c>
      <c r="S947" t="s">
        <v>27</v>
      </c>
      <c r="T947" t="s">
        <v>428</v>
      </c>
      <c r="U947" t="s">
        <v>115</v>
      </c>
      <c r="V947" t="s">
        <v>321</v>
      </c>
      <c r="W947">
        <v>500</v>
      </c>
      <c r="X947">
        <v>20002706</v>
      </c>
      <c r="Y947" t="s">
        <v>322</v>
      </c>
      <c r="Z947" t="s">
        <v>119</v>
      </c>
      <c r="AA947" t="s">
        <v>24</v>
      </c>
      <c r="AB947" t="s">
        <v>120</v>
      </c>
      <c r="AC947" t="s">
        <v>25</v>
      </c>
      <c r="AD947" t="s">
        <v>121</v>
      </c>
      <c r="AE947">
        <v>100</v>
      </c>
      <c r="AF947" t="s">
        <v>27</v>
      </c>
      <c r="AG947" t="s">
        <v>26</v>
      </c>
      <c r="AH947" t="s">
        <v>522</v>
      </c>
      <c r="AI947" t="str">
        <f t="shared" si="70"/>
        <v>NO</v>
      </c>
      <c r="AJ947" t="str">
        <f t="shared" si="71"/>
        <v>LABORATORIOS SIEGFRIED</v>
      </c>
      <c r="AK947" t="str">
        <f>IF(ISNUMBER(SEARCH("FABRICANTE",AC947)),"FABRICANTE",IF(ISNUMBER(SEARCH("IMPORTADOR",AC947)),"IMPORTADOR","OTRO"))</f>
        <v>FABRICANTE</v>
      </c>
      <c r="AL947" t="str">
        <f>IF(LEFT(Y947,1)="A","Sistema digestivo",IF(LEFT(Y947,1)="B","Sangre",IF(LEFT(Y947,1)="C","Cardiovascular",IF(LEFT(Y947,1)="D","Dermatológico",IF(LEFT(Y947,1)="G","Genitourinario",IF(LEFT(Y947,1)="H","Hormonal",IF(LEFT(Y947,1)="J","Antiinfecciosos",IF(LEFT(Y947,1)="L","Oncológicos",IF(LEFT(Y947,1)="M","Musculoesquelético",IF(LEFT(Y947,1)="N","Sistema nervioso",IF(LEFT(Y947,1)="R","Respiratorio",IF(LEFT(Y947,1)="S","Oftálmico",IF(LEFT(Y947,1)="V","Varios","OTRO")))))))))))))</f>
        <v>Sistema nervioso</v>
      </c>
      <c r="AM947" t="str">
        <f>IF(AG947="Vigente","ACTIVO",IF(ISNUMBER(SEARCH("Inactivo",J947)),"INACTIVO","REVISAR"))</f>
        <v>ACTIVO</v>
      </c>
      <c r="AN947" t="str">
        <f ca="1">IF(OR(AF947="",AF947="null"),"",ROUND((AF947-TODAY())/365.25,2))</f>
        <v/>
      </c>
      <c r="AO947" t="str">
        <f ca="1">IF(AND(AG947="Vigente",OR(AF947="",AF947="null",AF947&gt;TODAY())),"SI",IF(AND(NOT(OR(AF947="",AF947="null")),AF947&lt;=TODAY()),"NO",IF(AG947="Vigente","SI","DESCONOCIDO")))</f>
        <v>SI</v>
      </c>
      <c r="AP947" t="str">
        <f>IF(AND(ISNUMBER(SEARCH("IMPORTAR",AA947)),ISNUMBER(SEARCH("FABRICAR",AA947))),"MIXTO",IF(ISNUMBER(SEARCH("IMPORTAR",AA947)),"IMPORTADO",IF(ISNUMBER(SEARCH("FABRICAR",AA947)),"LOCAL","OTRO")))</f>
        <v>LOCAL</v>
      </c>
      <c r="AQ947" t="str">
        <f>IF(AD947="Si","SI",IF(AD947="No","NO",""))</f>
        <v>NO</v>
      </c>
      <c r="AR947" t="str">
        <f>IF(ISNUMBER(SEARCH("®",N947)),"MARCA/INNOVADOR","GENERICO")</f>
        <v>MARCA/INNOVADOR</v>
      </c>
      <c r="AS947">
        <f ca="1">IF(AE947&gt;100,RANDBETWEEN(500,5000),IF(AND(AE947&gt;=10,AE947&lt;=100),RANDBETWEEN(100,1000),RANDBETWEEN(10,200)))</f>
        <v>246</v>
      </c>
      <c r="AT947">
        <f t="shared" ca="1" si="72"/>
        <v>71</v>
      </c>
      <c r="AU947">
        <f ca="1">INT(AS947*RANDBETWEEN(120,200)/100)</f>
        <v>460</v>
      </c>
      <c r="AV947" s="2">
        <f ca="1">IF(LEFT(Y947,1)="L",RANDBETWEEN(500000,5000000),IF(LEFT(Y947,1)="C",RANDBETWEEN(5000,50000),IF(LEFT(Y947,1)="N",RANDBETWEEN(10000,150000),IF(LEFT(Y947,1)="J",RANDBETWEEN(8000,200000),RANDBETWEEN(5000,100000)))))</f>
        <v>101101</v>
      </c>
      <c r="AW947" s="2">
        <f ca="1">INT(AV947*RANDBETWEEN(30,60)/100)</f>
        <v>53583</v>
      </c>
      <c r="AX947">
        <f ca="1">IF(Z947="ORAL",RANDBETWEEN(1000,10000),IF(OR(Z947="INTRAVENOSA",Z947="INTRAMUSCULAR"),RANDBETWEEN(100,2000),IF(OR(Z947="OFTÁLMICA",Z947="TOPICA (EXTERNA)"),RANDBETWEEN(200,3000),RANDBETWEEN(100,1500))))</f>
        <v>4836</v>
      </c>
      <c r="AY947" s="2">
        <f ca="1">INT(AV947*RANDBETWEEN(90,130)/100)</f>
        <v>115255</v>
      </c>
      <c r="AZ947" t="str">
        <f t="shared" ca="1" si="73"/>
        <v>22.6%</v>
      </c>
      <c r="BA947" t="str">
        <f t="shared" ca="1" si="74"/>
        <v>BAJO</v>
      </c>
    </row>
    <row r="948" spans="4:53" x14ac:dyDescent="0.35">
      <c r="D948" t="s">
        <v>5866</v>
      </c>
      <c r="E948" s="1">
        <v>36161</v>
      </c>
      <c r="F948" t="s">
        <v>3246</v>
      </c>
      <c r="G948" t="s">
        <v>108</v>
      </c>
      <c r="H948" t="s">
        <v>2071</v>
      </c>
      <c r="I948">
        <v>38369</v>
      </c>
      <c r="J948" t="s">
        <v>28</v>
      </c>
      <c r="K948">
        <v>25</v>
      </c>
      <c r="L948" t="s">
        <v>27</v>
      </c>
      <c r="M948" t="s">
        <v>3247</v>
      </c>
      <c r="N948" t="s">
        <v>3248</v>
      </c>
      <c r="O948" t="s">
        <v>5867</v>
      </c>
      <c r="P948" t="s">
        <v>659</v>
      </c>
      <c r="Q948" s="1">
        <v>40872</v>
      </c>
      <c r="R948" t="s">
        <v>37</v>
      </c>
      <c r="S948" t="s">
        <v>27</v>
      </c>
      <c r="T948" t="s">
        <v>172</v>
      </c>
      <c r="U948" t="s">
        <v>115</v>
      </c>
      <c r="V948" t="s">
        <v>3250</v>
      </c>
      <c r="W948">
        <v>20</v>
      </c>
      <c r="X948">
        <v>38369</v>
      </c>
      <c r="Y948" t="s">
        <v>3251</v>
      </c>
      <c r="Z948" t="s">
        <v>119</v>
      </c>
      <c r="AA948" t="s">
        <v>24</v>
      </c>
      <c r="AB948" t="s">
        <v>120</v>
      </c>
      <c r="AC948" t="s">
        <v>25</v>
      </c>
      <c r="AD948" t="s">
        <v>121</v>
      </c>
      <c r="AE948">
        <v>600</v>
      </c>
      <c r="AF948" t="s">
        <v>27</v>
      </c>
      <c r="AG948" t="s">
        <v>26</v>
      </c>
      <c r="AH948" t="s">
        <v>3250</v>
      </c>
      <c r="AI948" t="str">
        <f t="shared" si="70"/>
        <v>NO</v>
      </c>
      <c r="AJ948" t="str">
        <f t="shared" si="71"/>
        <v>NOVAMED</v>
      </c>
      <c r="AK948" t="str">
        <f>IF(ISNUMBER(SEARCH("FABRICANTE",AC948)),"FABRICANTE",IF(ISNUMBER(SEARCH("IMPORTADOR",AC948)),"IMPORTADOR","OTRO"))</f>
        <v>FABRICANTE</v>
      </c>
      <c r="AL948" t="str">
        <f>IF(LEFT(Y948,1)="A","Sistema digestivo",IF(LEFT(Y948,1)="B","Sangre",IF(LEFT(Y948,1)="C","Cardiovascular",IF(LEFT(Y948,1)="D","Dermatológico",IF(LEFT(Y948,1)="G","Genitourinario",IF(LEFT(Y948,1)="H","Hormonal",IF(LEFT(Y948,1)="J","Antiinfecciosos",IF(LEFT(Y948,1)="L","Oncológicos",IF(LEFT(Y948,1)="M","Musculoesquelético",IF(LEFT(Y948,1)="N","Sistema nervioso",IF(LEFT(Y948,1)="R","Respiratorio",IF(LEFT(Y948,1)="S","Oftálmico",IF(LEFT(Y948,1)="V","Varios","OTRO")))))))))))))</f>
        <v>Sistema nervioso</v>
      </c>
      <c r="AM948" t="str">
        <f>IF(AG948="Vigente","ACTIVO",IF(ISNUMBER(SEARCH("Inactivo",J948)),"INACTIVO","REVISAR"))</f>
        <v>ACTIVO</v>
      </c>
      <c r="AN948" t="str">
        <f ca="1">IF(OR(AF948="",AF948="null"),"",ROUND((AF948-TODAY())/365.25,2))</f>
        <v/>
      </c>
      <c r="AO948" t="str">
        <f ca="1">IF(AND(AG948="Vigente",OR(AF948="",AF948="null",AF948&gt;TODAY())),"SI",IF(AND(NOT(OR(AF948="",AF948="null")),AF948&lt;=TODAY()),"NO",IF(AG948="Vigente","SI","DESCONOCIDO")))</f>
        <v>SI</v>
      </c>
      <c r="AP948" t="str">
        <f>IF(AND(ISNUMBER(SEARCH("IMPORTAR",AA948)),ISNUMBER(SEARCH("FABRICAR",AA948))),"MIXTO",IF(ISNUMBER(SEARCH("IMPORTAR",AA948)),"IMPORTADO",IF(ISNUMBER(SEARCH("FABRICAR",AA948)),"LOCAL","OTRO")))</f>
        <v>LOCAL</v>
      </c>
      <c r="AQ948" t="str">
        <f>IF(AD948="Si","SI",IF(AD948="No","NO",""))</f>
        <v>NO</v>
      </c>
      <c r="AR948" t="str">
        <f>IF(ISNUMBER(SEARCH("®",N948)),"MARCA/INNOVADOR","GENERICO")</f>
        <v>MARCA/INNOVADOR</v>
      </c>
      <c r="AS948">
        <f ca="1">IF(AE948&gt;100,RANDBETWEEN(500,5000),IF(AND(AE948&gt;=10,AE948&lt;=100),RANDBETWEEN(100,1000),RANDBETWEEN(10,200)))</f>
        <v>2587</v>
      </c>
      <c r="AT948">
        <f t="shared" ca="1" si="72"/>
        <v>595</v>
      </c>
      <c r="AU948">
        <f ca="1">INT(AS948*RANDBETWEEN(120,200)/100)</f>
        <v>4449</v>
      </c>
      <c r="AV948" s="2">
        <f ca="1">IF(LEFT(Y948,1)="L",RANDBETWEEN(500000,5000000),IF(LEFT(Y948,1)="C",RANDBETWEEN(5000,50000),IF(LEFT(Y948,1)="N",RANDBETWEEN(10000,150000),IF(LEFT(Y948,1)="J",RANDBETWEEN(8000,200000),RANDBETWEEN(5000,100000)))))</f>
        <v>120787</v>
      </c>
      <c r="AW948" s="2">
        <f ca="1">INT(AV948*RANDBETWEEN(30,60)/100)</f>
        <v>59185</v>
      </c>
      <c r="AX948">
        <f ca="1">IF(Z948="ORAL",RANDBETWEEN(1000,10000),IF(OR(Z948="INTRAVENOSA",Z948="INTRAMUSCULAR"),RANDBETWEEN(100,2000),IF(OR(Z948="OFTÁLMICA",Z948="TOPICA (EXTERNA)"),RANDBETWEEN(200,3000),RANDBETWEEN(100,1500))))</f>
        <v>4629</v>
      </c>
      <c r="AY948" s="2">
        <f ca="1">INT(AV948*RANDBETWEEN(90,130)/100)</f>
        <v>117163</v>
      </c>
      <c r="AZ948" t="str">
        <f t="shared" ca="1" si="73"/>
        <v>22.3%</v>
      </c>
      <c r="BA948" t="str">
        <f t="shared" ca="1" si="74"/>
        <v>BAJO</v>
      </c>
    </row>
    <row r="949" spans="4:53" x14ac:dyDescent="0.35">
      <c r="D949" t="s">
        <v>5868</v>
      </c>
      <c r="E949" s="1">
        <v>42262</v>
      </c>
      <c r="F949" t="s">
        <v>5869</v>
      </c>
      <c r="G949" t="s">
        <v>108</v>
      </c>
      <c r="H949" t="s">
        <v>1104</v>
      </c>
      <c r="I949">
        <v>20084162</v>
      </c>
      <c r="J949" t="s">
        <v>28</v>
      </c>
      <c r="K949">
        <v>3</v>
      </c>
      <c r="L949" t="s">
        <v>27</v>
      </c>
      <c r="M949" t="s">
        <v>5870</v>
      </c>
      <c r="N949" t="s">
        <v>5871</v>
      </c>
      <c r="O949" t="s">
        <v>5872</v>
      </c>
      <c r="P949" t="s">
        <v>33</v>
      </c>
      <c r="Q949" s="1">
        <v>42114</v>
      </c>
      <c r="R949" t="s">
        <v>33</v>
      </c>
      <c r="S949" s="1">
        <v>44287</v>
      </c>
      <c r="T949" t="s">
        <v>1403</v>
      </c>
      <c r="U949" t="s">
        <v>115</v>
      </c>
      <c r="V949" t="s">
        <v>2082</v>
      </c>
      <c r="W949">
        <v>10</v>
      </c>
      <c r="X949">
        <v>20084162</v>
      </c>
      <c r="Y949" t="s">
        <v>2083</v>
      </c>
      <c r="Z949" t="s">
        <v>119</v>
      </c>
      <c r="AA949" t="s">
        <v>848</v>
      </c>
      <c r="AB949" t="s">
        <v>120</v>
      </c>
      <c r="AC949" t="s">
        <v>25</v>
      </c>
      <c r="AD949" t="s">
        <v>121</v>
      </c>
      <c r="AE949">
        <v>30</v>
      </c>
      <c r="AF949" t="s">
        <v>27</v>
      </c>
      <c r="AG949" t="s">
        <v>26</v>
      </c>
      <c r="AH949" t="s">
        <v>2082</v>
      </c>
      <c r="AI949" t="str">
        <f t="shared" si="70"/>
        <v>SI</v>
      </c>
      <c r="AJ949" t="str">
        <f t="shared" si="71"/>
        <v>MOMENTA FARMACEUTICA</v>
      </c>
      <c r="AK949" t="str">
        <f>IF(ISNUMBER(SEARCH("FABRICANTE",AC949)),"FABRICANTE",IF(ISNUMBER(SEARCH("IMPORTADOR",AC949)),"IMPORTADOR","OTRO"))</f>
        <v>FABRICANTE</v>
      </c>
      <c r="AL949" t="str">
        <f>IF(LEFT(Y949,1)="A","Sistema digestivo",IF(LEFT(Y949,1)="B","Sangre",IF(LEFT(Y949,1)="C","Cardiovascular",IF(LEFT(Y949,1)="D","Dermatológico",IF(LEFT(Y949,1)="G","Genitourinario",IF(LEFT(Y949,1)="H","Hormonal",IF(LEFT(Y949,1)="J","Antiinfecciosos",IF(LEFT(Y949,1)="L","Oncológicos",IF(LEFT(Y949,1)="M","Musculoesquelético",IF(LEFT(Y949,1)="N","Sistema nervioso",IF(LEFT(Y949,1)="R","Respiratorio",IF(LEFT(Y949,1)="S","Oftálmico",IF(LEFT(Y949,1)="V","Varios","OTRO")))))))))))))</f>
        <v>Sistema nervioso</v>
      </c>
      <c r="AM949" t="str">
        <f>IF(AG949="Vigente","ACTIVO",IF(ISNUMBER(SEARCH("Inactivo",J949)),"INACTIVO","REVISAR"))</f>
        <v>ACTIVO</v>
      </c>
      <c r="AN949" t="str">
        <f ca="1">IF(OR(AF949="",AF949="null"),"",ROUND((AF949-TODAY())/365.25,2))</f>
        <v/>
      </c>
      <c r="AO949" t="str">
        <f ca="1">IF(AND(AG949="Vigente",OR(AF949="",AF949="null",AF949&gt;TODAY())),"SI",IF(AND(NOT(OR(AF949="",AF949="null")),AF949&lt;=TODAY()),"NO",IF(AG949="Vigente","SI","DESCONOCIDO")))</f>
        <v>SI</v>
      </c>
      <c r="AP949" t="str">
        <f>IF(AND(ISNUMBER(SEARCH("IMPORTAR",AA949)),ISNUMBER(SEARCH("FABRICAR",AA949))),"MIXTO",IF(ISNUMBER(SEARCH("IMPORTAR",AA949)),"IMPORTADO",IF(ISNUMBER(SEARCH("FABRICAR",AA949)),"LOCAL","OTRO")))</f>
        <v>IMPORTADO</v>
      </c>
      <c r="AQ949" t="str">
        <f>IF(AD949="Si","SI",IF(AD949="No","NO",""))</f>
        <v>NO</v>
      </c>
      <c r="AR949" t="str">
        <f>IF(ISNUMBER(SEARCH("®",N949)),"MARCA/INNOVADOR","GENERICO")</f>
        <v>GENERICO</v>
      </c>
      <c r="AS949">
        <f ca="1">IF(AE949&gt;100,RANDBETWEEN(500,5000),IF(AND(AE949&gt;=10,AE949&lt;=100),RANDBETWEEN(100,1000),RANDBETWEEN(10,200)))</f>
        <v>416</v>
      </c>
      <c r="AT949">
        <f t="shared" ca="1" si="72"/>
        <v>124</v>
      </c>
      <c r="AU949">
        <f ca="1">INT(AS949*RANDBETWEEN(120,200)/100)</f>
        <v>682</v>
      </c>
      <c r="AV949" s="2">
        <f ca="1">IF(LEFT(Y949,1)="L",RANDBETWEEN(500000,5000000),IF(LEFT(Y949,1)="C",RANDBETWEEN(5000,50000),IF(LEFT(Y949,1)="N",RANDBETWEEN(10000,150000),IF(LEFT(Y949,1)="J",RANDBETWEEN(8000,200000),RANDBETWEEN(5000,100000)))))</f>
        <v>13518</v>
      </c>
      <c r="AW949" s="2">
        <f ca="1">INT(AV949*RANDBETWEEN(30,60)/100)</f>
        <v>6488</v>
      </c>
      <c r="AX949">
        <f ca="1">IF(Z949="ORAL",RANDBETWEEN(1000,10000),IF(OR(Z949="INTRAVENOSA",Z949="INTRAMUSCULAR"),RANDBETWEEN(100,2000),IF(OR(Z949="OFTÁLMICA",Z949="TOPICA (EXTERNA)"),RANDBETWEEN(200,3000),RANDBETWEEN(100,1500))))</f>
        <v>5488</v>
      </c>
      <c r="AY949" s="2">
        <f ca="1">INT(AV949*RANDBETWEEN(90,130)/100)</f>
        <v>13788</v>
      </c>
      <c r="AZ949" t="str">
        <f t="shared" ca="1" si="73"/>
        <v>14.4%</v>
      </c>
      <c r="BA949" t="str">
        <f t="shared" ca="1" si="74"/>
        <v>BAJO</v>
      </c>
    </row>
    <row r="950" spans="4:53" x14ac:dyDescent="0.35">
      <c r="D950" t="s">
        <v>5873</v>
      </c>
      <c r="E950" s="1">
        <v>44313</v>
      </c>
      <c r="F950" t="s">
        <v>5874</v>
      </c>
      <c r="G950" t="s">
        <v>108</v>
      </c>
      <c r="H950" t="s">
        <v>5875</v>
      </c>
      <c r="I950">
        <v>20189002</v>
      </c>
      <c r="J950" t="s">
        <v>28</v>
      </c>
      <c r="K950">
        <v>1</v>
      </c>
      <c r="L950" t="s">
        <v>5876</v>
      </c>
      <c r="M950" t="s">
        <v>5877</v>
      </c>
      <c r="N950" t="s">
        <v>5878</v>
      </c>
      <c r="O950" t="s">
        <v>5879</v>
      </c>
      <c r="P950" t="s">
        <v>5880</v>
      </c>
      <c r="Q950" s="1">
        <v>44231</v>
      </c>
      <c r="R950" t="s">
        <v>29</v>
      </c>
      <c r="S950" t="s">
        <v>27</v>
      </c>
      <c r="T950" t="s">
        <v>1646</v>
      </c>
      <c r="U950" t="s">
        <v>115</v>
      </c>
      <c r="V950" t="s">
        <v>2690</v>
      </c>
      <c r="W950">
        <v>500</v>
      </c>
      <c r="X950">
        <v>20189002</v>
      </c>
      <c r="Y950" t="s">
        <v>5881</v>
      </c>
      <c r="Z950" t="s">
        <v>119</v>
      </c>
      <c r="AA950" t="s">
        <v>24</v>
      </c>
      <c r="AB950" t="s">
        <v>120</v>
      </c>
      <c r="AC950" t="s">
        <v>25</v>
      </c>
      <c r="AD950" t="s">
        <v>121</v>
      </c>
      <c r="AE950">
        <v>10</v>
      </c>
      <c r="AF950" t="s">
        <v>27</v>
      </c>
      <c r="AG950" t="s">
        <v>26</v>
      </c>
      <c r="AH950" t="s">
        <v>120</v>
      </c>
      <c r="AI950" t="str">
        <f t="shared" si="70"/>
        <v>NO</v>
      </c>
      <c r="AJ950" t="str">
        <f t="shared" si="71"/>
        <v>BIOQUIFAR PHARMACEUTICA</v>
      </c>
      <c r="AK950" t="str">
        <f>IF(ISNUMBER(SEARCH("FABRICANTE",AC950)),"FABRICANTE",IF(ISNUMBER(SEARCH("IMPORTADOR",AC950)),"IMPORTADOR","OTRO"))</f>
        <v>FABRICANTE</v>
      </c>
      <c r="AL950" t="str">
        <f>IF(LEFT(Y950,1)="A","Sistema digestivo",IF(LEFT(Y950,1)="B","Sangre",IF(LEFT(Y950,1)="C","Cardiovascular",IF(LEFT(Y950,1)="D","Dermatológico",IF(LEFT(Y950,1)="G","Genitourinario",IF(LEFT(Y950,1)="H","Hormonal",IF(LEFT(Y950,1)="J","Antiinfecciosos",IF(LEFT(Y950,1)="L","Oncológicos",IF(LEFT(Y950,1)="M","Musculoesquelético",IF(LEFT(Y950,1)="N","Sistema nervioso",IF(LEFT(Y950,1)="R","Respiratorio",IF(LEFT(Y950,1)="S","Oftálmico",IF(LEFT(Y950,1)="V","Varios","OTRO")))))))))))))</f>
        <v>Sistema digestivo</v>
      </c>
      <c r="AM950" t="str">
        <f>IF(AG950="Vigente","ACTIVO",IF(ISNUMBER(SEARCH("Inactivo",J950)),"INACTIVO","REVISAR"))</f>
        <v>ACTIVO</v>
      </c>
      <c r="AN950" t="str">
        <f ca="1">IF(OR(AF950="",AF950="null"),"",ROUND((AF950-TODAY())/365.25,2))</f>
        <v/>
      </c>
      <c r="AO950" t="str">
        <f ca="1">IF(AND(AG950="Vigente",OR(AF950="",AF950="null",AF950&gt;TODAY())),"SI",IF(AND(NOT(OR(AF950="",AF950="null")),AF950&lt;=TODAY()),"NO",IF(AG950="Vigente","SI","DESCONOCIDO")))</f>
        <v>SI</v>
      </c>
      <c r="AP950" t="str">
        <f>IF(AND(ISNUMBER(SEARCH("IMPORTAR",AA950)),ISNUMBER(SEARCH("FABRICAR",AA950))),"MIXTO",IF(ISNUMBER(SEARCH("IMPORTAR",AA950)),"IMPORTADO",IF(ISNUMBER(SEARCH("FABRICAR",AA950)),"LOCAL","OTRO")))</f>
        <v>LOCAL</v>
      </c>
      <c r="AQ950" t="str">
        <f>IF(AD950="Si","SI",IF(AD950="No","NO",""))</f>
        <v>NO</v>
      </c>
      <c r="AR950" t="str">
        <f>IF(ISNUMBER(SEARCH("®",N950)),"MARCA/INNOVADOR","GENERICO")</f>
        <v>MARCA/INNOVADOR</v>
      </c>
      <c r="AS950">
        <f ca="1">IF(AE950&gt;100,RANDBETWEEN(500,5000),IF(AND(AE950&gt;=10,AE950&lt;=100),RANDBETWEEN(100,1000),RANDBETWEEN(10,200)))</f>
        <v>604</v>
      </c>
      <c r="AT950">
        <f t="shared" ca="1" si="72"/>
        <v>108</v>
      </c>
      <c r="AU950">
        <f ca="1">INT(AS950*RANDBETWEEN(120,200)/100)</f>
        <v>1093</v>
      </c>
      <c r="AV950" s="2">
        <f ca="1">IF(LEFT(Y950,1)="L",RANDBETWEEN(500000,5000000),IF(LEFT(Y950,1)="C",RANDBETWEEN(5000,50000),IF(LEFT(Y950,1)="N",RANDBETWEEN(10000,150000),IF(LEFT(Y950,1)="J",RANDBETWEEN(8000,200000),RANDBETWEEN(5000,100000)))))</f>
        <v>53978</v>
      </c>
      <c r="AW950" s="2">
        <f ca="1">INT(AV950*RANDBETWEEN(30,60)/100)</f>
        <v>31847</v>
      </c>
      <c r="AX950">
        <f ca="1">IF(Z950="ORAL",RANDBETWEEN(1000,10000),IF(OR(Z950="INTRAVENOSA",Z950="INTRAMUSCULAR"),RANDBETWEEN(100,2000),IF(OR(Z950="OFTÁLMICA",Z950="TOPICA (EXTERNA)"),RANDBETWEEN(200,3000),RANDBETWEEN(100,1500))))</f>
        <v>7512</v>
      </c>
      <c r="AY950" s="2">
        <f ca="1">INT(AV950*RANDBETWEEN(90,130)/100)</f>
        <v>53978</v>
      </c>
      <c r="AZ950" t="str">
        <f t="shared" ca="1" si="73"/>
        <v>24%</v>
      </c>
      <c r="BA950" t="str">
        <f t="shared" ca="1" si="74"/>
        <v>BAJO</v>
      </c>
    </row>
    <row r="951" spans="4:53" x14ac:dyDescent="0.35">
      <c r="D951" t="s">
        <v>5882</v>
      </c>
      <c r="E951" s="1">
        <v>40948</v>
      </c>
      <c r="F951" t="s">
        <v>3021</v>
      </c>
      <c r="G951" t="s">
        <v>108</v>
      </c>
      <c r="H951" t="s">
        <v>549</v>
      </c>
      <c r="I951">
        <v>20033290</v>
      </c>
      <c r="J951" t="s">
        <v>28</v>
      </c>
      <c r="K951">
        <v>1</v>
      </c>
      <c r="L951" t="s">
        <v>5883</v>
      </c>
      <c r="M951" t="s">
        <v>5884</v>
      </c>
      <c r="N951" t="s">
        <v>5885</v>
      </c>
      <c r="O951" t="s">
        <v>5886</v>
      </c>
      <c r="P951" t="s">
        <v>27</v>
      </c>
      <c r="Q951" s="1">
        <v>40749</v>
      </c>
      <c r="R951" t="s">
        <v>258</v>
      </c>
      <c r="S951" t="s">
        <v>27</v>
      </c>
      <c r="T951" t="s">
        <v>549</v>
      </c>
      <c r="U951" t="s">
        <v>247</v>
      </c>
      <c r="V951" t="s">
        <v>64</v>
      </c>
      <c r="W951" t="s">
        <v>5887</v>
      </c>
      <c r="X951">
        <v>20033290</v>
      </c>
      <c r="Y951" t="s">
        <v>259</v>
      </c>
      <c r="Z951" t="s">
        <v>260</v>
      </c>
      <c r="AA951" t="s">
        <v>32</v>
      </c>
      <c r="AB951" t="s">
        <v>120</v>
      </c>
      <c r="AC951" t="s">
        <v>38</v>
      </c>
      <c r="AD951" t="s">
        <v>121</v>
      </c>
      <c r="AE951">
        <v>1</v>
      </c>
      <c r="AF951" t="s">
        <v>27</v>
      </c>
      <c r="AG951" t="s">
        <v>26</v>
      </c>
      <c r="AH951" t="s">
        <v>3021</v>
      </c>
      <c r="AI951" t="str">
        <f t="shared" si="70"/>
        <v>NO</v>
      </c>
      <c r="AJ951" t="str">
        <f t="shared" si="71"/>
        <v>LABORATORIOS BAXTER</v>
      </c>
      <c r="AK951" t="str">
        <f>IF(ISNUMBER(SEARCH("FABRICANTE",AC951)),"FABRICANTE",IF(ISNUMBER(SEARCH("IMPORTADOR",AC951)),"IMPORTADOR","OTRO"))</f>
        <v>IMPORTADOR</v>
      </c>
      <c r="AL951" t="str">
        <f>IF(LEFT(Y951,1)="A","Sistema digestivo",IF(LEFT(Y951,1)="B","Sangre",IF(LEFT(Y951,1)="C","Cardiovascular",IF(LEFT(Y951,1)="D","Dermatológico",IF(LEFT(Y951,1)="G","Genitourinario",IF(LEFT(Y951,1)="H","Hormonal",IF(LEFT(Y951,1)="J","Antiinfecciosos",IF(LEFT(Y951,1)="L","Oncológicos",IF(LEFT(Y951,1)="M","Musculoesquelético",IF(LEFT(Y951,1)="N","Sistema nervioso",IF(LEFT(Y951,1)="R","Respiratorio",IF(LEFT(Y951,1)="S","Oftálmico",IF(LEFT(Y951,1)="V","Varios","OTRO")))))))))))))</f>
        <v>Sangre</v>
      </c>
      <c r="AM951" t="str">
        <f>IF(AG951="Vigente","ACTIVO",IF(ISNUMBER(SEARCH("Inactivo",J951)),"INACTIVO","REVISAR"))</f>
        <v>ACTIVO</v>
      </c>
      <c r="AN951" t="str">
        <f ca="1">IF(OR(AF951="",AF951="null"),"",ROUND((AF951-TODAY())/365.25,2))</f>
        <v/>
      </c>
      <c r="AO951" t="str">
        <f ca="1">IF(AND(AG951="Vigente",OR(AF951="",AF951="null",AF951&gt;TODAY())),"SI",IF(AND(NOT(OR(AF951="",AF951="null")),AF951&lt;=TODAY()),"NO",IF(AG951="Vigente","SI","DESCONOCIDO")))</f>
        <v>SI</v>
      </c>
      <c r="AP951" t="str">
        <f>IF(AND(ISNUMBER(SEARCH("IMPORTAR",AA951)),ISNUMBER(SEARCH("FABRICAR",AA951))),"MIXTO",IF(ISNUMBER(SEARCH("IMPORTAR",AA951)),"IMPORTADO",IF(ISNUMBER(SEARCH("FABRICAR",AA951)),"LOCAL","OTRO")))</f>
        <v>IMPORTADO</v>
      </c>
      <c r="AQ951" t="str">
        <f>IF(AD951="Si","SI",IF(AD951="No","NO",""))</f>
        <v>NO</v>
      </c>
      <c r="AR951" t="str">
        <f>IF(ISNUMBER(SEARCH("®",N951)),"MARCA/INNOVADOR","GENERICO")</f>
        <v>GENERICO</v>
      </c>
      <c r="AS951">
        <f ca="1">IF(AE951&gt;100,RANDBETWEEN(500,5000),IF(AND(AE951&gt;=10,AE951&lt;=100),RANDBETWEEN(100,1000),RANDBETWEEN(10,200)))</f>
        <v>123</v>
      </c>
      <c r="AT951">
        <f t="shared" ca="1" si="72"/>
        <v>24</v>
      </c>
      <c r="AU951">
        <f ca="1">INT(AS951*RANDBETWEEN(120,200)/100)</f>
        <v>207</v>
      </c>
      <c r="AV951" s="2">
        <f ca="1">IF(LEFT(Y951,1)="L",RANDBETWEEN(500000,5000000),IF(LEFT(Y951,1)="C",RANDBETWEEN(5000,50000),IF(LEFT(Y951,1)="N",RANDBETWEEN(10000,150000),IF(LEFT(Y951,1)="J",RANDBETWEEN(8000,200000),RANDBETWEEN(5000,100000)))))</f>
        <v>16256</v>
      </c>
      <c r="AW951" s="2">
        <f ca="1">INT(AV951*RANDBETWEEN(30,60)/100)</f>
        <v>6827</v>
      </c>
      <c r="AX951">
        <f ca="1">IF(Z951="ORAL",RANDBETWEEN(1000,10000),IF(OR(Z951="INTRAVENOSA",Z951="INTRAMUSCULAR"),RANDBETWEEN(100,2000),IF(OR(Z951="OFTÁLMICA",Z951="TOPICA (EXTERNA)"),RANDBETWEEN(200,3000),RANDBETWEEN(100,1500))))</f>
        <v>1698</v>
      </c>
      <c r="AY951" s="2">
        <f ca="1">INT(AV951*RANDBETWEEN(90,130)/100)</f>
        <v>16906</v>
      </c>
      <c r="AZ951" t="str">
        <f t="shared" ca="1" si="73"/>
        <v>1%</v>
      </c>
      <c r="BA951" t="str">
        <f t="shared" ca="1" si="74"/>
        <v>BAJO</v>
      </c>
    </row>
    <row r="952" spans="4:53" x14ac:dyDescent="0.35">
      <c r="D952" t="s">
        <v>5888</v>
      </c>
      <c r="E952" s="1">
        <v>43479</v>
      </c>
      <c r="F952" t="s">
        <v>5889</v>
      </c>
      <c r="G952" t="s">
        <v>108</v>
      </c>
      <c r="H952" t="s">
        <v>3253</v>
      </c>
      <c r="I952">
        <v>20118686</v>
      </c>
      <c r="J952" t="s">
        <v>28</v>
      </c>
      <c r="K952">
        <v>2</v>
      </c>
      <c r="L952" t="s">
        <v>27</v>
      </c>
      <c r="M952" t="s">
        <v>3418</v>
      </c>
      <c r="N952" t="s">
        <v>3419</v>
      </c>
      <c r="O952" t="s">
        <v>5890</v>
      </c>
      <c r="P952" t="s">
        <v>3421</v>
      </c>
      <c r="Q952" s="1">
        <v>45435</v>
      </c>
      <c r="R952" t="s">
        <v>258</v>
      </c>
      <c r="S952" t="s">
        <v>27</v>
      </c>
      <c r="T952" t="s">
        <v>549</v>
      </c>
      <c r="U952" t="s">
        <v>247</v>
      </c>
      <c r="V952" t="s">
        <v>64</v>
      </c>
      <c r="W952" t="s">
        <v>5891</v>
      </c>
      <c r="X952">
        <v>20118686</v>
      </c>
      <c r="Y952" t="s">
        <v>259</v>
      </c>
      <c r="Z952" t="s">
        <v>260</v>
      </c>
      <c r="AA952" t="s">
        <v>32</v>
      </c>
      <c r="AB952" t="s">
        <v>120</v>
      </c>
      <c r="AC952" t="s">
        <v>25</v>
      </c>
      <c r="AD952" t="s">
        <v>155</v>
      </c>
      <c r="AE952">
        <v>1</v>
      </c>
      <c r="AF952" t="s">
        <v>27</v>
      </c>
      <c r="AG952" t="s">
        <v>26</v>
      </c>
      <c r="AH952" t="s">
        <v>5889</v>
      </c>
      <c r="AI952" t="str">
        <f t="shared" si="70"/>
        <v>NO</v>
      </c>
      <c r="AJ952" t="str">
        <f t="shared" si="71"/>
        <v>LABORATORIOS BAXTER</v>
      </c>
      <c r="AK952" t="str">
        <f>IF(ISNUMBER(SEARCH("FABRICANTE",AC952)),"FABRICANTE",IF(ISNUMBER(SEARCH("IMPORTADOR",AC952)),"IMPORTADOR","OTRO"))</f>
        <v>FABRICANTE</v>
      </c>
      <c r="AL952" t="str">
        <f>IF(LEFT(Y952,1)="A","Sistema digestivo",IF(LEFT(Y952,1)="B","Sangre",IF(LEFT(Y952,1)="C","Cardiovascular",IF(LEFT(Y952,1)="D","Dermatológico",IF(LEFT(Y952,1)="G","Genitourinario",IF(LEFT(Y952,1)="H","Hormonal",IF(LEFT(Y952,1)="J","Antiinfecciosos",IF(LEFT(Y952,1)="L","Oncológicos",IF(LEFT(Y952,1)="M","Musculoesquelético",IF(LEFT(Y952,1)="N","Sistema nervioso",IF(LEFT(Y952,1)="R","Respiratorio",IF(LEFT(Y952,1)="S","Oftálmico",IF(LEFT(Y952,1)="V","Varios","OTRO")))))))))))))</f>
        <v>Sangre</v>
      </c>
      <c r="AM952" t="str">
        <f>IF(AG952="Vigente","ACTIVO",IF(ISNUMBER(SEARCH("Inactivo",J952)),"INACTIVO","REVISAR"))</f>
        <v>ACTIVO</v>
      </c>
      <c r="AN952" t="str">
        <f ca="1">IF(OR(AF952="",AF952="null"),"",ROUND((AF952-TODAY())/365.25,2))</f>
        <v/>
      </c>
      <c r="AO952" t="str">
        <f ca="1">IF(AND(AG952="Vigente",OR(AF952="",AF952="null",AF952&gt;TODAY())),"SI",IF(AND(NOT(OR(AF952="",AF952="null")),AF952&lt;=TODAY()),"NO",IF(AG952="Vigente","SI","DESCONOCIDO")))</f>
        <v>SI</v>
      </c>
      <c r="AP952" t="str">
        <f>IF(AND(ISNUMBER(SEARCH("IMPORTAR",AA952)),ISNUMBER(SEARCH("FABRICAR",AA952))),"MIXTO",IF(ISNUMBER(SEARCH("IMPORTAR",AA952)),"IMPORTADO",IF(ISNUMBER(SEARCH("FABRICAR",AA952)),"LOCAL","OTRO")))</f>
        <v>IMPORTADO</v>
      </c>
      <c r="AQ952" t="str">
        <f>IF(AD952="Si","SI",IF(AD952="No","NO",""))</f>
        <v>SI</v>
      </c>
      <c r="AR952" t="str">
        <f>IF(ISNUMBER(SEARCH("®",N952)),"MARCA/INNOVADOR","GENERICO")</f>
        <v>GENERICO</v>
      </c>
      <c r="AS952">
        <f ca="1">IF(AE952&gt;100,RANDBETWEEN(500,5000),IF(AND(AE952&gt;=10,AE952&lt;=100),RANDBETWEEN(100,1000),RANDBETWEEN(10,200)))</f>
        <v>16</v>
      </c>
      <c r="AT952">
        <f t="shared" ca="1" si="72"/>
        <v>2</v>
      </c>
      <c r="AU952">
        <f ca="1">INT(AS952*RANDBETWEEN(120,200)/100)</f>
        <v>28</v>
      </c>
      <c r="AV952" s="2">
        <f ca="1">IF(LEFT(Y952,1)="L",RANDBETWEEN(500000,5000000),IF(LEFT(Y952,1)="C",RANDBETWEEN(5000,50000),IF(LEFT(Y952,1)="N",RANDBETWEEN(10000,150000),IF(LEFT(Y952,1)="J",RANDBETWEEN(8000,200000),RANDBETWEEN(5000,100000)))))</f>
        <v>17808</v>
      </c>
      <c r="AW952" s="2">
        <f ca="1">INT(AV952*RANDBETWEEN(30,60)/100)</f>
        <v>6232</v>
      </c>
      <c r="AX952">
        <f ca="1">IF(Z952="ORAL",RANDBETWEEN(1000,10000),IF(OR(Z952="INTRAVENOSA",Z952="INTRAMUSCULAR"),RANDBETWEEN(100,2000),IF(OR(Z952="OFTÁLMICA",Z952="TOPICA (EXTERNA)"),RANDBETWEEN(200,3000),RANDBETWEEN(100,1500))))</f>
        <v>1217</v>
      </c>
      <c r="AY952" s="2">
        <f ca="1">INT(AV952*RANDBETWEEN(90,130)/100)</f>
        <v>22794</v>
      </c>
      <c r="AZ952" t="str">
        <f t="shared" ca="1" si="73"/>
        <v>1.3%</v>
      </c>
      <c r="BA952" t="str">
        <f t="shared" ca="1" si="74"/>
        <v>BAJO</v>
      </c>
    </row>
    <row r="953" spans="4:53" x14ac:dyDescent="0.35">
      <c r="D953" t="s">
        <v>5892</v>
      </c>
      <c r="E953" s="1">
        <v>42384</v>
      </c>
      <c r="F953" t="s">
        <v>5893</v>
      </c>
      <c r="G953" t="s">
        <v>108</v>
      </c>
      <c r="H953" t="s">
        <v>639</v>
      </c>
      <c r="I953">
        <v>20077105</v>
      </c>
      <c r="J953" t="s">
        <v>110</v>
      </c>
      <c r="K953">
        <v>7</v>
      </c>
      <c r="L953" t="s">
        <v>27</v>
      </c>
      <c r="M953" t="s">
        <v>5894</v>
      </c>
      <c r="N953" t="s">
        <v>5895</v>
      </c>
      <c r="O953" t="s">
        <v>5896</v>
      </c>
      <c r="P953" t="s">
        <v>527</v>
      </c>
      <c r="Q953" s="1">
        <v>42662</v>
      </c>
      <c r="R953" t="s">
        <v>527</v>
      </c>
      <c r="S953" t="s">
        <v>27</v>
      </c>
      <c r="T953" t="s">
        <v>639</v>
      </c>
      <c r="U953" t="s">
        <v>115</v>
      </c>
      <c r="V953" t="s">
        <v>5893</v>
      </c>
      <c r="W953">
        <v>100</v>
      </c>
      <c r="X953">
        <v>20077105</v>
      </c>
      <c r="Y953" t="s">
        <v>5897</v>
      </c>
      <c r="Z953" t="s">
        <v>119</v>
      </c>
      <c r="AA953" t="s">
        <v>32</v>
      </c>
      <c r="AB953" t="s">
        <v>120</v>
      </c>
      <c r="AC953" t="s">
        <v>38</v>
      </c>
      <c r="AD953" t="s">
        <v>121</v>
      </c>
      <c r="AE953">
        <v>60</v>
      </c>
      <c r="AF953" s="1">
        <v>401769</v>
      </c>
      <c r="AG953" t="s">
        <v>26</v>
      </c>
      <c r="AH953" t="s">
        <v>5893</v>
      </c>
      <c r="AI953" t="str">
        <f t="shared" si="70"/>
        <v>NO</v>
      </c>
      <c r="AJ953" t="str">
        <f t="shared" si="71"/>
        <v>EXELTIS</v>
      </c>
      <c r="AK953" t="str">
        <f>IF(ISNUMBER(SEARCH("FABRICANTE",AC953)),"FABRICANTE",IF(ISNUMBER(SEARCH("IMPORTADOR",AC953)),"IMPORTADOR","OTRO"))</f>
        <v>IMPORTADOR</v>
      </c>
      <c r="AL953" t="str">
        <f>IF(LEFT(Y953,1)="A","Sistema digestivo",IF(LEFT(Y953,1)="B","Sangre",IF(LEFT(Y953,1)="C","Cardiovascular",IF(LEFT(Y953,1)="D","Dermatológico",IF(LEFT(Y953,1)="G","Genitourinario",IF(LEFT(Y953,1)="H","Hormonal",IF(LEFT(Y953,1)="J","Antiinfecciosos",IF(LEFT(Y953,1)="L","Oncológicos",IF(LEFT(Y953,1)="M","Musculoesquelético",IF(LEFT(Y953,1)="N","Sistema nervioso",IF(LEFT(Y953,1)="R","Respiratorio",IF(LEFT(Y953,1)="S","Oftálmico",IF(LEFT(Y953,1)="V","Varios","OTRO")))))))))))))</f>
        <v>Genitourinario</v>
      </c>
      <c r="AM953" t="str">
        <f>IF(AG953="Vigente","ACTIVO",IF(ISNUMBER(SEARCH("Inactivo",J953)),"INACTIVO","REVISAR"))</f>
        <v>ACTIVO</v>
      </c>
      <c r="AN953">
        <f ca="1">IF(OR(AF953="",AF953="null"),"",ROUND((AF953-TODAY())/365.25,2))</f>
        <v>973.58</v>
      </c>
      <c r="AO953" t="str">
        <f ca="1">IF(AND(AG953="Vigente",OR(AF953="",AF953="null",AF953&gt;TODAY())),"SI",IF(AND(NOT(OR(AF953="",AF953="null")),AF953&lt;=TODAY()),"NO",IF(AG953="Vigente","SI","DESCONOCIDO")))</f>
        <v>SI</v>
      </c>
      <c r="AP953" t="str">
        <f>IF(AND(ISNUMBER(SEARCH("IMPORTAR",AA953)),ISNUMBER(SEARCH("FABRICAR",AA953))),"MIXTO",IF(ISNUMBER(SEARCH("IMPORTAR",AA953)),"IMPORTADO",IF(ISNUMBER(SEARCH("FABRICAR",AA953)),"LOCAL","OTRO")))</f>
        <v>IMPORTADO</v>
      </c>
      <c r="AQ953" t="str">
        <f>IF(AD953="Si","SI",IF(AD953="No","NO",""))</f>
        <v>NO</v>
      </c>
      <c r="AR953" t="str">
        <f>IF(ISNUMBER(SEARCH("®",N953)),"MARCA/INNOVADOR","GENERICO")</f>
        <v>MARCA/INNOVADOR</v>
      </c>
      <c r="AS953">
        <f ca="1">IF(AE953&gt;100,RANDBETWEEN(500,5000),IF(AND(AE953&gt;=10,AE953&lt;=100),RANDBETWEEN(100,1000),RANDBETWEEN(10,200)))</f>
        <v>233</v>
      </c>
      <c r="AT953">
        <f t="shared" ca="1" si="72"/>
        <v>27</v>
      </c>
      <c r="AU953">
        <f ca="1">INT(AS953*RANDBETWEEN(120,200)/100)</f>
        <v>466</v>
      </c>
      <c r="AV953" s="2">
        <f ca="1">IF(LEFT(Y953,1)="L",RANDBETWEEN(500000,5000000),IF(LEFT(Y953,1)="C",RANDBETWEEN(5000,50000),IF(LEFT(Y953,1)="N",RANDBETWEEN(10000,150000),IF(LEFT(Y953,1)="J",RANDBETWEEN(8000,200000),RANDBETWEEN(5000,100000)))))</f>
        <v>87115</v>
      </c>
      <c r="AW953" s="2">
        <f ca="1">INT(AV953*RANDBETWEEN(30,60)/100)</f>
        <v>39201</v>
      </c>
      <c r="AX953">
        <f ca="1">IF(Z953="ORAL",RANDBETWEEN(1000,10000),IF(OR(Z953="INTRAVENOSA",Z953="INTRAMUSCULAR"),RANDBETWEEN(100,2000),IF(OR(Z953="OFTÁLMICA",Z953="TOPICA (EXTERNA)"),RANDBETWEEN(200,3000),RANDBETWEEN(100,1500))))</f>
        <v>5930</v>
      </c>
      <c r="AY953" s="2">
        <f ca="1">INT(AV953*RANDBETWEEN(90,130)/100)</f>
        <v>93213</v>
      </c>
      <c r="AZ953" t="str">
        <f t="shared" ca="1" si="73"/>
        <v>8.7%</v>
      </c>
      <c r="BA953" t="str">
        <f t="shared" ca="1" si="74"/>
        <v>MEDIO</v>
      </c>
    </row>
    <row r="954" spans="4:53" x14ac:dyDescent="0.35">
      <c r="D954" t="s">
        <v>5898</v>
      </c>
      <c r="E954" s="1">
        <v>39702</v>
      </c>
      <c r="F954" t="s">
        <v>3885</v>
      </c>
      <c r="G954" t="s">
        <v>108</v>
      </c>
      <c r="H954" t="s">
        <v>454</v>
      </c>
      <c r="I954">
        <v>19987731</v>
      </c>
      <c r="J954" t="s">
        <v>28</v>
      </c>
      <c r="K954">
        <v>7</v>
      </c>
      <c r="L954" t="s">
        <v>27</v>
      </c>
      <c r="M954" t="s">
        <v>5899</v>
      </c>
      <c r="N954" t="s">
        <v>5900</v>
      </c>
      <c r="O954" t="s">
        <v>5901</v>
      </c>
      <c r="P954" t="s">
        <v>33</v>
      </c>
      <c r="Q954" s="1">
        <v>45476</v>
      </c>
      <c r="R954" t="s">
        <v>33</v>
      </c>
      <c r="S954" t="s">
        <v>27</v>
      </c>
      <c r="T954" t="s">
        <v>454</v>
      </c>
      <c r="U954" t="s">
        <v>115</v>
      </c>
      <c r="V954" t="s">
        <v>5902</v>
      </c>
      <c r="W954">
        <v>3</v>
      </c>
      <c r="X954">
        <v>19987731</v>
      </c>
      <c r="Y954" t="s">
        <v>642</v>
      </c>
      <c r="Z954" t="s">
        <v>119</v>
      </c>
      <c r="AA954" t="s">
        <v>24</v>
      </c>
      <c r="AB954" t="s">
        <v>120</v>
      </c>
      <c r="AC954" t="s">
        <v>25</v>
      </c>
      <c r="AD954" t="s">
        <v>155</v>
      </c>
      <c r="AE954">
        <v>21</v>
      </c>
      <c r="AF954" t="s">
        <v>27</v>
      </c>
      <c r="AG954" t="s">
        <v>26</v>
      </c>
      <c r="AH954" t="s">
        <v>3885</v>
      </c>
      <c r="AI954" t="str">
        <f t="shared" si="70"/>
        <v>NO</v>
      </c>
      <c r="AJ954" t="str">
        <f t="shared" si="71"/>
        <v>PROCAPS</v>
      </c>
      <c r="AK954" t="str">
        <f>IF(ISNUMBER(SEARCH("FABRICANTE",AC954)),"FABRICANTE",IF(ISNUMBER(SEARCH("IMPORTADOR",AC954)),"IMPORTADOR","OTRO"))</f>
        <v>FABRICANTE</v>
      </c>
      <c r="AL954" t="str">
        <f>IF(LEFT(Y954,1)="A","Sistema digestivo",IF(LEFT(Y954,1)="B","Sangre",IF(LEFT(Y954,1)="C","Cardiovascular",IF(LEFT(Y954,1)="D","Dermatológico",IF(LEFT(Y954,1)="G","Genitourinario",IF(LEFT(Y954,1)="H","Hormonal",IF(LEFT(Y954,1)="J","Antiinfecciosos",IF(LEFT(Y954,1)="L","Oncológicos",IF(LEFT(Y954,1)="M","Musculoesquelético",IF(LEFT(Y954,1)="N","Sistema nervioso",IF(LEFT(Y954,1)="R","Respiratorio",IF(LEFT(Y954,1)="S","Oftálmico",IF(LEFT(Y954,1)="V","Varios","OTRO")))))))))))))</f>
        <v>Genitourinario</v>
      </c>
      <c r="AM954" t="str">
        <f>IF(AG954="Vigente","ACTIVO",IF(ISNUMBER(SEARCH("Inactivo",J954)),"INACTIVO","REVISAR"))</f>
        <v>ACTIVO</v>
      </c>
      <c r="AN954" t="str">
        <f ca="1">IF(OR(AF954="",AF954="null"),"",ROUND((AF954-TODAY())/365.25,2))</f>
        <v/>
      </c>
      <c r="AO954" t="str">
        <f ca="1">IF(AND(AG954="Vigente",OR(AF954="",AF954="null",AF954&gt;TODAY())),"SI",IF(AND(NOT(OR(AF954="",AF954="null")),AF954&lt;=TODAY()),"NO",IF(AG954="Vigente","SI","DESCONOCIDO")))</f>
        <v>SI</v>
      </c>
      <c r="AP954" t="str">
        <f>IF(AND(ISNUMBER(SEARCH("IMPORTAR",AA954)),ISNUMBER(SEARCH("FABRICAR",AA954))),"MIXTO",IF(ISNUMBER(SEARCH("IMPORTAR",AA954)),"IMPORTADO",IF(ISNUMBER(SEARCH("FABRICAR",AA954)),"LOCAL","OTRO")))</f>
        <v>LOCAL</v>
      </c>
      <c r="AQ954" t="str">
        <f>IF(AD954="Si","SI",IF(AD954="No","NO",""))</f>
        <v>SI</v>
      </c>
      <c r="AR954" t="str">
        <f>IF(ISNUMBER(SEARCH("®",N954)),"MARCA/INNOVADOR","GENERICO")</f>
        <v>MARCA/INNOVADOR</v>
      </c>
      <c r="AS954">
        <f ca="1">IF(AE954&gt;100,RANDBETWEEN(500,5000),IF(AND(AE954&gt;=10,AE954&lt;=100),RANDBETWEEN(100,1000),RANDBETWEEN(10,200)))</f>
        <v>366</v>
      </c>
      <c r="AT954">
        <f t="shared" ca="1" si="72"/>
        <v>87</v>
      </c>
      <c r="AU954">
        <f ca="1">INT(AS954*RANDBETWEEN(120,200)/100)</f>
        <v>578</v>
      </c>
      <c r="AV954" s="2">
        <f ca="1">IF(LEFT(Y954,1)="L",RANDBETWEEN(500000,5000000),IF(LEFT(Y954,1)="C",RANDBETWEEN(5000,50000),IF(LEFT(Y954,1)="N",RANDBETWEEN(10000,150000),IF(LEFT(Y954,1)="J",RANDBETWEEN(8000,200000),RANDBETWEEN(5000,100000)))))</f>
        <v>98684</v>
      </c>
      <c r="AW954" s="2">
        <f ca="1">INT(AV954*RANDBETWEEN(30,60)/100)</f>
        <v>38486</v>
      </c>
      <c r="AX954">
        <f ca="1">IF(Z954="ORAL",RANDBETWEEN(1000,10000),IF(OR(Z954="INTRAVENOSA",Z954="INTRAMUSCULAR"),RANDBETWEEN(100,2000),IF(OR(Z954="OFTÁLMICA",Z954="TOPICA (EXTERNA)"),RANDBETWEEN(200,3000),RANDBETWEEN(100,1500))))</f>
        <v>8498</v>
      </c>
      <c r="AY954" s="2">
        <f ca="1">INT(AV954*RANDBETWEEN(90,130)/100)</f>
        <v>92762</v>
      </c>
      <c r="AZ954" t="str">
        <f t="shared" ca="1" si="73"/>
        <v>18%</v>
      </c>
      <c r="BA954" t="str">
        <f t="shared" ca="1" si="74"/>
        <v>BAJO</v>
      </c>
    </row>
    <row r="955" spans="4:53" x14ac:dyDescent="0.35">
      <c r="D955" t="s">
        <v>5903</v>
      </c>
      <c r="E955" s="1">
        <v>41975</v>
      </c>
      <c r="F955" t="s">
        <v>5904</v>
      </c>
      <c r="G955" t="s">
        <v>108</v>
      </c>
      <c r="H955" t="s">
        <v>1325</v>
      </c>
      <c r="I955">
        <v>20061746</v>
      </c>
      <c r="J955" t="s">
        <v>110</v>
      </c>
      <c r="K955">
        <v>7</v>
      </c>
      <c r="L955" t="s">
        <v>27</v>
      </c>
      <c r="M955" t="s">
        <v>1326</v>
      </c>
      <c r="N955" t="s">
        <v>1327</v>
      </c>
      <c r="O955" t="s">
        <v>5905</v>
      </c>
      <c r="P955" t="s">
        <v>97</v>
      </c>
      <c r="Q955" s="1">
        <v>43236</v>
      </c>
      <c r="R955" t="s">
        <v>258</v>
      </c>
      <c r="S955" t="s">
        <v>27</v>
      </c>
      <c r="T955" t="s">
        <v>1329</v>
      </c>
      <c r="U955" t="s">
        <v>115</v>
      </c>
      <c r="V955" t="s">
        <v>64</v>
      </c>
      <c r="W955" t="s">
        <v>3003</v>
      </c>
      <c r="X955">
        <v>20061746</v>
      </c>
      <c r="Y955" t="s">
        <v>259</v>
      </c>
      <c r="Z955" t="s">
        <v>260</v>
      </c>
      <c r="AA955" t="s">
        <v>32</v>
      </c>
      <c r="AB955" t="s">
        <v>133</v>
      </c>
      <c r="AC955" t="s">
        <v>38</v>
      </c>
      <c r="AD955" t="s">
        <v>155</v>
      </c>
      <c r="AE955">
        <v>1</v>
      </c>
      <c r="AF955" s="1">
        <v>401769</v>
      </c>
      <c r="AG955" t="s">
        <v>26</v>
      </c>
      <c r="AH955" t="s">
        <v>6844</v>
      </c>
      <c r="AI955" t="str">
        <f t="shared" si="70"/>
        <v>NO</v>
      </c>
      <c r="AJ955" t="str">
        <f t="shared" si="71"/>
        <v>FRESENIUS KABI AB</v>
      </c>
      <c r="AK955" t="str">
        <f>IF(ISNUMBER(SEARCH("FABRICANTE",AC955)),"FABRICANTE",IF(ISNUMBER(SEARCH("IMPORTADOR",AC955)),"IMPORTADOR","OTRO"))</f>
        <v>IMPORTADOR</v>
      </c>
      <c r="AL955" t="str">
        <f>IF(LEFT(Y955,1)="A","Sistema digestivo",IF(LEFT(Y955,1)="B","Sangre",IF(LEFT(Y955,1)="C","Cardiovascular",IF(LEFT(Y955,1)="D","Dermatológico",IF(LEFT(Y955,1)="G","Genitourinario",IF(LEFT(Y955,1)="H","Hormonal",IF(LEFT(Y955,1)="J","Antiinfecciosos",IF(LEFT(Y955,1)="L","Oncológicos",IF(LEFT(Y955,1)="M","Musculoesquelético",IF(LEFT(Y955,1)="N","Sistema nervioso",IF(LEFT(Y955,1)="R","Respiratorio",IF(LEFT(Y955,1)="S","Oftálmico",IF(LEFT(Y955,1)="V","Varios","OTRO")))))))))))))</f>
        <v>Sangre</v>
      </c>
      <c r="AM955" t="str">
        <f>IF(AG955="Vigente","ACTIVO",IF(ISNUMBER(SEARCH("Inactivo",J955)),"INACTIVO","REVISAR"))</f>
        <v>ACTIVO</v>
      </c>
      <c r="AN955">
        <f ca="1">IF(OR(AF955="",AF955="null"),"",ROUND((AF955-TODAY())/365.25,2))</f>
        <v>973.58</v>
      </c>
      <c r="AO955" t="str">
        <f ca="1">IF(AND(AG955="Vigente",OR(AF955="",AF955="null",AF955&gt;TODAY())),"SI",IF(AND(NOT(OR(AF955="",AF955="null")),AF955&lt;=TODAY()),"NO",IF(AG955="Vigente","SI","DESCONOCIDO")))</f>
        <v>SI</v>
      </c>
      <c r="AP955" t="str">
        <f>IF(AND(ISNUMBER(SEARCH("IMPORTAR",AA955)),ISNUMBER(SEARCH("FABRICAR",AA955))),"MIXTO",IF(ISNUMBER(SEARCH("IMPORTAR",AA955)),"IMPORTADO",IF(ISNUMBER(SEARCH("FABRICAR",AA955)),"LOCAL","OTRO")))</f>
        <v>IMPORTADO</v>
      </c>
      <c r="AQ955" t="str">
        <f>IF(AD955="Si","SI",IF(AD955="No","NO",""))</f>
        <v>SI</v>
      </c>
      <c r="AR955" t="str">
        <f>IF(ISNUMBER(SEARCH("®",N955)),"MARCA/INNOVADOR","GENERICO")</f>
        <v>MARCA/INNOVADOR</v>
      </c>
      <c r="AS955">
        <f ca="1">IF(AE955&gt;100,RANDBETWEEN(500,5000),IF(AND(AE955&gt;=10,AE955&lt;=100),RANDBETWEEN(100,1000),RANDBETWEEN(10,200)))</f>
        <v>135</v>
      </c>
      <c r="AT955">
        <f t="shared" ca="1" si="72"/>
        <v>22</v>
      </c>
      <c r="AU955">
        <f ca="1">INT(AS955*RANDBETWEEN(120,200)/100)</f>
        <v>189</v>
      </c>
      <c r="AV955" s="2">
        <f ca="1">IF(LEFT(Y955,1)="L",RANDBETWEEN(500000,5000000),IF(LEFT(Y955,1)="C",RANDBETWEEN(5000,50000),IF(LEFT(Y955,1)="N",RANDBETWEEN(10000,150000),IF(LEFT(Y955,1)="J",RANDBETWEEN(8000,200000),RANDBETWEEN(5000,100000)))))</f>
        <v>25317</v>
      </c>
      <c r="AW955" s="2">
        <f ca="1">INT(AV955*RANDBETWEEN(30,60)/100)</f>
        <v>12152</v>
      </c>
      <c r="AX955">
        <f ca="1">IF(Z955="ORAL",RANDBETWEEN(1000,10000),IF(OR(Z955="INTRAVENOSA",Z955="INTRAMUSCULAR"),RANDBETWEEN(100,2000),IF(OR(Z955="OFTÁLMICA",Z955="TOPICA (EXTERNA)"),RANDBETWEEN(200,3000),RANDBETWEEN(100,1500))))</f>
        <v>1406</v>
      </c>
      <c r="AY955" s="2">
        <f ca="1">INT(AV955*RANDBETWEEN(90,130)/100)</f>
        <v>27089</v>
      </c>
      <c r="AZ955" t="str">
        <f t="shared" ca="1" si="73"/>
        <v>0.5%</v>
      </c>
      <c r="BA955" t="str">
        <f t="shared" ca="1" si="74"/>
        <v>MEDIO</v>
      </c>
    </row>
    <row r="956" spans="4:53" x14ac:dyDescent="0.35">
      <c r="D956" t="s">
        <v>5906</v>
      </c>
      <c r="E956" s="1">
        <v>42202</v>
      </c>
      <c r="F956" t="s">
        <v>862</v>
      </c>
      <c r="G956" t="s">
        <v>108</v>
      </c>
      <c r="H956" t="s">
        <v>840</v>
      </c>
      <c r="I956">
        <v>20078743</v>
      </c>
      <c r="J956" t="s">
        <v>28</v>
      </c>
      <c r="K956">
        <v>20</v>
      </c>
      <c r="L956" t="s">
        <v>27</v>
      </c>
      <c r="M956" t="s">
        <v>863</v>
      </c>
      <c r="N956" t="s">
        <v>864</v>
      </c>
      <c r="O956" t="s">
        <v>4648</v>
      </c>
      <c r="P956" t="s">
        <v>866</v>
      </c>
      <c r="Q956" s="1">
        <v>42132</v>
      </c>
      <c r="R956" t="s">
        <v>867</v>
      </c>
      <c r="S956" t="s">
        <v>27</v>
      </c>
      <c r="T956" t="s">
        <v>80</v>
      </c>
      <c r="U956" t="s">
        <v>115</v>
      </c>
      <c r="V956" t="s">
        <v>460</v>
      </c>
      <c r="W956">
        <v>500</v>
      </c>
      <c r="X956">
        <v>20078743</v>
      </c>
      <c r="Y956" t="s">
        <v>461</v>
      </c>
      <c r="Z956" t="s">
        <v>119</v>
      </c>
      <c r="AA956" t="s">
        <v>165</v>
      </c>
      <c r="AB956" t="s">
        <v>120</v>
      </c>
      <c r="AC956" t="s">
        <v>25</v>
      </c>
      <c r="AD956" t="s">
        <v>121</v>
      </c>
      <c r="AE956">
        <v>36</v>
      </c>
      <c r="AF956" t="s">
        <v>27</v>
      </c>
      <c r="AG956" t="s">
        <v>26</v>
      </c>
      <c r="AH956" t="s">
        <v>522</v>
      </c>
      <c r="AI956" t="str">
        <f t="shared" si="70"/>
        <v>NO</v>
      </c>
      <c r="AJ956" t="str">
        <f t="shared" si="71"/>
        <v>TECNOQUIMICAS</v>
      </c>
      <c r="AK956" t="str">
        <f>IF(ISNUMBER(SEARCH("FABRICANTE",AC956)),"FABRICANTE",IF(ISNUMBER(SEARCH("IMPORTADOR",AC956)),"IMPORTADOR","OTRO"))</f>
        <v>FABRICANTE</v>
      </c>
      <c r="AL956" t="str">
        <f>IF(LEFT(Y956,1)="A","Sistema digestivo",IF(LEFT(Y956,1)="B","Sangre",IF(LEFT(Y956,1)="C","Cardiovascular",IF(LEFT(Y956,1)="D","Dermatológico",IF(LEFT(Y956,1)="G","Genitourinario",IF(LEFT(Y956,1)="H","Hormonal",IF(LEFT(Y956,1)="J","Antiinfecciosos",IF(LEFT(Y956,1)="L","Oncológicos",IF(LEFT(Y956,1)="M","Musculoesquelético",IF(LEFT(Y956,1)="N","Sistema nervioso",IF(LEFT(Y956,1)="R","Respiratorio",IF(LEFT(Y956,1)="S","Oftálmico",IF(LEFT(Y956,1)="V","Varios","OTRO")))))))))))))</f>
        <v>Respiratorio</v>
      </c>
      <c r="AM956" t="str">
        <f>IF(AG956="Vigente","ACTIVO",IF(ISNUMBER(SEARCH("Inactivo",J956)),"INACTIVO","REVISAR"))</f>
        <v>ACTIVO</v>
      </c>
      <c r="AN956" t="str">
        <f ca="1">IF(OR(AF956="",AF956="null"),"",ROUND((AF956-TODAY())/365.25,2))</f>
        <v/>
      </c>
      <c r="AO956" t="str">
        <f ca="1">IF(AND(AG956="Vigente",OR(AF956="",AF956="null",AF956&gt;TODAY())),"SI",IF(AND(NOT(OR(AF956="",AF956="null")),AF956&lt;=TODAY()),"NO",IF(AG956="Vigente","SI","DESCONOCIDO")))</f>
        <v>SI</v>
      </c>
      <c r="AP956" t="str">
        <f>IF(AND(ISNUMBER(SEARCH("IMPORTAR",AA956)),ISNUMBER(SEARCH("FABRICAR",AA956))),"MIXTO",IF(ISNUMBER(SEARCH("IMPORTAR",AA956)),"IMPORTADO",IF(ISNUMBER(SEARCH("FABRICAR",AA956)),"LOCAL","OTRO")))</f>
        <v>IMPORTADO</v>
      </c>
      <c r="AQ956" t="str">
        <f>IF(AD956="Si","SI",IF(AD956="No","NO",""))</f>
        <v>NO</v>
      </c>
      <c r="AR956" t="str">
        <f>IF(ISNUMBER(SEARCH("®",N956)),"MARCA/INNOVADOR","GENERICO")</f>
        <v>MARCA/INNOVADOR</v>
      </c>
      <c r="AS956">
        <f ca="1">IF(AE956&gt;100,RANDBETWEEN(500,5000),IF(AND(AE956&gt;=10,AE956&lt;=100),RANDBETWEEN(100,1000),RANDBETWEEN(10,200)))</f>
        <v>862</v>
      </c>
      <c r="AT956">
        <f t="shared" ca="1" si="72"/>
        <v>224</v>
      </c>
      <c r="AU956">
        <f ca="1">INT(AS956*RANDBETWEEN(120,200)/100)</f>
        <v>1430</v>
      </c>
      <c r="AV956" s="2">
        <f ca="1">IF(LEFT(Y956,1)="L",RANDBETWEEN(500000,5000000),IF(LEFT(Y956,1)="C",RANDBETWEEN(5000,50000),IF(LEFT(Y956,1)="N",RANDBETWEEN(10000,150000),IF(LEFT(Y956,1)="J",RANDBETWEEN(8000,200000),RANDBETWEEN(5000,100000)))))</f>
        <v>93152</v>
      </c>
      <c r="AW956" s="2">
        <f ca="1">INT(AV956*RANDBETWEEN(30,60)/100)</f>
        <v>55891</v>
      </c>
      <c r="AX956">
        <f ca="1">IF(Z956="ORAL",RANDBETWEEN(1000,10000),IF(OR(Z956="INTRAVENOSA",Z956="INTRAMUSCULAR"),RANDBETWEEN(100,2000),IF(OR(Z956="OFTÁLMICA",Z956="TOPICA (EXTERNA)"),RANDBETWEEN(200,3000),RANDBETWEEN(100,1500))))</f>
        <v>6522</v>
      </c>
      <c r="AY956" s="2">
        <f ca="1">INT(AV956*RANDBETWEEN(90,130)/100)</f>
        <v>93152</v>
      </c>
      <c r="AZ956" t="str">
        <f t="shared" ca="1" si="73"/>
        <v>6.9%</v>
      </c>
      <c r="BA956" t="str">
        <f t="shared" ca="1" si="74"/>
        <v>BAJO</v>
      </c>
    </row>
    <row r="957" spans="4:53" x14ac:dyDescent="0.35">
      <c r="D957" t="s">
        <v>5907</v>
      </c>
      <c r="E957" s="1">
        <v>45789</v>
      </c>
      <c r="F957" t="s">
        <v>515</v>
      </c>
      <c r="G957" t="s">
        <v>108</v>
      </c>
      <c r="H957" t="s">
        <v>2741</v>
      </c>
      <c r="I957">
        <v>20213151</v>
      </c>
      <c r="J957" t="s">
        <v>28</v>
      </c>
      <c r="K957">
        <v>3</v>
      </c>
      <c r="L957" t="s">
        <v>27</v>
      </c>
      <c r="M957" t="s">
        <v>2780</v>
      </c>
      <c r="N957" t="s">
        <v>2781</v>
      </c>
      <c r="O957" t="s">
        <v>5908</v>
      </c>
      <c r="P957" t="s">
        <v>1061</v>
      </c>
      <c r="Q957" s="1">
        <v>45419</v>
      </c>
      <c r="R957" t="s">
        <v>527</v>
      </c>
      <c r="S957" t="s">
        <v>27</v>
      </c>
      <c r="T957" t="s">
        <v>1369</v>
      </c>
      <c r="U957" t="s">
        <v>115</v>
      </c>
      <c r="V957" t="s">
        <v>162</v>
      </c>
      <c r="W957">
        <v>200</v>
      </c>
      <c r="X957">
        <v>20213151</v>
      </c>
      <c r="Y957" t="s">
        <v>164</v>
      </c>
      <c r="Z957" t="s">
        <v>119</v>
      </c>
      <c r="AA957" t="s">
        <v>848</v>
      </c>
      <c r="AB957" t="s">
        <v>120</v>
      </c>
      <c r="AC957" t="s">
        <v>38</v>
      </c>
      <c r="AD957" t="s">
        <v>121</v>
      </c>
      <c r="AE957">
        <v>10</v>
      </c>
      <c r="AF957" s="1">
        <v>47630</v>
      </c>
      <c r="AG957" t="s">
        <v>26</v>
      </c>
      <c r="AH957" t="s">
        <v>515</v>
      </c>
      <c r="AI957" t="str">
        <f t="shared" si="70"/>
        <v>NO</v>
      </c>
      <c r="AJ957" t="str">
        <f t="shared" si="71"/>
        <v>GLOBAL INTERNATIONAL MEDICINE GIMED</v>
      </c>
      <c r="AK957" t="str">
        <f>IF(ISNUMBER(SEARCH("FABRICANTE",AC957)),"FABRICANTE",IF(ISNUMBER(SEARCH("IMPORTADOR",AC957)),"IMPORTADOR","OTRO"))</f>
        <v>IMPORTADOR</v>
      </c>
      <c r="AL957" t="str">
        <f>IF(LEFT(Y957,1)="A","Sistema digestivo",IF(LEFT(Y957,1)="B","Sangre",IF(LEFT(Y957,1)="C","Cardiovascular",IF(LEFT(Y957,1)="D","Dermatológico",IF(LEFT(Y957,1)="G","Genitourinario",IF(LEFT(Y957,1)="H","Hormonal",IF(LEFT(Y957,1)="J","Antiinfecciosos",IF(LEFT(Y957,1)="L","Oncológicos",IF(LEFT(Y957,1)="M","Musculoesquelético",IF(LEFT(Y957,1)="N","Sistema nervioso",IF(LEFT(Y957,1)="R","Respiratorio",IF(LEFT(Y957,1)="S","Oftálmico",IF(LEFT(Y957,1)="V","Varios","OTRO")))))))))))))</f>
        <v>Musculoesquelético</v>
      </c>
      <c r="AM957" t="str">
        <f>IF(AG957="Vigente","ACTIVO",IF(ISNUMBER(SEARCH("Inactivo",J957)),"INACTIVO","REVISAR"))</f>
        <v>ACTIVO</v>
      </c>
      <c r="AN957">
        <f ca="1">IF(OR(AF957="",AF957="null"),"",ROUND((AF957-TODAY())/365.25,2))</f>
        <v>4</v>
      </c>
      <c r="AO957" t="str">
        <f ca="1">IF(AND(AG957="Vigente",OR(AF957="",AF957="null",AF957&gt;TODAY())),"SI",IF(AND(NOT(OR(AF957="",AF957="null")),AF957&lt;=TODAY()),"NO",IF(AG957="Vigente","SI","DESCONOCIDO")))</f>
        <v>SI</v>
      </c>
      <c r="AP957" t="str">
        <f>IF(AND(ISNUMBER(SEARCH("IMPORTAR",AA957)),ISNUMBER(SEARCH("FABRICAR",AA957))),"MIXTO",IF(ISNUMBER(SEARCH("IMPORTAR",AA957)),"IMPORTADO",IF(ISNUMBER(SEARCH("FABRICAR",AA957)),"LOCAL","OTRO")))</f>
        <v>IMPORTADO</v>
      </c>
      <c r="AQ957" t="str">
        <f>IF(AD957="Si","SI",IF(AD957="No","NO",""))</f>
        <v>NO</v>
      </c>
      <c r="AR957" t="str">
        <f>IF(ISNUMBER(SEARCH("®",N957)),"MARCA/INNOVADOR","GENERICO")</f>
        <v>MARCA/INNOVADOR</v>
      </c>
      <c r="AS957">
        <f ca="1">IF(AE957&gt;100,RANDBETWEEN(500,5000),IF(AND(AE957&gt;=10,AE957&lt;=100),RANDBETWEEN(100,1000),RANDBETWEEN(10,200)))</f>
        <v>482</v>
      </c>
      <c r="AT957">
        <f t="shared" ca="1" si="72"/>
        <v>86</v>
      </c>
      <c r="AU957">
        <f ca="1">INT(AS957*RANDBETWEEN(120,200)/100)</f>
        <v>718</v>
      </c>
      <c r="AV957" s="2">
        <f ca="1">IF(LEFT(Y957,1)="L",RANDBETWEEN(500000,5000000),IF(LEFT(Y957,1)="C",RANDBETWEEN(5000,50000),IF(LEFT(Y957,1)="N",RANDBETWEEN(10000,150000),IF(LEFT(Y957,1)="J",RANDBETWEEN(8000,200000),RANDBETWEEN(5000,100000)))))</f>
        <v>85567</v>
      </c>
      <c r="AW957" s="2">
        <f ca="1">INT(AV957*RANDBETWEEN(30,60)/100)</f>
        <v>29948</v>
      </c>
      <c r="AX957">
        <f ca="1">IF(Z957="ORAL",RANDBETWEEN(1000,10000),IF(OR(Z957="INTRAVENOSA",Z957="INTRAMUSCULAR"),RANDBETWEEN(100,2000),IF(OR(Z957="OFTÁLMICA",Z957="TOPICA (EXTERNA)"),RANDBETWEEN(200,3000),RANDBETWEEN(100,1500))))</f>
        <v>5320</v>
      </c>
      <c r="AY957" s="2">
        <f ca="1">INT(AV957*RANDBETWEEN(90,130)/100)</f>
        <v>97546</v>
      </c>
      <c r="AZ957" t="str">
        <f t="shared" ca="1" si="73"/>
        <v>21.1%</v>
      </c>
      <c r="BA957" t="str">
        <f t="shared" ca="1" si="74"/>
        <v>MEDIO</v>
      </c>
    </row>
    <row r="958" spans="4:53" x14ac:dyDescent="0.35">
      <c r="D958" t="s">
        <v>5909</v>
      </c>
      <c r="E958" s="1">
        <v>41061</v>
      </c>
      <c r="F958" t="s">
        <v>5910</v>
      </c>
      <c r="G958" t="s">
        <v>108</v>
      </c>
      <c r="H958" t="s">
        <v>4340</v>
      </c>
      <c r="I958">
        <v>20020363</v>
      </c>
      <c r="J958" t="s">
        <v>110</v>
      </c>
      <c r="K958">
        <v>1</v>
      </c>
      <c r="L958" t="s">
        <v>27</v>
      </c>
      <c r="M958" t="s">
        <v>5911</v>
      </c>
      <c r="N958" t="s">
        <v>5912</v>
      </c>
      <c r="O958" t="s">
        <v>5913</v>
      </c>
      <c r="P958" t="s">
        <v>601</v>
      </c>
      <c r="Q958" s="1">
        <v>40933</v>
      </c>
      <c r="R958" t="s">
        <v>50</v>
      </c>
      <c r="S958" s="1">
        <v>42314</v>
      </c>
      <c r="T958" t="s">
        <v>4340</v>
      </c>
      <c r="U958" t="s">
        <v>115</v>
      </c>
      <c r="V958" t="s">
        <v>5910</v>
      </c>
      <c r="W958">
        <v>6</v>
      </c>
      <c r="X958">
        <v>20020363</v>
      </c>
      <c r="Y958" t="s">
        <v>5914</v>
      </c>
      <c r="Z958" t="s">
        <v>260</v>
      </c>
      <c r="AA958" t="s">
        <v>32</v>
      </c>
      <c r="AB958" t="s">
        <v>239</v>
      </c>
      <c r="AC958" t="s">
        <v>38</v>
      </c>
      <c r="AD958" t="s">
        <v>121</v>
      </c>
      <c r="AE958">
        <v>1</v>
      </c>
      <c r="AF958" s="1">
        <v>401769</v>
      </c>
      <c r="AG958" t="s">
        <v>26</v>
      </c>
      <c r="AH958" t="s">
        <v>5910</v>
      </c>
      <c r="AI958" t="str">
        <f t="shared" si="70"/>
        <v>NO</v>
      </c>
      <c r="AJ958" t="str">
        <f t="shared" si="71"/>
        <v>TAKEDA COLOMBIA</v>
      </c>
      <c r="AK958" t="str">
        <f>IF(ISNUMBER(SEARCH("FABRICANTE",AC958)),"FABRICANTE",IF(ISNUMBER(SEARCH("IMPORTADOR",AC958)),"IMPORTADOR","OTRO"))</f>
        <v>IMPORTADOR</v>
      </c>
      <c r="AL958" t="str">
        <f>IF(LEFT(Y958,1)="A","Sistema digestivo",IF(LEFT(Y958,1)="B","Sangre",IF(LEFT(Y958,1)="C","Cardiovascular",IF(LEFT(Y958,1)="D","Dermatológico",IF(LEFT(Y958,1)="G","Genitourinario",IF(LEFT(Y958,1)="H","Hormonal",IF(LEFT(Y958,1)="J","Antiinfecciosos",IF(LEFT(Y958,1)="L","Oncológicos",IF(LEFT(Y958,1)="M","Musculoesquelético",IF(LEFT(Y958,1)="N","Sistema nervioso",IF(LEFT(Y958,1)="R","Respiratorio",IF(LEFT(Y958,1)="S","Oftálmico",IF(LEFT(Y958,1)="V","Varios","OTRO")))))))))))))</f>
        <v>Sistema digestivo</v>
      </c>
      <c r="AM958" t="str">
        <f>IF(AG958="Vigente","ACTIVO",IF(ISNUMBER(SEARCH("Inactivo",J958)),"INACTIVO","REVISAR"))</f>
        <v>ACTIVO</v>
      </c>
      <c r="AN958">
        <f ca="1">IF(OR(AF958="",AF958="null"),"",ROUND((AF958-TODAY())/365.25,2))</f>
        <v>973.58</v>
      </c>
      <c r="AO958" t="str">
        <f ca="1">IF(AND(AG958="Vigente",OR(AF958="",AF958="null",AF958&gt;TODAY())),"SI",IF(AND(NOT(OR(AF958="",AF958="null")),AF958&lt;=TODAY()),"NO",IF(AG958="Vigente","SI","DESCONOCIDO")))</f>
        <v>SI</v>
      </c>
      <c r="AP958" t="str">
        <f>IF(AND(ISNUMBER(SEARCH("IMPORTAR",AA958)),ISNUMBER(SEARCH("FABRICAR",AA958))),"MIXTO",IF(ISNUMBER(SEARCH("IMPORTAR",AA958)),"IMPORTADO",IF(ISNUMBER(SEARCH("FABRICAR",AA958)),"LOCAL","OTRO")))</f>
        <v>IMPORTADO</v>
      </c>
      <c r="AQ958" t="str">
        <f>IF(AD958="Si","SI",IF(AD958="No","NO",""))</f>
        <v>NO</v>
      </c>
      <c r="AR958" t="str">
        <f>IF(ISNUMBER(SEARCH("®",N958)),"MARCA/INNOVADOR","GENERICO")</f>
        <v>MARCA/INNOVADOR</v>
      </c>
      <c r="AS958">
        <f ca="1">IF(AE958&gt;100,RANDBETWEEN(500,5000),IF(AND(AE958&gt;=10,AE958&lt;=100),RANDBETWEEN(100,1000),RANDBETWEEN(10,200)))</f>
        <v>175</v>
      </c>
      <c r="AT958">
        <f t="shared" ca="1" si="72"/>
        <v>52</v>
      </c>
      <c r="AU958">
        <f ca="1">INT(AS958*RANDBETWEEN(120,200)/100)</f>
        <v>343</v>
      </c>
      <c r="AV958" s="2">
        <f ca="1">IF(LEFT(Y958,1)="L",RANDBETWEEN(500000,5000000),IF(LEFT(Y958,1)="C",RANDBETWEEN(5000,50000),IF(LEFT(Y958,1)="N",RANDBETWEEN(10000,150000),IF(LEFT(Y958,1)="J",RANDBETWEEN(8000,200000),RANDBETWEEN(5000,100000)))))</f>
        <v>22096</v>
      </c>
      <c r="AW958" s="2">
        <f ca="1">INT(AV958*RANDBETWEEN(30,60)/100)</f>
        <v>12594</v>
      </c>
      <c r="AX958">
        <f ca="1">IF(Z958="ORAL",RANDBETWEEN(1000,10000),IF(OR(Z958="INTRAVENOSA",Z958="INTRAMUSCULAR"),RANDBETWEEN(100,2000),IF(OR(Z958="OFTÁLMICA",Z958="TOPICA (EXTERNA)"),RANDBETWEEN(200,3000),RANDBETWEEN(100,1500))))</f>
        <v>1135</v>
      </c>
      <c r="AY958" s="2">
        <f ca="1">INT(AV958*RANDBETWEEN(90,130)/100)</f>
        <v>21212</v>
      </c>
      <c r="AZ958" t="str">
        <f t="shared" ca="1" si="73"/>
        <v>2.6%</v>
      </c>
      <c r="BA958" t="str">
        <f t="shared" ca="1" si="74"/>
        <v>MEDIO</v>
      </c>
    </row>
    <row r="959" spans="4:53" x14ac:dyDescent="0.35">
      <c r="D959" t="s">
        <v>5915</v>
      </c>
      <c r="E959" s="1">
        <v>40368</v>
      </c>
      <c r="F959" t="s">
        <v>5818</v>
      </c>
      <c r="G959" t="s">
        <v>108</v>
      </c>
      <c r="H959" t="s">
        <v>5916</v>
      </c>
      <c r="I959">
        <v>20013309</v>
      </c>
      <c r="J959" t="s">
        <v>110</v>
      </c>
      <c r="K959">
        <v>1</v>
      </c>
      <c r="L959" t="s">
        <v>27</v>
      </c>
      <c r="M959" t="s">
        <v>5917</v>
      </c>
      <c r="N959" t="s">
        <v>5918</v>
      </c>
      <c r="O959" t="s">
        <v>5919</v>
      </c>
      <c r="P959" t="s">
        <v>5920</v>
      </c>
      <c r="Q959" s="1">
        <v>40226</v>
      </c>
      <c r="R959" t="s">
        <v>1163</v>
      </c>
      <c r="S959" s="1">
        <v>42439</v>
      </c>
      <c r="T959" t="s">
        <v>1689</v>
      </c>
      <c r="U959" t="s">
        <v>5921</v>
      </c>
      <c r="V959" t="s">
        <v>5825</v>
      </c>
      <c r="W959">
        <v>250</v>
      </c>
      <c r="X959">
        <v>20013309</v>
      </c>
      <c r="Y959" t="s">
        <v>5826</v>
      </c>
      <c r="Z959" t="s">
        <v>1168</v>
      </c>
      <c r="AA959" t="s">
        <v>32</v>
      </c>
      <c r="AB959" t="s">
        <v>120</v>
      </c>
      <c r="AC959" t="s">
        <v>25</v>
      </c>
      <c r="AD959" t="s">
        <v>121</v>
      </c>
      <c r="AE959">
        <v>1</v>
      </c>
      <c r="AF959" t="s">
        <v>27</v>
      </c>
      <c r="AG959" t="s">
        <v>26</v>
      </c>
      <c r="AH959" t="s">
        <v>5818</v>
      </c>
      <c r="AI959" t="str">
        <f t="shared" si="70"/>
        <v>NO</v>
      </c>
      <c r="AJ959" t="str">
        <f t="shared" si="71"/>
        <v>GLAXOSMITHKLINE COLOMBIA</v>
      </c>
      <c r="AK959" t="str">
        <f>IF(ISNUMBER(SEARCH("FABRICANTE",AC959)),"FABRICANTE",IF(ISNUMBER(SEARCH("IMPORTADOR",AC959)),"IMPORTADOR","OTRO"))</f>
        <v>FABRICANTE</v>
      </c>
      <c r="AL959" t="str">
        <f>IF(LEFT(Y959,1)="A","Sistema digestivo",IF(LEFT(Y959,1)="B","Sangre",IF(LEFT(Y959,1)="C","Cardiovascular",IF(LEFT(Y959,1)="D","Dermatológico",IF(LEFT(Y959,1)="G","Genitourinario",IF(LEFT(Y959,1)="H","Hormonal",IF(LEFT(Y959,1)="J","Antiinfecciosos",IF(LEFT(Y959,1)="L","Oncológicos",IF(LEFT(Y959,1)="M","Musculoesquelético",IF(LEFT(Y959,1)="N","Sistema nervioso",IF(LEFT(Y959,1)="R","Respiratorio",IF(LEFT(Y959,1)="S","Oftálmico",IF(LEFT(Y959,1)="V","Varios","OTRO")))))))))))))</f>
        <v>Respiratorio</v>
      </c>
      <c r="AM959" t="str">
        <f>IF(AG959="Vigente","ACTIVO",IF(ISNUMBER(SEARCH("Inactivo",J959)),"INACTIVO","REVISAR"))</f>
        <v>ACTIVO</v>
      </c>
      <c r="AN959" t="str">
        <f ca="1">IF(OR(AF959="",AF959="null"),"",ROUND((AF959-TODAY())/365.25,2))</f>
        <v/>
      </c>
      <c r="AO959" t="str">
        <f ca="1">IF(AND(AG959="Vigente",OR(AF959="",AF959="null",AF959&gt;TODAY())),"SI",IF(AND(NOT(OR(AF959="",AF959="null")),AF959&lt;=TODAY()),"NO",IF(AG959="Vigente","SI","DESCONOCIDO")))</f>
        <v>SI</v>
      </c>
      <c r="AP959" t="str">
        <f>IF(AND(ISNUMBER(SEARCH("IMPORTAR",AA959)),ISNUMBER(SEARCH("FABRICAR",AA959))),"MIXTO",IF(ISNUMBER(SEARCH("IMPORTAR",AA959)),"IMPORTADO",IF(ISNUMBER(SEARCH("FABRICAR",AA959)),"LOCAL","OTRO")))</f>
        <v>IMPORTADO</v>
      </c>
      <c r="AQ959" t="str">
        <f>IF(AD959="Si","SI",IF(AD959="No","NO",""))</f>
        <v>NO</v>
      </c>
      <c r="AR959" t="str">
        <f>IF(ISNUMBER(SEARCH("®",N959)),"MARCA/INNOVADOR","GENERICO")</f>
        <v>GENERICO</v>
      </c>
      <c r="AS959">
        <f ca="1">IF(AE959&gt;100,RANDBETWEEN(500,5000),IF(AND(AE959&gt;=10,AE959&lt;=100),RANDBETWEEN(100,1000),RANDBETWEEN(10,200)))</f>
        <v>185</v>
      </c>
      <c r="AT959">
        <f t="shared" ca="1" si="72"/>
        <v>38</v>
      </c>
      <c r="AU959">
        <f ca="1">INT(AS959*RANDBETWEEN(120,200)/100)</f>
        <v>222</v>
      </c>
      <c r="AV959" s="2">
        <f ca="1">IF(LEFT(Y959,1)="L",RANDBETWEEN(500000,5000000),IF(LEFT(Y959,1)="C",RANDBETWEEN(5000,50000),IF(LEFT(Y959,1)="N",RANDBETWEEN(10000,150000),IF(LEFT(Y959,1)="J",RANDBETWEEN(8000,200000),RANDBETWEEN(5000,100000)))))</f>
        <v>86903</v>
      </c>
      <c r="AW959" s="2">
        <f ca="1">INT(AV959*RANDBETWEEN(30,60)/100)</f>
        <v>27808</v>
      </c>
      <c r="AX959">
        <f ca="1">IF(Z959="ORAL",RANDBETWEEN(1000,10000),IF(OR(Z959="INTRAVENOSA",Z959="INTRAMUSCULAR"),RANDBETWEEN(100,2000),IF(OR(Z959="OFTÁLMICA",Z959="TOPICA (EXTERNA)"),RANDBETWEEN(200,3000),RANDBETWEEN(100,1500))))</f>
        <v>323</v>
      </c>
      <c r="AY959" s="2">
        <f ca="1">INT(AV959*RANDBETWEEN(90,130)/100)</f>
        <v>104283</v>
      </c>
      <c r="AZ959" t="str">
        <f t="shared" ca="1" si="73"/>
        <v>7.3%</v>
      </c>
      <c r="BA959" t="str">
        <f t="shared" ca="1" si="74"/>
        <v>ALTO</v>
      </c>
    </row>
    <row r="960" spans="4:53" x14ac:dyDescent="0.35">
      <c r="D960" t="s">
        <v>5922</v>
      </c>
      <c r="E960" s="1">
        <v>39777</v>
      </c>
      <c r="F960" t="s">
        <v>692</v>
      </c>
      <c r="G960" t="s">
        <v>108</v>
      </c>
      <c r="H960" t="s">
        <v>698</v>
      </c>
      <c r="I960">
        <v>19991762</v>
      </c>
      <c r="J960" t="s">
        <v>110</v>
      </c>
      <c r="K960">
        <v>16</v>
      </c>
      <c r="L960" t="s">
        <v>27</v>
      </c>
      <c r="M960" t="s">
        <v>694</v>
      </c>
      <c r="N960" t="s">
        <v>695</v>
      </c>
      <c r="O960" t="s">
        <v>5923</v>
      </c>
      <c r="P960" t="s">
        <v>697</v>
      </c>
      <c r="Q960" s="1">
        <v>41604</v>
      </c>
      <c r="R960" t="s">
        <v>50</v>
      </c>
      <c r="S960" t="s">
        <v>27</v>
      </c>
      <c r="T960" t="s">
        <v>698</v>
      </c>
      <c r="U960" t="s">
        <v>115</v>
      </c>
      <c r="V960" t="s">
        <v>692</v>
      </c>
      <c r="W960">
        <v>200</v>
      </c>
      <c r="X960">
        <v>19991762</v>
      </c>
      <c r="Y960" t="s">
        <v>699</v>
      </c>
      <c r="Z960" t="s">
        <v>260</v>
      </c>
      <c r="AA960" t="s">
        <v>32</v>
      </c>
      <c r="AB960" t="s">
        <v>120</v>
      </c>
      <c r="AC960" t="s">
        <v>25</v>
      </c>
      <c r="AD960" t="s">
        <v>121</v>
      </c>
      <c r="AE960">
        <v>30</v>
      </c>
      <c r="AF960" t="s">
        <v>27</v>
      </c>
      <c r="AG960" t="s">
        <v>26</v>
      </c>
      <c r="AH960" t="s">
        <v>692</v>
      </c>
      <c r="AI960" t="str">
        <f t="shared" si="70"/>
        <v>NO</v>
      </c>
      <c r="AJ960" t="str">
        <f t="shared" si="71"/>
        <v>LABORATORIO SANDERSON</v>
      </c>
      <c r="AK960" t="str">
        <f>IF(ISNUMBER(SEARCH("FABRICANTE",AC960)),"FABRICANTE",IF(ISNUMBER(SEARCH("IMPORTADOR",AC960)),"IMPORTADOR","OTRO"))</f>
        <v>FABRICANTE</v>
      </c>
      <c r="AL960" t="str">
        <f>IF(LEFT(Y960,1)="A","Sistema digestivo",IF(LEFT(Y960,1)="B","Sangre",IF(LEFT(Y960,1)="C","Cardiovascular",IF(LEFT(Y960,1)="D","Dermatológico",IF(LEFT(Y960,1)="G","Genitourinario",IF(LEFT(Y960,1)="H","Hormonal",IF(LEFT(Y960,1)="J","Antiinfecciosos",IF(LEFT(Y960,1)="L","Oncológicos",IF(LEFT(Y960,1)="M","Musculoesquelético",IF(LEFT(Y960,1)="N","Sistema nervioso",IF(LEFT(Y960,1)="R","Respiratorio",IF(LEFT(Y960,1)="S","Oftálmico",IF(LEFT(Y960,1)="V","Varios","OTRO")))))))))))))</f>
        <v>Antiinfecciosos</v>
      </c>
      <c r="AM960" t="str">
        <f>IF(AG960="Vigente","ACTIVO",IF(ISNUMBER(SEARCH("Inactivo",J960)),"INACTIVO","REVISAR"))</f>
        <v>ACTIVO</v>
      </c>
      <c r="AN960" t="str">
        <f ca="1">IF(OR(AF960="",AF960="null"),"",ROUND((AF960-TODAY())/365.25,2))</f>
        <v/>
      </c>
      <c r="AO960" t="str">
        <f ca="1">IF(AND(AG960="Vigente",OR(AF960="",AF960="null",AF960&gt;TODAY())),"SI",IF(AND(NOT(OR(AF960="",AF960="null")),AF960&lt;=TODAY()),"NO",IF(AG960="Vigente","SI","DESCONOCIDO")))</f>
        <v>SI</v>
      </c>
      <c r="AP960" t="str">
        <f>IF(AND(ISNUMBER(SEARCH("IMPORTAR",AA960)),ISNUMBER(SEARCH("FABRICAR",AA960))),"MIXTO",IF(ISNUMBER(SEARCH("IMPORTAR",AA960)),"IMPORTADO",IF(ISNUMBER(SEARCH("FABRICAR",AA960)),"LOCAL","OTRO")))</f>
        <v>IMPORTADO</v>
      </c>
      <c r="AQ960" t="str">
        <f>IF(AD960="Si","SI",IF(AD960="No","NO",""))</f>
        <v>NO</v>
      </c>
      <c r="AR960" t="str">
        <f>IF(ISNUMBER(SEARCH("®",N960)),"MARCA/INNOVADOR","GENERICO")</f>
        <v>GENERICO</v>
      </c>
      <c r="AS960">
        <f ca="1">IF(AE960&gt;100,RANDBETWEEN(500,5000),IF(AND(AE960&gt;=10,AE960&lt;=100),RANDBETWEEN(100,1000),RANDBETWEEN(10,200)))</f>
        <v>981</v>
      </c>
      <c r="AT960">
        <f t="shared" ca="1" si="72"/>
        <v>284</v>
      </c>
      <c r="AU960">
        <f ca="1">INT(AS960*RANDBETWEEN(120,200)/100)</f>
        <v>1755</v>
      </c>
      <c r="AV960" s="2">
        <f ca="1">IF(LEFT(Y960,1)="L",RANDBETWEEN(500000,5000000),IF(LEFT(Y960,1)="C",RANDBETWEEN(5000,50000),IF(LEFT(Y960,1)="N",RANDBETWEEN(10000,150000),IF(LEFT(Y960,1)="J",RANDBETWEEN(8000,200000),RANDBETWEEN(5000,100000)))))</f>
        <v>65901</v>
      </c>
      <c r="AW960" s="2">
        <f ca="1">INT(AV960*RANDBETWEEN(30,60)/100)</f>
        <v>38881</v>
      </c>
      <c r="AX960">
        <f ca="1">IF(Z960="ORAL",RANDBETWEEN(1000,10000),IF(OR(Z960="INTRAVENOSA",Z960="INTRAMUSCULAR"),RANDBETWEEN(100,2000),IF(OR(Z960="OFTÁLMICA",Z960="TOPICA (EXTERNA)"),RANDBETWEEN(200,3000),RANDBETWEEN(100,1500))))</f>
        <v>364</v>
      </c>
      <c r="AY960" s="2">
        <f ca="1">INT(AV960*RANDBETWEEN(90,130)/100)</f>
        <v>77104</v>
      </c>
      <c r="AZ960" t="str">
        <f t="shared" ca="1" si="73"/>
        <v>2.5%</v>
      </c>
      <c r="BA960" t="str">
        <f t="shared" ca="1" si="74"/>
        <v>ALTO</v>
      </c>
    </row>
    <row r="961" spans="4:53" x14ac:dyDescent="0.35">
      <c r="D961" t="s">
        <v>5924</v>
      </c>
      <c r="E961" s="1">
        <v>42566</v>
      </c>
      <c r="F961" t="s">
        <v>3885</v>
      </c>
      <c r="G961" t="s">
        <v>108</v>
      </c>
      <c r="H961" t="s">
        <v>5925</v>
      </c>
      <c r="I961">
        <v>20094754</v>
      </c>
      <c r="J961" t="s">
        <v>28</v>
      </c>
      <c r="K961">
        <v>1</v>
      </c>
      <c r="L961" t="s">
        <v>27</v>
      </c>
      <c r="M961" t="s">
        <v>5926</v>
      </c>
      <c r="N961" t="s">
        <v>5927</v>
      </c>
      <c r="O961" t="s">
        <v>5928</v>
      </c>
      <c r="P961" t="s">
        <v>5929</v>
      </c>
      <c r="Q961" s="1">
        <v>42193</v>
      </c>
      <c r="R961" t="s">
        <v>33</v>
      </c>
      <c r="S961" t="s">
        <v>27</v>
      </c>
      <c r="T961" t="s">
        <v>5925</v>
      </c>
      <c r="U961" t="s">
        <v>115</v>
      </c>
      <c r="V961" t="s">
        <v>640</v>
      </c>
      <c r="W961">
        <v>3</v>
      </c>
      <c r="X961">
        <v>20094754</v>
      </c>
      <c r="Y961" t="s">
        <v>642</v>
      </c>
      <c r="Z961" t="s">
        <v>119</v>
      </c>
      <c r="AA961" t="s">
        <v>32</v>
      </c>
      <c r="AB961" t="s">
        <v>120</v>
      </c>
      <c r="AC961" t="s">
        <v>25</v>
      </c>
      <c r="AD961" t="s">
        <v>121</v>
      </c>
      <c r="AE961">
        <v>28</v>
      </c>
      <c r="AF961" t="s">
        <v>27</v>
      </c>
      <c r="AG961" t="s">
        <v>26</v>
      </c>
      <c r="AH961" t="s">
        <v>3885</v>
      </c>
      <c r="AI961" t="str">
        <f t="shared" si="70"/>
        <v>NO</v>
      </c>
      <c r="AJ961" t="str">
        <f t="shared" si="71"/>
        <v>GEDEON RICHTER PLC.</v>
      </c>
      <c r="AK961" t="str">
        <f>IF(ISNUMBER(SEARCH("FABRICANTE",AC961)),"FABRICANTE",IF(ISNUMBER(SEARCH("IMPORTADOR",AC961)),"IMPORTADOR","OTRO"))</f>
        <v>FABRICANTE</v>
      </c>
      <c r="AL961" t="str">
        <f>IF(LEFT(Y961,1)="A","Sistema digestivo",IF(LEFT(Y961,1)="B","Sangre",IF(LEFT(Y961,1)="C","Cardiovascular",IF(LEFT(Y961,1)="D","Dermatológico",IF(LEFT(Y961,1)="G","Genitourinario",IF(LEFT(Y961,1)="H","Hormonal",IF(LEFT(Y961,1)="J","Antiinfecciosos",IF(LEFT(Y961,1)="L","Oncológicos",IF(LEFT(Y961,1)="M","Musculoesquelético",IF(LEFT(Y961,1)="N","Sistema nervioso",IF(LEFT(Y961,1)="R","Respiratorio",IF(LEFT(Y961,1)="S","Oftálmico",IF(LEFT(Y961,1)="V","Varios","OTRO")))))))))))))</f>
        <v>Genitourinario</v>
      </c>
      <c r="AM961" t="str">
        <f>IF(AG961="Vigente","ACTIVO",IF(ISNUMBER(SEARCH("Inactivo",J961)),"INACTIVO","REVISAR"))</f>
        <v>ACTIVO</v>
      </c>
      <c r="AN961" t="str">
        <f ca="1">IF(OR(AF961="",AF961="null"),"",ROUND((AF961-TODAY())/365.25,2))</f>
        <v/>
      </c>
      <c r="AO961" t="str">
        <f ca="1">IF(AND(AG961="Vigente",OR(AF961="",AF961="null",AF961&gt;TODAY())),"SI",IF(AND(NOT(OR(AF961="",AF961="null")),AF961&lt;=TODAY()),"NO",IF(AG961="Vigente","SI","DESCONOCIDO")))</f>
        <v>SI</v>
      </c>
      <c r="AP961" t="str">
        <f>IF(AND(ISNUMBER(SEARCH("IMPORTAR",AA961)),ISNUMBER(SEARCH("FABRICAR",AA961))),"MIXTO",IF(ISNUMBER(SEARCH("IMPORTAR",AA961)),"IMPORTADO",IF(ISNUMBER(SEARCH("FABRICAR",AA961)),"LOCAL","OTRO")))</f>
        <v>IMPORTADO</v>
      </c>
      <c r="AQ961" t="str">
        <f>IF(AD961="Si","SI",IF(AD961="No","NO",""))</f>
        <v>NO</v>
      </c>
      <c r="AR961" t="str">
        <f>IF(ISNUMBER(SEARCH("®",N961)),"MARCA/INNOVADOR","GENERICO")</f>
        <v>MARCA/INNOVADOR</v>
      </c>
      <c r="AS961">
        <f ca="1">IF(AE961&gt;100,RANDBETWEEN(500,5000),IF(AND(AE961&gt;=10,AE961&lt;=100),RANDBETWEEN(100,1000),RANDBETWEEN(10,200)))</f>
        <v>364</v>
      </c>
      <c r="AT961">
        <f t="shared" ca="1" si="72"/>
        <v>43</v>
      </c>
      <c r="AU961">
        <f ca="1">INT(AS961*RANDBETWEEN(120,200)/100)</f>
        <v>436</v>
      </c>
      <c r="AV961" s="2">
        <f ca="1">IF(LEFT(Y961,1)="L",RANDBETWEEN(500000,5000000),IF(LEFT(Y961,1)="C",RANDBETWEEN(5000,50000),IF(LEFT(Y961,1)="N",RANDBETWEEN(10000,150000),IF(LEFT(Y961,1)="J",RANDBETWEEN(8000,200000),RANDBETWEEN(5000,100000)))))</f>
        <v>22543</v>
      </c>
      <c r="AW961" s="2">
        <f ca="1">INT(AV961*RANDBETWEEN(30,60)/100)</f>
        <v>12398</v>
      </c>
      <c r="AX961">
        <f ca="1">IF(Z961="ORAL",RANDBETWEEN(1000,10000),IF(OR(Z961="INTRAVENOSA",Z961="INTRAMUSCULAR"),RANDBETWEEN(100,2000),IF(OR(Z961="OFTÁLMICA",Z961="TOPICA (EXTERNA)"),RANDBETWEEN(200,3000),RANDBETWEEN(100,1500))))</f>
        <v>7314</v>
      </c>
      <c r="AY961" s="2">
        <f ca="1">INT(AV961*RANDBETWEEN(90,130)/100)</f>
        <v>27277</v>
      </c>
      <c r="AZ961" t="str">
        <f t="shared" ca="1" si="73"/>
        <v>13.9%</v>
      </c>
      <c r="BA961" t="str">
        <f t="shared" ca="1" si="74"/>
        <v>BAJO</v>
      </c>
    </row>
    <row r="962" spans="4:53" x14ac:dyDescent="0.35">
      <c r="D962" t="s">
        <v>5930</v>
      </c>
      <c r="E962" s="1">
        <v>37747</v>
      </c>
      <c r="F962" t="s">
        <v>3466</v>
      </c>
      <c r="G962" t="s">
        <v>502</v>
      </c>
      <c r="H962" t="s">
        <v>146</v>
      </c>
      <c r="I962">
        <v>19935833</v>
      </c>
      <c r="J962" t="s">
        <v>110</v>
      </c>
      <c r="K962">
        <v>10</v>
      </c>
      <c r="L962" t="s">
        <v>27</v>
      </c>
      <c r="M962" t="s">
        <v>5931</v>
      </c>
      <c r="N962" t="s">
        <v>5932</v>
      </c>
      <c r="O962" t="s">
        <v>5933</v>
      </c>
      <c r="P962" t="s">
        <v>2097</v>
      </c>
      <c r="Q962" s="1">
        <v>39111</v>
      </c>
      <c r="R962" t="s">
        <v>459</v>
      </c>
      <c r="S962" t="s">
        <v>27</v>
      </c>
      <c r="T962" t="s">
        <v>146</v>
      </c>
      <c r="U962" t="s">
        <v>247</v>
      </c>
      <c r="V962" t="s">
        <v>5454</v>
      </c>
      <c r="W962" t="s">
        <v>3472</v>
      </c>
      <c r="X962">
        <v>19935833</v>
      </c>
      <c r="Y962" t="s">
        <v>5456</v>
      </c>
      <c r="Z962" t="s">
        <v>119</v>
      </c>
      <c r="AA962" t="s">
        <v>24</v>
      </c>
      <c r="AB962" t="s">
        <v>250</v>
      </c>
      <c r="AC962" t="s">
        <v>25</v>
      </c>
      <c r="AD962" t="s">
        <v>121</v>
      </c>
      <c r="AE962">
        <v>60</v>
      </c>
      <c r="AF962" t="s">
        <v>27</v>
      </c>
      <c r="AG962" t="s">
        <v>26</v>
      </c>
      <c r="AH962" t="s">
        <v>3466</v>
      </c>
      <c r="AI962" t="str">
        <f t="shared" si="70"/>
        <v>NO</v>
      </c>
      <c r="AJ962" t="str">
        <f t="shared" si="71"/>
        <v>TECNOFAR TQ</v>
      </c>
      <c r="AK962" t="str">
        <f>IF(ISNUMBER(SEARCH("FABRICANTE",AC962)),"FABRICANTE",IF(ISNUMBER(SEARCH("IMPORTADOR",AC962)),"IMPORTADOR","OTRO"))</f>
        <v>FABRICANTE</v>
      </c>
      <c r="AL962" t="str">
        <f>IF(LEFT(Y962,1)="A","Sistema digestivo",IF(LEFT(Y962,1)="B","Sangre",IF(LEFT(Y962,1)="C","Cardiovascular",IF(LEFT(Y962,1)="D","Dermatológico",IF(LEFT(Y962,1)="G","Genitourinario",IF(LEFT(Y962,1)="H","Hormonal",IF(LEFT(Y962,1)="J","Antiinfecciosos",IF(LEFT(Y962,1)="L","Oncológicos",IF(LEFT(Y962,1)="M","Musculoesquelético",IF(LEFT(Y962,1)="N","Sistema nervioso",IF(LEFT(Y962,1)="R","Respiratorio",IF(LEFT(Y962,1)="S","Oftálmico",IF(LEFT(Y962,1)="V","Varios","OTRO")))))))))))))</f>
        <v>Respiratorio</v>
      </c>
      <c r="AM962" t="str">
        <f>IF(AG962="Vigente","ACTIVO",IF(ISNUMBER(SEARCH("Inactivo",J962)),"INACTIVO","REVISAR"))</f>
        <v>ACTIVO</v>
      </c>
      <c r="AN962" t="str">
        <f ca="1">IF(OR(AF962="",AF962="null"),"",ROUND((AF962-TODAY())/365.25,2))</f>
        <v/>
      </c>
      <c r="AO962" t="str">
        <f ca="1">IF(AND(AG962="Vigente",OR(AF962="",AF962="null",AF962&gt;TODAY())),"SI",IF(AND(NOT(OR(AF962="",AF962="null")),AF962&lt;=TODAY()),"NO",IF(AG962="Vigente","SI","DESCONOCIDO")))</f>
        <v>SI</v>
      </c>
      <c r="AP962" t="str">
        <f>IF(AND(ISNUMBER(SEARCH("IMPORTAR",AA962)),ISNUMBER(SEARCH("FABRICAR",AA962))),"MIXTO",IF(ISNUMBER(SEARCH("IMPORTAR",AA962)),"IMPORTADO",IF(ISNUMBER(SEARCH("FABRICAR",AA962)),"LOCAL","OTRO")))</f>
        <v>LOCAL</v>
      </c>
      <c r="AQ962" t="str">
        <f>IF(AD962="Si","SI",IF(AD962="No","NO",""))</f>
        <v>NO</v>
      </c>
      <c r="AR962" t="str">
        <f>IF(ISNUMBER(SEARCH("®",N962)),"MARCA/INNOVADOR","GENERICO")</f>
        <v>MARCA/INNOVADOR</v>
      </c>
      <c r="AS962">
        <f ca="1">IF(AE962&gt;100,RANDBETWEEN(500,5000),IF(AND(AE962&gt;=10,AE962&lt;=100),RANDBETWEEN(100,1000),RANDBETWEEN(10,200)))</f>
        <v>959</v>
      </c>
      <c r="AT962">
        <f t="shared" ca="1" si="72"/>
        <v>191</v>
      </c>
      <c r="AU962">
        <f ca="1">INT(AS962*RANDBETWEEN(120,200)/100)</f>
        <v>1275</v>
      </c>
      <c r="AV962" s="2">
        <f ca="1">IF(LEFT(Y962,1)="L",RANDBETWEEN(500000,5000000),IF(LEFT(Y962,1)="C",RANDBETWEEN(5000,50000),IF(LEFT(Y962,1)="N",RANDBETWEEN(10000,150000),IF(LEFT(Y962,1)="J",RANDBETWEEN(8000,200000),RANDBETWEEN(5000,100000)))))</f>
        <v>62776</v>
      </c>
      <c r="AW962" s="2">
        <f ca="1">INT(AV962*RANDBETWEEN(30,60)/100)</f>
        <v>32643</v>
      </c>
      <c r="AX962">
        <f ca="1">IF(Z962="ORAL",RANDBETWEEN(1000,10000),IF(OR(Z962="INTRAVENOSA",Z962="INTRAMUSCULAR"),RANDBETWEEN(100,2000),IF(OR(Z962="OFTÁLMICA",Z962="TOPICA (EXTERNA)"),RANDBETWEEN(200,3000),RANDBETWEEN(100,1500))))</f>
        <v>8733</v>
      </c>
      <c r="AY962" s="2">
        <f ca="1">INT(AV962*RANDBETWEEN(90,130)/100)</f>
        <v>74703</v>
      </c>
      <c r="AZ962" t="str">
        <f t="shared" ca="1" si="73"/>
        <v>7.4%</v>
      </c>
      <c r="BA962" t="str">
        <f t="shared" ca="1" si="74"/>
        <v>ALTO</v>
      </c>
    </row>
    <row r="963" spans="4:53" x14ac:dyDescent="0.35">
      <c r="D963" t="s">
        <v>5934</v>
      </c>
      <c r="E963" s="1">
        <v>37852</v>
      </c>
      <c r="F963" t="s">
        <v>5935</v>
      </c>
      <c r="G963" t="s">
        <v>108</v>
      </c>
      <c r="H963" t="s">
        <v>454</v>
      </c>
      <c r="I963">
        <v>19938463</v>
      </c>
      <c r="J963" t="s">
        <v>110</v>
      </c>
      <c r="K963">
        <v>44</v>
      </c>
      <c r="L963" t="s">
        <v>27</v>
      </c>
      <c r="M963" t="s">
        <v>5936</v>
      </c>
      <c r="N963" t="s">
        <v>5937</v>
      </c>
      <c r="O963" t="s">
        <v>5938</v>
      </c>
      <c r="P963" t="s">
        <v>1061</v>
      </c>
      <c r="Q963" s="1">
        <v>41157</v>
      </c>
      <c r="R963" t="s">
        <v>527</v>
      </c>
      <c r="S963" s="1">
        <v>43069</v>
      </c>
      <c r="T963" t="s">
        <v>454</v>
      </c>
      <c r="U963" t="s">
        <v>5939</v>
      </c>
      <c r="V963" t="s">
        <v>3517</v>
      </c>
      <c r="W963">
        <v>400</v>
      </c>
      <c r="X963">
        <v>19938463</v>
      </c>
      <c r="Y963" t="s">
        <v>3518</v>
      </c>
      <c r="Z963" t="s">
        <v>119</v>
      </c>
      <c r="AA963" t="s">
        <v>24</v>
      </c>
      <c r="AB963" t="s">
        <v>120</v>
      </c>
      <c r="AC963" t="s">
        <v>25</v>
      </c>
      <c r="AD963" t="s">
        <v>121</v>
      </c>
      <c r="AE963">
        <v>70</v>
      </c>
      <c r="AF963" t="s">
        <v>27</v>
      </c>
      <c r="AG963" t="s">
        <v>26</v>
      </c>
      <c r="AH963" t="s">
        <v>6845</v>
      </c>
      <c r="AI963" t="str">
        <f t="shared" ref="AI963:AI1026" si="75">IF(OR(ISNUMBER(SEARCH("+",F963)),ISNUMBER(SEARCH(".",F963))),"SI","NO")</f>
        <v>NO</v>
      </c>
      <c r="AJ963" t="str">
        <f t="shared" ref="AJ963:AJ1026" si="7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963)," S.A.S.",""),"S.A.S.","")," S.A.S",""),"S.A.S","")," S.A.C.I.","")," S.A.C.I","")," SAS","")," S.A.","")," S.A","")," LTDA.","")," LTDA","")," LIMITED","")," LTD.","")," LTD","")," INC.","")," INC","")," GMBH &amp; CO. KG.","")," GMBH","")," LLC","")," A.G.","")," A.G","")," A/S","")," S.R.L.","")," S.R.L","")," S.P.A.","")," DE C.V.","")," AG",""),"  "," "))</f>
        <v>PROCAPS</v>
      </c>
      <c r="AK963" t="str">
        <f>IF(ISNUMBER(SEARCH("FABRICANTE",AC963)),"FABRICANTE",IF(ISNUMBER(SEARCH("IMPORTADOR",AC963)),"IMPORTADOR","OTRO"))</f>
        <v>FABRICANTE</v>
      </c>
      <c r="AL963" t="str">
        <f>IF(LEFT(Y963,1)="A","Sistema digestivo",IF(LEFT(Y963,1)="B","Sangre",IF(LEFT(Y963,1)="C","Cardiovascular",IF(LEFT(Y963,1)="D","Dermatológico",IF(LEFT(Y963,1)="G","Genitourinario",IF(LEFT(Y963,1)="H","Hormonal",IF(LEFT(Y963,1)="J","Antiinfecciosos",IF(LEFT(Y963,1)="L","Oncológicos",IF(LEFT(Y963,1)="M","Musculoesquelético",IF(LEFT(Y963,1)="N","Sistema nervioso",IF(LEFT(Y963,1)="R","Respiratorio",IF(LEFT(Y963,1)="S","Oftálmico",IF(LEFT(Y963,1)="V","Varios","OTRO")))))))))))))</f>
        <v>Sistema digestivo</v>
      </c>
      <c r="AM963" t="str">
        <f>IF(AG963="Vigente","ACTIVO",IF(ISNUMBER(SEARCH("Inactivo",J963)),"INACTIVO","REVISAR"))</f>
        <v>ACTIVO</v>
      </c>
      <c r="AN963" t="str">
        <f ca="1">IF(OR(AF963="",AF963="null"),"",ROUND((AF963-TODAY())/365.25,2))</f>
        <v/>
      </c>
      <c r="AO963" t="str">
        <f ca="1">IF(AND(AG963="Vigente",OR(AF963="",AF963="null",AF963&gt;TODAY())),"SI",IF(AND(NOT(OR(AF963="",AF963="null")),AF963&lt;=TODAY()),"NO",IF(AG963="Vigente","SI","DESCONOCIDO")))</f>
        <v>SI</v>
      </c>
      <c r="AP963" t="str">
        <f>IF(AND(ISNUMBER(SEARCH("IMPORTAR",AA963)),ISNUMBER(SEARCH("FABRICAR",AA963))),"MIXTO",IF(ISNUMBER(SEARCH("IMPORTAR",AA963)),"IMPORTADO",IF(ISNUMBER(SEARCH("FABRICAR",AA963)),"LOCAL","OTRO")))</f>
        <v>LOCAL</v>
      </c>
      <c r="AQ963" t="str">
        <f>IF(AD963="Si","SI",IF(AD963="No","NO",""))</f>
        <v>NO</v>
      </c>
      <c r="AR963" t="str">
        <f>IF(ISNUMBER(SEARCH("®",N963)),"MARCA/INNOVADOR","GENERICO")</f>
        <v>GENERICO</v>
      </c>
      <c r="AS963">
        <f ca="1">IF(AE963&gt;100,RANDBETWEEN(500,5000),IF(AND(AE963&gt;=10,AE963&lt;=100),RANDBETWEEN(100,1000),RANDBETWEEN(10,200)))</f>
        <v>968</v>
      </c>
      <c r="AT963">
        <f t="shared" ref="AT963:AT1026" ca="1" si="77">INT(AS963*RANDBETWEEN(10,30)/100)</f>
        <v>290</v>
      </c>
      <c r="AU963">
        <f ca="1">INT(AS963*RANDBETWEEN(120,200)/100)</f>
        <v>1616</v>
      </c>
      <c r="AV963" s="2">
        <f ca="1">IF(LEFT(Y963,1)="L",RANDBETWEEN(500000,5000000),IF(LEFT(Y963,1)="C",RANDBETWEEN(5000,50000),IF(LEFT(Y963,1)="N",RANDBETWEEN(10000,150000),IF(LEFT(Y963,1)="J",RANDBETWEEN(8000,200000),RANDBETWEEN(5000,100000)))))</f>
        <v>26215</v>
      </c>
      <c r="AW963" s="2">
        <f ca="1">INT(AV963*RANDBETWEEN(30,60)/100)</f>
        <v>8388</v>
      </c>
      <c r="AX963">
        <f ca="1">IF(Z963="ORAL",RANDBETWEEN(1000,10000),IF(OR(Z963="INTRAVENOSA",Z963="INTRAMUSCULAR"),RANDBETWEEN(100,2000),IF(OR(Z963="OFTÁLMICA",Z963="TOPICA (EXTERNA)"),RANDBETWEEN(200,3000),RANDBETWEEN(100,1500))))</f>
        <v>9522</v>
      </c>
      <c r="AY963" s="2">
        <f ca="1">INT(AV963*RANDBETWEEN(90,130)/100)</f>
        <v>26477</v>
      </c>
      <c r="AZ963" t="str">
        <f t="shared" ref="AZ963:AZ1026" ca="1" si="78">IF(Z963="ORAL",RANDBETWEEN(50,250)/10,IF(OR(Z963="TOPICA (EXTERNA)",Z963="OFTÁLMICA"),RANDBETWEEN(20,150)/10,IF(OR(Z963="SUBCUTANEA",Z963="INTRAMUSCULAR"),RANDBETWEEN(10,100)/10,IF(Z963="INTRAVENOSA",RANDBETWEEN(1,50)/10,RANDBETWEEN(5,80)/10))))&amp;"%"</f>
        <v>16.2%</v>
      </c>
      <c r="BA963" t="str">
        <f t="shared" ref="BA963:BA1026" ca="1" si="79">IF(OR(AG963&lt;&gt;"Vigente",AND(ISNUMBER(AF963),AF963&lt;TODAY()),AND(J963="Inactivo",NOT(ISNUMBER(AF963)))),"ALTO",IF(OR(AND(J963="Inactivo",ISNUMBER(AF963)),AND(ISNUMBER(AF963),AF963&gt;TODAY(),AF963&lt;=TODAY()+1825)),"MEDIO","BAJO"))</f>
        <v>ALTO</v>
      </c>
    </row>
    <row r="964" spans="4:53" x14ac:dyDescent="0.35">
      <c r="D964" t="s">
        <v>5940</v>
      </c>
      <c r="E964" s="1">
        <v>40290</v>
      </c>
      <c r="F964" t="s">
        <v>5941</v>
      </c>
      <c r="G964" t="s">
        <v>108</v>
      </c>
      <c r="H964" t="s">
        <v>2584</v>
      </c>
      <c r="I964">
        <v>20009866</v>
      </c>
      <c r="J964" t="s">
        <v>28</v>
      </c>
      <c r="K964">
        <v>1</v>
      </c>
      <c r="L964" t="s">
        <v>27</v>
      </c>
      <c r="M964" t="s">
        <v>5942</v>
      </c>
      <c r="N964" t="s">
        <v>5943</v>
      </c>
      <c r="O964" t="s">
        <v>5944</v>
      </c>
      <c r="P964" t="s">
        <v>5945</v>
      </c>
      <c r="Q964" s="1">
        <v>40082</v>
      </c>
      <c r="R964" t="s">
        <v>5946</v>
      </c>
      <c r="S964" t="s">
        <v>27</v>
      </c>
      <c r="T964" t="s">
        <v>5947</v>
      </c>
      <c r="U964" t="s">
        <v>115</v>
      </c>
      <c r="V964" t="s">
        <v>4149</v>
      </c>
      <c r="W964">
        <v>65</v>
      </c>
      <c r="X964">
        <v>20009866</v>
      </c>
      <c r="Y964" t="s">
        <v>4150</v>
      </c>
      <c r="Z964" t="s">
        <v>119</v>
      </c>
      <c r="AA964" t="s">
        <v>32</v>
      </c>
      <c r="AB964" t="s">
        <v>120</v>
      </c>
      <c r="AC964" t="s">
        <v>38</v>
      </c>
      <c r="AD964" t="s">
        <v>121</v>
      </c>
      <c r="AE964">
        <v>8</v>
      </c>
      <c r="AF964" t="s">
        <v>27</v>
      </c>
      <c r="AG964" t="s">
        <v>26</v>
      </c>
      <c r="AH964" t="s">
        <v>5941</v>
      </c>
      <c r="AI964" t="str">
        <f t="shared" si="75"/>
        <v>NO</v>
      </c>
      <c r="AJ964" t="str">
        <f t="shared" si="76"/>
        <v>BAYER HEALTH CARE</v>
      </c>
      <c r="AK964" t="str">
        <f>IF(ISNUMBER(SEARCH("FABRICANTE",AC964)),"FABRICANTE",IF(ISNUMBER(SEARCH("IMPORTADOR",AC964)),"IMPORTADOR","OTRO"))</f>
        <v>IMPORTADOR</v>
      </c>
      <c r="AL964" t="str">
        <f>IF(LEFT(Y964,1)="A","Sistema digestivo",IF(LEFT(Y964,1)="B","Sangre",IF(LEFT(Y964,1)="C","Cardiovascular",IF(LEFT(Y964,1)="D","Dermatológico",IF(LEFT(Y964,1)="G","Genitourinario",IF(LEFT(Y964,1)="H","Hormonal",IF(LEFT(Y964,1)="J","Antiinfecciosos",IF(LEFT(Y964,1)="L","Oncológicos",IF(LEFT(Y964,1)="M","Musculoesquelético",IF(LEFT(Y964,1)="N","Sistema nervioso",IF(LEFT(Y964,1)="R","Respiratorio",IF(LEFT(Y964,1)="S","Oftálmico",IF(LEFT(Y964,1)="V","Varios","OTRO")))))))))))))</f>
        <v>Sistema digestivo</v>
      </c>
      <c r="AM964" t="str">
        <f>IF(AG964="Vigente","ACTIVO",IF(ISNUMBER(SEARCH("Inactivo",J964)),"INACTIVO","REVISAR"))</f>
        <v>ACTIVO</v>
      </c>
      <c r="AN964" t="str">
        <f ca="1">IF(OR(AF964="",AF964="null"),"",ROUND((AF964-TODAY())/365.25,2))</f>
        <v/>
      </c>
      <c r="AO964" t="str">
        <f ca="1">IF(AND(AG964="Vigente",OR(AF964="",AF964="null",AF964&gt;TODAY())),"SI",IF(AND(NOT(OR(AF964="",AF964="null")),AF964&lt;=TODAY()),"NO",IF(AG964="Vigente","SI","DESCONOCIDO")))</f>
        <v>SI</v>
      </c>
      <c r="AP964" t="str">
        <f>IF(AND(ISNUMBER(SEARCH("IMPORTAR",AA964)),ISNUMBER(SEARCH("FABRICAR",AA964))),"MIXTO",IF(ISNUMBER(SEARCH("IMPORTAR",AA964)),"IMPORTADO",IF(ISNUMBER(SEARCH("FABRICAR",AA964)),"LOCAL","OTRO")))</f>
        <v>IMPORTADO</v>
      </c>
      <c r="AQ964" t="str">
        <f>IF(AD964="Si","SI",IF(AD964="No","NO",""))</f>
        <v>NO</v>
      </c>
      <c r="AR964" t="str">
        <f>IF(ISNUMBER(SEARCH("®",N964)),"MARCA/INNOVADOR","GENERICO")</f>
        <v>MARCA/INNOVADOR</v>
      </c>
      <c r="AS964">
        <f ca="1">IF(AE964&gt;100,RANDBETWEEN(500,5000),IF(AND(AE964&gt;=10,AE964&lt;=100),RANDBETWEEN(100,1000),RANDBETWEEN(10,200)))</f>
        <v>172</v>
      </c>
      <c r="AT964">
        <f t="shared" ca="1" si="77"/>
        <v>46</v>
      </c>
      <c r="AU964">
        <f ca="1">INT(AS964*RANDBETWEEN(120,200)/100)</f>
        <v>313</v>
      </c>
      <c r="AV964" s="2">
        <f ca="1">IF(LEFT(Y964,1)="L",RANDBETWEEN(500000,5000000),IF(LEFT(Y964,1)="C",RANDBETWEEN(5000,50000),IF(LEFT(Y964,1)="N",RANDBETWEEN(10000,150000),IF(LEFT(Y964,1)="J",RANDBETWEEN(8000,200000),RANDBETWEEN(5000,100000)))))</f>
        <v>90805</v>
      </c>
      <c r="AW964" s="2">
        <f ca="1">INT(AV964*RANDBETWEEN(30,60)/100)</f>
        <v>43586</v>
      </c>
      <c r="AX964">
        <f ca="1">IF(Z964="ORAL",RANDBETWEEN(1000,10000),IF(OR(Z964="INTRAVENOSA",Z964="INTRAMUSCULAR"),RANDBETWEEN(100,2000),IF(OR(Z964="OFTÁLMICA",Z964="TOPICA (EXTERNA)"),RANDBETWEEN(200,3000),RANDBETWEEN(100,1500))))</f>
        <v>3868</v>
      </c>
      <c r="AY964" s="2">
        <f ca="1">INT(AV964*RANDBETWEEN(90,130)/100)</f>
        <v>118046</v>
      </c>
      <c r="AZ964" t="str">
        <f t="shared" ca="1" si="78"/>
        <v>14.6%</v>
      </c>
      <c r="BA964" t="str">
        <f t="shared" ca="1" si="79"/>
        <v>BAJO</v>
      </c>
    </row>
    <row r="965" spans="4:53" x14ac:dyDescent="0.35">
      <c r="D965" t="s">
        <v>5948</v>
      </c>
      <c r="E965" s="1">
        <v>37471</v>
      </c>
      <c r="F965" t="s">
        <v>4897</v>
      </c>
      <c r="G965" t="s">
        <v>108</v>
      </c>
      <c r="H965" t="s">
        <v>4330</v>
      </c>
      <c r="I965">
        <v>19930427</v>
      </c>
      <c r="J965" t="s">
        <v>28</v>
      </c>
      <c r="K965">
        <v>1</v>
      </c>
      <c r="L965" t="s">
        <v>27</v>
      </c>
      <c r="M965" t="s">
        <v>5949</v>
      </c>
      <c r="N965" t="s">
        <v>5950</v>
      </c>
      <c r="O965" t="s">
        <v>5951</v>
      </c>
      <c r="P965" t="s">
        <v>29</v>
      </c>
      <c r="Q965" s="1">
        <v>39031</v>
      </c>
      <c r="R965" t="s">
        <v>29</v>
      </c>
      <c r="S965" t="s">
        <v>27</v>
      </c>
      <c r="T965" t="s">
        <v>736</v>
      </c>
      <c r="U965" t="s">
        <v>807</v>
      </c>
      <c r="V965" t="s">
        <v>30</v>
      </c>
      <c r="W965">
        <v>25</v>
      </c>
      <c r="X965">
        <v>19930427</v>
      </c>
      <c r="Y965" t="s">
        <v>23</v>
      </c>
      <c r="Z965" t="s">
        <v>119</v>
      </c>
      <c r="AA965" t="s">
        <v>32</v>
      </c>
      <c r="AB965" t="s">
        <v>120</v>
      </c>
      <c r="AC965" t="s">
        <v>25</v>
      </c>
      <c r="AD965" t="s">
        <v>121</v>
      </c>
      <c r="AE965">
        <v>10</v>
      </c>
      <c r="AF965" t="s">
        <v>27</v>
      </c>
      <c r="AG965" t="s">
        <v>26</v>
      </c>
      <c r="AH965" t="s">
        <v>22</v>
      </c>
      <c r="AI965" t="str">
        <f t="shared" si="75"/>
        <v>NO</v>
      </c>
      <c r="AJ965" t="str">
        <f t="shared" si="76"/>
        <v>LABORATORIO FRANCO COLOMBIANO LAFRANCOL</v>
      </c>
      <c r="AK965" t="str">
        <f>IF(ISNUMBER(SEARCH("FABRICANTE",AC965)),"FABRICANTE",IF(ISNUMBER(SEARCH("IMPORTADOR",AC965)),"IMPORTADOR","OTRO"))</f>
        <v>FABRICANTE</v>
      </c>
      <c r="AL965" t="str">
        <f>IF(LEFT(Y965,1)="A","Sistema digestivo",IF(LEFT(Y965,1)="B","Sangre",IF(LEFT(Y965,1)="C","Cardiovascular",IF(LEFT(Y965,1)="D","Dermatológico",IF(LEFT(Y965,1)="G","Genitourinario",IF(LEFT(Y965,1)="H","Hormonal",IF(LEFT(Y965,1)="J","Antiinfecciosos",IF(LEFT(Y965,1)="L","Oncológicos",IF(LEFT(Y965,1)="M","Musculoesquelético",IF(LEFT(Y965,1)="N","Sistema nervioso",IF(LEFT(Y965,1)="R","Respiratorio",IF(LEFT(Y965,1)="S","Oftálmico",IF(LEFT(Y965,1)="V","Varios","OTRO")))))))))))))</f>
        <v>Hormonal</v>
      </c>
      <c r="AM965" t="str">
        <f>IF(AG965="Vigente","ACTIVO",IF(ISNUMBER(SEARCH("Inactivo",J965)),"INACTIVO","REVISAR"))</f>
        <v>ACTIVO</v>
      </c>
      <c r="AN965" t="str">
        <f ca="1">IF(OR(AF965="",AF965="null"),"",ROUND((AF965-TODAY())/365.25,2))</f>
        <v/>
      </c>
      <c r="AO965" t="str">
        <f ca="1">IF(AND(AG965="Vigente",OR(AF965="",AF965="null",AF965&gt;TODAY())),"SI",IF(AND(NOT(OR(AF965="",AF965="null")),AF965&lt;=TODAY()),"NO",IF(AG965="Vigente","SI","DESCONOCIDO")))</f>
        <v>SI</v>
      </c>
      <c r="AP965" t="str">
        <f>IF(AND(ISNUMBER(SEARCH("IMPORTAR",AA965)),ISNUMBER(SEARCH("FABRICAR",AA965))),"MIXTO",IF(ISNUMBER(SEARCH("IMPORTAR",AA965)),"IMPORTADO",IF(ISNUMBER(SEARCH("FABRICAR",AA965)),"LOCAL","OTRO")))</f>
        <v>IMPORTADO</v>
      </c>
      <c r="AQ965" t="str">
        <f>IF(AD965="Si","SI",IF(AD965="No","NO",""))</f>
        <v>NO</v>
      </c>
      <c r="AR965" t="str">
        <f>IF(ISNUMBER(SEARCH("®",N965)),"MARCA/INNOVADOR","GENERICO")</f>
        <v>MARCA/INNOVADOR</v>
      </c>
      <c r="AS965">
        <f ca="1">IF(AE965&gt;100,RANDBETWEEN(500,5000),IF(AND(AE965&gt;=10,AE965&lt;=100),RANDBETWEEN(100,1000),RANDBETWEEN(10,200)))</f>
        <v>502</v>
      </c>
      <c r="AT965">
        <f t="shared" ca="1" si="77"/>
        <v>75</v>
      </c>
      <c r="AU965">
        <f ca="1">INT(AS965*RANDBETWEEN(120,200)/100)</f>
        <v>928</v>
      </c>
      <c r="AV965" s="2">
        <f ca="1">IF(LEFT(Y965,1)="L",RANDBETWEEN(500000,5000000),IF(LEFT(Y965,1)="C",RANDBETWEEN(5000,50000),IF(LEFT(Y965,1)="N",RANDBETWEEN(10000,150000),IF(LEFT(Y965,1)="J",RANDBETWEEN(8000,200000),RANDBETWEEN(5000,100000)))))</f>
        <v>38360</v>
      </c>
      <c r="AW965" s="2">
        <f ca="1">INT(AV965*RANDBETWEEN(30,60)/100)</f>
        <v>15727</v>
      </c>
      <c r="AX965">
        <f ca="1">IF(Z965="ORAL",RANDBETWEEN(1000,10000),IF(OR(Z965="INTRAVENOSA",Z965="INTRAMUSCULAR"),RANDBETWEEN(100,2000),IF(OR(Z965="OFTÁLMICA",Z965="TOPICA (EXTERNA)"),RANDBETWEEN(200,3000),RANDBETWEEN(100,1500))))</f>
        <v>8501</v>
      </c>
      <c r="AY965" s="2">
        <f ca="1">INT(AV965*RANDBETWEEN(90,130)/100)</f>
        <v>42196</v>
      </c>
      <c r="AZ965" t="str">
        <f t="shared" ca="1" si="78"/>
        <v>13.3%</v>
      </c>
      <c r="BA965" t="str">
        <f t="shared" ca="1" si="79"/>
        <v>BAJO</v>
      </c>
    </row>
    <row r="966" spans="4:53" x14ac:dyDescent="0.35">
      <c r="D966" t="s">
        <v>5952</v>
      </c>
      <c r="E966" s="1">
        <v>42976</v>
      </c>
      <c r="F966" t="s">
        <v>5953</v>
      </c>
      <c r="G966" t="s">
        <v>108</v>
      </c>
      <c r="H966" t="s">
        <v>481</v>
      </c>
      <c r="I966">
        <v>20112074</v>
      </c>
      <c r="J966" t="s">
        <v>28</v>
      </c>
      <c r="K966">
        <v>1</v>
      </c>
      <c r="L966" t="s">
        <v>5954</v>
      </c>
      <c r="M966" t="s">
        <v>5955</v>
      </c>
      <c r="N966" t="s">
        <v>5956</v>
      </c>
      <c r="O966" t="s">
        <v>5957</v>
      </c>
      <c r="P966" t="s">
        <v>5958</v>
      </c>
      <c r="Q966" s="1">
        <v>42836</v>
      </c>
      <c r="R966" t="s">
        <v>1312</v>
      </c>
      <c r="S966" t="s">
        <v>27</v>
      </c>
      <c r="T966" t="s">
        <v>487</v>
      </c>
      <c r="U966" t="s">
        <v>807</v>
      </c>
      <c r="V966" t="s">
        <v>5953</v>
      </c>
      <c r="W966" t="s">
        <v>5959</v>
      </c>
      <c r="X966">
        <v>20112074</v>
      </c>
      <c r="Y966" t="s">
        <v>5960</v>
      </c>
      <c r="Z966" t="s">
        <v>260</v>
      </c>
      <c r="AA966" t="s">
        <v>32</v>
      </c>
      <c r="AB966" t="s">
        <v>239</v>
      </c>
      <c r="AC966" t="s">
        <v>38</v>
      </c>
      <c r="AD966" t="s">
        <v>121</v>
      </c>
      <c r="AE966">
        <v>1</v>
      </c>
      <c r="AF966" s="1">
        <v>401769</v>
      </c>
      <c r="AG966" t="s">
        <v>26</v>
      </c>
      <c r="AH966" t="s">
        <v>5953</v>
      </c>
      <c r="AI966" t="str">
        <f t="shared" si="75"/>
        <v>NO</v>
      </c>
      <c r="AJ966" t="str">
        <f t="shared" si="76"/>
        <v>AMGEN MANUFACTURING</v>
      </c>
      <c r="AK966" t="str">
        <f>IF(ISNUMBER(SEARCH("FABRICANTE",AC966)),"FABRICANTE",IF(ISNUMBER(SEARCH("IMPORTADOR",AC966)),"IMPORTADOR","OTRO"))</f>
        <v>IMPORTADOR</v>
      </c>
      <c r="AL966" t="str">
        <f>IF(LEFT(Y966,1)="A","Sistema digestivo",IF(LEFT(Y966,1)="B","Sangre",IF(LEFT(Y966,1)="C","Cardiovascular",IF(LEFT(Y966,1)="D","Dermatológico",IF(LEFT(Y966,1)="G","Genitourinario",IF(LEFT(Y966,1)="H","Hormonal",IF(LEFT(Y966,1)="J","Antiinfecciosos",IF(LEFT(Y966,1)="L","Oncológicos",IF(LEFT(Y966,1)="M","Musculoesquelético",IF(LEFT(Y966,1)="N","Sistema nervioso",IF(LEFT(Y966,1)="R","Respiratorio",IF(LEFT(Y966,1)="S","Oftálmico",IF(LEFT(Y966,1)="V","Varios","OTRO")))))))))))))</f>
        <v>Oncológicos</v>
      </c>
      <c r="AM966" t="str">
        <f>IF(AG966="Vigente","ACTIVO",IF(ISNUMBER(SEARCH("Inactivo",J966)),"INACTIVO","REVISAR"))</f>
        <v>ACTIVO</v>
      </c>
      <c r="AN966">
        <f ca="1">IF(OR(AF966="",AF966="null"),"",ROUND((AF966-TODAY())/365.25,2))</f>
        <v>973.58</v>
      </c>
      <c r="AO966" t="str">
        <f ca="1">IF(AND(AG966="Vigente",OR(AF966="",AF966="null",AF966&gt;TODAY())),"SI",IF(AND(NOT(OR(AF966="",AF966="null")),AF966&lt;=TODAY()),"NO",IF(AG966="Vigente","SI","DESCONOCIDO")))</f>
        <v>SI</v>
      </c>
      <c r="AP966" t="str">
        <f>IF(AND(ISNUMBER(SEARCH("IMPORTAR",AA966)),ISNUMBER(SEARCH("FABRICAR",AA966))),"MIXTO",IF(ISNUMBER(SEARCH("IMPORTAR",AA966)),"IMPORTADO",IF(ISNUMBER(SEARCH("FABRICAR",AA966)),"LOCAL","OTRO")))</f>
        <v>IMPORTADO</v>
      </c>
      <c r="AQ966" t="str">
        <f>IF(AD966="Si","SI",IF(AD966="No","NO",""))</f>
        <v>NO</v>
      </c>
      <c r="AR966" t="str">
        <f>IF(ISNUMBER(SEARCH("®",N966)),"MARCA/INNOVADOR","GENERICO")</f>
        <v>MARCA/INNOVADOR</v>
      </c>
      <c r="AS966">
        <f ca="1">IF(AE966&gt;100,RANDBETWEEN(500,5000),IF(AND(AE966&gt;=10,AE966&lt;=100),RANDBETWEEN(100,1000),RANDBETWEEN(10,200)))</f>
        <v>123</v>
      </c>
      <c r="AT966">
        <f t="shared" ca="1" si="77"/>
        <v>13</v>
      </c>
      <c r="AU966">
        <f ca="1">INT(AS966*RANDBETWEEN(120,200)/100)</f>
        <v>242</v>
      </c>
      <c r="AV966" s="2">
        <f ca="1">IF(LEFT(Y966,1)="L",RANDBETWEEN(500000,5000000),IF(LEFT(Y966,1)="C",RANDBETWEEN(5000,50000),IF(LEFT(Y966,1)="N",RANDBETWEEN(10000,150000),IF(LEFT(Y966,1)="J",RANDBETWEEN(8000,200000),RANDBETWEEN(5000,100000)))))</f>
        <v>4262617</v>
      </c>
      <c r="AW966" s="2">
        <f ca="1">INT(AV966*RANDBETWEEN(30,60)/100)</f>
        <v>1278785</v>
      </c>
      <c r="AX966">
        <f ca="1">IF(Z966="ORAL",RANDBETWEEN(1000,10000),IF(OR(Z966="INTRAVENOSA",Z966="INTRAMUSCULAR"),RANDBETWEEN(100,2000),IF(OR(Z966="OFTÁLMICA",Z966="TOPICA (EXTERNA)"),RANDBETWEEN(200,3000),RANDBETWEEN(100,1500))))</f>
        <v>1897</v>
      </c>
      <c r="AY966" s="2">
        <f ca="1">INT(AV966*RANDBETWEEN(90,130)/100)</f>
        <v>4390495</v>
      </c>
      <c r="AZ966" t="str">
        <f t="shared" ca="1" si="78"/>
        <v>2.2%</v>
      </c>
      <c r="BA966" t="str">
        <f t="shared" ca="1" si="79"/>
        <v>BAJO</v>
      </c>
    </row>
    <row r="967" spans="4:53" x14ac:dyDescent="0.35">
      <c r="D967" t="s">
        <v>5961</v>
      </c>
      <c r="E967" s="1">
        <v>37504</v>
      </c>
      <c r="F967" t="s">
        <v>5962</v>
      </c>
      <c r="G967" t="s">
        <v>108</v>
      </c>
      <c r="H967" t="s">
        <v>1325</v>
      </c>
      <c r="I967">
        <v>19931123</v>
      </c>
      <c r="J967" t="s">
        <v>28</v>
      </c>
      <c r="K967">
        <v>7</v>
      </c>
      <c r="L967" t="s">
        <v>27</v>
      </c>
      <c r="M967" t="s">
        <v>4037</v>
      </c>
      <c r="N967" t="s">
        <v>4038</v>
      </c>
      <c r="O967" t="s">
        <v>5963</v>
      </c>
      <c r="P967" t="s">
        <v>27</v>
      </c>
      <c r="Q967" s="1">
        <v>45012</v>
      </c>
      <c r="R967" t="s">
        <v>50</v>
      </c>
      <c r="S967" t="s">
        <v>27</v>
      </c>
      <c r="T967" t="s">
        <v>4040</v>
      </c>
      <c r="U967" t="s">
        <v>247</v>
      </c>
      <c r="V967" t="s">
        <v>554</v>
      </c>
      <c r="W967">
        <v>11</v>
      </c>
      <c r="X967">
        <v>19931123</v>
      </c>
      <c r="Y967" t="s">
        <v>556</v>
      </c>
      <c r="Z967" t="s">
        <v>260</v>
      </c>
      <c r="AA967" t="s">
        <v>32</v>
      </c>
      <c r="AB967" t="s">
        <v>120</v>
      </c>
      <c r="AC967" t="s">
        <v>38</v>
      </c>
      <c r="AD967" t="s">
        <v>155</v>
      </c>
      <c r="AE967">
        <v>10</v>
      </c>
      <c r="AF967" t="s">
        <v>27</v>
      </c>
      <c r="AG967" t="s">
        <v>26</v>
      </c>
      <c r="AH967" t="s">
        <v>6715</v>
      </c>
      <c r="AI967" t="str">
        <f t="shared" si="75"/>
        <v>NO</v>
      </c>
      <c r="AJ967" t="str">
        <f t="shared" si="76"/>
        <v>FRESENIUS KABIDEUTSCHLAND</v>
      </c>
      <c r="AK967" t="str">
        <f>IF(ISNUMBER(SEARCH("FABRICANTE",AC967)),"FABRICANTE",IF(ISNUMBER(SEARCH("IMPORTADOR",AC967)),"IMPORTADOR","OTRO"))</f>
        <v>IMPORTADOR</v>
      </c>
      <c r="AL967" t="str">
        <f>IF(LEFT(Y967,1)="A","Sistema digestivo",IF(LEFT(Y967,1)="B","Sangre",IF(LEFT(Y967,1)="C","Cardiovascular",IF(LEFT(Y967,1)="D","Dermatológico",IF(LEFT(Y967,1)="G","Genitourinario",IF(LEFT(Y967,1)="H","Hormonal",IF(LEFT(Y967,1)="J","Antiinfecciosos",IF(LEFT(Y967,1)="L","Oncológicos",IF(LEFT(Y967,1)="M","Musculoesquelético",IF(LEFT(Y967,1)="N","Sistema nervioso",IF(LEFT(Y967,1)="R","Respiratorio",IF(LEFT(Y967,1)="S","Oftálmico",IF(LEFT(Y967,1)="V","Varios","OTRO")))))))))))))</f>
        <v>Sangre</v>
      </c>
      <c r="AM967" t="str">
        <f>IF(AG967="Vigente","ACTIVO",IF(ISNUMBER(SEARCH("Inactivo",J967)),"INACTIVO","REVISAR"))</f>
        <v>ACTIVO</v>
      </c>
      <c r="AN967" t="str">
        <f ca="1">IF(OR(AF967="",AF967="null"),"",ROUND((AF967-TODAY())/365.25,2))</f>
        <v/>
      </c>
      <c r="AO967" t="str">
        <f ca="1">IF(AND(AG967="Vigente",OR(AF967="",AF967="null",AF967&gt;TODAY())),"SI",IF(AND(NOT(OR(AF967="",AF967="null")),AF967&lt;=TODAY()),"NO",IF(AG967="Vigente","SI","DESCONOCIDO")))</f>
        <v>SI</v>
      </c>
      <c r="AP967" t="str">
        <f>IF(AND(ISNUMBER(SEARCH("IMPORTAR",AA967)),ISNUMBER(SEARCH("FABRICAR",AA967))),"MIXTO",IF(ISNUMBER(SEARCH("IMPORTAR",AA967)),"IMPORTADO",IF(ISNUMBER(SEARCH("FABRICAR",AA967)),"LOCAL","OTRO")))</f>
        <v>IMPORTADO</v>
      </c>
      <c r="AQ967" t="str">
        <f>IF(AD967="Si","SI",IF(AD967="No","NO",""))</f>
        <v>SI</v>
      </c>
      <c r="AR967" t="str">
        <f>IF(ISNUMBER(SEARCH("®",N967)),"MARCA/INNOVADOR","GENERICO")</f>
        <v>GENERICO</v>
      </c>
      <c r="AS967">
        <f ca="1">IF(AE967&gt;100,RANDBETWEEN(500,5000),IF(AND(AE967&gt;=10,AE967&lt;=100),RANDBETWEEN(100,1000),RANDBETWEEN(10,200)))</f>
        <v>161</v>
      </c>
      <c r="AT967">
        <f t="shared" ca="1" si="77"/>
        <v>38</v>
      </c>
      <c r="AU967">
        <f ca="1">INT(AS967*RANDBETWEEN(120,200)/100)</f>
        <v>235</v>
      </c>
      <c r="AV967" s="2">
        <f ca="1">IF(LEFT(Y967,1)="L",RANDBETWEEN(500000,5000000),IF(LEFT(Y967,1)="C",RANDBETWEEN(5000,50000),IF(LEFT(Y967,1)="N",RANDBETWEEN(10000,150000),IF(LEFT(Y967,1)="J",RANDBETWEEN(8000,200000),RANDBETWEEN(5000,100000)))))</f>
        <v>75208</v>
      </c>
      <c r="AW967" s="2">
        <f ca="1">INT(AV967*RANDBETWEEN(30,60)/100)</f>
        <v>42116</v>
      </c>
      <c r="AX967">
        <f ca="1">IF(Z967="ORAL",RANDBETWEEN(1000,10000),IF(OR(Z967="INTRAVENOSA",Z967="INTRAMUSCULAR"),RANDBETWEEN(100,2000),IF(OR(Z967="OFTÁLMICA",Z967="TOPICA (EXTERNA)"),RANDBETWEEN(200,3000),RANDBETWEEN(100,1500))))</f>
        <v>487</v>
      </c>
      <c r="AY967" s="2">
        <f ca="1">INT(AV967*RANDBETWEEN(90,130)/100)</f>
        <v>74455</v>
      </c>
      <c r="AZ967" t="str">
        <f t="shared" ca="1" si="78"/>
        <v>4.1%</v>
      </c>
      <c r="BA967" t="str">
        <f t="shared" ca="1" si="79"/>
        <v>BAJO</v>
      </c>
    </row>
    <row r="968" spans="4:53" x14ac:dyDescent="0.35">
      <c r="D968" t="s">
        <v>5964</v>
      </c>
      <c r="E968" s="1">
        <v>42325</v>
      </c>
      <c r="F968" t="s">
        <v>5965</v>
      </c>
      <c r="G968" t="s">
        <v>108</v>
      </c>
      <c r="H968" t="s">
        <v>1252</v>
      </c>
      <c r="I968">
        <v>20097680</v>
      </c>
      <c r="J968" t="s">
        <v>28</v>
      </c>
      <c r="K968">
        <v>5</v>
      </c>
      <c r="L968" t="s">
        <v>27</v>
      </c>
      <c r="M968" t="s">
        <v>3596</v>
      </c>
      <c r="N968" t="s">
        <v>3597</v>
      </c>
      <c r="O968" t="s">
        <v>5966</v>
      </c>
      <c r="P968" t="s">
        <v>3599</v>
      </c>
      <c r="Q968" s="1">
        <v>42304</v>
      </c>
      <c r="R968" t="s">
        <v>3600</v>
      </c>
      <c r="S968" t="s">
        <v>27</v>
      </c>
      <c r="T968" t="s">
        <v>3601</v>
      </c>
      <c r="U968" t="s">
        <v>115</v>
      </c>
      <c r="V968" t="s">
        <v>2143</v>
      </c>
      <c r="W968">
        <v>100</v>
      </c>
      <c r="X968">
        <v>20097680</v>
      </c>
      <c r="Y968" t="s">
        <v>2144</v>
      </c>
      <c r="Z968" t="s">
        <v>1305</v>
      </c>
      <c r="AA968" t="s">
        <v>848</v>
      </c>
      <c r="AB968" t="s">
        <v>120</v>
      </c>
      <c r="AC968" t="s">
        <v>25</v>
      </c>
      <c r="AD968" t="s">
        <v>121</v>
      </c>
      <c r="AE968">
        <v>3</v>
      </c>
      <c r="AF968" t="s">
        <v>27</v>
      </c>
      <c r="AG968" t="s">
        <v>26</v>
      </c>
      <c r="AH968" t="s">
        <v>2143</v>
      </c>
      <c r="AI968" t="str">
        <f t="shared" si="75"/>
        <v>SI</v>
      </c>
      <c r="AJ968" t="str">
        <f t="shared" si="76"/>
        <v>GLOBAL INTERNACIONAL MEDICINE - GIMED</v>
      </c>
      <c r="AK968" t="str">
        <f>IF(ISNUMBER(SEARCH("FABRICANTE",AC968)),"FABRICANTE",IF(ISNUMBER(SEARCH("IMPORTADOR",AC968)),"IMPORTADOR","OTRO"))</f>
        <v>FABRICANTE</v>
      </c>
      <c r="AL968" t="str">
        <f>IF(LEFT(Y968,1)="A","Sistema digestivo",IF(LEFT(Y968,1)="B","Sangre",IF(LEFT(Y968,1)="C","Cardiovascular",IF(LEFT(Y968,1)="D","Dermatológico",IF(LEFT(Y968,1)="G","Genitourinario",IF(LEFT(Y968,1)="H","Hormonal",IF(LEFT(Y968,1)="J","Antiinfecciosos",IF(LEFT(Y968,1)="L","Oncológicos",IF(LEFT(Y968,1)="M","Musculoesquelético",IF(LEFT(Y968,1)="N","Sistema nervioso",IF(LEFT(Y968,1)="R","Respiratorio",IF(LEFT(Y968,1)="S","Oftálmico",IF(LEFT(Y968,1)="V","Varios","OTRO")))))))))))))</f>
        <v>Genitourinario</v>
      </c>
      <c r="AM968" t="str">
        <f>IF(AG968="Vigente","ACTIVO",IF(ISNUMBER(SEARCH("Inactivo",J968)),"INACTIVO","REVISAR"))</f>
        <v>ACTIVO</v>
      </c>
      <c r="AN968" t="str">
        <f ca="1">IF(OR(AF968="",AF968="null"),"",ROUND((AF968-TODAY())/365.25,2))</f>
        <v/>
      </c>
      <c r="AO968" t="str">
        <f ca="1">IF(AND(AG968="Vigente",OR(AF968="",AF968="null",AF968&gt;TODAY())),"SI",IF(AND(NOT(OR(AF968="",AF968="null")),AF968&lt;=TODAY()),"NO",IF(AG968="Vigente","SI","DESCONOCIDO")))</f>
        <v>SI</v>
      </c>
      <c r="AP968" t="str">
        <f>IF(AND(ISNUMBER(SEARCH("IMPORTAR",AA968)),ISNUMBER(SEARCH("FABRICAR",AA968))),"MIXTO",IF(ISNUMBER(SEARCH("IMPORTAR",AA968)),"IMPORTADO",IF(ISNUMBER(SEARCH("FABRICAR",AA968)),"LOCAL","OTRO")))</f>
        <v>IMPORTADO</v>
      </c>
      <c r="AQ968" t="str">
        <f>IF(AD968="Si","SI",IF(AD968="No","NO",""))</f>
        <v>NO</v>
      </c>
      <c r="AR968" t="str">
        <f>IF(ISNUMBER(SEARCH("®",N968)),"MARCA/INNOVADOR","GENERICO")</f>
        <v>GENERICO</v>
      </c>
      <c r="AS968">
        <f ca="1">IF(AE968&gt;100,RANDBETWEEN(500,5000),IF(AND(AE968&gt;=10,AE968&lt;=100),RANDBETWEEN(100,1000),RANDBETWEEN(10,200)))</f>
        <v>50</v>
      </c>
      <c r="AT968">
        <f t="shared" ca="1" si="77"/>
        <v>15</v>
      </c>
      <c r="AU968">
        <f ca="1">INT(AS968*RANDBETWEEN(120,200)/100)</f>
        <v>67</v>
      </c>
      <c r="AV968" s="2">
        <f ca="1">IF(LEFT(Y968,1)="L",RANDBETWEEN(500000,5000000),IF(LEFT(Y968,1)="C",RANDBETWEEN(5000,50000),IF(LEFT(Y968,1)="N",RANDBETWEEN(10000,150000),IF(LEFT(Y968,1)="J",RANDBETWEEN(8000,200000),RANDBETWEEN(5000,100000)))))</f>
        <v>88006</v>
      </c>
      <c r="AW968" s="2">
        <f ca="1">INT(AV968*RANDBETWEEN(30,60)/100)</f>
        <v>42242</v>
      </c>
      <c r="AX968">
        <f ca="1">IF(Z968="ORAL",RANDBETWEEN(1000,10000),IF(OR(Z968="INTRAVENOSA",Z968="INTRAMUSCULAR"),RANDBETWEEN(100,2000),IF(OR(Z968="OFTÁLMICA",Z968="TOPICA (EXTERNA)"),RANDBETWEEN(200,3000),RANDBETWEEN(100,1500))))</f>
        <v>100</v>
      </c>
      <c r="AY968" s="2">
        <f ca="1">INT(AV968*RANDBETWEEN(90,130)/100)</f>
        <v>98566</v>
      </c>
      <c r="AZ968" t="str">
        <f t="shared" ca="1" si="78"/>
        <v>3.3%</v>
      </c>
      <c r="BA968" t="str">
        <f t="shared" ca="1" si="79"/>
        <v>BAJO</v>
      </c>
    </row>
    <row r="969" spans="4:53" x14ac:dyDescent="0.35">
      <c r="D969" t="s">
        <v>5967</v>
      </c>
      <c r="E969" s="1">
        <v>37827</v>
      </c>
      <c r="F969" t="s">
        <v>5968</v>
      </c>
      <c r="G969" t="s">
        <v>108</v>
      </c>
      <c r="H969" t="s">
        <v>158</v>
      </c>
      <c r="I969">
        <v>19937061</v>
      </c>
      <c r="J969" t="s">
        <v>110</v>
      </c>
      <c r="K969">
        <v>5</v>
      </c>
      <c r="L969" t="s">
        <v>27</v>
      </c>
      <c r="M969" t="s">
        <v>159</v>
      </c>
      <c r="N969" t="s">
        <v>160</v>
      </c>
      <c r="O969" t="s">
        <v>5969</v>
      </c>
      <c r="P969" t="s">
        <v>37</v>
      </c>
      <c r="Q969" s="1">
        <v>39031</v>
      </c>
      <c r="R969" t="s">
        <v>37</v>
      </c>
      <c r="S969" s="1">
        <v>41614</v>
      </c>
      <c r="T969" t="s">
        <v>80</v>
      </c>
      <c r="U969" t="s">
        <v>115</v>
      </c>
      <c r="V969" t="s">
        <v>162</v>
      </c>
      <c r="W969" t="s">
        <v>5970</v>
      </c>
      <c r="X969">
        <v>19937061</v>
      </c>
      <c r="Y969" t="s">
        <v>164</v>
      </c>
      <c r="Z969" t="s">
        <v>119</v>
      </c>
      <c r="AA969" t="s">
        <v>165</v>
      </c>
      <c r="AB969" t="s">
        <v>120</v>
      </c>
      <c r="AC969" t="s">
        <v>25</v>
      </c>
      <c r="AD969" t="s">
        <v>121</v>
      </c>
      <c r="AE969">
        <v>18</v>
      </c>
      <c r="AF969" t="s">
        <v>27</v>
      </c>
      <c r="AG969" t="s">
        <v>26</v>
      </c>
      <c r="AH969" t="s">
        <v>1343</v>
      </c>
      <c r="AI969" t="str">
        <f t="shared" si="75"/>
        <v>NO</v>
      </c>
      <c r="AJ969" t="str">
        <f t="shared" si="76"/>
        <v>TECNOQUIMICAS</v>
      </c>
      <c r="AK969" t="str">
        <f>IF(ISNUMBER(SEARCH("FABRICANTE",AC969)),"FABRICANTE",IF(ISNUMBER(SEARCH("IMPORTADOR",AC969)),"IMPORTADOR","OTRO"))</f>
        <v>FABRICANTE</v>
      </c>
      <c r="AL969" t="str">
        <f>IF(LEFT(Y969,1)="A","Sistema digestivo",IF(LEFT(Y969,1)="B","Sangre",IF(LEFT(Y969,1)="C","Cardiovascular",IF(LEFT(Y969,1)="D","Dermatológico",IF(LEFT(Y969,1)="G","Genitourinario",IF(LEFT(Y969,1)="H","Hormonal",IF(LEFT(Y969,1)="J","Antiinfecciosos",IF(LEFT(Y969,1)="L","Oncológicos",IF(LEFT(Y969,1)="M","Musculoesquelético",IF(LEFT(Y969,1)="N","Sistema nervioso",IF(LEFT(Y969,1)="R","Respiratorio",IF(LEFT(Y969,1)="S","Oftálmico",IF(LEFT(Y969,1)="V","Varios","OTRO")))))))))))))</f>
        <v>Musculoesquelético</v>
      </c>
      <c r="AM969" t="str">
        <f>IF(AG969="Vigente","ACTIVO",IF(ISNUMBER(SEARCH("Inactivo",J969)),"INACTIVO","REVISAR"))</f>
        <v>ACTIVO</v>
      </c>
      <c r="AN969" t="str">
        <f ca="1">IF(OR(AF969="",AF969="null"),"",ROUND((AF969-TODAY())/365.25,2))</f>
        <v/>
      </c>
      <c r="AO969" t="str">
        <f ca="1">IF(AND(AG969="Vigente",OR(AF969="",AF969="null",AF969&gt;TODAY())),"SI",IF(AND(NOT(OR(AF969="",AF969="null")),AF969&lt;=TODAY()),"NO",IF(AG969="Vigente","SI","DESCONOCIDO")))</f>
        <v>SI</v>
      </c>
      <c r="AP969" t="str">
        <f>IF(AND(ISNUMBER(SEARCH("IMPORTAR",AA969)),ISNUMBER(SEARCH("FABRICAR",AA969))),"MIXTO",IF(ISNUMBER(SEARCH("IMPORTAR",AA969)),"IMPORTADO",IF(ISNUMBER(SEARCH("FABRICAR",AA969)),"LOCAL","OTRO")))</f>
        <v>IMPORTADO</v>
      </c>
      <c r="AQ969" t="str">
        <f>IF(AD969="Si","SI",IF(AD969="No","NO",""))</f>
        <v>NO</v>
      </c>
      <c r="AR969" t="str">
        <f>IF(ISNUMBER(SEARCH("®",N969)),"MARCA/INNOVADOR","GENERICO")</f>
        <v>GENERICO</v>
      </c>
      <c r="AS969">
        <f ca="1">IF(AE969&gt;100,RANDBETWEEN(500,5000),IF(AND(AE969&gt;=10,AE969&lt;=100),RANDBETWEEN(100,1000),RANDBETWEEN(10,200)))</f>
        <v>249</v>
      </c>
      <c r="AT969">
        <f t="shared" ca="1" si="77"/>
        <v>42</v>
      </c>
      <c r="AU969">
        <f ca="1">INT(AS969*RANDBETWEEN(120,200)/100)</f>
        <v>408</v>
      </c>
      <c r="AV969" s="2">
        <f ca="1">IF(LEFT(Y969,1)="L",RANDBETWEEN(500000,5000000),IF(LEFT(Y969,1)="C",RANDBETWEEN(5000,50000),IF(LEFT(Y969,1)="N",RANDBETWEEN(10000,150000),IF(LEFT(Y969,1)="J",RANDBETWEEN(8000,200000),RANDBETWEEN(5000,100000)))))</f>
        <v>45127</v>
      </c>
      <c r="AW969" s="2">
        <f ca="1">INT(AV969*RANDBETWEEN(30,60)/100)</f>
        <v>17148</v>
      </c>
      <c r="AX969">
        <f ca="1">IF(Z969="ORAL",RANDBETWEEN(1000,10000),IF(OR(Z969="INTRAVENOSA",Z969="INTRAMUSCULAR"),RANDBETWEEN(100,2000),IF(OR(Z969="OFTÁLMICA",Z969="TOPICA (EXTERNA)"),RANDBETWEEN(200,3000),RANDBETWEEN(100,1500))))</f>
        <v>9017</v>
      </c>
      <c r="AY969" s="2">
        <f ca="1">INT(AV969*RANDBETWEEN(90,130)/100)</f>
        <v>43773</v>
      </c>
      <c r="AZ969" t="str">
        <f t="shared" ca="1" si="78"/>
        <v>17.7%</v>
      </c>
      <c r="BA969" t="str">
        <f t="shared" ca="1" si="79"/>
        <v>ALTO</v>
      </c>
    </row>
    <row r="970" spans="4:53" x14ac:dyDescent="0.35">
      <c r="D970" t="s">
        <v>5971</v>
      </c>
      <c r="E970" s="1">
        <v>45460</v>
      </c>
      <c r="F970" t="s">
        <v>588</v>
      </c>
      <c r="G970" t="s">
        <v>108</v>
      </c>
      <c r="H970" t="s">
        <v>1858</v>
      </c>
      <c r="I970">
        <v>20209974</v>
      </c>
      <c r="J970" t="s">
        <v>28</v>
      </c>
      <c r="K970">
        <v>4</v>
      </c>
      <c r="L970" t="s">
        <v>5972</v>
      </c>
      <c r="M970" t="s">
        <v>5973</v>
      </c>
      <c r="N970" t="s">
        <v>5974</v>
      </c>
      <c r="O970" t="s">
        <v>5975</v>
      </c>
      <c r="P970" t="s">
        <v>2473</v>
      </c>
      <c r="Q970" s="1">
        <v>45783</v>
      </c>
      <c r="R970" t="s">
        <v>50</v>
      </c>
      <c r="S970" t="s">
        <v>27</v>
      </c>
      <c r="T970" t="s">
        <v>5976</v>
      </c>
      <c r="U970" t="s">
        <v>115</v>
      </c>
      <c r="V970" t="s">
        <v>588</v>
      </c>
      <c r="W970">
        <v>5</v>
      </c>
      <c r="X970">
        <v>20209974</v>
      </c>
      <c r="Y970" t="s">
        <v>593</v>
      </c>
      <c r="Z970" t="s">
        <v>213</v>
      </c>
      <c r="AA970" t="s">
        <v>32</v>
      </c>
      <c r="AB970" t="s">
        <v>133</v>
      </c>
      <c r="AC970" t="s">
        <v>25</v>
      </c>
      <c r="AD970" t="s">
        <v>121</v>
      </c>
      <c r="AE970">
        <v>100</v>
      </c>
      <c r="AF970" s="1">
        <v>47302</v>
      </c>
      <c r="AG970" t="s">
        <v>26</v>
      </c>
      <c r="AH970" t="s">
        <v>588</v>
      </c>
      <c r="AI970" t="str">
        <f t="shared" si="75"/>
        <v>NO</v>
      </c>
      <c r="AJ970" t="str">
        <f t="shared" si="76"/>
        <v>LABORATORIOS BIOSANO</v>
      </c>
      <c r="AK970" t="str">
        <f>IF(ISNUMBER(SEARCH("FABRICANTE",AC970)),"FABRICANTE",IF(ISNUMBER(SEARCH("IMPORTADOR",AC970)),"IMPORTADOR","OTRO"))</f>
        <v>FABRICANTE</v>
      </c>
      <c r="AL970" t="str">
        <f>IF(LEFT(Y970,1)="A","Sistema digestivo",IF(LEFT(Y970,1)="B","Sangre",IF(LEFT(Y970,1)="C","Cardiovascular",IF(LEFT(Y970,1)="D","Dermatológico",IF(LEFT(Y970,1)="G","Genitourinario",IF(LEFT(Y970,1)="H","Hormonal",IF(LEFT(Y970,1)="J","Antiinfecciosos",IF(LEFT(Y970,1)="L","Oncológicos",IF(LEFT(Y970,1)="M","Musculoesquelético",IF(LEFT(Y970,1)="N","Sistema nervioso",IF(LEFT(Y970,1)="R","Respiratorio",IF(LEFT(Y970,1)="S","Oftálmico",IF(LEFT(Y970,1)="V","Varios","OTRO")))))))))))))</f>
        <v>Sistema nervioso</v>
      </c>
      <c r="AM970" t="str">
        <f>IF(AG970="Vigente","ACTIVO",IF(ISNUMBER(SEARCH("Inactivo",J970)),"INACTIVO","REVISAR"))</f>
        <v>ACTIVO</v>
      </c>
      <c r="AN970">
        <f ca="1">IF(OR(AF970="",AF970="null"),"",ROUND((AF970-TODAY())/365.25,2))</f>
        <v>3.1</v>
      </c>
      <c r="AO970" t="str">
        <f ca="1">IF(AND(AG970="Vigente",OR(AF970="",AF970="null",AF970&gt;TODAY())),"SI",IF(AND(NOT(OR(AF970="",AF970="null")),AF970&lt;=TODAY()),"NO",IF(AG970="Vigente","SI","DESCONOCIDO")))</f>
        <v>SI</v>
      </c>
      <c r="AP970" t="str">
        <f>IF(AND(ISNUMBER(SEARCH("IMPORTAR",AA970)),ISNUMBER(SEARCH("FABRICAR",AA970))),"MIXTO",IF(ISNUMBER(SEARCH("IMPORTAR",AA970)),"IMPORTADO",IF(ISNUMBER(SEARCH("FABRICAR",AA970)),"LOCAL","OTRO")))</f>
        <v>IMPORTADO</v>
      </c>
      <c r="AQ970" t="str">
        <f>IF(AD970="Si","SI",IF(AD970="No","NO",""))</f>
        <v>NO</v>
      </c>
      <c r="AR970" t="str">
        <f>IF(ISNUMBER(SEARCH("®",N970)),"MARCA/INNOVADOR","GENERICO")</f>
        <v>GENERICO</v>
      </c>
      <c r="AS970">
        <f ca="1">IF(AE970&gt;100,RANDBETWEEN(500,5000),IF(AND(AE970&gt;=10,AE970&lt;=100),RANDBETWEEN(100,1000),RANDBETWEEN(10,200)))</f>
        <v>246</v>
      </c>
      <c r="AT970">
        <f t="shared" ca="1" si="77"/>
        <v>39</v>
      </c>
      <c r="AU970">
        <f ca="1">INT(AS970*RANDBETWEEN(120,200)/100)</f>
        <v>364</v>
      </c>
      <c r="AV970" s="2">
        <f ca="1">IF(LEFT(Y970,1)="L",RANDBETWEEN(500000,5000000),IF(LEFT(Y970,1)="C",RANDBETWEEN(5000,50000),IF(LEFT(Y970,1)="N",RANDBETWEEN(10000,150000),IF(LEFT(Y970,1)="J",RANDBETWEEN(8000,200000),RANDBETWEEN(5000,100000)))))</f>
        <v>99936</v>
      </c>
      <c r="AW970" s="2">
        <f ca="1">INT(AV970*RANDBETWEEN(30,60)/100)</f>
        <v>33978</v>
      </c>
      <c r="AX970">
        <f ca="1">IF(Z970="ORAL",RANDBETWEEN(1000,10000),IF(OR(Z970="INTRAVENOSA",Z970="INTRAMUSCULAR"),RANDBETWEEN(100,2000),IF(OR(Z970="OFTÁLMICA",Z970="TOPICA (EXTERNA)"),RANDBETWEEN(200,3000),RANDBETWEEN(100,1500))))</f>
        <v>584</v>
      </c>
      <c r="AY970" s="2">
        <f ca="1">INT(AV970*RANDBETWEEN(90,130)/100)</f>
        <v>92940</v>
      </c>
      <c r="AZ970" t="str">
        <f t="shared" ca="1" si="78"/>
        <v>6.4%</v>
      </c>
      <c r="BA970" t="str">
        <f t="shared" ca="1" si="79"/>
        <v>MEDIO</v>
      </c>
    </row>
    <row r="971" spans="4:53" x14ac:dyDescent="0.35">
      <c r="D971" t="s">
        <v>5977</v>
      </c>
      <c r="E971" s="1">
        <v>38728</v>
      </c>
      <c r="F971" t="s">
        <v>5978</v>
      </c>
      <c r="G971" t="s">
        <v>502</v>
      </c>
      <c r="H971" t="s">
        <v>68</v>
      </c>
      <c r="I971">
        <v>19954947</v>
      </c>
      <c r="J971" t="s">
        <v>110</v>
      </c>
      <c r="K971">
        <v>1</v>
      </c>
      <c r="L971" t="s">
        <v>27</v>
      </c>
      <c r="M971" t="s">
        <v>5979</v>
      </c>
      <c r="N971" t="s">
        <v>5980</v>
      </c>
      <c r="O971" t="s">
        <v>5981</v>
      </c>
      <c r="P971" t="s">
        <v>1963</v>
      </c>
      <c r="Q971" s="1">
        <v>39031</v>
      </c>
      <c r="R971" t="s">
        <v>5982</v>
      </c>
      <c r="S971" s="1">
        <v>42618</v>
      </c>
      <c r="T971" t="s">
        <v>68</v>
      </c>
      <c r="U971" t="s">
        <v>5983</v>
      </c>
      <c r="V971" t="s">
        <v>5406</v>
      </c>
      <c r="W971">
        <v>100</v>
      </c>
      <c r="X971">
        <v>19954947</v>
      </c>
      <c r="Y971" t="s">
        <v>5407</v>
      </c>
      <c r="Z971" t="s">
        <v>2240</v>
      </c>
      <c r="AA971" t="s">
        <v>24</v>
      </c>
      <c r="AB971" t="s">
        <v>133</v>
      </c>
      <c r="AC971" t="s">
        <v>25</v>
      </c>
      <c r="AD971" t="s">
        <v>121</v>
      </c>
      <c r="AE971">
        <v>100</v>
      </c>
      <c r="AF971" t="s">
        <v>27</v>
      </c>
      <c r="AG971" t="s">
        <v>26</v>
      </c>
      <c r="AH971" t="s">
        <v>6716</v>
      </c>
      <c r="AI971" t="str">
        <f t="shared" si="75"/>
        <v>NO</v>
      </c>
      <c r="AJ971" t="str">
        <f t="shared" si="76"/>
        <v>QUIBI EN REESTRUCTURACION</v>
      </c>
      <c r="AK971" t="str">
        <f>IF(ISNUMBER(SEARCH("FABRICANTE",AC971)),"FABRICANTE",IF(ISNUMBER(SEARCH("IMPORTADOR",AC971)),"IMPORTADOR","OTRO"))</f>
        <v>FABRICANTE</v>
      </c>
      <c r="AL971" t="str">
        <f>IF(LEFT(Y971,1)="A","Sistema digestivo",IF(LEFT(Y971,1)="B","Sangre",IF(LEFT(Y971,1)="C","Cardiovascular",IF(LEFT(Y971,1)="D","Dermatológico",IF(LEFT(Y971,1)="G","Genitourinario",IF(LEFT(Y971,1)="H","Hormonal",IF(LEFT(Y971,1)="J","Antiinfecciosos",IF(LEFT(Y971,1)="L","Oncológicos",IF(LEFT(Y971,1)="M","Musculoesquelético",IF(LEFT(Y971,1)="N","Sistema nervioso",IF(LEFT(Y971,1)="R","Respiratorio",IF(LEFT(Y971,1)="S","Oftálmico",IF(LEFT(Y971,1)="V","Varios","OTRO")))))))))))))</f>
        <v>Varios</v>
      </c>
      <c r="AM971" t="str">
        <f>IF(AG971="Vigente","ACTIVO",IF(ISNUMBER(SEARCH("Inactivo",J971)),"INACTIVO","REVISAR"))</f>
        <v>ACTIVO</v>
      </c>
      <c r="AN971" t="str">
        <f ca="1">IF(OR(AF971="",AF971="null"),"",ROUND((AF971-TODAY())/365.25,2))</f>
        <v/>
      </c>
      <c r="AO971" t="str">
        <f ca="1">IF(AND(AG971="Vigente",OR(AF971="",AF971="null",AF971&gt;TODAY())),"SI",IF(AND(NOT(OR(AF971="",AF971="null")),AF971&lt;=TODAY()),"NO",IF(AG971="Vigente","SI","DESCONOCIDO")))</f>
        <v>SI</v>
      </c>
      <c r="AP971" t="str">
        <f>IF(AND(ISNUMBER(SEARCH("IMPORTAR",AA971)),ISNUMBER(SEARCH("FABRICAR",AA971))),"MIXTO",IF(ISNUMBER(SEARCH("IMPORTAR",AA971)),"IMPORTADO",IF(ISNUMBER(SEARCH("FABRICAR",AA971)),"LOCAL","OTRO")))</f>
        <v>LOCAL</v>
      </c>
      <c r="AQ971" t="str">
        <f>IF(AD971="Si","SI",IF(AD971="No","NO",""))</f>
        <v>NO</v>
      </c>
      <c r="AR971" t="str">
        <f>IF(ISNUMBER(SEARCH("®",N971)),"MARCA/INNOVADOR","GENERICO")</f>
        <v>GENERICO</v>
      </c>
      <c r="AS971">
        <f ca="1">IF(AE971&gt;100,RANDBETWEEN(500,5000),IF(AND(AE971&gt;=10,AE971&lt;=100),RANDBETWEEN(100,1000),RANDBETWEEN(10,200)))</f>
        <v>468</v>
      </c>
      <c r="AT971">
        <f t="shared" ca="1" si="77"/>
        <v>140</v>
      </c>
      <c r="AU971">
        <f ca="1">INT(AS971*RANDBETWEEN(120,200)/100)</f>
        <v>617</v>
      </c>
      <c r="AV971" s="2">
        <f ca="1">IF(LEFT(Y971,1)="L",RANDBETWEEN(500000,5000000),IF(LEFT(Y971,1)="C",RANDBETWEEN(5000,50000),IF(LEFT(Y971,1)="N",RANDBETWEEN(10000,150000),IF(LEFT(Y971,1)="J",RANDBETWEEN(8000,200000),RANDBETWEEN(5000,100000)))))</f>
        <v>91126</v>
      </c>
      <c r="AW971" s="2">
        <f ca="1">INT(AV971*RANDBETWEEN(30,60)/100)</f>
        <v>32805</v>
      </c>
      <c r="AX971">
        <f ca="1">IF(Z971="ORAL",RANDBETWEEN(1000,10000),IF(OR(Z971="INTRAVENOSA",Z971="INTRAMUSCULAR"),RANDBETWEEN(100,2000),IF(OR(Z971="OFTÁLMICA",Z971="TOPICA (EXTERNA)"),RANDBETWEEN(200,3000),RANDBETWEEN(100,1500))))</f>
        <v>429</v>
      </c>
      <c r="AY971" s="2">
        <f ca="1">INT(AV971*RANDBETWEEN(90,130)/100)</f>
        <v>82013</v>
      </c>
      <c r="AZ971" t="str">
        <f t="shared" ca="1" si="78"/>
        <v>2.5%</v>
      </c>
      <c r="BA971" t="str">
        <f t="shared" ca="1" si="79"/>
        <v>ALTO</v>
      </c>
    </row>
    <row r="972" spans="4:53" x14ac:dyDescent="0.35">
      <c r="D972" t="s">
        <v>5984</v>
      </c>
      <c r="E972" s="1">
        <v>40022</v>
      </c>
      <c r="F972" t="s">
        <v>5985</v>
      </c>
      <c r="G972" t="s">
        <v>108</v>
      </c>
      <c r="H972" t="s">
        <v>177</v>
      </c>
      <c r="I972">
        <v>20003839</v>
      </c>
      <c r="J972" t="s">
        <v>28</v>
      </c>
      <c r="K972">
        <v>8</v>
      </c>
      <c r="L972" t="s">
        <v>27</v>
      </c>
      <c r="M972" t="s">
        <v>5986</v>
      </c>
      <c r="N972" t="s">
        <v>5987</v>
      </c>
      <c r="O972" t="s">
        <v>5988</v>
      </c>
      <c r="P972" t="s">
        <v>5989</v>
      </c>
      <c r="Q972" s="1">
        <v>40015</v>
      </c>
      <c r="R972" t="s">
        <v>200</v>
      </c>
      <c r="S972" t="s">
        <v>27</v>
      </c>
      <c r="T972" t="s">
        <v>5602</v>
      </c>
      <c r="U972" t="s">
        <v>115</v>
      </c>
      <c r="V972" t="s">
        <v>2437</v>
      </c>
      <c r="W972">
        <v>5</v>
      </c>
      <c r="X972">
        <v>20003839</v>
      </c>
      <c r="Y972" t="s">
        <v>2438</v>
      </c>
      <c r="Z972" t="s">
        <v>119</v>
      </c>
      <c r="AA972" t="s">
        <v>32</v>
      </c>
      <c r="AB972" t="s">
        <v>120</v>
      </c>
      <c r="AC972" t="s">
        <v>38</v>
      </c>
      <c r="AD972" t="s">
        <v>155</v>
      </c>
      <c r="AE972">
        <v>7</v>
      </c>
      <c r="AF972" t="s">
        <v>27</v>
      </c>
      <c r="AG972" t="s">
        <v>26</v>
      </c>
      <c r="AH972" t="s">
        <v>3846</v>
      </c>
      <c r="AI972" t="str">
        <f t="shared" si="75"/>
        <v>SI</v>
      </c>
      <c r="AJ972" t="str">
        <f t="shared" si="76"/>
        <v>NOVARTIS PHARMA</v>
      </c>
      <c r="AK972" t="str">
        <f>IF(ISNUMBER(SEARCH("FABRICANTE",AC972)),"FABRICANTE",IF(ISNUMBER(SEARCH("IMPORTADOR",AC972)),"IMPORTADOR","OTRO"))</f>
        <v>IMPORTADOR</v>
      </c>
      <c r="AL972" t="str">
        <f>IF(LEFT(Y972,1)="A","Sistema digestivo",IF(LEFT(Y972,1)="B","Sangre",IF(LEFT(Y972,1)="C","Cardiovascular",IF(LEFT(Y972,1)="D","Dermatológico",IF(LEFT(Y972,1)="G","Genitourinario",IF(LEFT(Y972,1)="H","Hormonal",IF(LEFT(Y972,1)="J","Antiinfecciosos",IF(LEFT(Y972,1)="L","Oncológicos",IF(LEFT(Y972,1)="M","Musculoesquelético",IF(LEFT(Y972,1)="N","Sistema nervioso",IF(LEFT(Y972,1)="R","Respiratorio",IF(LEFT(Y972,1)="S","Oftálmico",IF(LEFT(Y972,1)="V","Varios","OTRO")))))))))))))</f>
        <v>Cardiovascular</v>
      </c>
      <c r="AM972" t="str">
        <f>IF(AG972="Vigente","ACTIVO",IF(ISNUMBER(SEARCH("Inactivo",J972)),"INACTIVO","REVISAR"))</f>
        <v>ACTIVO</v>
      </c>
      <c r="AN972" t="str">
        <f ca="1">IF(OR(AF972="",AF972="null"),"",ROUND((AF972-TODAY())/365.25,2))</f>
        <v/>
      </c>
      <c r="AO972" t="str">
        <f ca="1">IF(AND(AG972="Vigente",OR(AF972="",AF972="null",AF972&gt;TODAY())),"SI",IF(AND(NOT(OR(AF972="",AF972="null")),AF972&lt;=TODAY()),"NO",IF(AG972="Vigente","SI","DESCONOCIDO")))</f>
        <v>SI</v>
      </c>
      <c r="AP972" t="str">
        <f>IF(AND(ISNUMBER(SEARCH("IMPORTAR",AA972)),ISNUMBER(SEARCH("FABRICAR",AA972))),"MIXTO",IF(ISNUMBER(SEARCH("IMPORTAR",AA972)),"IMPORTADO",IF(ISNUMBER(SEARCH("FABRICAR",AA972)),"LOCAL","OTRO")))</f>
        <v>IMPORTADO</v>
      </c>
      <c r="AQ972" t="str">
        <f>IF(AD972="Si","SI",IF(AD972="No","NO",""))</f>
        <v>SI</v>
      </c>
      <c r="AR972" t="str">
        <f>IF(ISNUMBER(SEARCH("®",N972)),"MARCA/INNOVADOR","GENERICO")</f>
        <v>MARCA/INNOVADOR</v>
      </c>
      <c r="AS972">
        <f ca="1">IF(AE972&gt;100,RANDBETWEEN(500,5000),IF(AND(AE972&gt;=10,AE972&lt;=100),RANDBETWEEN(100,1000),RANDBETWEEN(10,200)))</f>
        <v>199</v>
      </c>
      <c r="AT972">
        <f t="shared" ca="1" si="77"/>
        <v>51</v>
      </c>
      <c r="AU972">
        <f ca="1">INT(AS972*RANDBETWEEN(120,200)/100)</f>
        <v>352</v>
      </c>
      <c r="AV972" s="2">
        <f ca="1">IF(LEFT(Y972,1)="L",RANDBETWEEN(500000,5000000),IF(LEFT(Y972,1)="C",RANDBETWEEN(5000,50000),IF(LEFT(Y972,1)="N",RANDBETWEEN(10000,150000),IF(LEFT(Y972,1)="J",RANDBETWEEN(8000,200000),RANDBETWEEN(5000,100000)))))</f>
        <v>30732</v>
      </c>
      <c r="AW972" s="2">
        <f ca="1">INT(AV972*RANDBETWEEN(30,60)/100)</f>
        <v>16902</v>
      </c>
      <c r="AX972">
        <f ca="1">IF(Z972="ORAL",RANDBETWEEN(1000,10000),IF(OR(Z972="INTRAVENOSA",Z972="INTRAMUSCULAR"),RANDBETWEEN(100,2000),IF(OR(Z972="OFTÁLMICA",Z972="TOPICA (EXTERNA)"),RANDBETWEEN(200,3000),RANDBETWEEN(100,1500))))</f>
        <v>6113</v>
      </c>
      <c r="AY972" s="2">
        <f ca="1">INT(AV972*RANDBETWEEN(90,130)/100)</f>
        <v>38107</v>
      </c>
      <c r="AZ972" t="str">
        <f t="shared" ca="1" si="78"/>
        <v>6.6%</v>
      </c>
      <c r="BA972" t="str">
        <f t="shared" ca="1" si="79"/>
        <v>BAJO</v>
      </c>
    </row>
    <row r="973" spans="4:53" x14ac:dyDescent="0.35">
      <c r="D973" t="s">
        <v>5990</v>
      </c>
      <c r="E973" s="1">
        <v>36292</v>
      </c>
      <c r="F973" t="s">
        <v>76</v>
      </c>
      <c r="G973" t="s">
        <v>108</v>
      </c>
      <c r="H973" t="s">
        <v>693</v>
      </c>
      <c r="I973">
        <v>27858</v>
      </c>
      <c r="J973" t="s">
        <v>28</v>
      </c>
      <c r="K973">
        <v>2</v>
      </c>
      <c r="L973" t="s">
        <v>27</v>
      </c>
      <c r="M973" t="s">
        <v>1140</v>
      </c>
      <c r="N973" t="s">
        <v>1141</v>
      </c>
      <c r="O973" t="s">
        <v>5991</v>
      </c>
      <c r="P973" t="s">
        <v>553</v>
      </c>
      <c r="Q973" s="1">
        <v>39031</v>
      </c>
      <c r="R973" t="s">
        <v>1143</v>
      </c>
      <c r="S973" s="1">
        <v>39972</v>
      </c>
      <c r="T973" t="s">
        <v>1144</v>
      </c>
      <c r="U973" t="s">
        <v>247</v>
      </c>
      <c r="V973" t="s">
        <v>64</v>
      </c>
      <c r="W973" t="s">
        <v>4637</v>
      </c>
      <c r="X973">
        <v>27858</v>
      </c>
      <c r="Y973" t="s">
        <v>1146</v>
      </c>
      <c r="Z973" t="s">
        <v>1147</v>
      </c>
      <c r="AA973" t="s">
        <v>24</v>
      </c>
      <c r="AB973" t="s">
        <v>133</v>
      </c>
      <c r="AC973" t="s">
        <v>25</v>
      </c>
      <c r="AD973" t="s">
        <v>121</v>
      </c>
      <c r="AE973">
        <v>1</v>
      </c>
      <c r="AF973" s="1">
        <v>401769</v>
      </c>
      <c r="AG973" t="s">
        <v>26</v>
      </c>
      <c r="AH973" t="s">
        <v>6777</v>
      </c>
      <c r="AI973" t="str">
        <f t="shared" si="75"/>
        <v>NO</v>
      </c>
      <c r="AJ973" t="str">
        <f t="shared" si="76"/>
        <v>OFTALMOQUIMICA</v>
      </c>
      <c r="AK973" t="str">
        <f>IF(ISNUMBER(SEARCH("FABRICANTE",AC973)),"FABRICANTE",IF(ISNUMBER(SEARCH("IMPORTADOR",AC973)),"IMPORTADOR","OTRO"))</f>
        <v>FABRICANTE</v>
      </c>
      <c r="AL973" t="str">
        <f>IF(LEFT(Y973,1)="A","Sistema digestivo",IF(LEFT(Y973,1)="B","Sangre",IF(LEFT(Y973,1)="C","Cardiovascular",IF(LEFT(Y973,1)="D","Dermatológico",IF(LEFT(Y973,1)="G","Genitourinario",IF(LEFT(Y973,1)="H","Hormonal",IF(LEFT(Y973,1)="J","Antiinfecciosos",IF(LEFT(Y973,1)="L","Oncológicos",IF(LEFT(Y973,1)="M","Musculoesquelético",IF(LEFT(Y973,1)="N","Sistema nervioso",IF(LEFT(Y973,1)="R","Respiratorio",IF(LEFT(Y973,1)="S","Oftálmico",IF(LEFT(Y973,1)="V","Varios","OTRO")))))))))))))</f>
        <v>Sangre</v>
      </c>
      <c r="AM973" t="str">
        <f>IF(AG973="Vigente","ACTIVO",IF(ISNUMBER(SEARCH("Inactivo",J973)),"INACTIVO","REVISAR"))</f>
        <v>ACTIVO</v>
      </c>
      <c r="AN973">
        <f ca="1">IF(OR(AF973="",AF973="null"),"",ROUND((AF973-TODAY())/365.25,2))</f>
        <v>973.58</v>
      </c>
      <c r="AO973" t="str">
        <f ca="1">IF(AND(AG973="Vigente",OR(AF973="",AF973="null",AF973&gt;TODAY())),"SI",IF(AND(NOT(OR(AF973="",AF973="null")),AF973&lt;=TODAY()),"NO",IF(AG973="Vigente","SI","DESCONOCIDO")))</f>
        <v>SI</v>
      </c>
      <c r="AP973" t="str">
        <f>IF(AND(ISNUMBER(SEARCH("IMPORTAR",AA973)),ISNUMBER(SEARCH("FABRICAR",AA973))),"MIXTO",IF(ISNUMBER(SEARCH("IMPORTAR",AA973)),"IMPORTADO",IF(ISNUMBER(SEARCH("FABRICAR",AA973)),"LOCAL","OTRO")))</f>
        <v>LOCAL</v>
      </c>
      <c r="AQ973" t="str">
        <f>IF(AD973="Si","SI",IF(AD973="No","NO",""))</f>
        <v>NO</v>
      </c>
      <c r="AR973" t="str">
        <f>IF(ISNUMBER(SEARCH("®",N973)),"MARCA/INNOVADOR","GENERICO")</f>
        <v>GENERICO</v>
      </c>
      <c r="AS973">
        <f ca="1">IF(AE973&gt;100,RANDBETWEEN(500,5000),IF(AND(AE973&gt;=10,AE973&lt;=100),RANDBETWEEN(100,1000),RANDBETWEEN(10,200)))</f>
        <v>83</v>
      </c>
      <c r="AT973">
        <f t="shared" ca="1" si="77"/>
        <v>15</v>
      </c>
      <c r="AU973">
        <f ca="1">INT(AS973*RANDBETWEEN(120,200)/100)</f>
        <v>106</v>
      </c>
      <c r="AV973" s="2">
        <f ca="1">IF(LEFT(Y973,1)="L",RANDBETWEEN(500000,5000000),IF(LEFT(Y973,1)="C",RANDBETWEEN(5000,50000),IF(LEFT(Y973,1)="N",RANDBETWEEN(10000,150000),IF(LEFT(Y973,1)="J",RANDBETWEEN(8000,200000),RANDBETWEEN(5000,100000)))))</f>
        <v>8726</v>
      </c>
      <c r="AW973" s="2">
        <f ca="1">INT(AV973*RANDBETWEEN(30,60)/100)</f>
        <v>4275</v>
      </c>
      <c r="AX973">
        <f ca="1">IF(Z973="ORAL",RANDBETWEEN(1000,10000),IF(OR(Z973="INTRAVENOSA",Z973="INTRAMUSCULAR"),RANDBETWEEN(100,2000),IF(OR(Z973="OFTÁLMICA",Z973="TOPICA (EXTERNA)"),RANDBETWEEN(200,3000),RANDBETWEEN(100,1500))))</f>
        <v>836</v>
      </c>
      <c r="AY973" s="2">
        <f ca="1">INT(AV973*RANDBETWEEN(90,130)/100)</f>
        <v>10122</v>
      </c>
      <c r="AZ973" t="str">
        <f t="shared" ca="1" si="78"/>
        <v>5.6%</v>
      </c>
      <c r="BA973" t="str">
        <f t="shared" ca="1" si="79"/>
        <v>BAJO</v>
      </c>
    </row>
    <row r="974" spans="4:53" x14ac:dyDescent="0.35">
      <c r="D974" t="s">
        <v>5992</v>
      </c>
      <c r="E974" s="1">
        <v>42465</v>
      </c>
      <c r="F974" t="s">
        <v>1734</v>
      </c>
      <c r="G974" t="s">
        <v>108</v>
      </c>
      <c r="H974" t="s">
        <v>5875</v>
      </c>
      <c r="I974">
        <v>20101785</v>
      </c>
      <c r="J974" t="s">
        <v>28</v>
      </c>
      <c r="K974">
        <v>8</v>
      </c>
      <c r="L974" t="s">
        <v>27</v>
      </c>
      <c r="M974" t="s">
        <v>5993</v>
      </c>
      <c r="N974" t="s">
        <v>5994</v>
      </c>
      <c r="O974" t="s">
        <v>5995</v>
      </c>
      <c r="P974" t="s">
        <v>5996</v>
      </c>
      <c r="Q974" s="1">
        <v>42452</v>
      </c>
      <c r="R974" t="s">
        <v>78</v>
      </c>
      <c r="S974" t="s">
        <v>27</v>
      </c>
      <c r="T974" t="s">
        <v>4350</v>
      </c>
      <c r="U974" t="s">
        <v>247</v>
      </c>
      <c r="V974" t="s">
        <v>3608</v>
      </c>
      <c r="W974" t="s">
        <v>1738</v>
      </c>
      <c r="X974">
        <v>20101785</v>
      </c>
      <c r="Y974" t="s">
        <v>3610</v>
      </c>
      <c r="Z974" t="s">
        <v>119</v>
      </c>
      <c r="AA974" t="s">
        <v>24</v>
      </c>
      <c r="AB974" t="s">
        <v>250</v>
      </c>
      <c r="AC974" t="s">
        <v>25</v>
      </c>
      <c r="AD974" t="s">
        <v>121</v>
      </c>
      <c r="AE974">
        <v>1</v>
      </c>
      <c r="AF974" t="s">
        <v>27</v>
      </c>
      <c r="AG974" t="s">
        <v>26</v>
      </c>
      <c r="AH974" t="s">
        <v>6760</v>
      </c>
      <c r="AI974" t="str">
        <f t="shared" si="75"/>
        <v>NO</v>
      </c>
      <c r="AJ974" t="str">
        <f t="shared" si="76"/>
        <v>INVERSIONES COMERFAR</v>
      </c>
      <c r="AK974" t="str">
        <f>IF(ISNUMBER(SEARCH("FABRICANTE",AC974)),"FABRICANTE",IF(ISNUMBER(SEARCH("IMPORTADOR",AC974)),"IMPORTADOR","OTRO"))</f>
        <v>FABRICANTE</v>
      </c>
      <c r="AL974" t="str">
        <f>IF(LEFT(Y974,1)="A","Sistema digestivo",IF(LEFT(Y974,1)="B","Sangre",IF(LEFT(Y974,1)="C","Cardiovascular",IF(LEFT(Y974,1)="D","Dermatológico",IF(LEFT(Y974,1)="G","Genitourinario",IF(LEFT(Y974,1)="H","Hormonal",IF(LEFT(Y974,1)="J","Antiinfecciosos",IF(LEFT(Y974,1)="L","Oncológicos",IF(LEFT(Y974,1)="M","Musculoesquelético",IF(LEFT(Y974,1)="N","Sistema nervioso",IF(LEFT(Y974,1)="R","Respiratorio",IF(LEFT(Y974,1)="S","Oftálmico",IF(LEFT(Y974,1)="V","Varios","OTRO")))))))))))))</f>
        <v>Sistema digestivo</v>
      </c>
      <c r="AM974" t="str">
        <f>IF(AG974="Vigente","ACTIVO",IF(ISNUMBER(SEARCH("Inactivo",J974)),"INACTIVO","REVISAR"))</f>
        <v>ACTIVO</v>
      </c>
      <c r="AN974" t="str">
        <f ca="1">IF(OR(AF974="",AF974="null"),"",ROUND((AF974-TODAY())/365.25,2))</f>
        <v/>
      </c>
      <c r="AO974" t="str">
        <f ca="1">IF(AND(AG974="Vigente",OR(AF974="",AF974="null",AF974&gt;TODAY())),"SI",IF(AND(NOT(OR(AF974="",AF974="null")),AF974&lt;=TODAY()),"NO",IF(AG974="Vigente","SI","DESCONOCIDO")))</f>
        <v>SI</v>
      </c>
      <c r="AP974" t="str">
        <f>IF(AND(ISNUMBER(SEARCH("IMPORTAR",AA974)),ISNUMBER(SEARCH("FABRICAR",AA974))),"MIXTO",IF(ISNUMBER(SEARCH("IMPORTAR",AA974)),"IMPORTADO",IF(ISNUMBER(SEARCH("FABRICAR",AA974)),"LOCAL","OTRO")))</f>
        <v>LOCAL</v>
      </c>
      <c r="AQ974" t="str">
        <f>IF(AD974="Si","SI",IF(AD974="No","NO",""))</f>
        <v>NO</v>
      </c>
      <c r="AR974" t="str">
        <f>IF(ISNUMBER(SEARCH("®",N974)),"MARCA/INNOVADOR","GENERICO")</f>
        <v>MARCA/INNOVADOR</v>
      </c>
      <c r="AS974">
        <f ca="1">IF(AE974&gt;100,RANDBETWEEN(500,5000),IF(AND(AE974&gt;=10,AE974&lt;=100),RANDBETWEEN(100,1000),RANDBETWEEN(10,200)))</f>
        <v>103</v>
      </c>
      <c r="AT974">
        <f t="shared" ca="1" si="77"/>
        <v>11</v>
      </c>
      <c r="AU974">
        <f ca="1">INT(AS974*RANDBETWEEN(120,200)/100)</f>
        <v>139</v>
      </c>
      <c r="AV974" s="2">
        <f ca="1">IF(LEFT(Y974,1)="L",RANDBETWEEN(500000,5000000),IF(LEFT(Y974,1)="C",RANDBETWEEN(5000,50000),IF(LEFT(Y974,1)="N",RANDBETWEEN(10000,150000),IF(LEFT(Y974,1)="J",RANDBETWEEN(8000,200000),RANDBETWEEN(5000,100000)))))</f>
        <v>13440</v>
      </c>
      <c r="AW974" s="2">
        <f ca="1">INT(AV974*RANDBETWEEN(30,60)/100)</f>
        <v>7795</v>
      </c>
      <c r="AX974">
        <f ca="1">IF(Z974="ORAL",RANDBETWEEN(1000,10000),IF(OR(Z974="INTRAVENOSA",Z974="INTRAMUSCULAR"),RANDBETWEEN(100,2000),IF(OR(Z974="OFTÁLMICA",Z974="TOPICA (EXTERNA)"),RANDBETWEEN(200,3000),RANDBETWEEN(100,1500))))</f>
        <v>6829</v>
      </c>
      <c r="AY974" s="2">
        <f ca="1">INT(AV974*RANDBETWEEN(90,130)/100)</f>
        <v>15052</v>
      </c>
      <c r="AZ974" t="str">
        <f t="shared" ca="1" si="78"/>
        <v>21.2%</v>
      </c>
      <c r="BA974" t="str">
        <f t="shared" ca="1" si="79"/>
        <v>BAJO</v>
      </c>
    </row>
    <row r="975" spans="4:53" x14ac:dyDescent="0.35">
      <c r="D975" t="s">
        <v>5997</v>
      </c>
      <c r="E975" s="1">
        <v>40948</v>
      </c>
      <c r="F975" t="s">
        <v>5687</v>
      </c>
      <c r="G975" t="s">
        <v>108</v>
      </c>
      <c r="H975" t="s">
        <v>3253</v>
      </c>
      <c r="I975">
        <v>20033290</v>
      </c>
      <c r="J975" t="s">
        <v>28</v>
      </c>
      <c r="K975">
        <v>3</v>
      </c>
      <c r="L975" t="s">
        <v>5998</v>
      </c>
      <c r="M975" t="s">
        <v>5884</v>
      </c>
      <c r="N975" t="s">
        <v>5885</v>
      </c>
      <c r="O975" t="s">
        <v>5999</v>
      </c>
      <c r="P975" t="s">
        <v>27</v>
      </c>
      <c r="Q975" s="1">
        <v>40946</v>
      </c>
      <c r="R975" t="s">
        <v>258</v>
      </c>
      <c r="S975" t="s">
        <v>27</v>
      </c>
      <c r="T975" t="s">
        <v>549</v>
      </c>
      <c r="U975" t="s">
        <v>247</v>
      </c>
      <c r="V975" t="s">
        <v>64</v>
      </c>
      <c r="W975" t="s">
        <v>6000</v>
      </c>
      <c r="X975">
        <v>20033290</v>
      </c>
      <c r="Y975" t="s">
        <v>259</v>
      </c>
      <c r="Z975" t="s">
        <v>260</v>
      </c>
      <c r="AA975" t="s">
        <v>32</v>
      </c>
      <c r="AB975" t="s">
        <v>120</v>
      </c>
      <c r="AC975" t="s">
        <v>25</v>
      </c>
      <c r="AD975" t="s">
        <v>121</v>
      </c>
      <c r="AE975">
        <v>1</v>
      </c>
      <c r="AF975" t="s">
        <v>27</v>
      </c>
      <c r="AG975" t="s">
        <v>26</v>
      </c>
      <c r="AH975" t="s">
        <v>6710</v>
      </c>
      <c r="AI975" t="str">
        <f t="shared" si="75"/>
        <v>NO</v>
      </c>
      <c r="AJ975" t="str">
        <f t="shared" si="76"/>
        <v>LABORATORIOS BAXTER</v>
      </c>
      <c r="AK975" t="str">
        <f>IF(ISNUMBER(SEARCH("FABRICANTE",AC975)),"FABRICANTE",IF(ISNUMBER(SEARCH("IMPORTADOR",AC975)),"IMPORTADOR","OTRO"))</f>
        <v>FABRICANTE</v>
      </c>
      <c r="AL975" t="str">
        <f>IF(LEFT(Y975,1)="A","Sistema digestivo",IF(LEFT(Y975,1)="B","Sangre",IF(LEFT(Y975,1)="C","Cardiovascular",IF(LEFT(Y975,1)="D","Dermatológico",IF(LEFT(Y975,1)="G","Genitourinario",IF(LEFT(Y975,1)="H","Hormonal",IF(LEFT(Y975,1)="J","Antiinfecciosos",IF(LEFT(Y975,1)="L","Oncológicos",IF(LEFT(Y975,1)="M","Musculoesquelético",IF(LEFT(Y975,1)="N","Sistema nervioso",IF(LEFT(Y975,1)="R","Respiratorio",IF(LEFT(Y975,1)="S","Oftálmico",IF(LEFT(Y975,1)="V","Varios","OTRO")))))))))))))</f>
        <v>Sangre</v>
      </c>
      <c r="AM975" t="str">
        <f>IF(AG975="Vigente","ACTIVO",IF(ISNUMBER(SEARCH("Inactivo",J975)),"INACTIVO","REVISAR"))</f>
        <v>ACTIVO</v>
      </c>
      <c r="AN975" t="str">
        <f ca="1">IF(OR(AF975="",AF975="null"),"",ROUND((AF975-TODAY())/365.25,2))</f>
        <v/>
      </c>
      <c r="AO975" t="str">
        <f ca="1">IF(AND(AG975="Vigente",OR(AF975="",AF975="null",AF975&gt;TODAY())),"SI",IF(AND(NOT(OR(AF975="",AF975="null")),AF975&lt;=TODAY()),"NO",IF(AG975="Vigente","SI","DESCONOCIDO")))</f>
        <v>SI</v>
      </c>
      <c r="AP975" t="str">
        <f>IF(AND(ISNUMBER(SEARCH("IMPORTAR",AA975)),ISNUMBER(SEARCH("FABRICAR",AA975))),"MIXTO",IF(ISNUMBER(SEARCH("IMPORTAR",AA975)),"IMPORTADO",IF(ISNUMBER(SEARCH("FABRICAR",AA975)),"LOCAL","OTRO")))</f>
        <v>IMPORTADO</v>
      </c>
      <c r="AQ975" t="str">
        <f>IF(AD975="Si","SI",IF(AD975="No","NO",""))</f>
        <v>NO</v>
      </c>
      <c r="AR975" t="str">
        <f>IF(ISNUMBER(SEARCH("®",N975)),"MARCA/INNOVADOR","GENERICO")</f>
        <v>GENERICO</v>
      </c>
      <c r="AS975">
        <f ca="1">IF(AE975&gt;100,RANDBETWEEN(500,5000),IF(AND(AE975&gt;=10,AE975&lt;=100),RANDBETWEEN(100,1000),RANDBETWEEN(10,200)))</f>
        <v>173</v>
      </c>
      <c r="AT975">
        <f t="shared" ca="1" si="77"/>
        <v>34</v>
      </c>
      <c r="AU975">
        <f ca="1">INT(AS975*RANDBETWEEN(120,200)/100)</f>
        <v>320</v>
      </c>
      <c r="AV975" s="2">
        <f ca="1">IF(LEFT(Y975,1)="L",RANDBETWEEN(500000,5000000),IF(LEFT(Y975,1)="C",RANDBETWEEN(5000,50000),IF(LEFT(Y975,1)="N",RANDBETWEEN(10000,150000),IF(LEFT(Y975,1)="J",RANDBETWEEN(8000,200000),RANDBETWEEN(5000,100000)))))</f>
        <v>73277</v>
      </c>
      <c r="AW975" s="2">
        <f ca="1">INT(AV975*RANDBETWEEN(30,60)/100)</f>
        <v>23448</v>
      </c>
      <c r="AX975">
        <f ca="1">IF(Z975="ORAL",RANDBETWEEN(1000,10000),IF(OR(Z975="INTRAVENOSA",Z975="INTRAMUSCULAR"),RANDBETWEEN(100,2000),IF(OR(Z975="OFTÁLMICA",Z975="TOPICA (EXTERNA)"),RANDBETWEEN(200,3000),RANDBETWEEN(100,1500))))</f>
        <v>1525</v>
      </c>
      <c r="AY975" s="2">
        <f ca="1">INT(AV975*RANDBETWEEN(90,130)/100)</f>
        <v>82070</v>
      </c>
      <c r="AZ975" t="str">
        <f t="shared" ca="1" si="78"/>
        <v>3.1%</v>
      </c>
      <c r="BA975" t="str">
        <f t="shared" ca="1" si="79"/>
        <v>BAJO</v>
      </c>
    </row>
    <row r="976" spans="4:53" x14ac:dyDescent="0.35">
      <c r="D976" t="s">
        <v>6001</v>
      </c>
      <c r="E976" s="1">
        <v>41054</v>
      </c>
      <c r="F976" t="s">
        <v>473</v>
      </c>
      <c r="G976" t="s">
        <v>108</v>
      </c>
      <c r="H976" t="s">
        <v>242</v>
      </c>
      <c r="I976">
        <v>20042480</v>
      </c>
      <c r="J976" t="s">
        <v>28</v>
      </c>
      <c r="K976">
        <v>171</v>
      </c>
      <c r="L976" t="s">
        <v>27</v>
      </c>
      <c r="M976" t="s">
        <v>243</v>
      </c>
      <c r="N976" t="s">
        <v>244</v>
      </c>
      <c r="O976" t="s">
        <v>6002</v>
      </c>
      <c r="P976" t="s">
        <v>246</v>
      </c>
      <c r="Q976" s="1">
        <v>42591</v>
      </c>
      <c r="R976" t="s">
        <v>67</v>
      </c>
      <c r="S976" t="s">
        <v>27</v>
      </c>
      <c r="T976" t="s">
        <v>80</v>
      </c>
      <c r="U976" t="s">
        <v>247</v>
      </c>
      <c r="V976" t="s">
        <v>248</v>
      </c>
      <c r="W976" t="s">
        <v>1912</v>
      </c>
      <c r="X976">
        <v>20042480</v>
      </c>
      <c r="Y976" t="s">
        <v>249</v>
      </c>
      <c r="Z976" t="s">
        <v>119</v>
      </c>
      <c r="AA976" t="s">
        <v>24</v>
      </c>
      <c r="AB976" t="s">
        <v>250</v>
      </c>
      <c r="AC976" t="s">
        <v>25</v>
      </c>
      <c r="AD976" t="s">
        <v>155</v>
      </c>
      <c r="AE976">
        <v>5</v>
      </c>
      <c r="AF976" t="s">
        <v>27</v>
      </c>
      <c r="AG976" t="s">
        <v>26</v>
      </c>
      <c r="AH976" t="s">
        <v>6731</v>
      </c>
      <c r="AI976" t="str">
        <f t="shared" si="75"/>
        <v>NO</v>
      </c>
      <c r="AJ976" t="str">
        <f t="shared" si="76"/>
        <v>TECNOQUIMICAS</v>
      </c>
      <c r="AK976" t="str">
        <f>IF(ISNUMBER(SEARCH("FABRICANTE",AC976)),"FABRICANTE",IF(ISNUMBER(SEARCH("IMPORTADOR",AC976)),"IMPORTADOR","OTRO"))</f>
        <v>FABRICANTE</v>
      </c>
      <c r="AL976" t="str">
        <f>IF(LEFT(Y976,1)="A","Sistema digestivo",IF(LEFT(Y976,1)="B","Sangre",IF(LEFT(Y976,1)="C","Cardiovascular",IF(LEFT(Y976,1)="D","Dermatológico",IF(LEFT(Y976,1)="G","Genitourinario",IF(LEFT(Y976,1)="H","Hormonal",IF(LEFT(Y976,1)="J","Antiinfecciosos",IF(LEFT(Y976,1)="L","Oncológicos",IF(LEFT(Y976,1)="M","Musculoesquelético",IF(LEFT(Y976,1)="N","Sistema nervioso",IF(LEFT(Y976,1)="R","Respiratorio",IF(LEFT(Y976,1)="S","Oftálmico",IF(LEFT(Y976,1)="V","Varios","OTRO")))))))))))))</f>
        <v>Sistema digestivo</v>
      </c>
      <c r="AM976" t="str">
        <f>IF(AG976="Vigente","ACTIVO",IF(ISNUMBER(SEARCH("Inactivo",J976)),"INACTIVO","REVISAR"))</f>
        <v>ACTIVO</v>
      </c>
      <c r="AN976" t="str">
        <f ca="1">IF(OR(AF976="",AF976="null"),"",ROUND((AF976-TODAY())/365.25,2))</f>
        <v/>
      </c>
      <c r="AO976" t="str">
        <f ca="1">IF(AND(AG976="Vigente",OR(AF976="",AF976="null",AF976&gt;TODAY())),"SI",IF(AND(NOT(OR(AF976="",AF976="null")),AF976&lt;=TODAY()),"NO",IF(AG976="Vigente","SI","DESCONOCIDO")))</f>
        <v>SI</v>
      </c>
      <c r="AP976" t="str">
        <f>IF(AND(ISNUMBER(SEARCH("IMPORTAR",AA976)),ISNUMBER(SEARCH("FABRICAR",AA976))),"MIXTO",IF(ISNUMBER(SEARCH("IMPORTAR",AA976)),"IMPORTADO",IF(ISNUMBER(SEARCH("FABRICAR",AA976)),"LOCAL","OTRO")))</f>
        <v>LOCAL</v>
      </c>
      <c r="AQ976" t="str">
        <f>IF(AD976="Si","SI",IF(AD976="No","NO",""))</f>
        <v>SI</v>
      </c>
      <c r="AR976" t="str">
        <f>IF(ISNUMBER(SEARCH("®",N976)),"MARCA/INNOVADOR","GENERICO")</f>
        <v>MARCA/INNOVADOR</v>
      </c>
      <c r="AS976">
        <f ca="1">IF(AE976&gt;100,RANDBETWEEN(500,5000),IF(AND(AE976&gt;=10,AE976&lt;=100),RANDBETWEEN(100,1000),RANDBETWEEN(10,200)))</f>
        <v>116</v>
      </c>
      <c r="AT976">
        <f t="shared" ca="1" si="77"/>
        <v>27</v>
      </c>
      <c r="AU976">
        <f ca="1">INT(AS976*RANDBETWEEN(120,200)/100)</f>
        <v>147</v>
      </c>
      <c r="AV976" s="2">
        <f ca="1">IF(LEFT(Y976,1)="L",RANDBETWEEN(500000,5000000),IF(LEFT(Y976,1)="C",RANDBETWEEN(5000,50000),IF(LEFT(Y976,1)="N",RANDBETWEEN(10000,150000),IF(LEFT(Y976,1)="J",RANDBETWEEN(8000,200000),RANDBETWEEN(5000,100000)))))</f>
        <v>87102</v>
      </c>
      <c r="AW976" s="2">
        <f ca="1">INT(AV976*RANDBETWEEN(30,60)/100)</f>
        <v>41808</v>
      </c>
      <c r="AX976">
        <f ca="1">IF(Z976="ORAL",RANDBETWEEN(1000,10000),IF(OR(Z976="INTRAVENOSA",Z976="INTRAMUSCULAR"),RANDBETWEEN(100,2000),IF(OR(Z976="OFTÁLMICA",Z976="TOPICA (EXTERNA)"),RANDBETWEEN(200,3000),RANDBETWEEN(100,1500))))</f>
        <v>7327</v>
      </c>
      <c r="AY976" s="2">
        <f ca="1">INT(AV976*RANDBETWEEN(90,130)/100)</f>
        <v>81875</v>
      </c>
      <c r="AZ976" t="str">
        <f t="shared" ca="1" si="78"/>
        <v>21.8%</v>
      </c>
      <c r="BA976" t="str">
        <f t="shared" ca="1" si="79"/>
        <v>BAJO</v>
      </c>
    </row>
    <row r="977" spans="4:53" x14ac:dyDescent="0.35">
      <c r="D977" t="s">
        <v>6003</v>
      </c>
      <c r="E977" s="1">
        <v>39631</v>
      </c>
      <c r="F977" t="s">
        <v>6004</v>
      </c>
      <c r="G977" t="s">
        <v>108</v>
      </c>
      <c r="H977" t="s">
        <v>83</v>
      </c>
      <c r="I977">
        <v>19986691</v>
      </c>
      <c r="J977" t="s">
        <v>28</v>
      </c>
      <c r="K977">
        <v>3</v>
      </c>
      <c r="L977" t="s">
        <v>27</v>
      </c>
      <c r="M977" t="s">
        <v>6005</v>
      </c>
      <c r="N977" t="s">
        <v>6006</v>
      </c>
      <c r="O977" t="s">
        <v>6007</v>
      </c>
      <c r="P977" t="s">
        <v>29</v>
      </c>
      <c r="Q977" s="1">
        <v>40043</v>
      </c>
      <c r="R977" t="s">
        <v>29</v>
      </c>
      <c r="S977" t="s">
        <v>27</v>
      </c>
      <c r="T977" t="s">
        <v>83</v>
      </c>
      <c r="U977" t="s">
        <v>115</v>
      </c>
      <c r="V977" t="s">
        <v>6004</v>
      </c>
      <c r="W977">
        <v>100</v>
      </c>
      <c r="X977">
        <v>19986691</v>
      </c>
      <c r="Y977" t="s">
        <v>6008</v>
      </c>
      <c r="Z977" t="s">
        <v>119</v>
      </c>
      <c r="AA977" t="s">
        <v>24</v>
      </c>
      <c r="AB977" t="s">
        <v>120</v>
      </c>
      <c r="AC977" t="s">
        <v>25</v>
      </c>
      <c r="AD977" t="s">
        <v>121</v>
      </c>
      <c r="AE977">
        <v>20</v>
      </c>
      <c r="AF977" t="s">
        <v>27</v>
      </c>
      <c r="AG977" t="s">
        <v>26</v>
      </c>
      <c r="AH977" t="s">
        <v>6004</v>
      </c>
      <c r="AI977" t="str">
        <f t="shared" si="75"/>
        <v>NO</v>
      </c>
      <c r="AJ977" t="str">
        <f t="shared" si="76"/>
        <v>LABORATORIOS LA SANTÉ</v>
      </c>
      <c r="AK977" t="str">
        <f>IF(ISNUMBER(SEARCH("FABRICANTE",AC977)),"FABRICANTE",IF(ISNUMBER(SEARCH("IMPORTADOR",AC977)),"IMPORTADOR","OTRO"))</f>
        <v>FABRICANTE</v>
      </c>
      <c r="AL977" t="str">
        <f>IF(LEFT(Y977,1)="A","Sistema digestivo",IF(LEFT(Y977,1)="B","Sangre",IF(LEFT(Y977,1)="C","Cardiovascular",IF(LEFT(Y977,1)="D","Dermatológico",IF(LEFT(Y977,1)="G","Genitourinario",IF(LEFT(Y977,1)="H","Hormonal",IF(LEFT(Y977,1)="J","Antiinfecciosos",IF(LEFT(Y977,1)="L","Oncológicos",IF(LEFT(Y977,1)="M","Musculoesquelético",IF(LEFT(Y977,1)="N","Sistema nervioso",IF(LEFT(Y977,1)="R","Respiratorio",IF(LEFT(Y977,1)="S","Oftálmico",IF(LEFT(Y977,1)="V","Varios","OTRO")))))))))))))</f>
        <v>Cardiovascular</v>
      </c>
      <c r="AM977" t="str">
        <f>IF(AG977="Vigente","ACTIVO",IF(ISNUMBER(SEARCH("Inactivo",J977)),"INACTIVO","REVISAR"))</f>
        <v>ACTIVO</v>
      </c>
      <c r="AN977" t="str">
        <f ca="1">IF(OR(AF977="",AF977="null"),"",ROUND((AF977-TODAY())/365.25,2))</f>
        <v/>
      </c>
      <c r="AO977" t="str">
        <f ca="1">IF(AND(AG977="Vigente",OR(AF977="",AF977="null",AF977&gt;TODAY())),"SI",IF(AND(NOT(OR(AF977="",AF977="null")),AF977&lt;=TODAY()),"NO",IF(AG977="Vigente","SI","DESCONOCIDO")))</f>
        <v>SI</v>
      </c>
      <c r="AP977" t="str">
        <f>IF(AND(ISNUMBER(SEARCH("IMPORTAR",AA977)),ISNUMBER(SEARCH("FABRICAR",AA977))),"MIXTO",IF(ISNUMBER(SEARCH("IMPORTAR",AA977)),"IMPORTADO",IF(ISNUMBER(SEARCH("FABRICAR",AA977)),"LOCAL","OTRO")))</f>
        <v>LOCAL</v>
      </c>
      <c r="AQ977" t="str">
        <f>IF(AD977="Si","SI",IF(AD977="No","NO",""))</f>
        <v>NO</v>
      </c>
      <c r="AR977" t="str">
        <f>IF(ISNUMBER(SEARCH("®",N977)),"MARCA/INNOVADOR","GENERICO")</f>
        <v>GENERICO</v>
      </c>
      <c r="AS977">
        <f ca="1">IF(AE977&gt;100,RANDBETWEEN(500,5000),IF(AND(AE977&gt;=10,AE977&lt;=100),RANDBETWEEN(100,1000),RANDBETWEEN(10,200)))</f>
        <v>105</v>
      </c>
      <c r="AT977">
        <f t="shared" ca="1" si="77"/>
        <v>11</v>
      </c>
      <c r="AU977">
        <f ca="1">INT(AS977*RANDBETWEEN(120,200)/100)</f>
        <v>156</v>
      </c>
      <c r="AV977" s="2">
        <f ca="1">IF(LEFT(Y977,1)="L",RANDBETWEEN(500000,5000000),IF(LEFT(Y977,1)="C",RANDBETWEEN(5000,50000),IF(LEFT(Y977,1)="N",RANDBETWEEN(10000,150000),IF(LEFT(Y977,1)="J",RANDBETWEEN(8000,200000),RANDBETWEEN(5000,100000)))))</f>
        <v>45631</v>
      </c>
      <c r="AW977" s="2">
        <f ca="1">INT(AV977*RANDBETWEEN(30,60)/100)</f>
        <v>20077</v>
      </c>
      <c r="AX977">
        <f ca="1">IF(Z977="ORAL",RANDBETWEEN(1000,10000),IF(OR(Z977="INTRAVENOSA",Z977="INTRAMUSCULAR"),RANDBETWEEN(100,2000),IF(OR(Z977="OFTÁLMICA",Z977="TOPICA (EXTERNA)"),RANDBETWEEN(200,3000),RANDBETWEEN(100,1500))))</f>
        <v>2781</v>
      </c>
      <c r="AY977" s="2">
        <f ca="1">INT(AV977*RANDBETWEEN(90,130)/100)</f>
        <v>56126</v>
      </c>
      <c r="AZ977" t="str">
        <f t="shared" ca="1" si="78"/>
        <v>5.2%</v>
      </c>
      <c r="BA977" t="str">
        <f t="shared" ca="1" si="79"/>
        <v>BAJO</v>
      </c>
    </row>
    <row r="978" spans="4:53" x14ac:dyDescent="0.35">
      <c r="D978" t="s">
        <v>6009</v>
      </c>
      <c r="E978" s="1">
        <v>38533</v>
      </c>
      <c r="F978" t="s">
        <v>927</v>
      </c>
      <c r="G978" t="s">
        <v>108</v>
      </c>
      <c r="H978" t="s">
        <v>928</v>
      </c>
      <c r="I978">
        <v>19950727</v>
      </c>
      <c r="J978" t="s">
        <v>110</v>
      </c>
      <c r="K978">
        <v>14</v>
      </c>
      <c r="L978" t="s">
        <v>27</v>
      </c>
      <c r="M978" t="s">
        <v>929</v>
      </c>
      <c r="N978" t="s">
        <v>930</v>
      </c>
      <c r="O978" t="s">
        <v>6010</v>
      </c>
      <c r="P978" t="s">
        <v>932</v>
      </c>
      <c r="Q978" s="1">
        <v>40837</v>
      </c>
      <c r="R978" t="s">
        <v>932</v>
      </c>
      <c r="S978" s="1">
        <v>42439</v>
      </c>
      <c r="T978" t="s">
        <v>928</v>
      </c>
      <c r="U978" t="s">
        <v>115</v>
      </c>
      <c r="V978" t="s">
        <v>933</v>
      </c>
      <c r="W978">
        <v>270</v>
      </c>
      <c r="X978">
        <v>19950727</v>
      </c>
      <c r="Y978" t="s">
        <v>934</v>
      </c>
      <c r="Z978" t="s">
        <v>499</v>
      </c>
      <c r="AA978" t="s">
        <v>24</v>
      </c>
      <c r="AB978" t="s">
        <v>120</v>
      </c>
      <c r="AC978" t="s">
        <v>25</v>
      </c>
      <c r="AD978" t="s">
        <v>121</v>
      </c>
      <c r="AE978">
        <v>100</v>
      </c>
      <c r="AF978" t="s">
        <v>27</v>
      </c>
      <c r="AG978" t="s">
        <v>26</v>
      </c>
      <c r="AH978" t="s">
        <v>6741</v>
      </c>
      <c r="AI978" t="str">
        <f t="shared" si="75"/>
        <v>NO</v>
      </c>
      <c r="AJ978" t="str">
        <f t="shared" si="76"/>
        <v>LABORATORIOS ECAR</v>
      </c>
      <c r="AK978" t="str">
        <f>IF(ISNUMBER(SEARCH("FABRICANTE",AC978)),"FABRICANTE",IF(ISNUMBER(SEARCH("IMPORTADOR",AC978)),"IMPORTADOR","OTRO"))</f>
        <v>FABRICANTE</v>
      </c>
      <c r="AL978" t="str">
        <f>IF(LEFT(Y978,1)="A","Sistema digestivo",IF(LEFT(Y978,1)="B","Sangre",IF(LEFT(Y978,1)="C","Cardiovascular",IF(LEFT(Y978,1)="D","Dermatológico",IF(LEFT(Y978,1)="G","Genitourinario",IF(LEFT(Y978,1)="H","Hormonal",IF(LEFT(Y978,1)="J","Antiinfecciosos",IF(LEFT(Y978,1)="L","Oncológicos",IF(LEFT(Y978,1)="M","Musculoesquelético",IF(LEFT(Y978,1)="N","Sistema nervioso",IF(LEFT(Y978,1)="R","Respiratorio",IF(LEFT(Y978,1)="S","Oftálmico",IF(LEFT(Y978,1)="V","Varios","OTRO")))))))))))))</f>
        <v>Sistema digestivo</v>
      </c>
      <c r="AM978" t="str">
        <f>IF(AG978="Vigente","ACTIVO",IF(ISNUMBER(SEARCH("Inactivo",J978)),"INACTIVO","REVISAR"))</f>
        <v>ACTIVO</v>
      </c>
      <c r="AN978" t="str">
        <f ca="1">IF(OR(AF978="",AF978="null"),"",ROUND((AF978-TODAY())/365.25,2))</f>
        <v/>
      </c>
      <c r="AO978" t="str">
        <f ca="1">IF(AND(AG978="Vigente",OR(AF978="",AF978="null",AF978&gt;TODAY())),"SI",IF(AND(NOT(OR(AF978="",AF978="null")),AF978&lt;=TODAY()),"NO",IF(AG978="Vigente","SI","DESCONOCIDO")))</f>
        <v>SI</v>
      </c>
      <c r="AP978" t="str">
        <f>IF(AND(ISNUMBER(SEARCH("IMPORTAR",AA978)),ISNUMBER(SEARCH("FABRICAR",AA978))),"MIXTO",IF(ISNUMBER(SEARCH("IMPORTAR",AA978)),"IMPORTADO",IF(ISNUMBER(SEARCH("FABRICAR",AA978)),"LOCAL","OTRO")))</f>
        <v>LOCAL</v>
      </c>
      <c r="AQ978" t="str">
        <f>IF(AD978="Si","SI",IF(AD978="No","NO",""))</f>
        <v>NO</v>
      </c>
      <c r="AR978" t="str">
        <f>IF(ISNUMBER(SEARCH("®",N978)),"MARCA/INNOVADOR","GENERICO")</f>
        <v>MARCA/INNOVADOR</v>
      </c>
      <c r="AS978">
        <f ca="1">IF(AE978&gt;100,RANDBETWEEN(500,5000),IF(AND(AE978&gt;=10,AE978&lt;=100),RANDBETWEEN(100,1000),RANDBETWEEN(10,200)))</f>
        <v>507</v>
      </c>
      <c r="AT978">
        <f t="shared" ca="1" si="77"/>
        <v>147</v>
      </c>
      <c r="AU978">
        <f ca="1">INT(AS978*RANDBETWEEN(120,200)/100)</f>
        <v>811</v>
      </c>
      <c r="AV978" s="2">
        <f ca="1">IF(LEFT(Y978,1)="L",RANDBETWEEN(500000,5000000),IF(LEFT(Y978,1)="C",RANDBETWEEN(5000,50000),IF(LEFT(Y978,1)="N",RANDBETWEEN(10000,150000),IF(LEFT(Y978,1)="J",RANDBETWEEN(8000,200000),RANDBETWEEN(5000,100000)))))</f>
        <v>9052</v>
      </c>
      <c r="AW978" s="2">
        <f ca="1">INT(AV978*RANDBETWEEN(30,60)/100)</f>
        <v>3530</v>
      </c>
      <c r="AX978">
        <f ca="1">IF(Z978="ORAL",RANDBETWEEN(1000,10000),IF(OR(Z978="INTRAVENOSA",Z978="INTRAMUSCULAR"),RANDBETWEEN(100,2000),IF(OR(Z978="OFTÁLMICA",Z978="TOPICA (EXTERNA)"),RANDBETWEEN(200,3000),RANDBETWEEN(100,1500))))</f>
        <v>531</v>
      </c>
      <c r="AY978" s="2">
        <f ca="1">INT(AV978*RANDBETWEEN(90,130)/100)</f>
        <v>8327</v>
      </c>
      <c r="AZ978" t="str">
        <f t="shared" ca="1" si="78"/>
        <v>3.3%</v>
      </c>
      <c r="BA978" t="str">
        <f t="shared" ca="1" si="79"/>
        <v>ALTO</v>
      </c>
    </row>
    <row r="979" spans="4:53" x14ac:dyDescent="0.35">
      <c r="D979" t="s">
        <v>6011</v>
      </c>
      <c r="E979" s="1">
        <v>39247</v>
      </c>
      <c r="F979" t="s">
        <v>107</v>
      </c>
      <c r="G979" t="s">
        <v>108</v>
      </c>
      <c r="H979" t="s">
        <v>1026</v>
      </c>
      <c r="I979">
        <v>19976402</v>
      </c>
      <c r="J979" t="s">
        <v>110</v>
      </c>
      <c r="K979">
        <v>2</v>
      </c>
      <c r="L979" t="s">
        <v>27</v>
      </c>
      <c r="M979" t="s">
        <v>6012</v>
      </c>
      <c r="N979" t="s">
        <v>6013</v>
      </c>
      <c r="O979" t="s">
        <v>6014</v>
      </c>
      <c r="P979" t="s">
        <v>29</v>
      </c>
      <c r="Q979" s="1">
        <v>39174</v>
      </c>
      <c r="R979" t="s">
        <v>29</v>
      </c>
      <c r="S979" s="1">
        <v>43475</v>
      </c>
      <c r="T979" t="s">
        <v>6015</v>
      </c>
      <c r="U979" t="s">
        <v>115</v>
      </c>
      <c r="V979" t="s">
        <v>6016</v>
      </c>
      <c r="W979">
        <v>25</v>
      </c>
      <c r="X979">
        <v>19976402</v>
      </c>
      <c r="Y979" t="s">
        <v>6017</v>
      </c>
      <c r="Z979" t="s">
        <v>119</v>
      </c>
      <c r="AA979" t="s">
        <v>32</v>
      </c>
      <c r="AB979" t="s">
        <v>120</v>
      </c>
      <c r="AC979" t="s">
        <v>25</v>
      </c>
      <c r="AD979" t="s">
        <v>121</v>
      </c>
      <c r="AE979">
        <v>14</v>
      </c>
      <c r="AF979" t="s">
        <v>27</v>
      </c>
      <c r="AG979" t="s">
        <v>26</v>
      </c>
      <c r="AH979" t="s">
        <v>107</v>
      </c>
      <c r="AI979" t="str">
        <f t="shared" si="75"/>
        <v>NO</v>
      </c>
      <c r="AJ979" t="str">
        <f t="shared" si="76"/>
        <v>BOEHRINGER INGELHEIM INTERNATIONAL.</v>
      </c>
      <c r="AK979" t="str">
        <f>IF(ISNUMBER(SEARCH("FABRICANTE",AC979)),"FABRICANTE",IF(ISNUMBER(SEARCH("IMPORTADOR",AC979)),"IMPORTADOR","OTRO"))</f>
        <v>FABRICANTE</v>
      </c>
      <c r="AL979" t="str">
        <f>IF(LEFT(Y979,1)="A","Sistema digestivo",IF(LEFT(Y979,1)="B","Sangre",IF(LEFT(Y979,1)="C","Cardiovascular",IF(LEFT(Y979,1)="D","Dermatológico",IF(LEFT(Y979,1)="G","Genitourinario",IF(LEFT(Y979,1)="H","Hormonal",IF(LEFT(Y979,1)="J","Antiinfecciosos",IF(LEFT(Y979,1)="L","Oncológicos",IF(LEFT(Y979,1)="M","Musculoesquelético",IF(LEFT(Y979,1)="N","Sistema nervioso",IF(LEFT(Y979,1)="R","Respiratorio",IF(LEFT(Y979,1)="S","Oftálmico",IF(LEFT(Y979,1)="V","Varios","OTRO")))))))))))))</f>
        <v>Cardiovascular</v>
      </c>
      <c r="AM979" t="str">
        <f>IF(AG979="Vigente","ACTIVO",IF(ISNUMBER(SEARCH("Inactivo",J979)),"INACTIVO","REVISAR"))</f>
        <v>ACTIVO</v>
      </c>
      <c r="AN979" t="str">
        <f ca="1">IF(OR(AF979="",AF979="null"),"",ROUND((AF979-TODAY())/365.25,2))</f>
        <v/>
      </c>
      <c r="AO979" t="str">
        <f ca="1">IF(AND(AG979="Vigente",OR(AF979="",AF979="null",AF979&gt;TODAY())),"SI",IF(AND(NOT(OR(AF979="",AF979="null")),AF979&lt;=TODAY()),"NO",IF(AG979="Vigente","SI","DESCONOCIDO")))</f>
        <v>SI</v>
      </c>
      <c r="AP979" t="str">
        <f>IF(AND(ISNUMBER(SEARCH("IMPORTAR",AA979)),ISNUMBER(SEARCH("FABRICAR",AA979))),"MIXTO",IF(ISNUMBER(SEARCH("IMPORTAR",AA979)),"IMPORTADO",IF(ISNUMBER(SEARCH("FABRICAR",AA979)),"LOCAL","OTRO")))</f>
        <v>IMPORTADO</v>
      </c>
      <c r="AQ979" t="str">
        <f>IF(AD979="Si","SI",IF(AD979="No","NO",""))</f>
        <v>NO</v>
      </c>
      <c r="AR979" t="str">
        <f>IF(ISNUMBER(SEARCH("®",N979)),"MARCA/INNOVADOR","GENERICO")</f>
        <v>MARCA/INNOVADOR</v>
      </c>
      <c r="AS979">
        <f ca="1">IF(AE979&gt;100,RANDBETWEEN(500,5000),IF(AND(AE979&gt;=10,AE979&lt;=100),RANDBETWEEN(100,1000),RANDBETWEEN(10,200)))</f>
        <v>256</v>
      </c>
      <c r="AT979">
        <f t="shared" ca="1" si="77"/>
        <v>38</v>
      </c>
      <c r="AU979">
        <f ca="1">INT(AS979*RANDBETWEEN(120,200)/100)</f>
        <v>391</v>
      </c>
      <c r="AV979" s="2">
        <f ca="1">IF(LEFT(Y979,1)="L",RANDBETWEEN(500000,5000000),IF(LEFT(Y979,1)="C",RANDBETWEEN(5000,50000),IF(LEFT(Y979,1)="N",RANDBETWEEN(10000,150000),IF(LEFT(Y979,1)="J",RANDBETWEEN(8000,200000),RANDBETWEEN(5000,100000)))))</f>
        <v>35434</v>
      </c>
      <c r="AW979" s="2">
        <f ca="1">INT(AV979*RANDBETWEEN(30,60)/100)</f>
        <v>11338</v>
      </c>
      <c r="AX979">
        <f ca="1">IF(Z979="ORAL",RANDBETWEEN(1000,10000),IF(OR(Z979="INTRAVENOSA",Z979="INTRAMUSCULAR"),RANDBETWEEN(100,2000),IF(OR(Z979="OFTÁLMICA",Z979="TOPICA (EXTERNA)"),RANDBETWEEN(200,3000),RANDBETWEEN(100,1500))))</f>
        <v>3345</v>
      </c>
      <c r="AY979" s="2">
        <f ca="1">INT(AV979*RANDBETWEEN(90,130)/100)</f>
        <v>36497</v>
      </c>
      <c r="AZ979" t="str">
        <f t="shared" ca="1" si="78"/>
        <v>10.1%</v>
      </c>
      <c r="BA979" t="str">
        <f t="shared" ca="1" si="79"/>
        <v>ALTO</v>
      </c>
    </row>
    <row r="980" spans="4:53" x14ac:dyDescent="0.35">
      <c r="D980" t="s">
        <v>6018</v>
      </c>
      <c r="E980" s="1">
        <v>37524</v>
      </c>
      <c r="F980" t="s">
        <v>6019</v>
      </c>
      <c r="G980" t="s">
        <v>108</v>
      </c>
      <c r="H980" t="s">
        <v>168</v>
      </c>
      <c r="I980">
        <v>19931778</v>
      </c>
      <c r="J980" t="s">
        <v>28</v>
      </c>
      <c r="K980">
        <v>19</v>
      </c>
      <c r="L980" t="s">
        <v>27</v>
      </c>
      <c r="M980" t="s">
        <v>6020</v>
      </c>
      <c r="N980" t="s">
        <v>6021</v>
      </c>
      <c r="O980" t="s">
        <v>6022</v>
      </c>
      <c r="P980" t="s">
        <v>37</v>
      </c>
      <c r="Q980" s="1">
        <v>41095</v>
      </c>
      <c r="R980" t="s">
        <v>37</v>
      </c>
      <c r="S980" t="s">
        <v>27</v>
      </c>
      <c r="T980" t="s">
        <v>172</v>
      </c>
      <c r="U980" t="s">
        <v>115</v>
      </c>
      <c r="V980" t="s">
        <v>6023</v>
      </c>
      <c r="W980">
        <v>100</v>
      </c>
      <c r="X980">
        <v>19931778</v>
      </c>
      <c r="Y980" t="s">
        <v>6024</v>
      </c>
      <c r="Z980" t="s">
        <v>119</v>
      </c>
      <c r="AA980" t="s">
        <v>24</v>
      </c>
      <c r="AB980" t="s">
        <v>120</v>
      </c>
      <c r="AC980" t="s">
        <v>25</v>
      </c>
      <c r="AD980" t="s">
        <v>121</v>
      </c>
      <c r="AE980">
        <v>600</v>
      </c>
      <c r="AF980" t="s">
        <v>27</v>
      </c>
      <c r="AG980" t="s">
        <v>26</v>
      </c>
      <c r="AH980" t="s">
        <v>6019</v>
      </c>
      <c r="AI980" t="str">
        <f t="shared" si="75"/>
        <v>NO</v>
      </c>
      <c r="AJ980" t="str">
        <f t="shared" si="76"/>
        <v>NOVAMED</v>
      </c>
      <c r="AK980" t="str">
        <f>IF(ISNUMBER(SEARCH("FABRICANTE",AC980)),"FABRICANTE",IF(ISNUMBER(SEARCH("IMPORTADOR",AC980)),"IMPORTADOR","OTRO"))</f>
        <v>FABRICANTE</v>
      </c>
      <c r="AL980" t="str">
        <f>IF(LEFT(Y980,1)="A","Sistema digestivo",IF(LEFT(Y980,1)="B","Sangre",IF(LEFT(Y980,1)="C","Cardiovascular",IF(LEFT(Y980,1)="D","Dermatológico",IF(LEFT(Y980,1)="G","Genitourinario",IF(LEFT(Y980,1)="H","Hormonal",IF(LEFT(Y980,1)="J","Antiinfecciosos",IF(LEFT(Y980,1)="L","Oncológicos",IF(LEFT(Y980,1)="M","Musculoesquelético",IF(LEFT(Y980,1)="N","Sistema nervioso",IF(LEFT(Y980,1)="R","Respiratorio",IF(LEFT(Y980,1)="S","Oftálmico",IF(LEFT(Y980,1)="V","Varios","OTRO")))))))))))))</f>
        <v>Sistema nervioso</v>
      </c>
      <c r="AM980" t="str">
        <f>IF(AG980="Vigente","ACTIVO",IF(ISNUMBER(SEARCH("Inactivo",J980)),"INACTIVO","REVISAR"))</f>
        <v>ACTIVO</v>
      </c>
      <c r="AN980" t="str">
        <f ca="1">IF(OR(AF980="",AF980="null"),"",ROUND((AF980-TODAY())/365.25,2))</f>
        <v/>
      </c>
      <c r="AO980" t="str">
        <f ca="1">IF(AND(AG980="Vigente",OR(AF980="",AF980="null",AF980&gt;TODAY())),"SI",IF(AND(NOT(OR(AF980="",AF980="null")),AF980&lt;=TODAY()),"NO",IF(AG980="Vigente","SI","DESCONOCIDO")))</f>
        <v>SI</v>
      </c>
      <c r="AP980" t="str">
        <f>IF(AND(ISNUMBER(SEARCH("IMPORTAR",AA980)),ISNUMBER(SEARCH("FABRICAR",AA980))),"MIXTO",IF(ISNUMBER(SEARCH("IMPORTAR",AA980)),"IMPORTADO",IF(ISNUMBER(SEARCH("FABRICAR",AA980)),"LOCAL","OTRO")))</f>
        <v>LOCAL</v>
      </c>
      <c r="AQ980" t="str">
        <f>IF(AD980="Si","SI",IF(AD980="No","NO",""))</f>
        <v>NO</v>
      </c>
      <c r="AR980" t="str">
        <f>IF(ISNUMBER(SEARCH("®",N980)),"MARCA/INNOVADOR","GENERICO")</f>
        <v>MARCA/INNOVADOR</v>
      </c>
      <c r="AS980">
        <f ca="1">IF(AE980&gt;100,RANDBETWEEN(500,5000),IF(AND(AE980&gt;=10,AE980&lt;=100),RANDBETWEEN(100,1000),RANDBETWEEN(10,200)))</f>
        <v>1844</v>
      </c>
      <c r="AT980">
        <f t="shared" ca="1" si="77"/>
        <v>442</v>
      </c>
      <c r="AU980">
        <f ca="1">INT(AS980*RANDBETWEEN(120,200)/100)</f>
        <v>2526</v>
      </c>
      <c r="AV980" s="2">
        <f ca="1">IF(LEFT(Y980,1)="L",RANDBETWEEN(500000,5000000),IF(LEFT(Y980,1)="C",RANDBETWEEN(5000,50000),IF(LEFT(Y980,1)="N",RANDBETWEEN(10000,150000),IF(LEFT(Y980,1)="J",RANDBETWEEN(8000,200000),RANDBETWEEN(5000,100000)))))</f>
        <v>79133</v>
      </c>
      <c r="AW980" s="2">
        <f ca="1">INT(AV980*RANDBETWEEN(30,60)/100)</f>
        <v>46688</v>
      </c>
      <c r="AX980">
        <f ca="1">IF(Z980="ORAL",RANDBETWEEN(1000,10000),IF(OR(Z980="INTRAVENOSA",Z980="INTRAMUSCULAR"),RANDBETWEEN(100,2000),IF(OR(Z980="OFTÁLMICA",Z980="TOPICA (EXTERNA)"),RANDBETWEEN(200,3000),RANDBETWEEN(100,1500))))</f>
        <v>4857</v>
      </c>
      <c r="AY980" s="2">
        <f ca="1">INT(AV980*RANDBETWEEN(90,130)/100)</f>
        <v>72802</v>
      </c>
      <c r="AZ980" t="str">
        <f t="shared" ca="1" si="78"/>
        <v>6.1%</v>
      </c>
      <c r="BA980" t="str">
        <f t="shared" ca="1" si="79"/>
        <v>BAJO</v>
      </c>
    </row>
    <row r="981" spans="4:53" x14ac:dyDescent="0.35">
      <c r="D981" t="s">
        <v>6025</v>
      </c>
      <c r="E981" s="1">
        <v>40675</v>
      </c>
      <c r="F981" t="s">
        <v>6026</v>
      </c>
      <c r="G981" t="s">
        <v>108</v>
      </c>
      <c r="H981" t="s">
        <v>6027</v>
      </c>
      <c r="I981">
        <v>20023742</v>
      </c>
      <c r="J981" t="s">
        <v>28</v>
      </c>
      <c r="K981">
        <v>8</v>
      </c>
      <c r="L981" t="s">
        <v>27</v>
      </c>
      <c r="M981" t="s">
        <v>6028</v>
      </c>
      <c r="N981" t="s">
        <v>6029</v>
      </c>
      <c r="O981" t="s">
        <v>6030</v>
      </c>
      <c r="P981" t="s">
        <v>432</v>
      </c>
      <c r="Q981" s="1">
        <v>40871</v>
      </c>
      <c r="R981" t="s">
        <v>33</v>
      </c>
      <c r="S981" t="s">
        <v>27</v>
      </c>
      <c r="T981" t="s">
        <v>1574</v>
      </c>
      <c r="U981" t="s">
        <v>115</v>
      </c>
      <c r="V981" t="s">
        <v>2082</v>
      </c>
      <c r="W981">
        <v>10</v>
      </c>
      <c r="X981">
        <v>20023742</v>
      </c>
      <c r="Y981" t="s">
        <v>2083</v>
      </c>
      <c r="Z981" t="s">
        <v>119</v>
      </c>
      <c r="AA981" t="s">
        <v>32</v>
      </c>
      <c r="AB981" t="s">
        <v>120</v>
      </c>
      <c r="AC981" t="s">
        <v>25</v>
      </c>
      <c r="AD981" t="s">
        <v>155</v>
      </c>
      <c r="AE981">
        <v>10</v>
      </c>
      <c r="AF981" t="s">
        <v>27</v>
      </c>
      <c r="AG981" t="s">
        <v>26</v>
      </c>
      <c r="AH981" t="s">
        <v>6717</v>
      </c>
      <c r="AI981" t="str">
        <f t="shared" si="75"/>
        <v>SI</v>
      </c>
      <c r="AJ981" t="str">
        <f t="shared" si="76"/>
        <v>SANDOZ</v>
      </c>
      <c r="AK981" t="str">
        <f>IF(ISNUMBER(SEARCH("FABRICANTE",AC981)),"FABRICANTE",IF(ISNUMBER(SEARCH("IMPORTADOR",AC981)),"IMPORTADOR","OTRO"))</f>
        <v>FABRICANTE</v>
      </c>
      <c r="AL981" t="str">
        <f>IF(LEFT(Y981,1)="A","Sistema digestivo",IF(LEFT(Y981,1)="B","Sangre",IF(LEFT(Y981,1)="C","Cardiovascular",IF(LEFT(Y981,1)="D","Dermatológico",IF(LEFT(Y981,1)="G","Genitourinario",IF(LEFT(Y981,1)="H","Hormonal",IF(LEFT(Y981,1)="J","Antiinfecciosos",IF(LEFT(Y981,1)="L","Oncológicos",IF(LEFT(Y981,1)="M","Musculoesquelético",IF(LEFT(Y981,1)="N","Sistema nervioso",IF(LEFT(Y981,1)="R","Respiratorio",IF(LEFT(Y981,1)="S","Oftálmico",IF(LEFT(Y981,1)="V","Varios","OTRO")))))))))))))</f>
        <v>Sistema nervioso</v>
      </c>
      <c r="AM981" t="str">
        <f>IF(AG981="Vigente","ACTIVO",IF(ISNUMBER(SEARCH("Inactivo",J981)),"INACTIVO","REVISAR"))</f>
        <v>ACTIVO</v>
      </c>
      <c r="AN981" t="str">
        <f ca="1">IF(OR(AF981="",AF981="null"),"",ROUND((AF981-TODAY())/365.25,2))</f>
        <v/>
      </c>
      <c r="AO981" t="str">
        <f ca="1">IF(AND(AG981="Vigente",OR(AF981="",AF981="null",AF981&gt;TODAY())),"SI",IF(AND(NOT(OR(AF981="",AF981="null")),AF981&lt;=TODAY()),"NO",IF(AG981="Vigente","SI","DESCONOCIDO")))</f>
        <v>SI</v>
      </c>
      <c r="AP981" t="str">
        <f>IF(AND(ISNUMBER(SEARCH("IMPORTAR",AA981)),ISNUMBER(SEARCH("FABRICAR",AA981))),"MIXTO",IF(ISNUMBER(SEARCH("IMPORTAR",AA981)),"IMPORTADO",IF(ISNUMBER(SEARCH("FABRICAR",AA981)),"LOCAL","OTRO")))</f>
        <v>IMPORTADO</v>
      </c>
      <c r="AQ981" t="str">
        <f>IF(AD981="Si","SI",IF(AD981="No","NO",""))</f>
        <v>SI</v>
      </c>
      <c r="AR981" t="str">
        <f>IF(ISNUMBER(SEARCH("®",N981)),"MARCA/INNOVADOR","GENERICO")</f>
        <v>MARCA/INNOVADOR</v>
      </c>
      <c r="AS981">
        <f ca="1">IF(AE981&gt;100,RANDBETWEEN(500,5000),IF(AND(AE981&gt;=10,AE981&lt;=100),RANDBETWEEN(100,1000),RANDBETWEEN(10,200)))</f>
        <v>923</v>
      </c>
      <c r="AT981">
        <f t="shared" ca="1" si="77"/>
        <v>258</v>
      </c>
      <c r="AU981">
        <f ca="1">INT(AS981*RANDBETWEEN(120,200)/100)</f>
        <v>1679</v>
      </c>
      <c r="AV981" s="2">
        <f ca="1">IF(LEFT(Y981,1)="L",RANDBETWEEN(500000,5000000),IF(LEFT(Y981,1)="C",RANDBETWEEN(5000,50000),IF(LEFT(Y981,1)="N",RANDBETWEEN(10000,150000),IF(LEFT(Y981,1)="J",RANDBETWEEN(8000,200000),RANDBETWEEN(5000,100000)))))</f>
        <v>48551</v>
      </c>
      <c r="AW981" s="2">
        <f ca="1">INT(AV981*RANDBETWEEN(30,60)/100)</f>
        <v>21847</v>
      </c>
      <c r="AX981">
        <f ca="1">IF(Z981="ORAL",RANDBETWEEN(1000,10000),IF(OR(Z981="INTRAVENOSA",Z981="INTRAMUSCULAR"),RANDBETWEEN(100,2000),IF(OR(Z981="OFTÁLMICA",Z981="TOPICA (EXTERNA)"),RANDBETWEEN(200,3000),RANDBETWEEN(100,1500))))</f>
        <v>5415</v>
      </c>
      <c r="AY981" s="2">
        <f ca="1">INT(AV981*RANDBETWEEN(90,130)/100)</f>
        <v>58746</v>
      </c>
      <c r="AZ981" t="str">
        <f t="shared" ca="1" si="78"/>
        <v>21.1%</v>
      </c>
      <c r="BA981" t="str">
        <f t="shared" ca="1" si="79"/>
        <v>BAJO</v>
      </c>
    </row>
    <row r="982" spans="4:53" x14ac:dyDescent="0.35">
      <c r="D982" t="s">
        <v>6031</v>
      </c>
      <c r="E982" s="1">
        <v>42898</v>
      </c>
      <c r="F982" t="s">
        <v>6032</v>
      </c>
      <c r="G982" t="s">
        <v>108</v>
      </c>
      <c r="H982" t="s">
        <v>6033</v>
      </c>
      <c r="I982">
        <v>20106247</v>
      </c>
      <c r="J982" t="s">
        <v>28</v>
      </c>
      <c r="K982">
        <v>1</v>
      </c>
      <c r="L982" t="s">
        <v>6034</v>
      </c>
      <c r="M982" t="s">
        <v>6035</v>
      </c>
      <c r="N982" t="s">
        <v>6036</v>
      </c>
      <c r="O982" t="s">
        <v>6037</v>
      </c>
      <c r="P982" t="s">
        <v>6038</v>
      </c>
      <c r="Q982" s="1">
        <v>42564</v>
      </c>
      <c r="R982" t="s">
        <v>50</v>
      </c>
      <c r="S982" t="s">
        <v>27</v>
      </c>
      <c r="T982" t="s">
        <v>6039</v>
      </c>
      <c r="U982" t="s">
        <v>115</v>
      </c>
      <c r="V982" t="s">
        <v>6040</v>
      </c>
      <c r="W982">
        <v>8</v>
      </c>
      <c r="X982">
        <v>20106247</v>
      </c>
      <c r="Y982" t="s">
        <v>6041</v>
      </c>
      <c r="Z982" t="s">
        <v>260</v>
      </c>
      <c r="AA982" t="s">
        <v>32</v>
      </c>
      <c r="AB982" t="s">
        <v>120</v>
      </c>
      <c r="AC982" t="s">
        <v>25</v>
      </c>
      <c r="AD982" t="s">
        <v>121</v>
      </c>
      <c r="AE982">
        <v>5</v>
      </c>
      <c r="AF982" t="s">
        <v>27</v>
      </c>
      <c r="AG982" t="s">
        <v>26</v>
      </c>
      <c r="AH982" t="s">
        <v>6718</v>
      </c>
      <c r="AI982" t="str">
        <f t="shared" si="75"/>
        <v>SI</v>
      </c>
      <c r="AJ982" t="str">
        <f t="shared" si="76"/>
        <v>HB HUMAN BIOSCIENCE</v>
      </c>
      <c r="AK982" t="str">
        <f>IF(ISNUMBER(SEARCH("FABRICANTE",AC982)),"FABRICANTE",IF(ISNUMBER(SEARCH("IMPORTADOR",AC982)),"IMPORTADOR","OTRO"))</f>
        <v>FABRICANTE</v>
      </c>
      <c r="AL982" t="str">
        <f>IF(LEFT(Y982,1)="A","Sistema digestivo",IF(LEFT(Y982,1)="B","Sangre",IF(LEFT(Y982,1)="C","Cardiovascular",IF(LEFT(Y982,1)="D","Dermatológico",IF(LEFT(Y982,1)="G","Genitourinario",IF(LEFT(Y982,1)="H","Hormonal",IF(LEFT(Y982,1)="J","Antiinfecciosos",IF(LEFT(Y982,1)="L","Oncológicos",IF(LEFT(Y982,1)="M","Musculoesquelético",IF(LEFT(Y982,1)="N","Sistema nervioso",IF(LEFT(Y982,1)="R","Respiratorio",IF(LEFT(Y982,1)="S","Oftálmico",IF(LEFT(Y982,1)="V","Varios","OTRO")))))))))))))</f>
        <v>Sistema digestivo</v>
      </c>
      <c r="AM982" t="str">
        <f>IF(AG982="Vigente","ACTIVO",IF(ISNUMBER(SEARCH("Inactivo",J982)),"INACTIVO","REVISAR"))</f>
        <v>ACTIVO</v>
      </c>
      <c r="AN982" t="str">
        <f ca="1">IF(OR(AF982="",AF982="null"),"",ROUND((AF982-TODAY())/365.25,2))</f>
        <v/>
      </c>
      <c r="AO982" t="str">
        <f ca="1">IF(AND(AG982="Vigente",OR(AF982="",AF982="null",AF982&gt;TODAY())),"SI",IF(AND(NOT(OR(AF982="",AF982="null")),AF982&lt;=TODAY()),"NO",IF(AG982="Vigente","SI","DESCONOCIDO")))</f>
        <v>SI</v>
      </c>
      <c r="AP982" t="str">
        <f>IF(AND(ISNUMBER(SEARCH("IMPORTAR",AA982)),ISNUMBER(SEARCH("FABRICAR",AA982))),"MIXTO",IF(ISNUMBER(SEARCH("IMPORTAR",AA982)),"IMPORTADO",IF(ISNUMBER(SEARCH("FABRICAR",AA982)),"LOCAL","OTRO")))</f>
        <v>IMPORTADO</v>
      </c>
      <c r="AQ982" t="str">
        <f>IF(AD982="Si","SI",IF(AD982="No","NO",""))</f>
        <v>NO</v>
      </c>
      <c r="AR982" t="str">
        <f>IF(ISNUMBER(SEARCH("®",N982)),"MARCA/INNOVADOR","GENERICO")</f>
        <v>MARCA/INNOVADOR</v>
      </c>
      <c r="AS982">
        <f ca="1">IF(AE982&gt;100,RANDBETWEEN(500,5000),IF(AND(AE982&gt;=10,AE982&lt;=100),RANDBETWEEN(100,1000),RANDBETWEEN(10,200)))</f>
        <v>178</v>
      </c>
      <c r="AT982">
        <f t="shared" ca="1" si="77"/>
        <v>37</v>
      </c>
      <c r="AU982">
        <f ca="1">INT(AS982*RANDBETWEEN(120,200)/100)</f>
        <v>348</v>
      </c>
      <c r="AV982" s="2">
        <f ca="1">IF(LEFT(Y982,1)="L",RANDBETWEEN(500000,5000000),IF(LEFT(Y982,1)="C",RANDBETWEEN(5000,50000),IF(LEFT(Y982,1)="N",RANDBETWEEN(10000,150000),IF(LEFT(Y982,1)="J",RANDBETWEEN(8000,200000),RANDBETWEEN(5000,100000)))))</f>
        <v>77498</v>
      </c>
      <c r="AW982" s="2">
        <f ca="1">INT(AV982*RANDBETWEEN(30,60)/100)</f>
        <v>24799</v>
      </c>
      <c r="AX982">
        <f ca="1">IF(Z982="ORAL",RANDBETWEEN(1000,10000),IF(OR(Z982="INTRAVENOSA",Z982="INTRAMUSCULAR"),RANDBETWEEN(100,2000),IF(OR(Z982="OFTÁLMICA",Z982="TOPICA (EXTERNA)"),RANDBETWEEN(200,3000),RANDBETWEEN(100,1500))))</f>
        <v>1492</v>
      </c>
      <c r="AY982" s="2">
        <f ca="1">INT(AV982*RANDBETWEEN(90,130)/100)</f>
        <v>85247</v>
      </c>
      <c r="AZ982" t="str">
        <f t="shared" ca="1" si="78"/>
        <v>4%</v>
      </c>
      <c r="BA982" t="str">
        <f t="shared" ca="1" si="79"/>
        <v>BAJO</v>
      </c>
    </row>
    <row r="983" spans="4:53" x14ac:dyDescent="0.35">
      <c r="D983" t="s">
        <v>6042</v>
      </c>
      <c r="E983" s="1">
        <v>43132</v>
      </c>
      <c r="F983" t="s">
        <v>6043</v>
      </c>
      <c r="G983" t="s">
        <v>108</v>
      </c>
      <c r="H983" t="s">
        <v>325</v>
      </c>
      <c r="I983">
        <v>20115441</v>
      </c>
      <c r="J983" t="s">
        <v>28</v>
      </c>
      <c r="K983">
        <v>6</v>
      </c>
      <c r="L983" t="s">
        <v>6044</v>
      </c>
      <c r="M983" t="s">
        <v>6045</v>
      </c>
      <c r="N983" t="s">
        <v>6046</v>
      </c>
      <c r="O983" t="s">
        <v>6047</v>
      </c>
      <c r="P983" t="s">
        <v>33</v>
      </c>
      <c r="Q983" s="1">
        <v>43076</v>
      </c>
      <c r="R983" t="s">
        <v>33</v>
      </c>
      <c r="S983" t="s">
        <v>27</v>
      </c>
      <c r="T983" t="s">
        <v>2855</v>
      </c>
      <c r="U983" t="s">
        <v>115</v>
      </c>
      <c r="V983" t="s">
        <v>321</v>
      </c>
      <c r="W983">
        <v>10</v>
      </c>
      <c r="X983">
        <v>20115441</v>
      </c>
      <c r="Y983" t="s">
        <v>322</v>
      </c>
      <c r="Z983" t="s">
        <v>119</v>
      </c>
      <c r="AA983" t="s">
        <v>24</v>
      </c>
      <c r="AB983" t="s">
        <v>120</v>
      </c>
      <c r="AC983" t="s">
        <v>25</v>
      </c>
      <c r="AD983" t="s">
        <v>121</v>
      </c>
      <c r="AE983">
        <v>100</v>
      </c>
      <c r="AF983" t="s">
        <v>27</v>
      </c>
      <c r="AG983" t="s">
        <v>26</v>
      </c>
      <c r="AH983" t="s">
        <v>6043</v>
      </c>
      <c r="AI983" t="str">
        <f t="shared" si="75"/>
        <v>NO</v>
      </c>
      <c r="AJ983" t="str">
        <f t="shared" si="76"/>
        <v>LABORATORIOS LEBRIUT</v>
      </c>
      <c r="AK983" t="str">
        <f>IF(ISNUMBER(SEARCH("FABRICANTE",AC983)),"FABRICANTE",IF(ISNUMBER(SEARCH("IMPORTADOR",AC983)),"IMPORTADOR","OTRO"))</f>
        <v>FABRICANTE</v>
      </c>
      <c r="AL983" t="str">
        <f>IF(LEFT(Y983,1)="A","Sistema digestivo",IF(LEFT(Y983,1)="B","Sangre",IF(LEFT(Y983,1)="C","Cardiovascular",IF(LEFT(Y983,1)="D","Dermatológico",IF(LEFT(Y983,1)="G","Genitourinario",IF(LEFT(Y983,1)="H","Hormonal",IF(LEFT(Y983,1)="J","Antiinfecciosos",IF(LEFT(Y983,1)="L","Oncológicos",IF(LEFT(Y983,1)="M","Musculoesquelético",IF(LEFT(Y983,1)="N","Sistema nervioso",IF(LEFT(Y983,1)="R","Respiratorio",IF(LEFT(Y983,1)="S","Oftálmico",IF(LEFT(Y983,1)="V","Varios","OTRO")))))))))))))</f>
        <v>Sistema nervioso</v>
      </c>
      <c r="AM983" t="str">
        <f>IF(AG983="Vigente","ACTIVO",IF(ISNUMBER(SEARCH("Inactivo",J983)),"INACTIVO","REVISAR"))</f>
        <v>ACTIVO</v>
      </c>
      <c r="AN983" t="str">
        <f ca="1">IF(OR(AF983="",AF983="null"),"",ROUND((AF983-TODAY())/365.25,2))</f>
        <v/>
      </c>
      <c r="AO983" t="str">
        <f ca="1">IF(AND(AG983="Vigente",OR(AF983="",AF983="null",AF983&gt;TODAY())),"SI",IF(AND(NOT(OR(AF983="",AF983="null")),AF983&lt;=TODAY()),"NO",IF(AG983="Vigente","SI","DESCONOCIDO")))</f>
        <v>SI</v>
      </c>
      <c r="AP983" t="str">
        <f>IF(AND(ISNUMBER(SEARCH("IMPORTAR",AA983)),ISNUMBER(SEARCH("FABRICAR",AA983))),"MIXTO",IF(ISNUMBER(SEARCH("IMPORTAR",AA983)),"IMPORTADO",IF(ISNUMBER(SEARCH("FABRICAR",AA983)),"LOCAL","OTRO")))</f>
        <v>LOCAL</v>
      </c>
      <c r="AQ983" t="str">
        <f>IF(AD983="Si","SI",IF(AD983="No","NO",""))</f>
        <v>NO</v>
      </c>
      <c r="AR983" t="str">
        <f>IF(ISNUMBER(SEARCH("®",N983)),"MARCA/INNOVADOR","GENERICO")</f>
        <v>MARCA/INNOVADOR</v>
      </c>
      <c r="AS983">
        <f ca="1">IF(AE983&gt;100,RANDBETWEEN(500,5000),IF(AND(AE983&gt;=10,AE983&lt;=100),RANDBETWEEN(100,1000),RANDBETWEEN(10,200)))</f>
        <v>921</v>
      </c>
      <c r="AT983">
        <f t="shared" ca="1" si="77"/>
        <v>248</v>
      </c>
      <c r="AU983">
        <f ca="1">INT(AS983*RANDBETWEEN(120,200)/100)</f>
        <v>1372</v>
      </c>
      <c r="AV983" s="2">
        <f ca="1">IF(LEFT(Y983,1)="L",RANDBETWEEN(500000,5000000),IF(LEFT(Y983,1)="C",RANDBETWEEN(5000,50000),IF(LEFT(Y983,1)="N",RANDBETWEEN(10000,150000),IF(LEFT(Y983,1)="J",RANDBETWEEN(8000,200000),RANDBETWEEN(5000,100000)))))</f>
        <v>17688</v>
      </c>
      <c r="AW983" s="2">
        <f ca="1">INT(AV983*RANDBETWEEN(30,60)/100)</f>
        <v>7428</v>
      </c>
      <c r="AX983">
        <f ca="1">IF(Z983="ORAL",RANDBETWEEN(1000,10000),IF(OR(Z983="INTRAVENOSA",Z983="INTRAMUSCULAR"),RANDBETWEEN(100,2000),IF(OR(Z983="OFTÁLMICA",Z983="TOPICA (EXTERNA)"),RANDBETWEEN(200,3000),RANDBETWEEN(100,1500))))</f>
        <v>1853</v>
      </c>
      <c r="AY983" s="2">
        <f ca="1">INT(AV983*RANDBETWEEN(90,130)/100)</f>
        <v>17157</v>
      </c>
      <c r="AZ983" t="str">
        <f t="shared" ca="1" si="78"/>
        <v>11%</v>
      </c>
      <c r="BA983" t="str">
        <f t="shared" ca="1" si="79"/>
        <v>BAJO</v>
      </c>
    </row>
    <row r="984" spans="4:53" x14ac:dyDescent="0.35">
      <c r="D984" t="s">
        <v>6048</v>
      </c>
      <c r="E984" s="1">
        <v>41227</v>
      </c>
      <c r="F984" t="s">
        <v>6049</v>
      </c>
      <c r="G984" t="s">
        <v>108</v>
      </c>
      <c r="H984" t="s">
        <v>6050</v>
      </c>
      <c r="I984">
        <v>20044975</v>
      </c>
      <c r="J984" t="s">
        <v>28</v>
      </c>
      <c r="K984">
        <v>1</v>
      </c>
      <c r="L984" t="s">
        <v>6051</v>
      </c>
      <c r="M984" t="s">
        <v>6052</v>
      </c>
      <c r="N984" t="s">
        <v>6053</v>
      </c>
      <c r="O984" t="s">
        <v>6054</v>
      </c>
      <c r="P984" t="s">
        <v>33</v>
      </c>
      <c r="Q984" s="1">
        <v>41043</v>
      </c>
      <c r="R984" t="s">
        <v>33</v>
      </c>
      <c r="S984" t="s">
        <v>27</v>
      </c>
      <c r="T984" t="s">
        <v>532</v>
      </c>
      <c r="U984" t="s">
        <v>115</v>
      </c>
      <c r="V984" t="s">
        <v>75</v>
      </c>
      <c r="W984">
        <v>500</v>
      </c>
      <c r="X984">
        <v>20044975</v>
      </c>
      <c r="Y984" t="s">
        <v>72</v>
      </c>
      <c r="Z984" t="s">
        <v>119</v>
      </c>
      <c r="AA984" t="s">
        <v>32</v>
      </c>
      <c r="AB984" t="s">
        <v>120</v>
      </c>
      <c r="AC984" t="s">
        <v>25</v>
      </c>
      <c r="AD984" t="s">
        <v>121</v>
      </c>
      <c r="AE984">
        <v>21</v>
      </c>
      <c r="AF984" t="s">
        <v>27</v>
      </c>
      <c r="AG984" t="s">
        <v>26</v>
      </c>
      <c r="AH984" t="s">
        <v>79</v>
      </c>
      <c r="AI984" t="str">
        <f t="shared" si="75"/>
        <v>NO</v>
      </c>
      <c r="AJ984" t="str">
        <f t="shared" si="76"/>
        <v>FAES FARMA COLOMBIA</v>
      </c>
      <c r="AK984" t="str">
        <f>IF(ISNUMBER(SEARCH("FABRICANTE",AC984)),"FABRICANTE",IF(ISNUMBER(SEARCH("IMPORTADOR",AC984)),"IMPORTADOR","OTRO"))</f>
        <v>FABRICANTE</v>
      </c>
      <c r="AL984" t="str">
        <f>IF(LEFT(Y984,1)="A","Sistema digestivo",IF(LEFT(Y984,1)="B","Sangre",IF(LEFT(Y984,1)="C","Cardiovascular",IF(LEFT(Y984,1)="D","Dermatológico",IF(LEFT(Y984,1)="G","Genitourinario",IF(LEFT(Y984,1)="H","Hormonal",IF(LEFT(Y984,1)="J","Antiinfecciosos",IF(LEFT(Y984,1)="L","Oncológicos",IF(LEFT(Y984,1)="M","Musculoesquelético",IF(LEFT(Y984,1)="N","Sistema nervioso",IF(LEFT(Y984,1)="R","Respiratorio",IF(LEFT(Y984,1)="S","Oftálmico",IF(LEFT(Y984,1)="V","Varios","OTRO")))))))))))))</f>
        <v>Antiinfecciosos</v>
      </c>
      <c r="AM984" t="str">
        <f>IF(AG984="Vigente","ACTIVO",IF(ISNUMBER(SEARCH("Inactivo",J984)),"INACTIVO","REVISAR"))</f>
        <v>ACTIVO</v>
      </c>
      <c r="AN984" t="str">
        <f ca="1">IF(OR(AF984="",AF984="null"),"",ROUND((AF984-TODAY())/365.25,2))</f>
        <v/>
      </c>
      <c r="AO984" t="str">
        <f ca="1">IF(AND(AG984="Vigente",OR(AF984="",AF984="null",AF984&gt;TODAY())),"SI",IF(AND(NOT(OR(AF984="",AF984="null")),AF984&lt;=TODAY()),"NO",IF(AG984="Vigente","SI","DESCONOCIDO")))</f>
        <v>SI</v>
      </c>
      <c r="AP984" t="str">
        <f>IF(AND(ISNUMBER(SEARCH("IMPORTAR",AA984)),ISNUMBER(SEARCH("FABRICAR",AA984))),"MIXTO",IF(ISNUMBER(SEARCH("IMPORTAR",AA984)),"IMPORTADO",IF(ISNUMBER(SEARCH("FABRICAR",AA984)),"LOCAL","OTRO")))</f>
        <v>IMPORTADO</v>
      </c>
      <c r="AQ984" t="str">
        <f>IF(AD984="Si","SI",IF(AD984="No","NO",""))</f>
        <v>NO</v>
      </c>
      <c r="AR984" t="str">
        <f>IF(ISNUMBER(SEARCH("®",N984)),"MARCA/INNOVADOR","GENERICO")</f>
        <v>MARCA/INNOVADOR</v>
      </c>
      <c r="AS984">
        <f ca="1">IF(AE984&gt;100,RANDBETWEEN(500,5000),IF(AND(AE984&gt;=10,AE984&lt;=100),RANDBETWEEN(100,1000),RANDBETWEEN(10,200)))</f>
        <v>768</v>
      </c>
      <c r="AT984">
        <f t="shared" ca="1" si="77"/>
        <v>192</v>
      </c>
      <c r="AU984">
        <f ca="1">INT(AS984*RANDBETWEEN(120,200)/100)</f>
        <v>1405</v>
      </c>
      <c r="AV984" s="2">
        <f ca="1">IF(LEFT(Y984,1)="L",RANDBETWEEN(500000,5000000),IF(LEFT(Y984,1)="C",RANDBETWEEN(5000,50000),IF(LEFT(Y984,1)="N",RANDBETWEEN(10000,150000),IF(LEFT(Y984,1)="J",RANDBETWEEN(8000,200000),RANDBETWEEN(5000,100000)))))</f>
        <v>197543</v>
      </c>
      <c r="AW984" s="2">
        <f ca="1">INT(AV984*RANDBETWEEN(30,60)/100)</f>
        <v>112599</v>
      </c>
      <c r="AX984">
        <f ca="1">IF(Z984="ORAL",RANDBETWEEN(1000,10000),IF(OR(Z984="INTRAVENOSA",Z984="INTRAMUSCULAR"),RANDBETWEEN(100,2000),IF(OR(Z984="OFTÁLMICA",Z984="TOPICA (EXTERNA)"),RANDBETWEEN(200,3000),RANDBETWEEN(100,1500))))</f>
        <v>3192</v>
      </c>
      <c r="AY984" s="2">
        <f ca="1">INT(AV984*RANDBETWEEN(90,130)/100)</f>
        <v>227174</v>
      </c>
      <c r="AZ984" t="str">
        <f t="shared" ca="1" si="78"/>
        <v>15.4%</v>
      </c>
      <c r="BA984" t="str">
        <f t="shared" ca="1" si="79"/>
        <v>BAJO</v>
      </c>
    </row>
    <row r="985" spans="4:53" x14ac:dyDescent="0.35">
      <c r="D985" t="s">
        <v>6055</v>
      </c>
      <c r="E985" s="1">
        <v>35787</v>
      </c>
      <c r="F985" t="s">
        <v>4280</v>
      </c>
      <c r="G985" t="s">
        <v>108</v>
      </c>
      <c r="H985" t="s">
        <v>681</v>
      </c>
      <c r="I985">
        <v>208141</v>
      </c>
      <c r="J985" t="s">
        <v>110</v>
      </c>
      <c r="K985">
        <v>30</v>
      </c>
      <c r="L985" t="s">
        <v>27</v>
      </c>
      <c r="M985" t="s">
        <v>550</v>
      </c>
      <c r="N985" t="s">
        <v>551</v>
      </c>
      <c r="O985" t="s">
        <v>6056</v>
      </c>
      <c r="P985" t="s">
        <v>553</v>
      </c>
      <c r="Q985" s="1">
        <v>39225</v>
      </c>
      <c r="R985" t="s">
        <v>50</v>
      </c>
      <c r="S985" t="s">
        <v>27</v>
      </c>
      <c r="T985" t="s">
        <v>549</v>
      </c>
      <c r="U985" t="s">
        <v>247</v>
      </c>
      <c r="V985" t="s">
        <v>554</v>
      </c>
      <c r="W985" t="s">
        <v>6057</v>
      </c>
      <c r="X985">
        <v>208141</v>
      </c>
      <c r="Y985" t="s">
        <v>556</v>
      </c>
      <c r="Z985" t="s">
        <v>260</v>
      </c>
      <c r="AA985" t="s">
        <v>32</v>
      </c>
      <c r="AB985" t="s">
        <v>120</v>
      </c>
      <c r="AC985" t="s">
        <v>25</v>
      </c>
      <c r="AD985" t="s">
        <v>121</v>
      </c>
      <c r="AE985">
        <v>1</v>
      </c>
      <c r="AF985" t="s">
        <v>27</v>
      </c>
      <c r="AG985" t="s">
        <v>26</v>
      </c>
      <c r="AH985" t="s">
        <v>4280</v>
      </c>
      <c r="AI985" t="str">
        <f t="shared" si="75"/>
        <v>NO</v>
      </c>
      <c r="AJ985" t="str">
        <f t="shared" si="76"/>
        <v>LABORATORIOS BAXTER</v>
      </c>
      <c r="AK985" t="str">
        <f>IF(ISNUMBER(SEARCH("FABRICANTE",AC985)),"FABRICANTE",IF(ISNUMBER(SEARCH("IMPORTADOR",AC985)),"IMPORTADOR","OTRO"))</f>
        <v>FABRICANTE</v>
      </c>
      <c r="AL985" t="str">
        <f>IF(LEFT(Y985,1)="A","Sistema digestivo",IF(LEFT(Y985,1)="B","Sangre",IF(LEFT(Y985,1)="C","Cardiovascular",IF(LEFT(Y985,1)="D","Dermatológico",IF(LEFT(Y985,1)="G","Genitourinario",IF(LEFT(Y985,1)="H","Hormonal",IF(LEFT(Y985,1)="J","Antiinfecciosos",IF(LEFT(Y985,1)="L","Oncológicos",IF(LEFT(Y985,1)="M","Musculoesquelético",IF(LEFT(Y985,1)="N","Sistema nervioso",IF(LEFT(Y985,1)="R","Respiratorio",IF(LEFT(Y985,1)="S","Oftálmico",IF(LEFT(Y985,1)="V","Varios","OTRO")))))))))))))</f>
        <v>Sangre</v>
      </c>
      <c r="AM985" t="str">
        <f>IF(AG985="Vigente","ACTIVO",IF(ISNUMBER(SEARCH("Inactivo",J985)),"INACTIVO","REVISAR"))</f>
        <v>ACTIVO</v>
      </c>
      <c r="AN985" t="str">
        <f ca="1">IF(OR(AF985="",AF985="null"),"",ROUND((AF985-TODAY())/365.25,2))</f>
        <v/>
      </c>
      <c r="AO985" t="str">
        <f ca="1">IF(AND(AG985="Vigente",OR(AF985="",AF985="null",AF985&gt;TODAY())),"SI",IF(AND(NOT(OR(AF985="",AF985="null")),AF985&lt;=TODAY()),"NO",IF(AG985="Vigente","SI","DESCONOCIDO")))</f>
        <v>SI</v>
      </c>
      <c r="AP985" t="str">
        <f>IF(AND(ISNUMBER(SEARCH("IMPORTAR",AA985)),ISNUMBER(SEARCH("FABRICAR",AA985))),"MIXTO",IF(ISNUMBER(SEARCH("IMPORTAR",AA985)),"IMPORTADO",IF(ISNUMBER(SEARCH("FABRICAR",AA985)),"LOCAL","OTRO")))</f>
        <v>IMPORTADO</v>
      </c>
      <c r="AQ985" t="str">
        <f>IF(AD985="Si","SI",IF(AD985="No","NO",""))</f>
        <v>NO</v>
      </c>
      <c r="AR985" t="str">
        <f>IF(ISNUMBER(SEARCH("®",N985)),"MARCA/INNOVADOR","GENERICO")</f>
        <v>GENERICO</v>
      </c>
      <c r="AS985">
        <f ca="1">IF(AE985&gt;100,RANDBETWEEN(500,5000),IF(AND(AE985&gt;=10,AE985&lt;=100),RANDBETWEEN(100,1000),RANDBETWEEN(10,200)))</f>
        <v>100</v>
      </c>
      <c r="AT985">
        <f t="shared" ca="1" si="77"/>
        <v>11</v>
      </c>
      <c r="AU985">
        <f ca="1">INT(AS985*RANDBETWEEN(120,200)/100)</f>
        <v>189</v>
      </c>
      <c r="AV985" s="2">
        <f ca="1">IF(LEFT(Y985,1)="L",RANDBETWEEN(500000,5000000),IF(LEFT(Y985,1)="C",RANDBETWEEN(5000,50000),IF(LEFT(Y985,1)="N",RANDBETWEEN(10000,150000),IF(LEFT(Y985,1)="J",RANDBETWEEN(8000,200000),RANDBETWEEN(5000,100000)))))</f>
        <v>83499</v>
      </c>
      <c r="AW985" s="2">
        <f ca="1">INT(AV985*RANDBETWEEN(30,60)/100)</f>
        <v>32564</v>
      </c>
      <c r="AX985">
        <f ca="1">IF(Z985="ORAL",RANDBETWEEN(1000,10000),IF(OR(Z985="INTRAVENOSA",Z985="INTRAMUSCULAR"),RANDBETWEEN(100,2000),IF(OR(Z985="OFTÁLMICA",Z985="TOPICA (EXTERNA)"),RANDBETWEEN(200,3000),RANDBETWEEN(100,1500))))</f>
        <v>1330</v>
      </c>
      <c r="AY985" s="2">
        <f ca="1">INT(AV985*RANDBETWEEN(90,130)/100)</f>
        <v>106043</v>
      </c>
      <c r="AZ985" t="str">
        <f t="shared" ca="1" si="78"/>
        <v>3.1%</v>
      </c>
      <c r="BA985" t="str">
        <f t="shared" ca="1" si="79"/>
        <v>ALTO</v>
      </c>
    </row>
    <row r="986" spans="4:53" x14ac:dyDescent="0.35">
      <c r="D986" t="s">
        <v>6058</v>
      </c>
      <c r="E986" s="1">
        <v>35751</v>
      </c>
      <c r="F986" t="s">
        <v>6059</v>
      </c>
      <c r="G986" t="s">
        <v>108</v>
      </c>
      <c r="H986" t="s">
        <v>1279</v>
      </c>
      <c r="I986">
        <v>210571</v>
      </c>
      <c r="J986" t="s">
        <v>28</v>
      </c>
      <c r="K986">
        <v>9</v>
      </c>
      <c r="L986" t="s">
        <v>27</v>
      </c>
      <c r="M986" t="s">
        <v>6060</v>
      </c>
      <c r="N986" t="s">
        <v>6061</v>
      </c>
      <c r="O986" t="s">
        <v>6062</v>
      </c>
      <c r="P986" t="s">
        <v>29</v>
      </c>
      <c r="Q986" s="1">
        <v>44999</v>
      </c>
      <c r="R986" t="s">
        <v>33</v>
      </c>
      <c r="S986" t="s">
        <v>27</v>
      </c>
      <c r="T986" t="s">
        <v>1279</v>
      </c>
      <c r="U986" t="s">
        <v>115</v>
      </c>
      <c r="V986" t="s">
        <v>2162</v>
      </c>
      <c r="W986">
        <v>500</v>
      </c>
      <c r="X986">
        <v>210571</v>
      </c>
      <c r="Y986" t="s">
        <v>2163</v>
      </c>
      <c r="Z986" t="s">
        <v>119</v>
      </c>
      <c r="AA986" t="s">
        <v>24</v>
      </c>
      <c r="AB986" t="s">
        <v>120</v>
      </c>
      <c r="AC986" t="s">
        <v>25</v>
      </c>
      <c r="AD986" t="s">
        <v>155</v>
      </c>
      <c r="AE986">
        <v>3</v>
      </c>
      <c r="AF986" s="1">
        <v>401769</v>
      </c>
      <c r="AG986" t="s">
        <v>26</v>
      </c>
      <c r="AH986" t="s">
        <v>2162</v>
      </c>
      <c r="AI986" t="str">
        <f t="shared" si="75"/>
        <v>SI</v>
      </c>
      <c r="AJ986" t="str">
        <f t="shared" si="76"/>
        <v>LABORATORIOS LA SANTE</v>
      </c>
      <c r="AK986" t="str">
        <f>IF(ISNUMBER(SEARCH("FABRICANTE",AC986)),"FABRICANTE",IF(ISNUMBER(SEARCH("IMPORTADOR",AC986)),"IMPORTADOR","OTRO"))</f>
        <v>FABRICANTE</v>
      </c>
      <c r="AL986" t="str">
        <f>IF(LEFT(Y986,1)="A","Sistema digestivo",IF(LEFT(Y986,1)="B","Sangre",IF(LEFT(Y986,1)="C","Cardiovascular",IF(LEFT(Y986,1)="D","Dermatológico",IF(LEFT(Y986,1)="G","Genitourinario",IF(LEFT(Y986,1)="H","Hormonal",IF(LEFT(Y986,1)="J","Antiinfecciosos",IF(LEFT(Y986,1)="L","Oncológicos",IF(LEFT(Y986,1)="M","Musculoesquelético",IF(LEFT(Y986,1)="N","Sistema nervioso",IF(LEFT(Y986,1)="R","Respiratorio",IF(LEFT(Y986,1)="S","Oftálmico",IF(LEFT(Y986,1)="V","Varios","OTRO")))))))))))))</f>
        <v>Antiinfecciosos</v>
      </c>
      <c r="AM986" t="str">
        <f>IF(AG986="Vigente","ACTIVO",IF(ISNUMBER(SEARCH("Inactivo",J986)),"INACTIVO","REVISAR"))</f>
        <v>ACTIVO</v>
      </c>
      <c r="AN986">
        <f ca="1">IF(OR(AF986="",AF986="null"),"",ROUND((AF986-TODAY())/365.25,2))</f>
        <v>973.58</v>
      </c>
      <c r="AO986" t="str">
        <f ca="1">IF(AND(AG986="Vigente",OR(AF986="",AF986="null",AF986&gt;TODAY())),"SI",IF(AND(NOT(OR(AF986="",AF986="null")),AF986&lt;=TODAY()),"NO",IF(AG986="Vigente","SI","DESCONOCIDO")))</f>
        <v>SI</v>
      </c>
      <c r="AP986" t="str">
        <f>IF(AND(ISNUMBER(SEARCH("IMPORTAR",AA986)),ISNUMBER(SEARCH("FABRICAR",AA986))),"MIXTO",IF(ISNUMBER(SEARCH("IMPORTAR",AA986)),"IMPORTADO",IF(ISNUMBER(SEARCH("FABRICAR",AA986)),"LOCAL","OTRO")))</f>
        <v>LOCAL</v>
      </c>
      <c r="AQ986" t="str">
        <f>IF(AD986="Si","SI",IF(AD986="No","NO",""))</f>
        <v>SI</v>
      </c>
      <c r="AR986" t="str">
        <f>IF(ISNUMBER(SEARCH("®",N986)),"MARCA/INNOVADOR","GENERICO")</f>
        <v>GENERICO</v>
      </c>
      <c r="AS986">
        <f ca="1">IF(AE986&gt;100,RANDBETWEEN(500,5000),IF(AND(AE986&gt;=10,AE986&lt;=100),RANDBETWEEN(100,1000),RANDBETWEEN(10,200)))</f>
        <v>105</v>
      </c>
      <c r="AT986">
        <f t="shared" ca="1" si="77"/>
        <v>19</v>
      </c>
      <c r="AU986">
        <f ca="1">INT(AS986*RANDBETWEEN(120,200)/100)</f>
        <v>194</v>
      </c>
      <c r="AV986" s="2">
        <f ca="1">IF(LEFT(Y986,1)="L",RANDBETWEEN(500000,5000000),IF(LEFT(Y986,1)="C",RANDBETWEEN(5000,50000),IF(LEFT(Y986,1)="N",RANDBETWEEN(10000,150000),IF(LEFT(Y986,1)="J",RANDBETWEEN(8000,200000),RANDBETWEEN(5000,100000)))))</f>
        <v>158894</v>
      </c>
      <c r="AW986" s="2">
        <f ca="1">INT(AV986*RANDBETWEEN(30,60)/100)</f>
        <v>52435</v>
      </c>
      <c r="AX986">
        <f ca="1">IF(Z986="ORAL",RANDBETWEEN(1000,10000),IF(OR(Z986="INTRAVENOSA",Z986="INTRAMUSCULAR"),RANDBETWEEN(100,2000),IF(OR(Z986="OFTÁLMICA",Z986="TOPICA (EXTERNA)"),RANDBETWEEN(200,3000),RANDBETWEEN(100,1500))))</f>
        <v>1217</v>
      </c>
      <c r="AY986" s="2">
        <f ca="1">INT(AV986*RANDBETWEEN(90,130)/100)</f>
        <v>150949</v>
      </c>
      <c r="AZ986" t="str">
        <f t="shared" ca="1" si="78"/>
        <v>14.9%</v>
      </c>
      <c r="BA986" t="str">
        <f t="shared" ca="1" si="79"/>
        <v>BAJO</v>
      </c>
    </row>
    <row r="987" spans="4:53" x14ac:dyDescent="0.35">
      <c r="D987" t="s">
        <v>6063</v>
      </c>
      <c r="E987" s="1">
        <v>39500</v>
      </c>
      <c r="F987" t="s">
        <v>6064</v>
      </c>
      <c r="G987" t="s">
        <v>108</v>
      </c>
      <c r="H987" t="s">
        <v>6065</v>
      </c>
      <c r="I987">
        <v>19985986</v>
      </c>
      <c r="J987" t="s">
        <v>28</v>
      </c>
      <c r="K987">
        <v>1</v>
      </c>
      <c r="L987" t="s">
        <v>6066</v>
      </c>
      <c r="M987" t="s">
        <v>6067</v>
      </c>
      <c r="N987" t="s">
        <v>6068</v>
      </c>
      <c r="O987" t="s">
        <v>6069</v>
      </c>
      <c r="P987" t="s">
        <v>6070</v>
      </c>
      <c r="Q987" s="1">
        <v>39485</v>
      </c>
      <c r="R987" t="s">
        <v>826</v>
      </c>
      <c r="S987" t="s">
        <v>27</v>
      </c>
      <c r="T987" t="s">
        <v>278</v>
      </c>
      <c r="U987" t="s">
        <v>115</v>
      </c>
      <c r="V987" t="s">
        <v>2896</v>
      </c>
      <c r="W987">
        <v>27</v>
      </c>
      <c r="X987">
        <v>19985986</v>
      </c>
      <c r="Y987" t="s">
        <v>2898</v>
      </c>
      <c r="Z987" t="s">
        <v>2899</v>
      </c>
      <c r="AA987" t="s">
        <v>32</v>
      </c>
      <c r="AB987" t="s">
        <v>120</v>
      </c>
      <c r="AC987" t="s">
        <v>25</v>
      </c>
      <c r="AD987" t="s">
        <v>121</v>
      </c>
      <c r="AE987">
        <v>7</v>
      </c>
      <c r="AF987" t="s">
        <v>27</v>
      </c>
      <c r="AG987" t="s">
        <v>26</v>
      </c>
      <c r="AH987" t="s">
        <v>2896</v>
      </c>
      <c r="AI987" t="str">
        <f t="shared" si="75"/>
        <v>NO</v>
      </c>
      <c r="AJ987" t="str">
        <f t="shared" si="76"/>
        <v>BIOTOSCANA FARMA</v>
      </c>
      <c r="AK987" t="str">
        <f>IF(ISNUMBER(SEARCH("FABRICANTE",AC987)),"FABRICANTE",IF(ISNUMBER(SEARCH("IMPORTADOR",AC987)),"IMPORTADOR","OTRO"))</f>
        <v>FABRICANTE</v>
      </c>
      <c r="AL987" t="str">
        <f>IF(LEFT(Y987,1)="A","Sistema digestivo",IF(LEFT(Y987,1)="B","Sangre",IF(LEFT(Y987,1)="C","Cardiovascular",IF(LEFT(Y987,1)="D","Dermatológico",IF(LEFT(Y987,1)="G","Genitourinario",IF(LEFT(Y987,1)="H","Hormonal",IF(LEFT(Y987,1)="J","Antiinfecciosos",IF(LEFT(Y987,1)="L","Oncológicos",IF(LEFT(Y987,1)="M","Musculoesquelético",IF(LEFT(Y987,1)="N","Sistema nervioso",IF(LEFT(Y987,1)="R","Respiratorio",IF(LEFT(Y987,1)="S","Oftálmico",IF(LEFT(Y987,1)="V","Varios","OTRO")))))))))))))</f>
        <v>Sistema nervioso</v>
      </c>
      <c r="AM987" t="str">
        <f>IF(AG987="Vigente","ACTIVO",IF(ISNUMBER(SEARCH("Inactivo",J987)),"INACTIVO","REVISAR"))</f>
        <v>ACTIVO</v>
      </c>
      <c r="AN987" t="str">
        <f ca="1">IF(OR(AF987="",AF987="null"),"",ROUND((AF987-TODAY())/365.25,2))</f>
        <v/>
      </c>
      <c r="AO987" t="str">
        <f ca="1">IF(AND(AG987="Vigente",OR(AF987="",AF987="null",AF987&gt;TODAY())),"SI",IF(AND(NOT(OR(AF987="",AF987="null")),AF987&lt;=TODAY()),"NO",IF(AG987="Vigente","SI","DESCONOCIDO")))</f>
        <v>SI</v>
      </c>
      <c r="AP987" t="str">
        <f>IF(AND(ISNUMBER(SEARCH("IMPORTAR",AA987)),ISNUMBER(SEARCH("FABRICAR",AA987))),"MIXTO",IF(ISNUMBER(SEARCH("IMPORTAR",AA987)),"IMPORTADO",IF(ISNUMBER(SEARCH("FABRICAR",AA987)),"LOCAL","OTRO")))</f>
        <v>IMPORTADO</v>
      </c>
      <c r="AQ987" t="str">
        <f>IF(AD987="Si","SI",IF(AD987="No","NO",""))</f>
        <v>NO</v>
      </c>
      <c r="AR987" t="str">
        <f>IF(ISNUMBER(SEARCH("®",N987)),"MARCA/INNOVADOR","GENERICO")</f>
        <v>MARCA/INNOVADOR</v>
      </c>
      <c r="AS987">
        <f ca="1">IF(AE987&gt;100,RANDBETWEEN(500,5000),IF(AND(AE987&gt;=10,AE987&lt;=100),RANDBETWEEN(100,1000),RANDBETWEEN(10,200)))</f>
        <v>129</v>
      </c>
      <c r="AT987">
        <f t="shared" ca="1" si="77"/>
        <v>19</v>
      </c>
      <c r="AU987">
        <f ca="1">INT(AS987*RANDBETWEEN(120,200)/100)</f>
        <v>171</v>
      </c>
      <c r="AV987" s="2">
        <f ca="1">IF(LEFT(Y987,1)="L",RANDBETWEEN(500000,5000000),IF(LEFT(Y987,1)="C",RANDBETWEEN(5000,50000),IF(LEFT(Y987,1)="N",RANDBETWEEN(10000,150000),IF(LEFT(Y987,1)="J",RANDBETWEEN(8000,200000),RANDBETWEEN(5000,100000)))))</f>
        <v>103860</v>
      </c>
      <c r="AW987" s="2">
        <f ca="1">INT(AV987*RANDBETWEEN(30,60)/100)</f>
        <v>48814</v>
      </c>
      <c r="AX987">
        <f ca="1">IF(Z987="ORAL",RANDBETWEEN(1000,10000),IF(OR(Z987="INTRAVENOSA",Z987="INTRAMUSCULAR"),RANDBETWEEN(100,2000),IF(OR(Z987="OFTÁLMICA",Z987="TOPICA (EXTERNA)"),RANDBETWEEN(200,3000),RANDBETWEEN(100,1500))))</f>
        <v>1397</v>
      </c>
      <c r="AY987" s="2">
        <f ca="1">INT(AV987*RANDBETWEEN(90,130)/100)</f>
        <v>117361</v>
      </c>
      <c r="AZ987" t="str">
        <f t="shared" ca="1" si="78"/>
        <v>3.5%</v>
      </c>
      <c r="BA987" t="str">
        <f t="shared" ca="1" si="79"/>
        <v>BAJO</v>
      </c>
    </row>
    <row r="988" spans="4:53" x14ac:dyDescent="0.35">
      <c r="D988" t="s">
        <v>6071</v>
      </c>
      <c r="E988" s="1">
        <v>37792</v>
      </c>
      <c r="F988" t="s">
        <v>2845</v>
      </c>
      <c r="G988" t="s">
        <v>108</v>
      </c>
      <c r="H988" t="s">
        <v>1001</v>
      </c>
      <c r="I988">
        <v>19935527</v>
      </c>
      <c r="J988" t="s">
        <v>110</v>
      </c>
      <c r="K988">
        <v>15</v>
      </c>
      <c r="L988" t="s">
        <v>27</v>
      </c>
      <c r="M988" t="s">
        <v>2847</v>
      </c>
      <c r="N988" t="s">
        <v>2848</v>
      </c>
      <c r="O988" t="s">
        <v>6072</v>
      </c>
      <c r="P988" t="s">
        <v>29</v>
      </c>
      <c r="Q988" s="1">
        <v>40150</v>
      </c>
      <c r="R988" t="s">
        <v>33</v>
      </c>
      <c r="S988" s="1">
        <v>41697</v>
      </c>
      <c r="T988" t="s">
        <v>2414</v>
      </c>
      <c r="U988" t="s">
        <v>115</v>
      </c>
      <c r="V988" t="s">
        <v>1583</v>
      </c>
      <c r="W988">
        <v>80</v>
      </c>
      <c r="X988">
        <v>19935527</v>
      </c>
      <c r="Y988" t="s">
        <v>1584</v>
      </c>
      <c r="Z988" t="s">
        <v>119</v>
      </c>
      <c r="AA988" t="s">
        <v>32</v>
      </c>
      <c r="AB988" t="s">
        <v>120</v>
      </c>
      <c r="AC988" t="s">
        <v>38</v>
      </c>
      <c r="AD988" t="s">
        <v>121</v>
      </c>
      <c r="AE988">
        <v>7</v>
      </c>
      <c r="AF988" t="s">
        <v>27</v>
      </c>
      <c r="AG988" t="s">
        <v>26</v>
      </c>
      <c r="AH988" t="s">
        <v>6755</v>
      </c>
      <c r="AI988" t="str">
        <f t="shared" si="75"/>
        <v>NO</v>
      </c>
      <c r="AJ988" t="str">
        <f t="shared" si="76"/>
        <v>ASPEN COLOMBIANA</v>
      </c>
      <c r="AK988" t="str">
        <f>IF(ISNUMBER(SEARCH("FABRICANTE",AC988)),"FABRICANTE",IF(ISNUMBER(SEARCH("IMPORTADOR",AC988)),"IMPORTADOR","OTRO"))</f>
        <v>IMPORTADOR</v>
      </c>
      <c r="AL988" t="str">
        <f>IF(LEFT(Y988,1)="A","Sistema digestivo",IF(LEFT(Y988,1)="B","Sangre",IF(LEFT(Y988,1)="C","Cardiovascular",IF(LEFT(Y988,1)="D","Dermatológico",IF(LEFT(Y988,1)="G","Genitourinario",IF(LEFT(Y988,1)="H","Hormonal",IF(LEFT(Y988,1)="J","Antiinfecciosos",IF(LEFT(Y988,1)="L","Oncológicos",IF(LEFT(Y988,1)="M","Musculoesquelético",IF(LEFT(Y988,1)="N","Sistema nervioso",IF(LEFT(Y988,1)="R","Respiratorio",IF(LEFT(Y988,1)="S","Oftálmico",IF(LEFT(Y988,1)="V","Varios","OTRO")))))))))))))</f>
        <v>Cardiovascular</v>
      </c>
      <c r="AM988" t="str">
        <f>IF(AG988="Vigente","ACTIVO",IF(ISNUMBER(SEARCH("Inactivo",J988)),"INACTIVO","REVISAR"))</f>
        <v>ACTIVO</v>
      </c>
      <c r="AN988" t="str">
        <f ca="1">IF(OR(AF988="",AF988="null"),"",ROUND((AF988-TODAY())/365.25,2))</f>
        <v/>
      </c>
      <c r="AO988" t="str">
        <f ca="1">IF(AND(AG988="Vigente",OR(AF988="",AF988="null",AF988&gt;TODAY())),"SI",IF(AND(NOT(OR(AF988="",AF988="null")),AF988&lt;=TODAY()),"NO",IF(AG988="Vigente","SI","DESCONOCIDO")))</f>
        <v>SI</v>
      </c>
      <c r="AP988" t="str">
        <f>IF(AND(ISNUMBER(SEARCH("IMPORTAR",AA988)),ISNUMBER(SEARCH("FABRICAR",AA988))),"MIXTO",IF(ISNUMBER(SEARCH("IMPORTAR",AA988)),"IMPORTADO",IF(ISNUMBER(SEARCH("FABRICAR",AA988)),"LOCAL","OTRO")))</f>
        <v>IMPORTADO</v>
      </c>
      <c r="AQ988" t="str">
        <f>IF(AD988="Si","SI",IF(AD988="No","NO",""))</f>
        <v>NO</v>
      </c>
      <c r="AR988" t="str">
        <f>IF(ISNUMBER(SEARCH("®",N988)),"MARCA/INNOVADOR","GENERICO")</f>
        <v>MARCA/INNOVADOR</v>
      </c>
      <c r="AS988">
        <f ca="1">IF(AE988&gt;100,RANDBETWEEN(500,5000),IF(AND(AE988&gt;=10,AE988&lt;=100),RANDBETWEEN(100,1000),RANDBETWEEN(10,200)))</f>
        <v>16</v>
      </c>
      <c r="AT988">
        <f t="shared" ca="1" si="77"/>
        <v>2</v>
      </c>
      <c r="AU988">
        <f ca="1">INT(AS988*RANDBETWEEN(120,200)/100)</f>
        <v>31</v>
      </c>
      <c r="AV988" s="2">
        <f ca="1">IF(LEFT(Y988,1)="L",RANDBETWEEN(500000,5000000),IF(LEFT(Y988,1)="C",RANDBETWEEN(5000,50000),IF(LEFT(Y988,1)="N",RANDBETWEEN(10000,150000),IF(LEFT(Y988,1)="J",RANDBETWEEN(8000,200000),RANDBETWEEN(5000,100000)))))</f>
        <v>13605</v>
      </c>
      <c r="AW988" s="2">
        <f ca="1">INT(AV988*RANDBETWEEN(30,60)/100)</f>
        <v>5986</v>
      </c>
      <c r="AX988">
        <f ca="1">IF(Z988="ORAL",RANDBETWEEN(1000,10000),IF(OR(Z988="INTRAVENOSA",Z988="INTRAMUSCULAR"),RANDBETWEEN(100,2000),IF(OR(Z988="OFTÁLMICA",Z988="TOPICA (EXTERNA)"),RANDBETWEEN(200,3000),RANDBETWEEN(100,1500))))</f>
        <v>9101</v>
      </c>
      <c r="AY988" s="2">
        <f ca="1">INT(AV988*RANDBETWEEN(90,130)/100)</f>
        <v>14013</v>
      </c>
      <c r="AZ988" t="str">
        <f t="shared" ca="1" si="78"/>
        <v>7.7%</v>
      </c>
      <c r="BA988" t="str">
        <f t="shared" ca="1" si="79"/>
        <v>ALTO</v>
      </c>
    </row>
    <row r="989" spans="4:53" x14ac:dyDescent="0.35">
      <c r="D989" t="s">
        <v>6073</v>
      </c>
      <c r="E989" s="1">
        <v>43853</v>
      </c>
      <c r="F989" t="s">
        <v>6074</v>
      </c>
      <c r="G989" t="s">
        <v>108</v>
      </c>
      <c r="H989" t="s">
        <v>2453</v>
      </c>
      <c r="I989">
        <v>20137530</v>
      </c>
      <c r="J989" t="s">
        <v>28</v>
      </c>
      <c r="K989">
        <v>1</v>
      </c>
      <c r="L989" t="s">
        <v>6075</v>
      </c>
      <c r="M989" t="s">
        <v>6076</v>
      </c>
      <c r="N989" t="s">
        <v>6077</v>
      </c>
      <c r="O989" t="s">
        <v>6078</v>
      </c>
      <c r="P989" t="s">
        <v>6079</v>
      </c>
      <c r="Q989" s="1">
        <v>43276</v>
      </c>
      <c r="R989" t="s">
        <v>1163</v>
      </c>
      <c r="S989" t="s">
        <v>27</v>
      </c>
      <c r="T989" t="s">
        <v>6080</v>
      </c>
      <c r="U989" t="s">
        <v>807</v>
      </c>
      <c r="V989" t="s">
        <v>5825</v>
      </c>
      <c r="W989">
        <v>50</v>
      </c>
      <c r="X989">
        <v>20137530</v>
      </c>
      <c r="Y989" t="s">
        <v>5826</v>
      </c>
      <c r="Z989" t="s">
        <v>1168</v>
      </c>
      <c r="AA989" t="s">
        <v>32</v>
      </c>
      <c r="AB989" t="s">
        <v>1983</v>
      </c>
      <c r="AC989" t="s">
        <v>25</v>
      </c>
      <c r="AD989" t="s">
        <v>121</v>
      </c>
      <c r="AE989">
        <v>30</v>
      </c>
      <c r="AF989" t="s">
        <v>27</v>
      </c>
      <c r="AG989" t="s">
        <v>26</v>
      </c>
      <c r="AH989" t="s">
        <v>6846</v>
      </c>
      <c r="AI989" t="str">
        <f t="shared" si="75"/>
        <v>SI</v>
      </c>
      <c r="AJ989" t="str">
        <f t="shared" si="76"/>
        <v>CIPLA</v>
      </c>
      <c r="AK989" t="str">
        <f>IF(ISNUMBER(SEARCH("FABRICANTE",AC989)),"FABRICANTE",IF(ISNUMBER(SEARCH("IMPORTADOR",AC989)),"IMPORTADOR","OTRO"))</f>
        <v>FABRICANTE</v>
      </c>
      <c r="AL989" t="str">
        <f>IF(LEFT(Y989,1)="A","Sistema digestivo",IF(LEFT(Y989,1)="B","Sangre",IF(LEFT(Y989,1)="C","Cardiovascular",IF(LEFT(Y989,1)="D","Dermatológico",IF(LEFT(Y989,1)="G","Genitourinario",IF(LEFT(Y989,1)="H","Hormonal",IF(LEFT(Y989,1)="J","Antiinfecciosos",IF(LEFT(Y989,1)="L","Oncológicos",IF(LEFT(Y989,1)="M","Musculoesquelético",IF(LEFT(Y989,1)="N","Sistema nervioso",IF(LEFT(Y989,1)="R","Respiratorio",IF(LEFT(Y989,1)="S","Oftálmico",IF(LEFT(Y989,1)="V","Varios","OTRO")))))))))))))</f>
        <v>Respiratorio</v>
      </c>
      <c r="AM989" t="str">
        <f>IF(AG989="Vigente","ACTIVO",IF(ISNUMBER(SEARCH("Inactivo",J989)),"INACTIVO","REVISAR"))</f>
        <v>ACTIVO</v>
      </c>
      <c r="AN989" t="str">
        <f ca="1">IF(OR(AF989="",AF989="null"),"",ROUND((AF989-TODAY())/365.25,2))</f>
        <v/>
      </c>
      <c r="AO989" t="str">
        <f ca="1">IF(AND(AG989="Vigente",OR(AF989="",AF989="null",AF989&gt;TODAY())),"SI",IF(AND(NOT(OR(AF989="",AF989="null")),AF989&lt;=TODAY()),"NO",IF(AG989="Vigente","SI","DESCONOCIDO")))</f>
        <v>SI</v>
      </c>
      <c r="AP989" t="str">
        <f>IF(AND(ISNUMBER(SEARCH("IMPORTAR",AA989)),ISNUMBER(SEARCH("FABRICAR",AA989))),"MIXTO",IF(ISNUMBER(SEARCH("IMPORTAR",AA989)),"IMPORTADO",IF(ISNUMBER(SEARCH("FABRICAR",AA989)),"LOCAL","OTRO")))</f>
        <v>IMPORTADO</v>
      </c>
      <c r="AQ989" t="str">
        <f>IF(AD989="Si","SI",IF(AD989="No","NO",""))</f>
        <v>NO</v>
      </c>
      <c r="AR989" t="str">
        <f>IF(ISNUMBER(SEARCH("®",N989)),"MARCA/INNOVADOR","GENERICO")</f>
        <v>MARCA/INNOVADOR</v>
      </c>
      <c r="AS989">
        <f ca="1">IF(AE989&gt;100,RANDBETWEEN(500,5000),IF(AND(AE989&gt;=10,AE989&lt;=100),RANDBETWEEN(100,1000),RANDBETWEEN(10,200)))</f>
        <v>928</v>
      </c>
      <c r="AT989">
        <f t="shared" ca="1" si="77"/>
        <v>213</v>
      </c>
      <c r="AU989">
        <f ca="1">INT(AS989*RANDBETWEEN(120,200)/100)</f>
        <v>1224</v>
      </c>
      <c r="AV989" s="2">
        <f ca="1">IF(LEFT(Y989,1)="L",RANDBETWEEN(500000,5000000),IF(LEFT(Y989,1)="C",RANDBETWEEN(5000,50000),IF(LEFT(Y989,1)="N",RANDBETWEEN(10000,150000),IF(LEFT(Y989,1)="J",RANDBETWEEN(8000,200000),RANDBETWEEN(5000,100000)))))</f>
        <v>39940</v>
      </c>
      <c r="AW989" s="2">
        <f ca="1">INT(AV989*RANDBETWEEN(30,60)/100)</f>
        <v>18372</v>
      </c>
      <c r="AX989">
        <f ca="1">IF(Z989="ORAL",RANDBETWEEN(1000,10000),IF(OR(Z989="INTRAVENOSA",Z989="INTRAMUSCULAR"),RANDBETWEEN(100,2000),IF(OR(Z989="OFTÁLMICA",Z989="TOPICA (EXTERNA)"),RANDBETWEEN(200,3000),RANDBETWEEN(100,1500))))</f>
        <v>1309</v>
      </c>
      <c r="AY989" s="2">
        <f ca="1">INT(AV989*RANDBETWEEN(90,130)/100)</f>
        <v>37943</v>
      </c>
      <c r="AZ989" t="str">
        <f t="shared" ca="1" si="78"/>
        <v>6.4%</v>
      </c>
      <c r="BA989" t="str">
        <f t="shared" ca="1" si="79"/>
        <v>BAJO</v>
      </c>
    </row>
    <row r="990" spans="4:53" x14ac:dyDescent="0.35">
      <c r="D990" t="s">
        <v>6081</v>
      </c>
      <c r="E990" s="1">
        <v>39591</v>
      </c>
      <c r="F990" t="s">
        <v>6082</v>
      </c>
      <c r="G990" t="s">
        <v>108</v>
      </c>
      <c r="H990" t="s">
        <v>6083</v>
      </c>
      <c r="I990">
        <v>19988218</v>
      </c>
      <c r="J990" t="s">
        <v>110</v>
      </c>
      <c r="K990">
        <v>6</v>
      </c>
      <c r="L990" t="s">
        <v>27</v>
      </c>
      <c r="M990" t="s">
        <v>6084</v>
      </c>
      <c r="N990" t="s">
        <v>6085</v>
      </c>
      <c r="O990" t="s">
        <v>6086</v>
      </c>
      <c r="P990" t="s">
        <v>659</v>
      </c>
      <c r="Q990" s="1">
        <v>39547</v>
      </c>
      <c r="R990" t="s">
        <v>37</v>
      </c>
      <c r="S990" s="1">
        <v>43885</v>
      </c>
      <c r="T990" t="s">
        <v>5602</v>
      </c>
      <c r="U990" t="s">
        <v>115</v>
      </c>
      <c r="V990" t="s">
        <v>183</v>
      </c>
      <c r="W990">
        <v>200</v>
      </c>
      <c r="X990">
        <v>19988218</v>
      </c>
      <c r="Y990" t="s">
        <v>184</v>
      </c>
      <c r="Z990" t="s">
        <v>119</v>
      </c>
      <c r="AA990" t="s">
        <v>32</v>
      </c>
      <c r="AB990" t="s">
        <v>120</v>
      </c>
      <c r="AC990" t="s">
        <v>25</v>
      </c>
      <c r="AD990" t="s">
        <v>121</v>
      </c>
      <c r="AE990">
        <v>112</v>
      </c>
      <c r="AF990" s="1">
        <v>401769</v>
      </c>
      <c r="AG990" t="s">
        <v>26</v>
      </c>
      <c r="AH990" t="s">
        <v>183</v>
      </c>
      <c r="AI990" t="str">
        <f t="shared" si="75"/>
        <v>SI</v>
      </c>
      <c r="AJ990" t="str">
        <f t="shared" si="76"/>
        <v>NOVARTIS PHARMA</v>
      </c>
      <c r="AK990" t="str">
        <f>IF(ISNUMBER(SEARCH("FABRICANTE",AC990)),"FABRICANTE",IF(ISNUMBER(SEARCH("IMPORTADOR",AC990)),"IMPORTADOR","OTRO"))</f>
        <v>FABRICANTE</v>
      </c>
      <c r="AL990" t="str">
        <f>IF(LEFT(Y990,1)="A","Sistema digestivo",IF(LEFT(Y990,1)="B","Sangre",IF(LEFT(Y990,1)="C","Cardiovascular",IF(LEFT(Y990,1)="D","Dermatológico",IF(LEFT(Y990,1)="G","Genitourinario",IF(LEFT(Y990,1)="H","Hormonal",IF(LEFT(Y990,1)="J","Antiinfecciosos",IF(LEFT(Y990,1)="L","Oncológicos",IF(LEFT(Y990,1)="M","Musculoesquelético",IF(LEFT(Y990,1)="N","Sistema nervioso",IF(LEFT(Y990,1)="R","Respiratorio",IF(LEFT(Y990,1)="S","Oftálmico",IF(LEFT(Y990,1)="V","Varios","OTRO")))))))))))))</f>
        <v>Oncológicos</v>
      </c>
      <c r="AM990" t="str">
        <f>IF(AG990="Vigente","ACTIVO",IF(ISNUMBER(SEARCH("Inactivo",J990)),"INACTIVO","REVISAR"))</f>
        <v>ACTIVO</v>
      </c>
      <c r="AN990">
        <f ca="1">IF(OR(AF990="",AF990="null"),"",ROUND((AF990-TODAY())/365.25,2))</f>
        <v>973.58</v>
      </c>
      <c r="AO990" t="str">
        <f ca="1">IF(AND(AG990="Vigente",OR(AF990="",AF990="null",AF990&gt;TODAY())),"SI",IF(AND(NOT(OR(AF990="",AF990="null")),AF990&lt;=TODAY()),"NO",IF(AG990="Vigente","SI","DESCONOCIDO")))</f>
        <v>SI</v>
      </c>
      <c r="AP990" t="str">
        <f>IF(AND(ISNUMBER(SEARCH("IMPORTAR",AA990)),ISNUMBER(SEARCH("FABRICAR",AA990))),"MIXTO",IF(ISNUMBER(SEARCH("IMPORTAR",AA990)),"IMPORTADO",IF(ISNUMBER(SEARCH("FABRICAR",AA990)),"LOCAL","OTRO")))</f>
        <v>IMPORTADO</v>
      </c>
      <c r="AQ990" t="str">
        <f>IF(AD990="Si","SI",IF(AD990="No","NO",""))</f>
        <v>NO</v>
      </c>
      <c r="AR990" t="str">
        <f>IF(ISNUMBER(SEARCH("®",N990)),"MARCA/INNOVADOR","GENERICO")</f>
        <v>MARCA/INNOVADOR</v>
      </c>
      <c r="AS990">
        <f ca="1">IF(AE990&gt;100,RANDBETWEEN(500,5000),IF(AND(AE990&gt;=10,AE990&lt;=100),RANDBETWEEN(100,1000),RANDBETWEEN(10,200)))</f>
        <v>1134</v>
      </c>
      <c r="AT990">
        <f t="shared" ca="1" si="77"/>
        <v>192</v>
      </c>
      <c r="AU990">
        <f ca="1">INT(AS990*RANDBETWEEN(120,200)/100)</f>
        <v>1519</v>
      </c>
      <c r="AV990" s="2">
        <f ca="1">IF(LEFT(Y990,1)="L",RANDBETWEEN(500000,5000000),IF(LEFT(Y990,1)="C",RANDBETWEEN(5000,50000),IF(LEFT(Y990,1)="N",RANDBETWEEN(10000,150000),IF(LEFT(Y990,1)="J",RANDBETWEEN(8000,200000),RANDBETWEEN(5000,100000)))))</f>
        <v>3527522</v>
      </c>
      <c r="AW990" s="2">
        <f ca="1">INT(AV990*RANDBETWEEN(30,60)/100)</f>
        <v>1446284</v>
      </c>
      <c r="AX990">
        <f ca="1">IF(Z990="ORAL",RANDBETWEEN(1000,10000),IF(OR(Z990="INTRAVENOSA",Z990="INTRAMUSCULAR"),RANDBETWEEN(100,2000),IF(OR(Z990="OFTÁLMICA",Z990="TOPICA (EXTERNA)"),RANDBETWEEN(200,3000),RANDBETWEEN(100,1500))))</f>
        <v>9324</v>
      </c>
      <c r="AY990" s="2">
        <f ca="1">INT(AV990*RANDBETWEEN(90,130)/100)</f>
        <v>3950824</v>
      </c>
      <c r="AZ990" t="str">
        <f t="shared" ca="1" si="78"/>
        <v>24.7%</v>
      </c>
      <c r="BA990" t="str">
        <f t="shared" ca="1" si="79"/>
        <v>MEDIO</v>
      </c>
    </row>
    <row r="991" spans="4:53" x14ac:dyDescent="0.35">
      <c r="D991" t="s">
        <v>6087</v>
      </c>
      <c r="E991" s="1">
        <v>42206</v>
      </c>
      <c r="F991" t="s">
        <v>1132</v>
      </c>
      <c r="G991" t="s">
        <v>108</v>
      </c>
      <c r="H991" t="s">
        <v>1823</v>
      </c>
      <c r="I991">
        <v>20084685</v>
      </c>
      <c r="J991" t="s">
        <v>110</v>
      </c>
      <c r="K991">
        <v>18</v>
      </c>
      <c r="L991" t="s">
        <v>27</v>
      </c>
      <c r="M991" t="s">
        <v>1133</v>
      </c>
      <c r="N991" t="s">
        <v>1134</v>
      </c>
      <c r="O991" t="s">
        <v>6088</v>
      </c>
      <c r="P991" t="s">
        <v>1136</v>
      </c>
      <c r="Q991" s="1">
        <v>42202</v>
      </c>
      <c r="R991" t="s">
        <v>50</v>
      </c>
      <c r="S991" t="s">
        <v>27</v>
      </c>
      <c r="T991" t="s">
        <v>93</v>
      </c>
      <c r="U991" t="s">
        <v>115</v>
      </c>
      <c r="V991" t="s">
        <v>275</v>
      </c>
      <c r="W991">
        <v>40</v>
      </c>
      <c r="X991">
        <v>20084685</v>
      </c>
      <c r="Y991" t="s">
        <v>276</v>
      </c>
      <c r="Z991" t="s">
        <v>132</v>
      </c>
      <c r="AA991" t="s">
        <v>32</v>
      </c>
      <c r="AB991" t="s">
        <v>239</v>
      </c>
      <c r="AC991" t="s">
        <v>25</v>
      </c>
      <c r="AD991" t="s">
        <v>121</v>
      </c>
      <c r="AE991">
        <v>2</v>
      </c>
      <c r="AF991" t="s">
        <v>27</v>
      </c>
      <c r="AG991" t="s">
        <v>26</v>
      </c>
      <c r="AH991" t="s">
        <v>1822</v>
      </c>
      <c r="AI991" t="str">
        <f t="shared" si="75"/>
        <v>SI</v>
      </c>
      <c r="AJ991" t="str">
        <f t="shared" si="76"/>
        <v>LABORATORIOS DELTA</v>
      </c>
      <c r="AK991" t="str">
        <f>IF(ISNUMBER(SEARCH("FABRICANTE",AC991)),"FABRICANTE",IF(ISNUMBER(SEARCH("IMPORTADOR",AC991)),"IMPORTADOR","OTRO"))</f>
        <v>FABRICANTE</v>
      </c>
      <c r="AL991" t="str">
        <f>IF(LEFT(Y991,1)="A","Sistema digestivo",IF(LEFT(Y991,1)="B","Sangre",IF(LEFT(Y991,1)="C","Cardiovascular",IF(LEFT(Y991,1)="D","Dermatológico",IF(LEFT(Y991,1)="G","Genitourinario",IF(LEFT(Y991,1)="H","Hormonal",IF(LEFT(Y991,1)="J","Antiinfecciosos",IF(LEFT(Y991,1)="L","Oncológicos",IF(LEFT(Y991,1)="M","Musculoesquelético",IF(LEFT(Y991,1)="N","Sistema nervioso",IF(LEFT(Y991,1)="R","Respiratorio",IF(LEFT(Y991,1)="S","Oftálmico",IF(LEFT(Y991,1)="V","Varios","OTRO")))))))))))))</f>
        <v>Sangre</v>
      </c>
      <c r="AM991" t="str">
        <f>IF(AG991="Vigente","ACTIVO",IF(ISNUMBER(SEARCH("Inactivo",J991)),"INACTIVO","REVISAR"))</f>
        <v>ACTIVO</v>
      </c>
      <c r="AN991" t="str">
        <f ca="1">IF(OR(AF991="",AF991="null"),"",ROUND((AF991-TODAY())/365.25,2))</f>
        <v/>
      </c>
      <c r="AO991" t="str">
        <f ca="1">IF(AND(AG991="Vigente",OR(AF991="",AF991="null",AF991&gt;TODAY())),"SI",IF(AND(NOT(OR(AF991="",AF991="null")),AF991&lt;=TODAY()),"NO",IF(AG991="Vigente","SI","DESCONOCIDO")))</f>
        <v>SI</v>
      </c>
      <c r="AP991" t="str">
        <f>IF(AND(ISNUMBER(SEARCH("IMPORTAR",AA991)),ISNUMBER(SEARCH("FABRICAR",AA991))),"MIXTO",IF(ISNUMBER(SEARCH("IMPORTAR",AA991)),"IMPORTADO",IF(ISNUMBER(SEARCH("FABRICAR",AA991)),"LOCAL","OTRO")))</f>
        <v>IMPORTADO</v>
      </c>
      <c r="AQ991" t="str">
        <f>IF(AD991="Si","SI",IF(AD991="No","NO",""))</f>
        <v>NO</v>
      </c>
      <c r="AR991" t="str">
        <f>IF(ISNUMBER(SEARCH("®",N991)),"MARCA/INNOVADOR","GENERICO")</f>
        <v>GENERICO</v>
      </c>
      <c r="AS991">
        <f ca="1">IF(AE991&gt;100,RANDBETWEEN(500,5000),IF(AND(AE991&gt;=10,AE991&lt;=100),RANDBETWEEN(100,1000),RANDBETWEEN(10,200)))</f>
        <v>159</v>
      </c>
      <c r="AT991">
        <f t="shared" ca="1" si="77"/>
        <v>36</v>
      </c>
      <c r="AU991">
        <f ca="1">INT(AS991*RANDBETWEEN(120,200)/100)</f>
        <v>308</v>
      </c>
      <c r="AV991" s="2">
        <f ca="1">IF(LEFT(Y991,1)="L",RANDBETWEEN(500000,5000000),IF(LEFT(Y991,1)="C",RANDBETWEEN(5000,50000),IF(LEFT(Y991,1)="N",RANDBETWEEN(10000,150000),IF(LEFT(Y991,1)="J",RANDBETWEEN(8000,200000),RANDBETWEEN(5000,100000)))))</f>
        <v>64945</v>
      </c>
      <c r="AW991" s="2">
        <f ca="1">INT(AV991*RANDBETWEEN(30,60)/100)</f>
        <v>35719</v>
      </c>
      <c r="AX991">
        <f ca="1">IF(Z991="ORAL",RANDBETWEEN(1000,10000),IF(OR(Z991="INTRAVENOSA",Z991="INTRAMUSCULAR"),RANDBETWEEN(100,2000),IF(OR(Z991="OFTÁLMICA",Z991="TOPICA (EXTERNA)"),RANDBETWEEN(200,3000),RANDBETWEEN(100,1500))))</f>
        <v>921</v>
      </c>
      <c r="AY991" s="2">
        <f ca="1">INT(AV991*RANDBETWEEN(90,130)/100)</f>
        <v>83129</v>
      </c>
      <c r="AZ991" t="str">
        <f t="shared" ca="1" si="78"/>
        <v>2.3%</v>
      </c>
      <c r="BA991" t="str">
        <f t="shared" ca="1" si="79"/>
        <v>ALTO</v>
      </c>
    </row>
    <row r="992" spans="4:53" x14ac:dyDescent="0.35">
      <c r="D992" t="s">
        <v>6089</v>
      </c>
      <c r="E992" s="1">
        <v>36161</v>
      </c>
      <c r="F992" t="s">
        <v>6090</v>
      </c>
      <c r="G992" t="s">
        <v>108</v>
      </c>
      <c r="H992" t="s">
        <v>4414</v>
      </c>
      <c r="I992">
        <v>229773</v>
      </c>
      <c r="J992" t="s">
        <v>28</v>
      </c>
      <c r="K992">
        <v>3</v>
      </c>
      <c r="L992" t="s">
        <v>27</v>
      </c>
      <c r="M992" t="s">
        <v>6091</v>
      </c>
      <c r="N992" t="s">
        <v>6092</v>
      </c>
      <c r="O992" t="s">
        <v>6093</v>
      </c>
      <c r="P992" t="s">
        <v>536</v>
      </c>
      <c r="Q992" s="1">
        <v>40995</v>
      </c>
      <c r="R992" t="s">
        <v>33</v>
      </c>
      <c r="S992" t="s">
        <v>27</v>
      </c>
      <c r="T992" t="s">
        <v>2523</v>
      </c>
      <c r="U992" t="s">
        <v>115</v>
      </c>
      <c r="V992" t="s">
        <v>1514</v>
      </c>
      <c r="W992">
        <v>180</v>
      </c>
      <c r="X992">
        <v>229773</v>
      </c>
      <c r="Y992" t="s">
        <v>1515</v>
      </c>
      <c r="Z992" t="s">
        <v>119</v>
      </c>
      <c r="AA992" t="s">
        <v>32</v>
      </c>
      <c r="AB992" t="s">
        <v>120</v>
      </c>
      <c r="AC992" t="s">
        <v>38</v>
      </c>
      <c r="AD992" t="s">
        <v>155</v>
      </c>
      <c r="AE992">
        <v>1</v>
      </c>
      <c r="AF992" t="s">
        <v>27</v>
      </c>
      <c r="AG992" t="s">
        <v>26</v>
      </c>
      <c r="AH992" t="s">
        <v>6847</v>
      </c>
      <c r="AI992" t="str">
        <f t="shared" si="75"/>
        <v>NO</v>
      </c>
      <c r="AJ992" t="str">
        <f t="shared" si="76"/>
        <v>OPELLA HEALTHCARE COLOMBIA</v>
      </c>
      <c r="AK992" t="str">
        <f>IF(ISNUMBER(SEARCH("FABRICANTE",AC992)),"FABRICANTE",IF(ISNUMBER(SEARCH("IMPORTADOR",AC992)),"IMPORTADOR","OTRO"))</f>
        <v>IMPORTADOR</v>
      </c>
      <c r="AL992" t="str">
        <f>IF(LEFT(Y992,1)="A","Sistema digestivo",IF(LEFT(Y992,1)="B","Sangre",IF(LEFT(Y992,1)="C","Cardiovascular",IF(LEFT(Y992,1)="D","Dermatológico",IF(LEFT(Y992,1)="G","Genitourinario",IF(LEFT(Y992,1)="H","Hormonal",IF(LEFT(Y992,1)="J","Antiinfecciosos",IF(LEFT(Y992,1)="L","Oncológicos",IF(LEFT(Y992,1)="M","Musculoesquelético",IF(LEFT(Y992,1)="N","Sistema nervioso",IF(LEFT(Y992,1)="R","Respiratorio",IF(LEFT(Y992,1)="S","Oftálmico",IF(LEFT(Y992,1)="V","Varios","OTRO")))))))))))))</f>
        <v>Respiratorio</v>
      </c>
      <c r="AM992" t="str">
        <f>IF(AG992="Vigente","ACTIVO",IF(ISNUMBER(SEARCH("Inactivo",J992)),"INACTIVO","REVISAR"))</f>
        <v>ACTIVO</v>
      </c>
      <c r="AN992" t="str">
        <f ca="1">IF(OR(AF992="",AF992="null"),"",ROUND((AF992-TODAY())/365.25,2))</f>
        <v/>
      </c>
      <c r="AO992" t="str">
        <f ca="1">IF(AND(AG992="Vigente",OR(AF992="",AF992="null",AF992&gt;TODAY())),"SI",IF(AND(NOT(OR(AF992="",AF992="null")),AF992&lt;=TODAY()),"NO",IF(AG992="Vigente","SI","DESCONOCIDO")))</f>
        <v>SI</v>
      </c>
      <c r="AP992" t="str">
        <f>IF(AND(ISNUMBER(SEARCH("IMPORTAR",AA992)),ISNUMBER(SEARCH("FABRICAR",AA992))),"MIXTO",IF(ISNUMBER(SEARCH("IMPORTAR",AA992)),"IMPORTADO",IF(ISNUMBER(SEARCH("FABRICAR",AA992)),"LOCAL","OTRO")))</f>
        <v>IMPORTADO</v>
      </c>
      <c r="AQ992" t="str">
        <f>IF(AD992="Si","SI",IF(AD992="No","NO",""))</f>
        <v>SI</v>
      </c>
      <c r="AR992" t="str">
        <f>IF(ISNUMBER(SEARCH("®",N992)),"MARCA/INNOVADOR","GENERICO")</f>
        <v>MARCA/INNOVADOR</v>
      </c>
      <c r="AS992">
        <f ca="1">IF(AE992&gt;100,RANDBETWEEN(500,5000),IF(AND(AE992&gt;=10,AE992&lt;=100),RANDBETWEEN(100,1000),RANDBETWEEN(10,200)))</f>
        <v>101</v>
      </c>
      <c r="AT992">
        <f t="shared" ca="1" si="77"/>
        <v>23</v>
      </c>
      <c r="AU992">
        <f ca="1">INT(AS992*RANDBETWEEN(120,200)/100)</f>
        <v>192</v>
      </c>
      <c r="AV992" s="2">
        <f ca="1">IF(LEFT(Y992,1)="L",RANDBETWEEN(500000,5000000),IF(LEFT(Y992,1)="C",RANDBETWEEN(5000,50000),IF(LEFT(Y992,1)="N",RANDBETWEEN(10000,150000),IF(LEFT(Y992,1)="J",RANDBETWEEN(8000,200000),RANDBETWEEN(5000,100000)))))</f>
        <v>73671</v>
      </c>
      <c r="AW992" s="2">
        <f ca="1">INT(AV992*RANDBETWEEN(30,60)/100)</f>
        <v>31678</v>
      </c>
      <c r="AX992">
        <f ca="1">IF(Z992="ORAL",RANDBETWEEN(1000,10000),IF(OR(Z992="INTRAVENOSA",Z992="INTRAMUSCULAR"),RANDBETWEEN(100,2000),IF(OR(Z992="OFTÁLMICA",Z992="TOPICA (EXTERNA)"),RANDBETWEEN(200,3000),RANDBETWEEN(100,1500))))</f>
        <v>3164</v>
      </c>
      <c r="AY992" s="2">
        <f ca="1">INT(AV992*RANDBETWEEN(90,130)/100)</f>
        <v>85458</v>
      </c>
      <c r="AZ992" t="str">
        <f t="shared" ca="1" si="78"/>
        <v>5%</v>
      </c>
      <c r="BA992" t="str">
        <f t="shared" ca="1" si="79"/>
        <v>BAJO</v>
      </c>
    </row>
    <row r="993" spans="4:53" x14ac:dyDescent="0.35">
      <c r="D993" t="s">
        <v>6094</v>
      </c>
      <c r="E993" s="1">
        <v>37852</v>
      </c>
      <c r="F993" t="s">
        <v>6095</v>
      </c>
      <c r="G993" t="s">
        <v>108</v>
      </c>
      <c r="H993" t="s">
        <v>1325</v>
      </c>
      <c r="I993">
        <v>19933606</v>
      </c>
      <c r="J993" t="s">
        <v>28</v>
      </c>
      <c r="K993">
        <v>15</v>
      </c>
      <c r="L993" t="s">
        <v>27</v>
      </c>
      <c r="M993" t="s">
        <v>3022</v>
      </c>
      <c r="N993" t="s">
        <v>3023</v>
      </c>
      <c r="O993" t="s">
        <v>4112</v>
      </c>
      <c r="P993" t="s">
        <v>257</v>
      </c>
      <c r="Q993" s="1">
        <v>45012</v>
      </c>
      <c r="R993" t="s">
        <v>50</v>
      </c>
      <c r="S993" t="s">
        <v>27</v>
      </c>
      <c r="T993" t="s">
        <v>3025</v>
      </c>
      <c r="U993" t="s">
        <v>247</v>
      </c>
      <c r="V993" t="s">
        <v>554</v>
      </c>
      <c r="W993" s="2">
        <v>5176</v>
      </c>
      <c r="X993">
        <v>19933606</v>
      </c>
      <c r="Y993" t="s">
        <v>556</v>
      </c>
      <c r="Z993" t="s">
        <v>260</v>
      </c>
      <c r="AA993" t="s">
        <v>32</v>
      </c>
      <c r="AB993" t="s">
        <v>120</v>
      </c>
      <c r="AC993" t="s">
        <v>38</v>
      </c>
      <c r="AD993" t="s">
        <v>155</v>
      </c>
      <c r="AE993">
        <v>10</v>
      </c>
      <c r="AF993" t="s">
        <v>27</v>
      </c>
      <c r="AG993" t="s">
        <v>26</v>
      </c>
      <c r="AH993" t="s">
        <v>6616</v>
      </c>
      <c r="AI993" t="str">
        <f t="shared" si="75"/>
        <v>SI</v>
      </c>
      <c r="AJ993" t="str">
        <f t="shared" si="76"/>
        <v>FRESENIUS KABI DEUTSCHLAND</v>
      </c>
      <c r="AK993" t="str">
        <f>IF(ISNUMBER(SEARCH("FABRICANTE",AC993)),"FABRICANTE",IF(ISNUMBER(SEARCH("IMPORTADOR",AC993)),"IMPORTADOR","OTRO"))</f>
        <v>IMPORTADOR</v>
      </c>
      <c r="AL993" t="str">
        <f>IF(LEFT(Y993,1)="A","Sistema digestivo",IF(LEFT(Y993,1)="B","Sangre",IF(LEFT(Y993,1)="C","Cardiovascular",IF(LEFT(Y993,1)="D","Dermatológico",IF(LEFT(Y993,1)="G","Genitourinario",IF(LEFT(Y993,1)="H","Hormonal",IF(LEFT(Y993,1)="J","Antiinfecciosos",IF(LEFT(Y993,1)="L","Oncológicos",IF(LEFT(Y993,1)="M","Musculoesquelético",IF(LEFT(Y993,1)="N","Sistema nervioso",IF(LEFT(Y993,1)="R","Respiratorio",IF(LEFT(Y993,1)="S","Oftálmico",IF(LEFT(Y993,1)="V","Varios","OTRO")))))))))))))</f>
        <v>Sangre</v>
      </c>
      <c r="AM993" t="str">
        <f>IF(AG993="Vigente","ACTIVO",IF(ISNUMBER(SEARCH("Inactivo",J993)),"INACTIVO","REVISAR"))</f>
        <v>ACTIVO</v>
      </c>
      <c r="AN993" t="str">
        <f ca="1">IF(OR(AF993="",AF993="null"),"",ROUND((AF993-TODAY())/365.25,2))</f>
        <v/>
      </c>
      <c r="AO993" t="str">
        <f ca="1">IF(AND(AG993="Vigente",OR(AF993="",AF993="null",AF993&gt;TODAY())),"SI",IF(AND(NOT(OR(AF993="",AF993="null")),AF993&lt;=TODAY()),"NO",IF(AG993="Vigente","SI","DESCONOCIDO")))</f>
        <v>SI</v>
      </c>
      <c r="AP993" t="str">
        <f>IF(AND(ISNUMBER(SEARCH("IMPORTAR",AA993)),ISNUMBER(SEARCH("FABRICAR",AA993))),"MIXTO",IF(ISNUMBER(SEARCH("IMPORTAR",AA993)),"IMPORTADO",IF(ISNUMBER(SEARCH("FABRICAR",AA993)),"LOCAL","OTRO")))</f>
        <v>IMPORTADO</v>
      </c>
      <c r="AQ993" t="str">
        <f>IF(AD993="Si","SI",IF(AD993="No","NO",""))</f>
        <v>SI</v>
      </c>
      <c r="AR993" t="str">
        <f>IF(ISNUMBER(SEARCH("®",N993)),"MARCA/INNOVADOR","GENERICO")</f>
        <v>GENERICO</v>
      </c>
      <c r="AS993">
        <f ca="1">IF(AE993&gt;100,RANDBETWEEN(500,5000),IF(AND(AE993&gt;=10,AE993&lt;=100),RANDBETWEEN(100,1000),RANDBETWEEN(10,200)))</f>
        <v>514</v>
      </c>
      <c r="AT993">
        <f t="shared" ca="1" si="77"/>
        <v>118</v>
      </c>
      <c r="AU993">
        <f ca="1">INT(AS993*RANDBETWEEN(120,200)/100)</f>
        <v>781</v>
      </c>
      <c r="AV993" s="2">
        <f ca="1">IF(LEFT(Y993,1)="L",RANDBETWEEN(500000,5000000),IF(LEFT(Y993,1)="C",RANDBETWEEN(5000,50000),IF(LEFT(Y993,1)="N",RANDBETWEEN(10000,150000),IF(LEFT(Y993,1)="J",RANDBETWEEN(8000,200000),RANDBETWEEN(5000,100000)))))</f>
        <v>48404</v>
      </c>
      <c r="AW993" s="2">
        <f ca="1">INT(AV993*RANDBETWEEN(30,60)/100)</f>
        <v>20329</v>
      </c>
      <c r="AX993">
        <f ca="1">IF(Z993="ORAL",RANDBETWEEN(1000,10000),IF(OR(Z993="INTRAVENOSA",Z993="INTRAMUSCULAR"),RANDBETWEEN(100,2000),IF(OR(Z993="OFTÁLMICA",Z993="TOPICA (EXTERNA)"),RANDBETWEEN(200,3000),RANDBETWEEN(100,1500))))</f>
        <v>416</v>
      </c>
      <c r="AY993" s="2">
        <f ca="1">INT(AV993*RANDBETWEEN(90,130)/100)</f>
        <v>62925</v>
      </c>
      <c r="AZ993" t="str">
        <f t="shared" ca="1" si="78"/>
        <v>1.4%</v>
      </c>
      <c r="BA993" t="str">
        <f t="shared" ca="1" si="79"/>
        <v>BAJO</v>
      </c>
    </row>
    <row r="994" spans="4:53" x14ac:dyDescent="0.35">
      <c r="D994" t="s">
        <v>6096</v>
      </c>
      <c r="E994" s="1">
        <v>41310</v>
      </c>
      <c r="F994" t="s">
        <v>2091</v>
      </c>
      <c r="G994" t="s">
        <v>108</v>
      </c>
      <c r="H994" t="s">
        <v>4097</v>
      </c>
      <c r="I994">
        <v>20053003</v>
      </c>
      <c r="J994" t="s">
        <v>28</v>
      </c>
      <c r="K994">
        <v>1</v>
      </c>
      <c r="L994" t="s">
        <v>27</v>
      </c>
      <c r="M994" t="s">
        <v>4098</v>
      </c>
      <c r="N994" t="s">
        <v>4099</v>
      </c>
      <c r="O994" t="s">
        <v>6097</v>
      </c>
      <c r="P994" t="s">
        <v>2097</v>
      </c>
      <c r="Q994" s="1">
        <v>41234</v>
      </c>
      <c r="R994" t="s">
        <v>459</v>
      </c>
      <c r="S994" t="s">
        <v>27</v>
      </c>
      <c r="T994" t="s">
        <v>4097</v>
      </c>
      <c r="U994" t="s">
        <v>247</v>
      </c>
      <c r="V994" t="s">
        <v>4101</v>
      </c>
      <c r="W994">
        <v>2</v>
      </c>
      <c r="X994">
        <v>20053003</v>
      </c>
      <c r="Y994" t="s">
        <v>4102</v>
      </c>
      <c r="Z994" t="s">
        <v>119</v>
      </c>
      <c r="AA994" t="s">
        <v>24</v>
      </c>
      <c r="AB994" t="s">
        <v>250</v>
      </c>
      <c r="AC994" t="s">
        <v>25</v>
      </c>
      <c r="AD994" t="s">
        <v>121</v>
      </c>
      <c r="AE994">
        <v>1</v>
      </c>
      <c r="AF994" t="s">
        <v>27</v>
      </c>
      <c r="AG994" t="s">
        <v>26</v>
      </c>
      <c r="AH994" t="s">
        <v>6768</v>
      </c>
      <c r="AI994" t="str">
        <f t="shared" si="75"/>
        <v>NO</v>
      </c>
      <c r="AJ994" t="str">
        <f t="shared" si="76"/>
        <v>JGB</v>
      </c>
      <c r="AK994" t="str">
        <f>IF(ISNUMBER(SEARCH("FABRICANTE",AC994)),"FABRICANTE",IF(ISNUMBER(SEARCH("IMPORTADOR",AC994)),"IMPORTADOR","OTRO"))</f>
        <v>FABRICANTE</v>
      </c>
      <c r="AL994" t="str">
        <f>IF(LEFT(Y994,1)="A","Sistema digestivo",IF(LEFT(Y994,1)="B","Sangre",IF(LEFT(Y994,1)="C","Cardiovascular",IF(LEFT(Y994,1)="D","Dermatológico",IF(LEFT(Y994,1)="G","Genitourinario",IF(LEFT(Y994,1)="H","Hormonal",IF(LEFT(Y994,1)="J","Antiinfecciosos",IF(LEFT(Y994,1)="L","Oncológicos",IF(LEFT(Y994,1)="M","Musculoesquelético",IF(LEFT(Y994,1)="N","Sistema nervioso",IF(LEFT(Y994,1)="R","Respiratorio",IF(LEFT(Y994,1)="S","Oftálmico",IF(LEFT(Y994,1)="V","Varios","OTRO")))))))))))))</f>
        <v>Respiratorio</v>
      </c>
      <c r="AM994" t="str">
        <f>IF(AG994="Vigente","ACTIVO",IF(ISNUMBER(SEARCH("Inactivo",J994)),"INACTIVO","REVISAR"))</f>
        <v>ACTIVO</v>
      </c>
      <c r="AN994" t="str">
        <f ca="1">IF(OR(AF994="",AF994="null"),"",ROUND((AF994-TODAY())/365.25,2))</f>
        <v/>
      </c>
      <c r="AO994" t="str">
        <f ca="1">IF(AND(AG994="Vigente",OR(AF994="",AF994="null",AF994&gt;TODAY())),"SI",IF(AND(NOT(OR(AF994="",AF994="null")),AF994&lt;=TODAY()),"NO",IF(AG994="Vigente","SI","DESCONOCIDO")))</f>
        <v>SI</v>
      </c>
      <c r="AP994" t="str">
        <f>IF(AND(ISNUMBER(SEARCH("IMPORTAR",AA994)),ISNUMBER(SEARCH("FABRICAR",AA994))),"MIXTO",IF(ISNUMBER(SEARCH("IMPORTAR",AA994)),"IMPORTADO",IF(ISNUMBER(SEARCH("FABRICAR",AA994)),"LOCAL","OTRO")))</f>
        <v>LOCAL</v>
      </c>
      <c r="AQ994" t="str">
        <f>IF(AD994="Si","SI",IF(AD994="No","NO",""))</f>
        <v>NO</v>
      </c>
      <c r="AR994" t="str">
        <f>IF(ISNUMBER(SEARCH("®",N994)),"MARCA/INNOVADOR","GENERICO")</f>
        <v>GENERICO</v>
      </c>
      <c r="AS994">
        <f ca="1">IF(AE994&gt;100,RANDBETWEEN(500,5000),IF(AND(AE994&gt;=10,AE994&lt;=100),RANDBETWEEN(100,1000),RANDBETWEEN(10,200)))</f>
        <v>158</v>
      </c>
      <c r="AT994">
        <f t="shared" ca="1" si="77"/>
        <v>45</v>
      </c>
      <c r="AU994">
        <f ca="1">INT(AS994*RANDBETWEEN(120,200)/100)</f>
        <v>230</v>
      </c>
      <c r="AV994" s="2">
        <f ca="1">IF(LEFT(Y994,1)="L",RANDBETWEEN(500000,5000000),IF(LEFT(Y994,1)="C",RANDBETWEEN(5000,50000),IF(LEFT(Y994,1)="N",RANDBETWEEN(10000,150000),IF(LEFT(Y994,1)="J",RANDBETWEEN(8000,200000),RANDBETWEEN(5000,100000)))))</f>
        <v>28140</v>
      </c>
      <c r="AW994" s="2">
        <f ca="1">INT(AV994*RANDBETWEEN(30,60)/100)</f>
        <v>11256</v>
      </c>
      <c r="AX994">
        <f ca="1">IF(Z994="ORAL",RANDBETWEEN(1000,10000),IF(OR(Z994="INTRAVENOSA",Z994="INTRAMUSCULAR"),RANDBETWEEN(100,2000),IF(OR(Z994="OFTÁLMICA",Z994="TOPICA (EXTERNA)"),RANDBETWEEN(200,3000),RANDBETWEEN(100,1500))))</f>
        <v>8073</v>
      </c>
      <c r="AY994" s="2">
        <f ca="1">INT(AV994*RANDBETWEEN(90,130)/100)</f>
        <v>36300</v>
      </c>
      <c r="AZ994" t="str">
        <f t="shared" ca="1" si="78"/>
        <v>8.2%</v>
      </c>
      <c r="BA994" t="str">
        <f t="shared" ca="1" si="79"/>
        <v>BAJO</v>
      </c>
    </row>
    <row r="995" spans="4:53" x14ac:dyDescent="0.35">
      <c r="D995" t="s">
        <v>6098</v>
      </c>
      <c r="E995" s="1">
        <v>34579</v>
      </c>
      <c r="F995" t="s">
        <v>1975</v>
      </c>
      <c r="G995" t="s">
        <v>2701</v>
      </c>
      <c r="H995" t="s">
        <v>6099</v>
      </c>
      <c r="I995">
        <v>50423</v>
      </c>
      <c r="J995" t="s">
        <v>28</v>
      </c>
      <c r="K995">
        <v>28</v>
      </c>
      <c r="L995" t="s">
        <v>27</v>
      </c>
      <c r="M995" t="s">
        <v>5097</v>
      </c>
      <c r="N995" t="s">
        <v>1975</v>
      </c>
      <c r="O995" t="s">
        <v>6100</v>
      </c>
      <c r="P995" t="s">
        <v>5099</v>
      </c>
      <c r="Q995" s="1">
        <v>42220</v>
      </c>
      <c r="R995" t="s">
        <v>1818</v>
      </c>
      <c r="S995" t="s">
        <v>27</v>
      </c>
      <c r="T995" t="s">
        <v>5100</v>
      </c>
      <c r="U995" t="s">
        <v>1808</v>
      </c>
      <c r="V995" t="s">
        <v>1819</v>
      </c>
      <c r="W995">
        <v>99</v>
      </c>
      <c r="X995">
        <v>50423</v>
      </c>
      <c r="Y995" t="s">
        <v>1820</v>
      </c>
      <c r="Z995" t="s">
        <v>1168</v>
      </c>
      <c r="AA995" t="s">
        <v>24</v>
      </c>
      <c r="AB995" t="s">
        <v>1983</v>
      </c>
      <c r="AC995" t="s">
        <v>25</v>
      </c>
      <c r="AD995" t="s">
        <v>121</v>
      </c>
      <c r="AE995">
        <v>4</v>
      </c>
      <c r="AF995" t="s">
        <v>27</v>
      </c>
      <c r="AG995" t="s">
        <v>26</v>
      </c>
      <c r="AH995" t="s">
        <v>1975</v>
      </c>
      <c r="AI995" t="str">
        <f t="shared" si="75"/>
        <v>NO</v>
      </c>
      <c r="AJ995" t="str">
        <f t="shared" si="76"/>
        <v>OXIGENOS DE COLOMBIA - OXICOL</v>
      </c>
      <c r="AK995" t="str">
        <f>IF(ISNUMBER(SEARCH("FABRICANTE",AC995)),"FABRICANTE",IF(ISNUMBER(SEARCH("IMPORTADOR",AC995)),"IMPORTADOR","OTRO"))</f>
        <v>FABRICANTE</v>
      </c>
      <c r="AL995" t="str">
        <f>IF(LEFT(Y995,1)="A","Sistema digestivo",IF(LEFT(Y995,1)="B","Sangre",IF(LEFT(Y995,1)="C","Cardiovascular",IF(LEFT(Y995,1)="D","Dermatológico",IF(LEFT(Y995,1)="G","Genitourinario",IF(LEFT(Y995,1)="H","Hormonal",IF(LEFT(Y995,1)="J","Antiinfecciosos",IF(LEFT(Y995,1)="L","Oncológicos",IF(LEFT(Y995,1)="M","Musculoesquelético",IF(LEFT(Y995,1)="N","Sistema nervioso",IF(LEFT(Y995,1)="R","Respiratorio",IF(LEFT(Y995,1)="S","Oftálmico",IF(LEFT(Y995,1)="V","Varios","OTRO")))))))))))))</f>
        <v>Varios</v>
      </c>
      <c r="AM995" t="str">
        <f>IF(AG995="Vigente","ACTIVO",IF(ISNUMBER(SEARCH("Inactivo",J995)),"INACTIVO","REVISAR"))</f>
        <v>ACTIVO</v>
      </c>
      <c r="AN995" t="str">
        <f ca="1">IF(OR(AF995="",AF995="null"),"",ROUND((AF995-TODAY())/365.25,2))</f>
        <v/>
      </c>
      <c r="AO995" t="str">
        <f ca="1">IF(AND(AG995="Vigente",OR(AF995="",AF995="null",AF995&gt;TODAY())),"SI",IF(AND(NOT(OR(AF995="",AF995="null")),AF995&lt;=TODAY()),"NO",IF(AG995="Vigente","SI","DESCONOCIDO")))</f>
        <v>SI</v>
      </c>
      <c r="AP995" t="str">
        <f>IF(AND(ISNUMBER(SEARCH("IMPORTAR",AA995)),ISNUMBER(SEARCH("FABRICAR",AA995))),"MIXTO",IF(ISNUMBER(SEARCH("IMPORTAR",AA995)),"IMPORTADO",IF(ISNUMBER(SEARCH("FABRICAR",AA995)),"LOCAL","OTRO")))</f>
        <v>LOCAL</v>
      </c>
      <c r="AQ995" t="str">
        <f>IF(AD995="Si","SI",IF(AD995="No","NO",""))</f>
        <v>NO</v>
      </c>
      <c r="AR995" t="str">
        <f>IF(ISNUMBER(SEARCH("®",N995)),"MARCA/INNOVADOR","GENERICO")</f>
        <v>GENERICO</v>
      </c>
      <c r="AS995">
        <f ca="1">IF(AE995&gt;100,RANDBETWEEN(500,5000),IF(AND(AE995&gt;=10,AE995&lt;=100),RANDBETWEEN(100,1000),RANDBETWEEN(10,200)))</f>
        <v>80</v>
      </c>
      <c r="AT995">
        <f t="shared" ca="1" si="77"/>
        <v>22</v>
      </c>
      <c r="AU995">
        <f ca="1">INT(AS995*RANDBETWEEN(120,200)/100)</f>
        <v>146</v>
      </c>
      <c r="AV995" s="2">
        <f ca="1">IF(LEFT(Y995,1)="L",RANDBETWEEN(500000,5000000),IF(LEFT(Y995,1)="C",RANDBETWEEN(5000,50000),IF(LEFT(Y995,1)="N",RANDBETWEEN(10000,150000),IF(LEFT(Y995,1)="J",RANDBETWEEN(8000,200000),RANDBETWEEN(5000,100000)))))</f>
        <v>97562</v>
      </c>
      <c r="AW995" s="2">
        <f ca="1">INT(AV995*RANDBETWEEN(30,60)/100)</f>
        <v>40976</v>
      </c>
      <c r="AX995">
        <f ca="1">IF(Z995="ORAL",RANDBETWEEN(1000,10000),IF(OR(Z995="INTRAVENOSA",Z995="INTRAMUSCULAR"),RANDBETWEEN(100,2000),IF(OR(Z995="OFTÁLMICA",Z995="TOPICA (EXTERNA)"),RANDBETWEEN(200,3000),RANDBETWEEN(100,1500))))</f>
        <v>234</v>
      </c>
      <c r="AY995" s="2">
        <f ca="1">INT(AV995*RANDBETWEEN(90,130)/100)</f>
        <v>112196</v>
      </c>
      <c r="AZ995" t="str">
        <f t="shared" ca="1" si="78"/>
        <v>5.5%</v>
      </c>
      <c r="BA995" t="str">
        <f t="shared" ca="1" si="79"/>
        <v>BAJO</v>
      </c>
    </row>
    <row r="996" spans="4:53" x14ac:dyDescent="0.35">
      <c r="D996" t="s">
        <v>6101</v>
      </c>
      <c r="E996" s="1">
        <v>33537</v>
      </c>
      <c r="F996" t="s">
        <v>3044</v>
      </c>
      <c r="G996" t="s">
        <v>108</v>
      </c>
      <c r="H996" t="s">
        <v>3045</v>
      </c>
      <c r="I996">
        <v>39007</v>
      </c>
      <c r="J996" t="s">
        <v>28</v>
      </c>
      <c r="K996">
        <v>2</v>
      </c>
      <c r="L996" t="s">
        <v>27</v>
      </c>
      <c r="M996" t="s">
        <v>3046</v>
      </c>
      <c r="N996" t="s">
        <v>3047</v>
      </c>
      <c r="O996" t="s">
        <v>6102</v>
      </c>
      <c r="P996" t="s">
        <v>3049</v>
      </c>
      <c r="Q996" s="1">
        <v>39031</v>
      </c>
      <c r="R996" t="s">
        <v>50</v>
      </c>
      <c r="S996" t="s">
        <v>27</v>
      </c>
      <c r="T996" t="s">
        <v>3050</v>
      </c>
      <c r="U996" t="s">
        <v>115</v>
      </c>
      <c r="V996" t="s">
        <v>3051</v>
      </c>
      <c r="W996">
        <v>50</v>
      </c>
      <c r="X996">
        <v>39007</v>
      </c>
      <c r="Y996" t="s">
        <v>3052</v>
      </c>
      <c r="Z996" t="s">
        <v>6103</v>
      </c>
      <c r="AA996" t="s">
        <v>24</v>
      </c>
      <c r="AB996" t="s">
        <v>120</v>
      </c>
      <c r="AC996" t="s">
        <v>25</v>
      </c>
      <c r="AD996" t="s">
        <v>121</v>
      </c>
      <c r="AE996">
        <v>24</v>
      </c>
      <c r="AF996" t="s">
        <v>27</v>
      </c>
      <c r="AG996" t="s">
        <v>26</v>
      </c>
      <c r="AH996" t="s">
        <v>6799</v>
      </c>
      <c r="AI996" t="str">
        <f t="shared" si="75"/>
        <v>SI</v>
      </c>
      <c r="AJ996" t="str">
        <f t="shared" si="76"/>
        <v>ROPSOHN LABORATORIOS</v>
      </c>
      <c r="AK996" t="str">
        <f>IF(ISNUMBER(SEARCH("FABRICANTE",AC996)),"FABRICANTE",IF(ISNUMBER(SEARCH("IMPORTADOR",AC996)),"IMPORTADOR","OTRO"))</f>
        <v>FABRICANTE</v>
      </c>
      <c r="AL996" t="str">
        <f>IF(LEFT(Y996,1)="A","Sistema digestivo",IF(LEFT(Y996,1)="B","Sangre",IF(LEFT(Y996,1)="C","Cardiovascular",IF(LEFT(Y996,1)="D","Dermatológico",IF(LEFT(Y996,1)="G","Genitourinario",IF(LEFT(Y996,1)="H","Hormonal",IF(LEFT(Y996,1)="J","Antiinfecciosos",IF(LEFT(Y996,1)="L","Oncológicos",IF(LEFT(Y996,1)="M","Musculoesquelético",IF(LEFT(Y996,1)="N","Sistema nervioso",IF(LEFT(Y996,1)="R","Respiratorio",IF(LEFT(Y996,1)="S","Oftálmico",IF(LEFT(Y996,1)="V","Varios","OTRO")))))))))))))</f>
        <v>Sistema nervioso</v>
      </c>
      <c r="AM996" t="str">
        <f>IF(AG996="Vigente","ACTIVO",IF(ISNUMBER(SEARCH("Inactivo",J996)),"INACTIVO","REVISAR"))</f>
        <v>ACTIVO</v>
      </c>
      <c r="AN996" t="str">
        <f ca="1">IF(OR(AF996="",AF996="null"),"",ROUND((AF996-TODAY())/365.25,2))</f>
        <v/>
      </c>
      <c r="AO996" t="str">
        <f ca="1">IF(AND(AG996="Vigente",OR(AF996="",AF996="null",AF996&gt;TODAY())),"SI",IF(AND(NOT(OR(AF996="",AF996="null")),AF996&lt;=TODAY()),"NO",IF(AG996="Vigente","SI","DESCONOCIDO")))</f>
        <v>SI</v>
      </c>
      <c r="AP996" t="str">
        <f>IF(AND(ISNUMBER(SEARCH("IMPORTAR",AA996)),ISNUMBER(SEARCH("FABRICAR",AA996))),"MIXTO",IF(ISNUMBER(SEARCH("IMPORTAR",AA996)),"IMPORTADO",IF(ISNUMBER(SEARCH("FABRICAR",AA996)),"LOCAL","OTRO")))</f>
        <v>LOCAL</v>
      </c>
      <c r="AQ996" t="str">
        <f>IF(AD996="Si","SI",IF(AD996="No","NO",""))</f>
        <v>NO</v>
      </c>
      <c r="AR996" t="str">
        <f>IF(ISNUMBER(SEARCH("®",N996)),"MARCA/INNOVADOR","GENERICO")</f>
        <v>GENERICO</v>
      </c>
      <c r="AS996">
        <f ca="1">IF(AE996&gt;100,RANDBETWEEN(500,5000),IF(AND(AE996&gt;=10,AE996&lt;=100),RANDBETWEEN(100,1000),RANDBETWEEN(10,200)))</f>
        <v>425</v>
      </c>
      <c r="AT996">
        <f t="shared" ca="1" si="77"/>
        <v>85</v>
      </c>
      <c r="AU996">
        <f ca="1">INT(AS996*RANDBETWEEN(120,200)/100)</f>
        <v>675</v>
      </c>
      <c r="AV996" s="2">
        <f ca="1">IF(LEFT(Y996,1)="L",RANDBETWEEN(500000,5000000),IF(LEFT(Y996,1)="C",RANDBETWEEN(5000,50000),IF(LEFT(Y996,1)="N",RANDBETWEEN(10000,150000),IF(LEFT(Y996,1)="J",RANDBETWEEN(8000,200000),RANDBETWEEN(5000,100000)))))</f>
        <v>137537</v>
      </c>
      <c r="AW996" s="2">
        <f ca="1">INT(AV996*RANDBETWEEN(30,60)/100)</f>
        <v>66017</v>
      </c>
      <c r="AX996">
        <f ca="1">IF(Z996="ORAL",RANDBETWEEN(1000,10000),IF(OR(Z996="INTRAVENOSA",Z996="INTRAMUSCULAR"),RANDBETWEEN(100,2000),IF(OR(Z996="OFTÁLMICA",Z996="TOPICA (EXTERNA)"),RANDBETWEEN(200,3000),RANDBETWEEN(100,1500))))</f>
        <v>1005</v>
      </c>
      <c r="AY996" s="2">
        <f ca="1">INT(AV996*RANDBETWEEN(90,130)/100)</f>
        <v>170545</v>
      </c>
      <c r="AZ996" t="str">
        <f t="shared" ca="1" si="78"/>
        <v>4.1%</v>
      </c>
      <c r="BA996" t="str">
        <f t="shared" ca="1" si="79"/>
        <v>BAJO</v>
      </c>
    </row>
    <row r="997" spans="4:53" x14ac:dyDescent="0.35">
      <c r="D997" t="s">
        <v>6104</v>
      </c>
      <c r="E997" s="1">
        <v>44125</v>
      </c>
      <c r="F997" t="s">
        <v>6105</v>
      </c>
      <c r="G997" t="s">
        <v>108</v>
      </c>
      <c r="H997" t="s">
        <v>114</v>
      </c>
      <c r="I997">
        <v>20135463</v>
      </c>
      <c r="J997" t="s">
        <v>28</v>
      </c>
      <c r="K997">
        <v>5</v>
      </c>
      <c r="L997" t="s">
        <v>6106</v>
      </c>
      <c r="M997" t="s">
        <v>6107</v>
      </c>
      <c r="N997" t="s">
        <v>6108</v>
      </c>
      <c r="O997" t="s">
        <v>6109</v>
      </c>
      <c r="P997" t="s">
        <v>33</v>
      </c>
      <c r="Q997" s="1">
        <v>43333</v>
      </c>
      <c r="R997" t="s">
        <v>33</v>
      </c>
      <c r="S997" t="s">
        <v>27</v>
      </c>
      <c r="T997" t="s">
        <v>114</v>
      </c>
      <c r="U997" t="s">
        <v>115</v>
      </c>
      <c r="V997" t="s">
        <v>6105</v>
      </c>
      <c r="W997">
        <v>1</v>
      </c>
      <c r="X997">
        <v>20135463</v>
      </c>
      <c r="Y997" t="s">
        <v>6110</v>
      </c>
      <c r="Z997" t="s">
        <v>119</v>
      </c>
      <c r="AA997" t="s">
        <v>32</v>
      </c>
      <c r="AB997" t="s">
        <v>120</v>
      </c>
      <c r="AC997" t="s">
        <v>38</v>
      </c>
      <c r="AD997" t="s">
        <v>155</v>
      </c>
      <c r="AE997">
        <v>14</v>
      </c>
      <c r="AF997" t="s">
        <v>27</v>
      </c>
      <c r="AG997" t="s">
        <v>26</v>
      </c>
      <c r="AH997" t="s">
        <v>6105</v>
      </c>
      <c r="AI997" t="str">
        <f t="shared" si="75"/>
        <v>NO</v>
      </c>
      <c r="AJ997" t="str">
        <f t="shared" si="76"/>
        <v>LABORATORIOS LEGRAND</v>
      </c>
      <c r="AK997" t="str">
        <f>IF(ISNUMBER(SEARCH("FABRICANTE",AC997)),"FABRICANTE",IF(ISNUMBER(SEARCH("IMPORTADOR",AC997)),"IMPORTADOR","OTRO"))</f>
        <v>IMPORTADOR</v>
      </c>
      <c r="AL997" t="str">
        <f>IF(LEFT(Y997,1)="A","Sistema digestivo",IF(LEFT(Y997,1)="B","Sangre",IF(LEFT(Y997,1)="C","Cardiovascular",IF(LEFT(Y997,1)="D","Dermatológico",IF(LEFT(Y997,1)="G","Genitourinario",IF(LEFT(Y997,1)="H","Hormonal",IF(LEFT(Y997,1)="J","Antiinfecciosos",IF(LEFT(Y997,1)="L","Oncológicos",IF(LEFT(Y997,1)="M","Musculoesquelético",IF(LEFT(Y997,1)="N","Sistema nervioso",IF(LEFT(Y997,1)="R","Respiratorio",IF(LEFT(Y997,1)="S","Oftálmico",IF(LEFT(Y997,1)="V","Varios","OTRO")))))))))))))</f>
        <v>Oncológicos</v>
      </c>
      <c r="AM997" t="str">
        <f>IF(AG997="Vigente","ACTIVO",IF(ISNUMBER(SEARCH("Inactivo",J997)),"INACTIVO","REVISAR"))</f>
        <v>ACTIVO</v>
      </c>
      <c r="AN997" t="str">
        <f ca="1">IF(OR(AF997="",AF997="null"),"",ROUND((AF997-TODAY())/365.25,2))</f>
        <v/>
      </c>
      <c r="AO997" t="str">
        <f ca="1">IF(AND(AG997="Vigente",OR(AF997="",AF997="null",AF997&gt;TODAY())),"SI",IF(AND(NOT(OR(AF997="",AF997="null")),AF997&lt;=TODAY()),"NO",IF(AG997="Vigente","SI","DESCONOCIDO")))</f>
        <v>SI</v>
      </c>
      <c r="AP997" t="str">
        <f>IF(AND(ISNUMBER(SEARCH("IMPORTAR",AA997)),ISNUMBER(SEARCH("FABRICAR",AA997))),"MIXTO",IF(ISNUMBER(SEARCH("IMPORTAR",AA997)),"IMPORTADO",IF(ISNUMBER(SEARCH("FABRICAR",AA997)),"LOCAL","OTRO")))</f>
        <v>IMPORTADO</v>
      </c>
      <c r="AQ997" t="str">
        <f>IF(AD997="Si","SI",IF(AD997="No","NO",""))</f>
        <v>SI</v>
      </c>
      <c r="AR997" t="str">
        <f>IF(ISNUMBER(SEARCH("®",N997)),"MARCA/INNOVADOR","GENERICO")</f>
        <v>MARCA/INNOVADOR</v>
      </c>
      <c r="AS997">
        <f ca="1">IF(AE997&gt;100,RANDBETWEEN(500,5000),IF(AND(AE997&gt;=10,AE997&lt;=100),RANDBETWEEN(100,1000),RANDBETWEEN(10,200)))</f>
        <v>985</v>
      </c>
      <c r="AT997">
        <f t="shared" ca="1" si="77"/>
        <v>128</v>
      </c>
      <c r="AU997">
        <f ca="1">INT(AS997*RANDBETWEEN(120,200)/100)</f>
        <v>1694</v>
      </c>
      <c r="AV997" s="2">
        <f ca="1">IF(LEFT(Y997,1)="L",RANDBETWEEN(500000,5000000),IF(LEFT(Y997,1)="C",RANDBETWEEN(5000,50000),IF(LEFT(Y997,1)="N",RANDBETWEEN(10000,150000),IF(LEFT(Y997,1)="J",RANDBETWEEN(8000,200000),RANDBETWEEN(5000,100000)))))</f>
        <v>2184036</v>
      </c>
      <c r="AW997" s="2">
        <f ca="1">INT(AV997*RANDBETWEEN(30,60)/100)</f>
        <v>764412</v>
      </c>
      <c r="AX997">
        <f ca="1">IF(Z997="ORAL",RANDBETWEEN(1000,10000),IF(OR(Z997="INTRAVENOSA",Z997="INTRAMUSCULAR"),RANDBETWEEN(100,2000),IF(OR(Z997="OFTÁLMICA",Z997="TOPICA (EXTERNA)"),RANDBETWEEN(200,3000),RANDBETWEEN(100,1500))))</f>
        <v>1622</v>
      </c>
      <c r="AY997" s="2">
        <f ca="1">INT(AV997*RANDBETWEEN(90,130)/100)</f>
        <v>2162195</v>
      </c>
      <c r="AZ997" t="str">
        <f t="shared" ca="1" si="78"/>
        <v>18%</v>
      </c>
      <c r="BA997" t="str">
        <f t="shared" ca="1" si="79"/>
        <v>BAJO</v>
      </c>
    </row>
    <row r="998" spans="4:53" x14ac:dyDescent="0.35">
      <c r="D998" t="s">
        <v>6111</v>
      </c>
      <c r="E998" s="1">
        <v>38533</v>
      </c>
      <c r="F998" t="s">
        <v>927</v>
      </c>
      <c r="G998" t="s">
        <v>108</v>
      </c>
      <c r="H998" t="s">
        <v>928</v>
      </c>
      <c r="I998">
        <v>19950727</v>
      </c>
      <c r="J998" t="s">
        <v>28</v>
      </c>
      <c r="K998">
        <v>144</v>
      </c>
      <c r="L998" t="s">
        <v>27</v>
      </c>
      <c r="M998" t="s">
        <v>929</v>
      </c>
      <c r="N998" t="s">
        <v>930</v>
      </c>
      <c r="O998" t="s">
        <v>6112</v>
      </c>
      <c r="P998" t="s">
        <v>932</v>
      </c>
      <c r="Q998" s="1">
        <v>42439</v>
      </c>
      <c r="R998" t="s">
        <v>932</v>
      </c>
      <c r="S998" t="s">
        <v>27</v>
      </c>
      <c r="T998" t="s">
        <v>928</v>
      </c>
      <c r="U998" t="s">
        <v>115</v>
      </c>
      <c r="V998" t="s">
        <v>933</v>
      </c>
      <c r="W998">
        <v>270</v>
      </c>
      <c r="X998">
        <v>19950727</v>
      </c>
      <c r="Y998" t="s">
        <v>934</v>
      </c>
      <c r="Z998" t="s">
        <v>499</v>
      </c>
      <c r="AA998" t="s">
        <v>24</v>
      </c>
      <c r="AB998" t="s">
        <v>120</v>
      </c>
      <c r="AC998" t="s">
        <v>25</v>
      </c>
      <c r="AD998" t="s">
        <v>121</v>
      </c>
      <c r="AE998">
        <v>50</v>
      </c>
      <c r="AF998" t="s">
        <v>27</v>
      </c>
      <c r="AG998" t="s">
        <v>26</v>
      </c>
      <c r="AH998" t="s">
        <v>6741</v>
      </c>
      <c r="AI998" t="str">
        <f t="shared" si="75"/>
        <v>NO</v>
      </c>
      <c r="AJ998" t="str">
        <f t="shared" si="76"/>
        <v>LABORATORIOS ECAR</v>
      </c>
      <c r="AK998" t="str">
        <f>IF(ISNUMBER(SEARCH("FABRICANTE",AC998)),"FABRICANTE",IF(ISNUMBER(SEARCH("IMPORTADOR",AC998)),"IMPORTADOR","OTRO"))</f>
        <v>FABRICANTE</v>
      </c>
      <c r="AL998" t="str">
        <f>IF(LEFT(Y998,1)="A","Sistema digestivo",IF(LEFT(Y998,1)="B","Sangre",IF(LEFT(Y998,1)="C","Cardiovascular",IF(LEFT(Y998,1)="D","Dermatológico",IF(LEFT(Y998,1)="G","Genitourinario",IF(LEFT(Y998,1)="H","Hormonal",IF(LEFT(Y998,1)="J","Antiinfecciosos",IF(LEFT(Y998,1)="L","Oncológicos",IF(LEFT(Y998,1)="M","Musculoesquelético",IF(LEFT(Y998,1)="N","Sistema nervioso",IF(LEFT(Y998,1)="R","Respiratorio",IF(LEFT(Y998,1)="S","Oftálmico",IF(LEFT(Y998,1)="V","Varios","OTRO")))))))))))))</f>
        <v>Sistema digestivo</v>
      </c>
      <c r="AM998" t="str">
        <f>IF(AG998="Vigente","ACTIVO",IF(ISNUMBER(SEARCH("Inactivo",J998)),"INACTIVO","REVISAR"))</f>
        <v>ACTIVO</v>
      </c>
      <c r="AN998" t="str">
        <f ca="1">IF(OR(AF998="",AF998="null"),"",ROUND((AF998-TODAY())/365.25,2))</f>
        <v/>
      </c>
      <c r="AO998" t="str">
        <f ca="1">IF(AND(AG998="Vigente",OR(AF998="",AF998="null",AF998&gt;TODAY())),"SI",IF(AND(NOT(OR(AF998="",AF998="null")),AF998&lt;=TODAY()),"NO",IF(AG998="Vigente","SI","DESCONOCIDO")))</f>
        <v>SI</v>
      </c>
      <c r="AP998" t="str">
        <f>IF(AND(ISNUMBER(SEARCH("IMPORTAR",AA998)),ISNUMBER(SEARCH("FABRICAR",AA998))),"MIXTO",IF(ISNUMBER(SEARCH("IMPORTAR",AA998)),"IMPORTADO",IF(ISNUMBER(SEARCH("FABRICAR",AA998)),"LOCAL","OTRO")))</f>
        <v>LOCAL</v>
      </c>
      <c r="AQ998" t="str">
        <f>IF(AD998="Si","SI",IF(AD998="No","NO",""))</f>
        <v>NO</v>
      </c>
      <c r="AR998" t="str">
        <f>IF(ISNUMBER(SEARCH("®",N998)),"MARCA/INNOVADOR","GENERICO")</f>
        <v>MARCA/INNOVADOR</v>
      </c>
      <c r="AS998">
        <f ca="1">IF(AE998&gt;100,RANDBETWEEN(500,5000),IF(AND(AE998&gt;=10,AE998&lt;=100),RANDBETWEEN(100,1000),RANDBETWEEN(10,200)))</f>
        <v>102</v>
      </c>
      <c r="AT998">
        <f t="shared" ca="1" si="77"/>
        <v>19</v>
      </c>
      <c r="AU998">
        <f ca="1">INT(AS998*RANDBETWEEN(120,200)/100)</f>
        <v>188</v>
      </c>
      <c r="AV998" s="2">
        <f ca="1">IF(LEFT(Y998,1)="L",RANDBETWEEN(500000,5000000),IF(LEFT(Y998,1)="C",RANDBETWEEN(5000,50000),IF(LEFT(Y998,1)="N",RANDBETWEEN(10000,150000),IF(LEFT(Y998,1)="J",RANDBETWEEN(8000,200000),RANDBETWEEN(5000,100000)))))</f>
        <v>56807</v>
      </c>
      <c r="AW998" s="2">
        <f ca="1">INT(AV998*RANDBETWEEN(30,60)/100)</f>
        <v>34084</v>
      </c>
      <c r="AX998">
        <f ca="1">IF(Z998="ORAL",RANDBETWEEN(1000,10000),IF(OR(Z998="INTRAVENOSA",Z998="INTRAMUSCULAR"),RANDBETWEEN(100,2000),IF(OR(Z998="OFTÁLMICA",Z998="TOPICA (EXTERNA)"),RANDBETWEEN(200,3000),RANDBETWEEN(100,1500))))</f>
        <v>629</v>
      </c>
      <c r="AY998" s="2">
        <f ca="1">INT(AV998*RANDBETWEEN(90,130)/100)</f>
        <v>61919</v>
      </c>
      <c r="AZ998" t="str">
        <f t="shared" ca="1" si="78"/>
        <v>1.8%</v>
      </c>
      <c r="BA998" t="str">
        <f t="shared" ca="1" si="79"/>
        <v>BAJO</v>
      </c>
    </row>
    <row r="999" spans="4:53" x14ac:dyDescent="0.35">
      <c r="D999" t="s">
        <v>6113</v>
      </c>
      <c r="E999" s="1">
        <v>42226</v>
      </c>
      <c r="F999" t="s">
        <v>1073</v>
      </c>
      <c r="G999" t="s">
        <v>108</v>
      </c>
      <c r="H999" t="s">
        <v>187</v>
      </c>
      <c r="I999">
        <v>20024731</v>
      </c>
      <c r="J999" t="s">
        <v>28</v>
      </c>
      <c r="K999">
        <v>31</v>
      </c>
      <c r="L999" t="s">
        <v>27</v>
      </c>
      <c r="M999" t="s">
        <v>1074</v>
      </c>
      <c r="N999" t="s">
        <v>1075</v>
      </c>
      <c r="O999" t="s">
        <v>6114</v>
      </c>
      <c r="P999" t="s">
        <v>527</v>
      </c>
      <c r="Q999" s="1">
        <v>42052</v>
      </c>
      <c r="R999" t="s">
        <v>527</v>
      </c>
      <c r="S999" t="s">
        <v>27</v>
      </c>
      <c r="T999" t="s">
        <v>80</v>
      </c>
      <c r="U999" t="s">
        <v>115</v>
      </c>
      <c r="V999" t="s">
        <v>1073</v>
      </c>
      <c r="W999">
        <v>500</v>
      </c>
      <c r="X999">
        <v>20024731</v>
      </c>
      <c r="Y999" t="s">
        <v>1077</v>
      </c>
      <c r="Z999" t="s">
        <v>119</v>
      </c>
      <c r="AA999" t="s">
        <v>24</v>
      </c>
      <c r="AB999" t="s">
        <v>120</v>
      </c>
      <c r="AC999" t="s">
        <v>25</v>
      </c>
      <c r="AD999" t="s">
        <v>155</v>
      </c>
      <c r="AE999">
        <v>8</v>
      </c>
      <c r="AF999" t="s">
        <v>27</v>
      </c>
      <c r="AG999" t="s">
        <v>26</v>
      </c>
      <c r="AH999" t="s">
        <v>1073</v>
      </c>
      <c r="AI999" t="str">
        <f t="shared" si="75"/>
        <v>NO</v>
      </c>
      <c r="AJ999" t="str">
        <f t="shared" si="76"/>
        <v>TECNOQUIMICAS</v>
      </c>
      <c r="AK999" t="str">
        <f>IF(ISNUMBER(SEARCH("FABRICANTE",AC999)),"FABRICANTE",IF(ISNUMBER(SEARCH("IMPORTADOR",AC999)),"IMPORTADOR","OTRO"))</f>
        <v>FABRICANTE</v>
      </c>
      <c r="AL999" t="str">
        <f>IF(LEFT(Y999,1)="A","Sistema digestivo",IF(LEFT(Y999,1)="B","Sangre",IF(LEFT(Y999,1)="C","Cardiovascular",IF(LEFT(Y999,1)="D","Dermatológico",IF(LEFT(Y999,1)="G","Genitourinario",IF(LEFT(Y999,1)="H","Hormonal",IF(LEFT(Y999,1)="J","Antiinfecciosos",IF(LEFT(Y999,1)="L","Oncológicos",IF(LEFT(Y999,1)="M","Musculoesquelético",IF(LEFT(Y999,1)="N","Sistema nervioso",IF(LEFT(Y999,1)="R","Respiratorio",IF(LEFT(Y999,1)="S","Oftálmico",IF(LEFT(Y999,1)="V","Varios","OTRO")))))))))))))</f>
        <v>Musculoesquelético</v>
      </c>
      <c r="AM999" t="str">
        <f>IF(AG999="Vigente","ACTIVO",IF(ISNUMBER(SEARCH("Inactivo",J999)),"INACTIVO","REVISAR"))</f>
        <v>ACTIVO</v>
      </c>
      <c r="AN999" t="str">
        <f ca="1">IF(OR(AF999="",AF999="null"),"",ROUND((AF999-TODAY())/365.25,2))</f>
        <v/>
      </c>
      <c r="AO999" t="str">
        <f ca="1">IF(AND(AG999="Vigente",OR(AF999="",AF999="null",AF999&gt;TODAY())),"SI",IF(AND(NOT(OR(AF999="",AF999="null")),AF999&lt;=TODAY()),"NO",IF(AG999="Vigente","SI","DESCONOCIDO")))</f>
        <v>SI</v>
      </c>
      <c r="AP999" t="str">
        <f>IF(AND(ISNUMBER(SEARCH("IMPORTAR",AA999)),ISNUMBER(SEARCH("FABRICAR",AA999))),"MIXTO",IF(ISNUMBER(SEARCH("IMPORTAR",AA999)),"IMPORTADO",IF(ISNUMBER(SEARCH("FABRICAR",AA999)),"LOCAL","OTRO")))</f>
        <v>LOCAL</v>
      </c>
      <c r="AQ999" t="str">
        <f>IF(AD999="Si","SI",IF(AD999="No","NO",""))</f>
        <v>SI</v>
      </c>
      <c r="AR999" t="str">
        <f>IF(ISNUMBER(SEARCH("®",N999)),"MARCA/INNOVADOR","GENERICO")</f>
        <v>MARCA/INNOVADOR</v>
      </c>
      <c r="AS999">
        <f ca="1">IF(AE999&gt;100,RANDBETWEEN(500,5000),IF(AND(AE999&gt;=10,AE999&lt;=100),RANDBETWEEN(100,1000),RANDBETWEEN(10,200)))</f>
        <v>157</v>
      </c>
      <c r="AT999">
        <f t="shared" ca="1" si="77"/>
        <v>23</v>
      </c>
      <c r="AU999">
        <f ca="1">INT(AS999*RANDBETWEEN(120,200)/100)</f>
        <v>205</v>
      </c>
      <c r="AV999" s="2">
        <f ca="1">IF(LEFT(Y999,1)="L",RANDBETWEEN(500000,5000000),IF(LEFT(Y999,1)="C",RANDBETWEEN(5000,50000),IF(LEFT(Y999,1)="N",RANDBETWEEN(10000,150000),IF(LEFT(Y999,1)="J",RANDBETWEEN(8000,200000),RANDBETWEEN(5000,100000)))))</f>
        <v>82304</v>
      </c>
      <c r="AW999" s="2">
        <f ca="1">INT(AV999*RANDBETWEEN(30,60)/100)</f>
        <v>42798</v>
      </c>
      <c r="AX999">
        <f ca="1">IF(Z999="ORAL",RANDBETWEEN(1000,10000),IF(OR(Z999="INTRAVENOSA",Z999="INTRAMUSCULAR"),RANDBETWEEN(100,2000),IF(OR(Z999="OFTÁLMICA",Z999="TOPICA (EXTERNA)"),RANDBETWEEN(200,3000),RANDBETWEEN(100,1500))))</f>
        <v>6730</v>
      </c>
      <c r="AY999" s="2">
        <f ca="1">INT(AV999*RANDBETWEEN(90,130)/100)</f>
        <v>78188</v>
      </c>
      <c r="AZ999" t="str">
        <f t="shared" ca="1" si="78"/>
        <v>21%</v>
      </c>
      <c r="BA999" t="str">
        <f t="shared" ca="1" si="79"/>
        <v>BAJO</v>
      </c>
    </row>
    <row r="1000" spans="4:53" x14ac:dyDescent="0.35">
      <c r="D1000" t="s">
        <v>6115</v>
      </c>
      <c r="E1000" s="1">
        <v>38813</v>
      </c>
      <c r="F1000" t="s">
        <v>6116</v>
      </c>
      <c r="G1000" t="s">
        <v>108</v>
      </c>
      <c r="H1000" t="s">
        <v>195</v>
      </c>
      <c r="I1000">
        <v>19963586</v>
      </c>
      <c r="J1000" t="s">
        <v>28</v>
      </c>
      <c r="K1000">
        <v>9</v>
      </c>
      <c r="L1000" t="s">
        <v>27</v>
      </c>
      <c r="M1000" t="s">
        <v>6117</v>
      </c>
      <c r="N1000" t="s">
        <v>6118</v>
      </c>
      <c r="O1000" t="s">
        <v>6119</v>
      </c>
      <c r="P1000" t="s">
        <v>6120</v>
      </c>
      <c r="Q1000" s="1">
        <v>39185</v>
      </c>
      <c r="R1000" t="s">
        <v>584</v>
      </c>
      <c r="S1000" t="s">
        <v>27</v>
      </c>
      <c r="T1000" t="s">
        <v>201</v>
      </c>
      <c r="U1000" t="s">
        <v>115</v>
      </c>
      <c r="V1000" t="s">
        <v>5651</v>
      </c>
      <c r="W1000">
        <v>40</v>
      </c>
      <c r="X1000">
        <v>19963586</v>
      </c>
      <c r="Y1000" t="s">
        <v>5652</v>
      </c>
      <c r="Z1000" t="s">
        <v>119</v>
      </c>
      <c r="AA1000" t="s">
        <v>32</v>
      </c>
      <c r="AB1000" t="s">
        <v>120</v>
      </c>
      <c r="AC1000" t="s">
        <v>38</v>
      </c>
      <c r="AD1000" t="s">
        <v>121</v>
      </c>
      <c r="AE1000">
        <v>20</v>
      </c>
      <c r="AF1000" t="s">
        <v>27</v>
      </c>
      <c r="AG1000" t="s">
        <v>26</v>
      </c>
      <c r="AH1000" t="s">
        <v>5651</v>
      </c>
      <c r="AI1000" t="str">
        <f t="shared" si="75"/>
        <v>SI</v>
      </c>
      <c r="AJ1000" t="str">
        <f t="shared" si="76"/>
        <v>MONTE VERDE</v>
      </c>
      <c r="AK1000" t="str">
        <f>IF(ISNUMBER(SEARCH("FABRICANTE",AC1000)),"FABRICANTE",IF(ISNUMBER(SEARCH("IMPORTADOR",AC1000)),"IMPORTADOR","OTRO"))</f>
        <v>IMPORTADOR</v>
      </c>
      <c r="AL1000" t="str">
        <f>IF(LEFT(Y1000,1)="A","Sistema digestivo",IF(LEFT(Y1000,1)="B","Sangre",IF(LEFT(Y1000,1)="C","Cardiovascular",IF(LEFT(Y1000,1)="D","Dermatológico",IF(LEFT(Y1000,1)="G","Genitourinario",IF(LEFT(Y1000,1)="H","Hormonal",IF(LEFT(Y1000,1)="J","Antiinfecciosos",IF(LEFT(Y1000,1)="L","Oncológicos",IF(LEFT(Y1000,1)="M","Musculoesquelético",IF(LEFT(Y1000,1)="N","Sistema nervioso",IF(LEFT(Y1000,1)="R","Respiratorio",IF(LEFT(Y1000,1)="S","Oftálmico",IF(LEFT(Y1000,1)="V","Varios","OTRO")))))))))))))</f>
        <v>Sistema digestivo</v>
      </c>
      <c r="AM1000" t="str">
        <f>IF(AG1000="Vigente","ACTIVO",IF(ISNUMBER(SEARCH("Inactivo",J1000)),"INACTIVO","REVISAR"))</f>
        <v>ACTIVO</v>
      </c>
      <c r="AN1000" t="str">
        <f ca="1">IF(OR(AF1000="",AF1000="null"),"",ROUND((AF1000-TODAY())/365.25,2))</f>
        <v/>
      </c>
      <c r="AO1000" t="str">
        <f ca="1">IF(AND(AG1000="Vigente",OR(AF1000="",AF1000="null",AF1000&gt;TODAY())),"SI",IF(AND(NOT(OR(AF1000="",AF1000="null")),AF1000&lt;=TODAY()),"NO",IF(AG1000="Vigente","SI","DESCONOCIDO")))</f>
        <v>SI</v>
      </c>
      <c r="AP1000" t="str">
        <f>IF(AND(ISNUMBER(SEARCH("IMPORTAR",AA1000)),ISNUMBER(SEARCH("FABRICAR",AA1000))),"MIXTO",IF(ISNUMBER(SEARCH("IMPORTAR",AA1000)),"IMPORTADO",IF(ISNUMBER(SEARCH("FABRICAR",AA1000)),"LOCAL","OTRO")))</f>
        <v>IMPORTADO</v>
      </c>
      <c r="AQ1000" t="str">
        <f>IF(AD1000="Si","SI",IF(AD1000="No","NO",""))</f>
        <v>NO</v>
      </c>
      <c r="AR1000" t="str">
        <f>IF(ISNUMBER(SEARCH("®",N1000)),"MARCA/INNOVADOR","GENERICO")</f>
        <v>MARCA/INNOVADOR</v>
      </c>
      <c r="AS1000">
        <f ca="1">IF(AE1000&gt;100,RANDBETWEEN(500,5000),IF(AND(AE1000&gt;=10,AE1000&lt;=100),RANDBETWEEN(100,1000),RANDBETWEEN(10,200)))</f>
        <v>559</v>
      </c>
      <c r="AT1000">
        <f t="shared" ca="1" si="77"/>
        <v>145</v>
      </c>
      <c r="AU1000">
        <f ca="1">INT(AS1000*RANDBETWEEN(120,200)/100)</f>
        <v>894</v>
      </c>
      <c r="AV1000" s="2">
        <f ca="1">IF(LEFT(Y1000,1)="L",RANDBETWEEN(500000,5000000),IF(LEFT(Y1000,1)="C",RANDBETWEEN(5000,50000),IF(LEFT(Y1000,1)="N",RANDBETWEEN(10000,150000),IF(LEFT(Y1000,1)="J",RANDBETWEEN(8000,200000),RANDBETWEEN(5000,100000)))))</f>
        <v>49709</v>
      </c>
      <c r="AW1000" s="2">
        <f ca="1">INT(AV1000*RANDBETWEEN(30,60)/100)</f>
        <v>21871</v>
      </c>
      <c r="AX1000">
        <f ca="1">IF(Z1000="ORAL",RANDBETWEEN(1000,10000),IF(OR(Z1000="INTRAVENOSA",Z1000="INTRAMUSCULAR"),RANDBETWEEN(100,2000),IF(OR(Z1000="OFTÁLMICA",Z1000="TOPICA (EXTERNA)"),RANDBETWEEN(200,3000),RANDBETWEEN(100,1500))))</f>
        <v>8324</v>
      </c>
      <c r="AY1000" s="2">
        <f ca="1">INT(AV1000*RANDBETWEEN(90,130)/100)</f>
        <v>52691</v>
      </c>
      <c r="AZ1000" t="str">
        <f t="shared" ca="1" si="78"/>
        <v>21.1%</v>
      </c>
      <c r="BA1000" t="str">
        <f t="shared" ca="1" si="79"/>
        <v>BAJO</v>
      </c>
    </row>
    <row r="1001" spans="4:53" x14ac:dyDescent="0.35">
      <c r="D1001" t="s">
        <v>6121</v>
      </c>
      <c r="E1001" s="1">
        <v>40892</v>
      </c>
      <c r="F1001" t="s">
        <v>1569</v>
      </c>
      <c r="G1001" t="s">
        <v>108</v>
      </c>
      <c r="H1001" t="s">
        <v>1570</v>
      </c>
      <c r="I1001">
        <v>20039083</v>
      </c>
      <c r="J1001" t="s">
        <v>28</v>
      </c>
      <c r="K1001">
        <v>2</v>
      </c>
      <c r="L1001" t="s">
        <v>27</v>
      </c>
      <c r="M1001" t="s">
        <v>1571</v>
      </c>
      <c r="N1001" t="s">
        <v>1572</v>
      </c>
      <c r="O1001" t="s">
        <v>6122</v>
      </c>
      <c r="P1001" t="s">
        <v>932</v>
      </c>
      <c r="Q1001" s="1">
        <v>40882</v>
      </c>
      <c r="R1001" t="s">
        <v>932</v>
      </c>
      <c r="S1001" t="s">
        <v>27</v>
      </c>
      <c r="T1001" t="s">
        <v>1574</v>
      </c>
      <c r="U1001" t="s">
        <v>115</v>
      </c>
      <c r="V1001" t="s">
        <v>1575</v>
      </c>
      <c r="W1001">
        <v>5</v>
      </c>
      <c r="X1001">
        <v>20039083</v>
      </c>
      <c r="Y1001" t="s">
        <v>1576</v>
      </c>
      <c r="Z1001" t="s">
        <v>119</v>
      </c>
      <c r="AA1001" t="s">
        <v>32</v>
      </c>
      <c r="AB1001" t="s">
        <v>120</v>
      </c>
      <c r="AC1001" t="s">
        <v>38</v>
      </c>
      <c r="AD1001" t="s">
        <v>121</v>
      </c>
      <c r="AE1001">
        <v>10</v>
      </c>
      <c r="AF1001" t="s">
        <v>27</v>
      </c>
      <c r="AG1001" t="s">
        <v>26</v>
      </c>
      <c r="AH1001" t="s">
        <v>6633</v>
      </c>
      <c r="AI1001" t="str">
        <f t="shared" si="75"/>
        <v>SI</v>
      </c>
      <c r="AJ1001" t="str">
        <f t="shared" si="76"/>
        <v>SANDOZ</v>
      </c>
      <c r="AK1001" t="str">
        <f>IF(ISNUMBER(SEARCH("FABRICANTE",AC1001)),"FABRICANTE",IF(ISNUMBER(SEARCH("IMPORTADOR",AC1001)),"IMPORTADOR","OTRO"))</f>
        <v>IMPORTADOR</v>
      </c>
      <c r="AL1001" t="str">
        <f>IF(LEFT(Y1001,1)="A","Sistema digestivo",IF(LEFT(Y1001,1)="B","Sangre",IF(LEFT(Y1001,1)="C","Cardiovascular",IF(LEFT(Y1001,1)="D","Dermatológico",IF(LEFT(Y1001,1)="G","Genitourinario",IF(LEFT(Y1001,1)="H","Hormonal",IF(LEFT(Y1001,1)="J","Antiinfecciosos",IF(LEFT(Y1001,1)="L","Oncológicos",IF(LEFT(Y1001,1)="M","Musculoesquelético",IF(LEFT(Y1001,1)="N","Sistema nervioso",IF(LEFT(Y1001,1)="R","Respiratorio",IF(LEFT(Y1001,1)="S","Oftálmico",IF(LEFT(Y1001,1)="V","Varios","OTRO")))))))))))))</f>
        <v>Respiratorio</v>
      </c>
      <c r="AM1001" t="str">
        <f>IF(AG1001="Vigente","ACTIVO",IF(ISNUMBER(SEARCH("Inactivo",J1001)),"INACTIVO","REVISAR"))</f>
        <v>ACTIVO</v>
      </c>
      <c r="AN1001" t="str">
        <f ca="1">IF(OR(AF1001="",AF1001="null"),"",ROUND((AF1001-TODAY())/365.25,2))</f>
        <v/>
      </c>
      <c r="AO1001" t="str">
        <f ca="1">IF(AND(AG1001="Vigente",OR(AF1001="",AF1001="null",AF1001&gt;TODAY())),"SI",IF(AND(NOT(OR(AF1001="",AF1001="null")),AF1001&lt;=TODAY()),"NO",IF(AG1001="Vigente","SI","DESCONOCIDO")))</f>
        <v>SI</v>
      </c>
      <c r="AP1001" t="str">
        <f>IF(AND(ISNUMBER(SEARCH("IMPORTAR",AA1001)),ISNUMBER(SEARCH("FABRICAR",AA1001))),"MIXTO",IF(ISNUMBER(SEARCH("IMPORTAR",AA1001)),"IMPORTADO",IF(ISNUMBER(SEARCH("FABRICAR",AA1001)),"LOCAL","OTRO")))</f>
        <v>IMPORTADO</v>
      </c>
      <c r="AQ1001" t="str">
        <f>IF(AD1001="Si","SI",IF(AD1001="No","NO",""))</f>
        <v>NO</v>
      </c>
      <c r="AR1001" t="str">
        <f>IF(ISNUMBER(SEARCH("®",N1001)),"MARCA/INNOVADOR","GENERICO")</f>
        <v>GENERICO</v>
      </c>
      <c r="AS1001">
        <f ca="1">IF(AE1001&gt;100,RANDBETWEEN(500,5000),IF(AND(AE1001&gt;=10,AE1001&lt;=100),RANDBETWEEN(100,1000),RANDBETWEEN(10,200)))</f>
        <v>152</v>
      </c>
      <c r="AT1001">
        <f t="shared" ca="1" si="77"/>
        <v>33</v>
      </c>
      <c r="AU1001">
        <f ca="1">INT(AS1001*RANDBETWEEN(120,200)/100)</f>
        <v>278</v>
      </c>
      <c r="AV1001" s="2">
        <f ca="1">IF(LEFT(Y1001,1)="L",RANDBETWEEN(500000,5000000),IF(LEFT(Y1001,1)="C",RANDBETWEEN(5000,50000),IF(LEFT(Y1001,1)="N",RANDBETWEEN(10000,150000),IF(LEFT(Y1001,1)="J",RANDBETWEEN(8000,200000),RANDBETWEEN(5000,100000)))))</f>
        <v>76512</v>
      </c>
      <c r="AW1001" s="2">
        <f ca="1">INT(AV1001*RANDBETWEEN(30,60)/100)</f>
        <v>28309</v>
      </c>
      <c r="AX1001">
        <f ca="1">IF(Z1001="ORAL",RANDBETWEEN(1000,10000),IF(OR(Z1001="INTRAVENOSA",Z1001="INTRAMUSCULAR"),RANDBETWEEN(100,2000),IF(OR(Z1001="OFTÁLMICA",Z1001="TOPICA (EXTERNA)"),RANDBETWEEN(200,3000),RANDBETWEEN(100,1500))))</f>
        <v>2784</v>
      </c>
      <c r="AY1001" s="2">
        <f ca="1">INT(AV1001*RANDBETWEEN(90,130)/100)</f>
        <v>91049</v>
      </c>
      <c r="AZ1001" t="str">
        <f t="shared" ca="1" si="78"/>
        <v>15.5%</v>
      </c>
      <c r="BA1001" t="str">
        <f t="shared" ca="1" si="79"/>
        <v>BAJO</v>
      </c>
    </row>
    <row r="1002" spans="4:53" x14ac:dyDescent="0.35">
      <c r="D1002" t="s">
        <v>6123</v>
      </c>
      <c r="E1002" s="1">
        <v>37215</v>
      </c>
      <c r="F1002" t="s">
        <v>123</v>
      </c>
      <c r="G1002" t="s">
        <v>108</v>
      </c>
      <c r="H1002" t="s">
        <v>124</v>
      </c>
      <c r="I1002">
        <v>19924285</v>
      </c>
      <c r="J1002" t="s">
        <v>28</v>
      </c>
      <c r="K1002">
        <v>28</v>
      </c>
      <c r="L1002" t="s">
        <v>27</v>
      </c>
      <c r="M1002" t="s">
        <v>125</v>
      </c>
      <c r="N1002" t="s">
        <v>126</v>
      </c>
      <c r="O1002" t="s">
        <v>6124</v>
      </c>
      <c r="P1002" t="s">
        <v>128</v>
      </c>
      <c r="Q1002" s="1">
        <v>39118</v>
      </c>
      <c r="R1002" t="s">
        <v>50</v>
      </c>
      <c r="S1002" s="1">
        <v>44264</v>
      </c>
      <c r="T1002" t="s">
        <v>129</v>
      </c>
      <c r="U1002" t="s">
        <v>115</v>
      </c>
      <c r="V1002" t="s">
        <v>130</v>
      </c>
      <c r="W1002">
        <v>50</v>
      </c>
      <c r="X1002">
        <v>19924285</v>
      </c>
      <c r="Y1002" t="s">
        <v>131</v>
      </c>
      <c r="Z1002" t="s">
        <v>260</v>
      </c>
      <c r="AA1002" t="s">
        <v>24</v>
      </c>
      <c r="AB1002" t="s">
        <v>133</v>
      </c>
      <c r="AC1002" t="s">
        <v>25</v>
      </c>
      <c r="AD1002" t="s">
        <v>121</v>
      </c>
      <c r="AE1002">
        <v>5</v>
      </c>
      <c r="AF1002" t="s">
        <v>27</v>
      </c>
      <c r="AG1002" t="s">
        <v>26</v>
      </c>
      <c r="AH1002" t="s">
        <v>123</v>
      </c>
      <c r="AI1002" t="str">
        <f t="shared" si="75"/>
        <v>NO</v>
      </c>
      <c r="AJ1002" t="str">
        <f t="shared" si="76"/>
        <v>VITALIS</v>
      </c>
      <c r="AK1002" t="str">
        <f>IF(ISNUMBER(SEARCH("FABRICANTE",AC1002)),"FABRICANTE",IF(ISNUMBER(SEARCH("IMPORTADOR",AC1002)),"IMPORTADOR","OTRO"))</f>
        <v>FABRICANTE</v>
      </c>
      <c r="AL1002" t="str">
        <f>IF(LEFT(Y1002,1)="A","Sistema digestivo",IF(LEFT(Y1002,1)="B","Sangre",IF(LEFT(Y1002,1)="C","Cardiovascular",IF(LEFT(Y1002,1)="D","Dermatológico",IF(LEFT(Y1002,1)="G","Genitourinario",IF(LEFT(Y1002,1)="H","Hormonal",IF(LEFT(Y1002,1)="J","Antiinfecciosos",IF(LEFT(Y1002,1)="L","Oncológicos",IF(LEFT(Y1002,1)="M","Musculoesquelético",IF(LEFT(Y1002,1)="N","Sistema nervioso",IF(LEFT(Y1002,1)="R","Respiratorio",IF(LEFT(Y1002,1)="S","Oftálmico",IF(LEFT(Y1002,1)="V","Varios","OTRO")))))))))))))</f>
        <v>Sistema nervioso</v>
      </c>
      <c r="AM1002" t="str">
        <f>IF(AG1002="Vigente","ACTIVO",IF(ISNUMBER(SEARCH("Inactivo",J1002)),"INACTIVO","REVISAR"))</f>
        <v>ACTIVO</v>
      </c>
      <c r="AN1002" t="str">
        <f ca="1">IF(OR(AF1002="",AF1002="null"),"",ROUND((AF1002-TODAY())/365.25,2))</f>
        <v/>
      </c>
      <c r="AO1002" t="str">
        <f ca="1">IF(AND(AG1002="Vigente",OR(AF1002="",AF1002="null",AF1002&gt;TODAY())),"SI",IF(AND(NOT(OR(AF1002="",AF1002="null")),AF1002&lt;=TODAY()),"NO",IF(AG1002="Vigente","SI","DESCONOCIDO")))</f>
        <v>SI</v>
      </c>
      <c r="AP1002" t="str">
        <f>IF(AND(ISNUMBER(SEARCH("IMPORTAR",AA1002)),ISNUMBER(SEARCH("FABRICAR",AA1002))),"MIXTO",IF(ISNUMBER(SEARCH("IMPORTAR",AA1002)),"IMPORTADO",IF(ISNUMBER(SEARCH("FABRICAR",AA1002)),"LOCAL","OTRO")))</f>
        <v>LOCAL</v>
      </c>
      <c r="AQ1002" t="str">
        <f>IF(AD1002="Si","SI",IF(AD1002="No","NO",""))</f>
        <v>NO</v>
      </c>
      <c r="AR1002" t="str">
        <f>IF(ISNUMBER(SEARCH("®",N1002)),"MARCA/INNOVADOR","GENERICO")</f>
        <v>GENERICO</v>
      </c>
      <c r="AS1002">
        <f ca="1">IF(AE1002&gt;100,RANDBETWEEN(500,5000),IF(AND(AE1002&gt;=10,AE1002&lt;=100),RANDBETWEEN(100,1000),RANDBETWEEN(10,200)))</f>
        <v>63</v>
      </c>
      <c r="AT1002">
        <f t="shared" ca="1" si="77"/>
        <v>13</v>
      </c>
      <c r="AU1002">
        <f ca="1">INT(AS1002*RANDBETWEEN(120,200)/100)</f>
        <v>85</v>
      </c>
      <c r="AV1002" s="2">
        <f ca="1">IF(LEFT(Y1002,1)="L",RANDBETWEEN(500000,5000000),IF(LEFT(Y1002,1)="C",RANDBETWEEN(5000,50000),IF(LEFT(Y1002,1)="N",RANDBETWEEN(10000,150000),IF(LEFT(Y1002,1)="J",RANDBETWEEN(8000,200000),RANDBETWEEN(5000,100000)))))</f>
        <v>97419</v>
      </c>
      <c r="AW1002" s="2">
        <f ca="1">INT(AV1002*RANDBETWEEN(30,60)/100)</f>
        <v>47735</v>
      </c>
      <c r="AX1002">
        <f ca="1">IF(Z1002="ORAL",RANDBETWEEN(1000,10000),IF(OR(Z1002="INTRAVENOSA",Z1002="INTRAMUSCULAR"),RANDBETWEEN(100,2000),IF(OR(Z1002="OFTÁLMICA",Z1002="TOPICA (EXTERNA)"),RANDBETWEEN(200,3000),RANDBETWEEN(100,1500))))</f>
        <v>1465</v>
      </c>
      <c r="AY1002" s="2">
        <f ca="1">INT(AV1002*RANDBETWEEN(90,130)/100)</f>
        <v>106186</v>
      </c>
      <c r="AZ1002" t="str">
        <f t="shared" ca="1" si="78"/>
        <v>0.2%</v>
      </c>
      <c r="BA1002" t="str">
        <f t="shared" ca="1" si="79"/>
        <v>BAJO</v>
      </c>
    </row>
    <row r="1003" spans="4:53" x14ac:dyDescent="0.35">
      <c r="D1003" t="s">
        <v>6125</v>
      </c>
      <c r="E1003" s="1">
        <v>38589</v>
      </c>
      <c r="F1003" t="s">
        <v>6126</v>
      </c>
      <c r="G1003" t="s">
        <v>108</v>
      </c>
      <c r="H1003" t="s">
        <v>195</v>
      </c>
      <c r="I1003">
        <v>19955886</v>
      </c>
      <c r="J1003" t="s">
        <v>28</v>
      </c>
      <c r="K1003">
        <v>1</v>
      </c>
      <c r="L1003" t="s">
        <v>27</v>
      </c>
      <c r="M1003" t="s">
        <v>1065</v>
      </c>
      <c r="N1003" t="s">
        <v>1066</v>
      </c>
      <c r="O1003" t="s">
        <v>6127</v>
      </c>
      <c r="P1003" t="s">
        <v>1068</v>
      </c>
      <c r="Q1003" s="1">
        <v>39031</v>
      </c>
      <c r="R1003" t="s">
        <v>200</v>
      </c>
      <c r="S1003" s="1">
        <v>44470</v>
      </c>
      <c r="T1003" t="s">
        <v>1069</v>
      </c>
      <c r="U1003" t="s">
        <v>115</v>
      </c>
      <c r="V1003" t="s">
        <v>6128</v>
      </c>
      <c r="W1003">
        <v>50</v>
      </c>
      <c r="X1003">
        <v>19955886</v>
      </c>
      <c r="Y1003" t="s">
        <v>6129</v>
      </c>
      <c r="Z1003" t="s">
        <v>119</v>
      </c>
      <c r="AA1003" t="s">
        <v>32</v>
      </c>
      <c r="AB1003" t="s">
        <v>120</v>
      </c>
      <c r="AC1003" t="s">
        <v>38</v>
      </c>
      <c r="AD1003" t="s">
        <v>121</v>
      </c>
      <c r="AE1003">
        <v>10</v>
      </c>
      <c r="AF1003" t="s">
        <v>27</v>
      </c>
      <c r="AG1003" t="s">
        <v>26</v>
      </c>
      <c r="AH1003" t="s">
        <v>6126</v>
      </c>
      <c r="AI1003" t="str">
        <f t="shared" si="75"/>
        <v>NO</v>
      </c>
      <c r="AJ1003" t="str">
        <f t="shared" si="76"/>
        <v>FARMACEUTICA PARAGUAYA</v>
      </c>
      <c r="AK1003" t="str">
        <f>IF(ISNUMBER(SEARCH("FABRICANTE",AC1003)),"FABRICANTE",IF(ISNUMBER(SEARCH("IMPORTADOR",AC1003)),"IMPORTADOR","OTRO"))</f>
        <v>IMPORTADOR</v>
      </c>
      <c r="AL1003" t="str">
        <f>IF(LEFT(Y1003,1)="A","Sistema digestivo",IF(LEFT(Y1003,1)="B","Sangre",IF(LEFT(Y1003,1)="C","Cardiovascular",IF(LEFT(Y1003,1)="D","Dermatológico",IF(LEFT(Y1003,1)="G","Genitourinario",IF(LEFT(Y1003,1)="H","Hormonal",IF(LEFT(Y1003,1)="J","Antiinfecciosos",IF(LEFT(Y1003,1)="L","Oncológicos",IF(LEFT(Y1003,1)="M","Musculoesquelético",IF(LEFT(Y1003,1)="N","Sistema nervioso",IF(LEFT(Y1003,1)="R","Respiratorio",IF(LEFT(Y1003,1)="S","Oftálmico",IF(LEFT(Y1003,1)="V","Varios","OTRO")))))))))))))</f>
        <v>Musculoesquelético</v>
      </c>
      <c r="AM1003" t="str">
        <f>IF(AG1003="Vigente","ACTIVO",IF(ISNUMBER(SEARCH("Inactivo",J1003)),"INACTIVO","REVISAR"))</f>
        <v>ACTIVO</v>
      </c>
      <c r="AN1003" t="str">
        <f ca="1">IF(OR(AF1003="",AF1003="null"),"",ROUND((AF1003-TODAY())/365.25,2))</f>
        <v/>
      </c>
      <c r="AO1003" t="str">
        <f ca="1">IF(AND(AG1003="Vigente",OR(AF1003="",AF1003="null",AF1003&gt;TODAY())),"SI",IF(AND(NOT(OR(AF1003="",AF1003="null")),AF1003&lt;=TODAY()),"NO",IF(AG1003="Vigente","SI","DESCONOCIDO")))</f>
        <v>SI</v>
      </c>
      <c r="AP1003" t="str">
        <f>IF(AND(ISNUMBER(SEARCH("IMPORTAR",AA1003)),ISNUMBER(SEARCH("FABRICAR",AA1003))),"MIXTO",IF(ISNUMBER(SEARCH("IMPORTAR",AA1003)),"IMPORTADO",IF(ISNUMBER(SEARCH("FABRICAR",AA1003)),"LOCAL","OTRO")))</f>
        <v>IMPORTADO</v>
      </c>
      <c r="AQ1003" t="str">
        <f>IF(AD1003="Si","SI",IF(AD1003="No","NO",""))</f>
        <v>NO</v>
      </c>
      <c r="AR1003" t="str">
        <f>IF(ISNUMBER(SEARCH("®",N1003)),"MARCA/INNOVADOR","GENERICO")</f>
        <v>MARCA/INNOVADOR</v>
      </c>
      <c r="AS1003">
        <f ca="1">IF(AE1003&gt;100,RANDBETWEEN(500,5000),IF(AND(AE1003&gt;=10,AE1003&lt;=100),RANDBETWEEN(100,1000),RANDBETWEEN(10,200)))</f>
        <v>107</v>
      </c>
      <c r="AT1003">
        <f t="shared" ca="1" si="77"/>
        <v>23</v>
      </c>
      <c r="AU1003">
        <f ca="1">INT(AS1003*RANDBETWEEN(120,200)/100)</f>
        <v>165</v>
      </c>
      <c r="AV1003" s="2">
        <f ca="1">IF(LEFT(Y1003,1)="L",RANDBETWEEN(500000,5000000),IF(LEFT(Y1003,1)="C",RANDBETWEEN(5000,50000),IF(LEFT(Y1003,1)="N",RANDBETWEEN(10000,150000),IF(LEFT(Y1003,1)="J",RANDBETWEEN(8000,200000),RANDBETWEEN(5000,100000)))))</f>
        <v>21311</v>
      </c>
      <c r="AW1003" s="2">
        <f ca="1">INT(AV1003*RANDBETWEEN(30,60)/100)</f>
        <v>8311</v>
      </c>
      <c r="AX1003">
        <f ca="1">IF(Z1003="ORAL",RANDBETWEEN(1000,10000),IF(OR(Z1003="INTRAVENOSA",Z1003="INTRAMUSCULAR"),RANDBETWEEN(100,2000),IF(OR(Z1003="OFTÁLMICA",Z1003="TOPICA (EXTERNA)"),RANDBETWEEN(200,3000),RANDBETWEEN(100,1500))))</f>
        <v>2450</v>
      </c>
      <c r="AY1003" s="2">
        <f ca="1">INT(AV1003*RANDBETWEEN(90,130)/100)</f>
        <v>24081</v>
      </c>
      <c r="AZ1003" t="str">
        <f t="shared" ca="1" si="78"/>
        <v>5%</v>
      </c>
      <c r="BA1003" t="str">
        <f t="shared" ca="1" si="79"/>
        <v>BAJO</v>
      </c>
    </row>
    <row r="1004" spans="4:53" x14ac:dyDescent="0.35">
      <c r="D1004" t="s">
        <v>6130</v>
      </c>
      <c r="E1004" s="1">
        <v>36362</v>
      </c>
      <c r="F1004" t="s">
        <v>6131</v>
      </c>
      <c r="G1004" t="s">
        <v>108</v>
      </c>
      <c r="H1004" t="s">
        <v>769</v>
      </c>
      <c r="I1004">
        <v>36637</v>
      </c>
      <c r="J1004" t="s">
        <v>110</v>
      </c>
      <c r="K1004">
        <v>34</v>
      </c>
      <c r="L1004" t="s">
        <v>27</v>
      </c>
      <c r="M1004" t="s">
        <v>6132</v>
      </c>
      <c r="N1004" t="s">
        <v>6133</v>
      </c>
      <c r="O1004" t="s">
        <v>6134</v>
      </c>
      <c r="P1004" t="s">
        <v>181</v>
      </c>
      <c r="Q1004" s="1">
        <v>42822</v>
      </c>
      <c r="R1004" t="s">
        <v>37</v>
      </c>
      <c r="S1004" t="s">
        <v>27</v>
      </c>
      <c r="T1004" t="s">
        <v>769</v>
      </c>
      <c r="U1004" t="s">
        <v>115</v>
      </c>
      <c r="V1004" t="s">
        <v>2365</v>
      </c>
      <c r="W1004">
        <v>20</v>
      </c>
      <c r="X1004">
        <v>36637</v>
      </c>
      <c r="Y1004" t="s">
        <v>2367</v>
      </c>
      <c r="Z1004" t="s">
        <v>119</v>
      </c>
      <c r="AA1004" t="s">
        <v>165</v>
      </c>
      <c r="AB1004" t="s">
        <v>120</v>
      </c>
      <c r="AC1004" t="s">
        <v>38</v>
      </c>
      <c r="AD1004" t="s">
        <v>121</v>
      </c>
      <c r="AE1004">
        <v>60</v>
      </c>
      <c r="AF1004" t="s">
        <v>27</v>
      </c>
      <c r="AG1004" t="s">
        <v>26</v>
      </c>
      <c r="AH1004" t="s">
        <v>2365</v>
      </c>
      <c r="AI1004" t="str">
        <f t="shared" si="75"/>
        <v>NO</v>
      </c>
      <c r="AJ1004" t="str">
        <f t="shared" si="76"/>
        <v>LABORATORIOS BUSSIÉ</v>
      </c>
      <c r="AK1004" t="str">
        <f>IF(ISNUMBER(SEARCH("FABRICANTE",AC1004)),"FABRICANTE",IF(ISNUMBER(SEARCH("IMPORTADOR",AC1004)),"IMPORTADOR","OTRO"))</f>
        <v>IMPORTADOR</v>
      </c>
      <c r="AL1004" t="str">
        <f>IF(LEFT(Y1004,1)="A","Sistema digestivo",IF(LEFT(Y1004,1)="B","Sangre",IF(LEFT(Y1004,1)="C","Cardiovascular",IF(LEFT(Y1004,1)="D","Dermatológico",IF(LEFT(Y1004,1)="G","Genitourinario",IF(LEFT(Y1004,1)="H","Hormonal",IF(LEFT(Y1004,1)="J","Antiinfecciosos",IF(LEFT(Y1004,1)="L","Oncológicos",IF(LEFT(Y1004,1)="M","Musculoesquelético",IF(LEFT(Y1004,1)="N","Sistema nervioso",IF(LEFT(Y1004,1)="R","Respiratorio",IF(LEFT(Y1004,1)="S","Oftálmico",IF(LEFT(Y1004,1)="V","Varios","OTRO")))))))))))))</f>
        <v>Sistema digestivo</v>
      </c>
      <c r="AM1004" t="str">
        <f>IF(AG1004="Vigente","ACTIVO",IF(ISNUMBER(SEARCH("Inactivo",J1004)),"INACTIVO","REVISAR"))</f>
        <v>ACTIVO</v>
      </c>
      <c r="AN1004" t="str">
        <f ca="1">IF(OR(AF1004="",AF1004="null"),"",ROUND((AF1004-TODAY())/365.25,2))</f>
        <v/>
      </c>
      <c r="AO1004" t="str">
        <f ca="1">IF(AND(AG1004="Vigente",OR(AF1004="",AF1004="null",AF1004&gt;TODAY())),"SI",IF(AND(NOT(OR(AF1004="",AF1004="null")),AF1004&lt;=TODAY()),"NO",IF(AG1004="Vigente","SI","DESCONOCIDO")))</f>
        <v>SI</v>
      </c>
      <c r="AP1004" t="str">
        <f>IF(AND(ISNUMBER(SEARCH("IMPORTAR",AA1004)),ISNUMBER(SEARCH("FABRICAR",AA1004))),"MIXTO",IF(ISNUMBER(SEARCH("IMPORTAR",AA1004)),"IMPORTADO",IF(ISNUMBER(SEARCH("FABRICAR",AA1004)),"LOCAL","OTRO")))</f>
        <v>IMPORTADO</v>
      </c>
      <c r="AQ1004" t="str">
        <f>IF(AD1004="Si","SI",IF(AD1004="No","NO",""))</f>
        <v>NO</v>
      </c>
      <c r="AR1004" t="str">
        <f>IF(ISNUMBER(SEARCH("®",N1004)),"MARCA/INNOVADOR","GENERICO")</f>
        <v>MARCA/INNOVADOR</v>
      </c>
      <c r="AS1004">
        <f ca="1">IF(AE1004&gt;100,RANDBETWEEN(500,5000),IF(AND(AE1004&gt;=10,AE1004&lt;=100),RANDBETWEEN(100,1000),RANDBETWEEN(10,200)))</f>
        <v>566</v>
      </c>
      <c r="AT1004">
        <f t="shared" ca="1" si="77"/>
        <v>84</v>
      </c>
      <c r="AU1004">
        <f ca="1">INT(AS1004*RANDBETWEEN(120,200)/100)</f>
        <v>950</v>
      </c>
      <c r="AV1004" s="2">
        <f ca="1">IF(LEFT(Y1004,1)="L",RANDBETWEEN(500000,5000000),IF(LEFT(Y1004,1)="C",RANDBETWEEN(5000,50000),IF(LEFT(Y1004,1)="N",RANDBETWEEN(10000,150000),IF(LEFT(Y1004,1)="J",RANDBETWEEN(8000,200000),RANDBETWEEN(5000,100000)))))</f>
        <v>12722</v>
      </c>
      <c r="AW1004" s="2">
        <f ca="1">INT(AV1004*RANDBETWEEN(30,60)/100)</f>
        <v>6361</v>
      </c>
      <c r="AX1004">
        <f ca="1">IF(Z1004="ORAL",RANDBETWEEN(1000,10000),IF(OR(Z1004="INTRAVENOSA",Z1004="INTRAMUSCULAR"),RANDBETWEEN(100,2000),IF(OR(Z1004="OFTÁLMICA",Z1004="TOPICA (EXTERNA)"),RANDBETWEEN(200,3000),RANDBETWEEN(100,1500))))</f>
        <v>7263</v>
      </c>
      <c r="AY1004" s="2">
        <f ca="1">INT(AV1004*RANDBETWEEN(90,130)/100)</f>
        <v>13994</v>
      </c>
      <c r="AZ1004" t="str">
        <f t="shared" ca="1" si="78"/>
        <v>21.4%</v>
      </c>
      <c r="BA1004" t="str">
        <f t="shared" ca="1" si="79"/>
        <v>ALTO</v>
      </c>
    </row>
    <row r="1005" spans="4:53" x14ac:dyDescent="0.35">
      <c r="D1005" t="s">
        <v>6135</v>
      </c>
      <c r="E1005" s="1">
        <v>40212</v>
      </c>
      <c r="F1005" t="s">
        <v>6136</v>
      </c>
      <c r="G1005" t="s">
        <v>108</v>
      </c>
      <c r="H1005" t="s">
        <v>1927</v>
      </c>
      <c r="I1005">
        <v>20007274</v>
      </c>
      <c r="J1005" t="s">
        <v>28</v>
      </c>
      <c r="K1005">
        <v>2</v>
      </c>
      <c r="L1005" t="s">
        <v>27</v>
      </c>
      <c r="M1005" t="s">
        <v>6137</v>
      </c>
      <c r="N1005" t="s">
        <v>6138</v>
      </c>
      <c r="O1005" t="s">
        <v>6139</v>
      </c>
      <c r="P1005" t="s">
        <v>574</v>
      </c>
      <c r="Q1005" s="1">
        <v>40043</v>
      </c>
      <c r="R1005" t="s">
        <v>29</v>
      </c>
      <c r="S1005" t="s">
        <v>27</v>
      </c>
      <c r="T1005" t="s">
        <v>3118</v>
      </c>
      <c r="U1005" t="s">
        <v>115</v>
      </c>
      <c r="V1005" t="s">
        <v>6140</v>
      </c>
      <c r="W1005">
        <v>10</v>
      </c>
      <c r="X1005">
        <v>20007274</v>
      </c>
      <c r="Y1005" t="s">
        <v>6141</v>
      </c>
      <c r="Z1005" t="s">
        <v>119</v>
      </c>
      <c r="AA1005" t="s">
        <v>32</v>
      </c>
      <c r="AB1005" t="s">
        <v>120</v>
      </c>
      <c r="AC1005" t="s">
        <v>25</v>
      </c>
      <c r="AD1005" t="s">
        <v>121</v>
      </c>
      <c r="AE1005">
        <v>30</v>
      </c>
      <c r="AF1005" t="s">
        <v>27</v>
      </c>
      <c r="AG1005" t="s">
        <v>26</v>
      </c>
      <c r="AH1005" t="s">
        <v>6719</v>
      </c>
      <c r="AI1005" t="str">
        <f t="shared" si="75"/>
        <v>SI</v>
      </c>
      <c r="AJ1005" t="str">
        <f t="shared" si="76"/>
        <v>LES LABORATOIRES SERVIER</v>
      </c>
      <c r="AK1005" t="str">
        <f>IF(ISNUMBER(SEARCH("FABRICANTE",AC1005)),"FABRICANTE",IF(ISNUMBER(SEARCH("IMPORTADOR",AC1005)),"IMPORTADOR","OTRO"))</f>
        <v>FABRICANTE</v>
      </c>
      <c r="AL1005" t="str">
        <f>IF(LEFT(Y1005,1)="A","Sistema digestivo",IF(LEFT(Y1005,1)="B","Sangre",IF(LEFT(Y1005,1)="C","Cardiovascular",IF(LEFT(Y1005,1)="D","Dermatológico",IF(LEFT(Y1005,1)="G","Genitourinario",IF(LEFT(Y1005,1)="H","Hormonal",IF(LEFT(Y1005,1)="J","Antiinfecciosos",IF(LEFT(Y1005,1)="L","Oncológicos",IF(LEFT(Y1005,1)="M","Musculoesquelético",IF(LEFT(Y1005,1)="N","Sistema nervioso",IF(LEFT(Y1005,1)="R","Respiratorio",IF(LEFT(Y1005,1)="S","Oftálmico",IF(LEFT(Y1005,1)="V","Varios","OTRO")))))))))))))</f>
        <v>Cardiovascular</v>
      </c>
      <c r="AM1005" t="str">
        <f>IF(AG1005="Vigente","ACTIVO",IF(ISNUMBER(SEARCH("Inactivo",J1005)),"INACTIVO","REVISAR"))</f>
        <v>ACTIVO</v>
      </c>
      <c r="AN1005" t="str">
        <f ca="1">IF(OR(AF1005="",AF1005="null"),"",ROUND((AF1005-TODAY())/365.25,2))</f>
        <v/>
      </c>
      <c r="AO1005" t="str">
        <f ca="1">IF(AND(AG1005="Vigente",OR(AF1005="",AF1005="null",AF1005&gt;TODAY())),"SI",IF(AND(NOT(OR(AF1005="",AF1005="null")),AF1005&lt;=TODAY()),"NO",IF(AG1005="Vigente","SI","DESCONOCIDO")))</f>
        <v>SI</v>
      </c>
      <c r="AP1005" t="str">
        <f>IF(AND(ISNUMBER(SEARCH("IMPORTAR",AA1005)),ISNUMBER(SEARCH("FABRICAR",AA1005))),"MIXTO",IF(ISNUMBER(SEARCH("IMPORTAR",AA1005)),"IMPORTADO",IF(ISNUMBER(SEARCH("FABRICAR",AA1005)),"LOCAL","OTRO")))</f>
        <v>IMPORTADO</v>
      </c>
      <c r="AQ1005" t="str">
        <f>IF(AD1005="Si","SI",IF(AD1005="No","NO",""))</f>
        <v>NO</v>
      </c>
      <c r="AR1005" t="str">
        <f>IF(ISNUMBER(SEARCH("®",N1005)),"MARCA/INNOVADOR","GENERICO")</f>
        <v>MARCA/INNOVADOR</v>
      </c>
      <c r="AS1005">
        <f ca="1">IF(AE1005&gt;100,RANDBETWEEN(500,5000),IF(AND(AE1005&gt;=10,AE1005&lt;=100),RANDBETWEEN(100,1000),RANDBETWEEN(10,200)))</f>
        <v>273</v>
      </c>
      <c r="AT1005">
        <f t="shared" ca="1" si="77"/>
        <v>32</v>
      </c>
      <c r="AU1005">
        <f ca="1">INT(AS1005*RANDBETWEEN(120,200)/100)</f>
        <v>521</v>
      </c>
      <c r="AV1005" s="2">
        <f ca="1">IF(LEFT(Y1005,1)="L",RANDBETWEEN(500000,5000000),IF(LEFT(Y1005,1)="C",RANDBETWEEN(5000,50000),IF(LEFT(Y1005,1)="N",RANDBETWEEN(10000,150000),IF(LEFT(Y1005,1)="J",RANDBETWEEN(8000,200000),RANDBETWEEN(5000,100000)))))</f>
        <v>24648</v>
      </c>
      <c r="AW1005" s="2">
        <f ca="1">INT(AV1005*RANDBETWEEN(30,60)/100)</f>
        <v>11584</v>
      </c>
      <c r="AX1005">
        <f ca="1">IF(Z1005="ORAL",RANDBETWEEN(1000,10000),IF(OR(Z1005="INTRAVENOSA",Z1005="INTRAMUSCULAR"),RANDBETWEEN(100,2000),IF(OR(Z1005="OFTÁLMICA",Z1005="TOPICA (EXTERNA)"),RANDBETWEEN(200,3000),RANDBETWEEN(100,1500))))</f>
        <v>7297</v>
      </c>
      <c r="AY1005" s="2">
        <f ca="1">INT(AV1005*RANDBETWEEN(90,130)/100)</f>
        <v>25140</v>
      </c>
      <c r="AZ1005" t="str">
        <f t="shared" ca="1" si="78"/>
        <v>8.3%</v>
      </c>
      <c r="BA1005" t="str">
        <f t="shared" ca="1" si="79"/>
        <v>BAJO</v>
      </c>
    </row>
    <row r="1006" spans="4:53" x14ac:dyDescent="0.35">
      <c r="D1006" t="s">
        <v>6142</v>
      </c>
      <c r="E1006" s="1">
        <v>42998</v>
      </c>
      <c r="F1006" t="s">
        <v>6143</v>
      </c>
      <c r="G1006" t="s">
        <v>108</v>
      </c>
      <c r="H1006" t="s">
        <v>6144</v>
      </c>
      <c r="I1006">
        <v>20108472</v>
      </c>
      <c r="J1006" t="s">
        <v>28</v>
      </c>
      <c r="K1006">
        <v>3</v>
      </c>
      <c r="L1006" t="s">
        <v>27</v>
      </c>
      <c r="M1006" t="s">
        <v>6145</v>
      </c>
      <c r="N1006" t="s">
        <v>6146</v>
      </c>
      <c r="O1006" t="s">
        <v>6147</v>
      </c>
      <c r="P1006" t="s">
        <v>338</v>
      </c>
      <c r="Q1006" s="1">
        <v>42824</v>
      </c>
      <c r="R1006" t="s">
        <v>50</v>
      </c>
      <c r="S1006" t="s">
        <v>27</v>
      </c>
      <c r="T1006" t="s">
        <v>1217</v>
      </c>
      <c r="U1006" t="s">
        <v>115</v>
      </c>
      <c r="V1006" t="s">
        <v>6148</v>
      </c>
      <c r="W1006">
        <v>20</v>
      </c>
      <c r="X1006">
        <v>20108472</v>
      </c>
      <c r="Y1006" t="s">
        <v>6149</v>
      </c>
      <c r="Z1006" t="s">
        <v>213</v>
      </c>
      <c r="AA1006" t="s">
        <v>32</v>
      </c>
      <c r="AB1006" t="s">
        <v>120</v>
      </c>
      <c r="AC1006" t="s">
        <v>38</v>
      </c>
      <c r="AD1006" t="s">
        <v>121</v>
      </c>
      <c r="AE1006">
        <v>10</v>
      </c>
      <c r="AF1006" t="s">
        <v>27</v>
      </c>
      <c r="AG1006" t="s">
        <v>26</v>
      </c>
      <c r="AH1006" t="s">
        <v>6143</v>
      </c>
      <c r="AI1006" t="str">
        <f t="shared" si="75"/>
        <v>NO</v>
      </c>
      <c r="AJ1006" t="str">
        <f t="shared" si="76"/>
        <v>BIOCODEX</v>
      </c>
      <c r="AK1006" t="str">
        <f>IF(ISNUMBER(SEARCH("FABRICANTE",AC1006)),"FABRICANTE",IF(ISNUMBER(SEARCH("IMPORTADOR",AC1006)),"IMPORTADOR","OTRO"))</f>
        <v>IMPORTADOR</v>
      </c>
      <c r="AL1006" t="str">
        <f>IF(LEFT(Y1006,1)="A","Sistema digestivo",IF(LEFT(Y1006,1)="B","Sangre",IF(LEFT(Y1006,1)="C","Cardiovascular",IF(LEFT(Y1006,1)="D","Dermatológico",IF(LEFT(Y1006,1)="G","Genitourinario",IF(LEFT(Y1006,1)="H","Hormonal",IF(LEFT(Y1006,1)="J","Antiinfecciosos",IF(LEFT(Y1006,1)="L","Oncológicos",IF(LEFT(Y1006,1)="M","Musculoesquelético",IF(LEFT(Y1006,1)="N","Sistema nervioso",IF(LEFT(Y1006,1)="R","Respiratorio",IF(LEFT(Y1006,1)="S","Oftálmico",IF(LEFT(Y1006,1)="V","Varios","OTRO")))))))))))))</f>
        <v>Sistema nervioso</v>
      </c>
      <c r="AM1006" t="str">
        <f>IF(AG1006="Vigente","ACTIVO",IF(ISNUMBER(SEARCH("Inactivo",J1006)),"INACTIVO","REVISAR"))</f>
        <v>ACTIVO</v>
      </c>
      <c r="AN1006" t="str">
        <f ca="1">IF(OR(AF1006="",AF1006="null"),"",ROUND((AF1006-TODAY())/365.25,2))</f>
        <v/>
      </c>
      <c r="AO1006" t="str">
        <f ca="1">IF(AND(AG1006="Vigente",OR(AF1006="",AF1006="null",AF1006&gt;TODAY())),"SI",IF(AND(NOT(OR(AF1006="",AF1006="null")),AF1006&lt;=TODAY()),"NO",IF(AG1006="Vigente","SI","DESCONOCIDO")))</f>
        <v>SI</v>
      </c>
      <c r="AP1006" t="str">
        <f>IF(AND(ISNUMBER(SEARCH("IMPORTAR",AA1006)),ISNUMBER(SEARCH("FABRICAR",AA1006))),"MIXTO",IF(ISNUMBER(SEARCH("IMPORTAR",AA1006)),"IMPORTADO",IF(ISNUMBER(SEARCH("FABRICAR",AA1006)),"LOCAL","OTRO")))</f>
        <v>IMPORTADO</v>
      </c>
      <c r="AQ1006" t="str">
        <f>IF(AD1006="Si","SI",IF(AD1006="No","NO",""))</f>
        <v>NO</v>
      </c>
      <c r="AR1006" t="str">
        <f>IF(ISNUMBER(SEARCH("®",N1006)),"MARCA/INNOVADOR","GENERICO")</f>
        <v>GENERICO</v>
      </c>
      <c r="AS1006">
        <f ca="1">IF(AE1006&gt;100,RANDBETWEEN(500,5000),IF(AND(AE1006&gt;=10,AE1006&lt;=100),RANDBETWEEN(100,1000),RANDBETWEEN(10,200)))</f>
        <v>602</v>
      </c>
      <c r="AT1006">
        <f t="shared" ca="1" si="77"/>
        <v>174</v>
      </c>
      <c r="AU1006">
        <f ca="1">INT(AS1006*RANDBETWEEN(120,200)/100)</f>
        <v>1191</v>
      </c>
      <c r="AV1006" s="2">
        <f ca="1">IF(LEFT(Y1006,1)="L",RANDBETWEEN(500000,5000000),IF(LEFT(Y1006,1)="C",RANDBETWEEN(5000,50000),IF(LEFT(Y1006,1)="N",RANDBETWEEN(10000,150000),IF(LEFT(Y1006,1)="J",RANDBETWEEN(8000,200000),RANDBETWEEN(5000,100000)))))</f>
        <v>45591</v>
      </c>
      <c r="AW1006" s="2">
        <f ca="1">INT(AV1006*RANDBETWEEN(30,60)/100)</f>
        <v>25075</v>
      </c>
      <c r="AX1006">
        <f ca="1">IF(Z1006="ORAL",RANDBETWEEN(1000,10000),IF(OR(Z1006="INTRAVENOSA",Z1006="INTRAMUSCULAR"),RANDBETWEEN(100,2000),IF(OR(Z1006="OFTÁLMICA",Z1006="TOPICA (EXTERNA)"),RANDBETWEEN(200,3000),RANDBETWEEN(100,1500))))</f>
        <v>888</v>
      </c>
      <c r="AY1006" s="2">
        <f ca="1">INT(AV1006*RANDBETWEEN(90,130)/100)</f>
        <v>43767</v>
      </c>
      <c r="AZ1006" t="str">
        <f t="shared" ca="1" si="78"/>
        <v>5.7%</v>
      </c>
      <c r="BA1006" t="str">
        <f t="shared" ca="1" si="79"/>
        <v>BAJO</v>
      </c>
    </row>
    <row r="1007" spans="4:53" x14ac:dyDescent="0.35">
      <c r="D1007" t="s">
        <v>6150</v>
      </c>
      <c r="E1007" s="1">
        <v>41054</v>
      </c>
      <c r="F1007" t="s">
        <v>1079</v>
      </c>
      <c r="G1007" t="s">
        <v>108</v>
      </c>
      <c r="H1007" t="s">
        <v>242</v>
      </c>
      <c r="I1007">
        <v>20042480</v>
      </c>
      <c r="J1007" t="s">
        <v>28</v>
      </c>
      <c r="K1007">
        <v>124</v>
      </c>
      <c r="L1007" t="s">
        <v>27</v>
      </c>
      <c r="M1007" t="s">
        <v>243</v>
      </c>
      <c r="N1007" t="s">
        <v>244</v>
      </c>
      <c r="O1007" t="s">
        <v>6151</v>
      </c>
      <c r="P1007" t="s">
        <v>246</v>
      </c>
      <c r="Q1007" s="1">
        <v>42591</v>
      </c>
      <c r="R1007" t="s">
        <v>67</v>
      </c>
      <c r="S1007" t="s">
        <v>27</v>
      </c>
      <c r="T1007" t="s">
        <v>80</v>
      </c>
      <c r="U1007" t="s">
        <v>247</v>
      </c>
      <c r="V1007" t="s">
        <v>248</v>
      </c>
      <c r="W1007" t="s">
        <v>1081</v>
      </c>
      <c r="X1007">
        <v>20042480</v>
      </c>
      <c r="Y1007" t="s">
        <v>249</v>
      </c>
      <c r="Z1007" t="s">
        <v>119</v>
      </c>
      <c r="AA1007" t="s">
        <v>24</v>
      </c>
      <c r="AB1007" t="s">
        <v>250</v>
      </c>
      <c r="AC1007" t="s">
        <v>25</v>
      </c>
      <c r="AD1007" t="s">
        <v>155</v>
      </c>
      <c r="AE1007">
        <v>8</v>
      </c>
      <c r="AF1007" t="s">
        <v>27</v>
      </c>
      <c r="AG1007" t="s">
        <v>26</v>
      </c>
      <c r="AH1007" t="s">
        <v>6743</v>
      </c>
      <c r="AI1007" t="str">
        <f t="shared" si="75"/>
        <v>NO</v>
      </c>
      <c r="AJ1007" t="str">
        <f t="shared" si="76"/>
        <v>TECNOQUIMICAS</v>
      </c>
      <c r="AK1007" t="str">
        <f>IF(ISNUMBER(SEARCH("FABRICANTE",AC1007)),"FABRICANTE",IF(ISNUMBER(SEARCH("IMPORTADOR",AC1007)),"IMPORTADOR","OTRO"))</f>
        <v>FABRICANTE</v>
      </c>
      <c r="AL1007" t="str">
        <f>IF(LEFT(Y1007,1)="A","Sistema digestivo",IF(LEFT(Y1007,1)="B","Sangre",IF(LEFT(Y1007,1)="C","Cardiovascular",IF(LEFT(Y1007,1)="D","Dermatológico",IF(LEFT(Y1007,1)="G","Genitourinario",IF(LEFT(Y1007,1)="H","Hormonal",IF(LEFT(Y1007,1)="J","Antiinfecciosos",IF(LEFT(Y1007,1)="L","Oncológicos",IF(LEFT(Y1007,1)="M","Musculoesquelético",IF(LEFT(Y1007,1)="N","Sistema nervioso",IF(LEFT(Y1007,1)="R","Respiratorio",IF(LEFT(Y1007,1)="S","Oftálmico",IF(LEFT(Y1007,1)="V","Varios","OTRO")))))))))))))</f>
        <v>Sistema digestivo</v>
      </c>
      <c r="AM1007" t="str">
        <f>IF(AG1007="Vigente","ACTIVO",IF(ISNUMBER(SEARCH("Inactivo",J1007)),"INACTIVO","REVISAR"))</f>
        <v>ACTIVO</v>
      </c>
      <c r="AN1007" t="str">
        <f ca="1">IF(OR(AF1007="",AF1007="null"),"",ROUND((AF1007-TODAY())/365.25,2))</f>
        <v/>
      </c>
      <c r="AO1007" t="str">
        <f ca="1">IF(AND(AG1007="Vigente",OR(AF1007="",AF1007="null",AF1007&gt;TODAY())),"SI",IF(AND(NOT(OR(AF1007="",AF1007="null")),AF1007&lt;=TODAY()),"NO",IF(AG1007="Vigente","SI","DESCONOCIDO")))</f>
        <v>SI</v>
      </c>
      <c r="AP1007" t="str">
        <f>IF(AND(ISNUMBER(SEARCH("IMPORTAR",AA1007)),ISNUMBER(SEARCH("FABRICAR",AA1007))),"MIXTO",IF(ISNUMBER(SEARCH("IMPORTAR",AA1007)),"IMPORTADO",IF(ISNUMBER(SEARCH("FABRICAR",AA1007)),"LOCAL","OTRO")))</f>
        <v>LOCAL</v>
      </c>
      <c r="AQ1007" t="str">
        <f>IF(AD1007="Si","SI",IF(AD1007="No","NO",""))</f>
        <v>SI</v>
      </c>
      <c r="AR1007" t="str">
        <f>IF(ISNUMBER(SEARCH("®",N1007)),"MARCA/INNOVADOR","GENERICO")</f>
        <v>MARCA/INNOVADOR</v>
      </c>
      <c r="AS1007">
        <f ca="1">IF(AE1007&gt;100,RANDBETWEEN(500,5000),IF(AND(AE1007&gt;=10,AE1007&lt;=100),RANDBETWEEN(100,1000),RANDBETWEEN(10,200)))</f>
        <v>19</v>
      </c>
      <c r="AT1007">
        <f t="shared" ca="1" si="77"/>
        <v>3</v>
      </c>
      <c r="AU1007">
        <f ca="1">INT(AS1007*RANDBETWEEN(120,200)/100)</f>
        <v>27</v>
      </c>
      <c r="AV1007" s="2">
        <f ca="1">IF(LEFT(Y1007,1)="L",RANDBETWEEN(500000,5000000),IF(LEFT(Y1007,1)="C",RANDBETWEEN(5000,50000),IF(LEFT(Y1007,1)="N",RANDBETWEEN(10000,150000),IF(LEFT(Y1007,1)="J",RANDBETWEEN(8000,200000),RANDBETWEEN(5000,100000)))))</f>
        <v>50753</v>
      </c>
      <c r="AW1007" s="2">
        <f ca="1">INT(AV1007*RANDBETWEEN(30,60)/100)</f>
        <v>23346</v>
      </c>
      <c r="AX1007">
        <f ca="1">IF(Z1007="ORAL",RANDBETWEEN(1000,10000),IF(OR(Z1007="INTRAVENOSA",Z1007="INTRAMUSCULAR"),RANDBETWEEN(100,2000),IF(OR(Z1007="OFTÁLMICA",Z1007="TOPICA (EXTERNA)"),RANDBETWEEN(200,3000),RANDBETWEEN(100,1500))))</f>
        <v>6293</v>
      </c>
      <c r="AY1007" s="2">
        <f ca="1">INT(AV1007*RANDBETWEEN(90,130)/100)</f>
        <v>58873</v>
      </c>
      <c r="AZ1007" t="str">
        <f t="shared" ca="1" si="78"/>
        <v>13.1%</v>
      </c>
      <c r="BA1007" t="str">
        <f t="shared" ca="1" si="79"/>
        <v>BAJO</v>
      </c>
    </row>
    <row r="1008" spans="4:53" x14ac:dyDescent="0.35">
      <c r="D1008" t="s">
        <v>6152</v>
      </c>
      <c r="E1008" s="1">
        <v>41964</v>
      </c>
      <c r="F1008" t="s">
        <v>6153</v>
      </c>
      <c r="G1008" t="s">
        <v>108</v>
      </c>
      <c r="H1008" t="s">
        <v>39</v>
      </c>
      <c r="I1008">
        <v>20065665</v>
      </c>
      <c r="J1008" t="s">
        <v>28</v>
      </c>
      <c r="K1008">
        <v>4</v>
      </c>
      <c r="L1008" t="s">
        <v>27</v>
      </c>
      <c r="M1008" t="s">
        <v>6154</v>
      </c>
      <c r="N1008" t="s">
        <v>6155</v>
      </c>
      <c r="O1008" t="s">
        <v>6156</v>
      </c>
      <c r="P1008" t="s">
        <v>33</v>
      </c>
      <c r="Q1008" s="1">
        <v>43336</v>
      </c>
      <c r="R1008" t="s">
        <v>33</v>
      </c>
      <c r="S1008" s="1">
        <v>43821</v>
      </c>
      <c r="T1008" t="s">
        <v>40</v>
      </c>
      <c r="U1008" t="s">
        <v>115</v>
      </c>
      <c r="V1008" t="s">
        <v>6153</v>
      </c>
      <c r="W1008" t="s">
        <v>1117</v>
      </c>
      <c r="X1008">
        <v>20065665</v>
      </c>
      <c r="Y1008" t="s">
        <v>6157</v>
      </c>
      <c r="Z1008" t="s">
        <v>119</v>
      </c>
      <c r="AA1008" t="s">
        <v>32</v>
      </c>
      <c r="AB1008" t="s">
        <v>120</v>
      </c>
      <c r="AC1008" t="s">
        <v>38</v>
      </c>
      <c r="AD1008" t="s">
        <v>155</v>
      </c>
      <c r="AE1008">
        <v>10</v>
      </c>
      <c r="AF1008" s="1">
        <v>401769</v>
      </c>
      <c r="AG1008" t="s">
        <v>26</v>
      </c>
      <c r="AH1008" t="s">
        <v>6153</v>
      </c>
      <c r="AI1008" t="str">
        <f t="shared" si="75"/>
        <v>NO</v>
      </c>
      <c r="AJ1008" t="str">
        <f t="shared" si="76"/>
        <v>HETERO LABS</v>
      </c>
      <c r="AK1008" t="str">
        <f>IF(ISNUMBER(SEARCH("FABRICANTE",AC1008)),"FABRICANTE",IF(ISNUMBER(SEARCH("IMPORTADOR",AC1008)),"IMPORTADOR","OTRO"))</f>
        <v>IMPORTADOR</v>
      </c>
      <c r="AL1008" t="str">
        <f>IF(LEFT(Y1008,1)="A","Sistema digestivo",IF(LEFT(Y1008,1)="B","Sangre",IF(LEFT(Y1008,1)="C","Cardiovascular",IF(LEFT(Y1008,1)="D","Dermatológico",IF(LEFT(Y1008,1)="G","Genitourinario",IF(LEFT(Y1008,1)="H","Hormonal",IF(LEFT(Y1008,1)="J","Antiinfecciosos",IF(LEFT(Y1008,1)="L","Oncológicos",IF(LEFT(Y1008,1)="M","Musculoesquelético",IF(LEFT(Y1008,1)="N","Sistema nervioso",IF(LEFT(Y1008,1)="R","Respiratorio",IF(LEFT(Y1008,1)="S","Oftálmico",IF(LEFT(Y1008,1)="V","Varios","OTRO")))))))))))))</f>
        <v>Oncológicos</v>
      </c>
      <c r="AM1008" t="str">
        <f>IF(AG1008="Vigente","ACTIVO",IF(ISNUMBER(SEARCH("Inactivo",J1008)),"INACTIVO","REVISAR"))</f>
        <v>ACTIVO</v>
      </c>
      <c r="AN1008">
        <f ca="1">IF(OR(AF1008="",AF1008="null"),"",ROUND((AF1008-TODAY())/365.25,2))</f>
        <v>973.58</v>
      </c>
      <c r="AO1008" t="str">
        <f ca="1">IF(AND(AG1008="Vigente",OR(AF1008="",AF1008="null",AF1008&gt;TODAY())),"SI",IF(AND(NOT(OR(AF1008="",AF1008="null")),AF1008&lt;=TODAY()),"NO",IF(AG1008="Vigente","SI","DESCONOCIDO")))</f>
        <v>SI</v>
      </c>
      <c r="AP1008" t="str">
        <f>IF(AND(ISNUMBER(SEARCH("IMPORTAR",AA1008)),ISNUMBER(SEARCH("FABRICAR",AA1008))),"MIXTO",IF(ISNUMBER(SEARCH("IMPORTAR",AA1008)),"IMPORTADO",IF(ISNUMBER(SEARCH("FABRICAR",AA1008)),"LOCAL","OTRO")))</f>
        <v>IMPORTADO</v>
      </c>
      <c r="AQ1008" t="str">
        <f>IF(AD1008="Si","SI",IF(AD1008="No","NO",""))</f>
        <v>SI</v>
      </c>
      <c r="AR1008" t="str">
        <f>IF(ISNUMBER(SEARCH("®",N1008)),"MARCA/INNOVADOR","GENERICO")</f>
        <v>MARCA/INNOVADOR</v>
      </c>
      <c r="AS1008">
        <f ca="1">IF(AE1008&gt;100,RANDBETWEEN(500,5000),IF(AND(AE1008&gt;=10,AE1008&lt;=100),RANDBETWEEN(100,1000),RANDBETWEEN(10,200)))</f>
        <v>125</v>
      </c>
      <c r="AT1008">
        <f t="shared" ca="1" si="77"/>
        <v>26</v>
      </c>
      <c r="AU1008">
        <f ca="1">INT(AS1008*RANDBETWEEN(120,200)/100)</f>
        <v>211</v>
      </c>
      <c r="AV1008" s="2">
        <f ca="1">IF(LEFT(Y1008,1)="L",RANDBETWEEN(500000,5000000),IF(LEFT(Y1008,1)="C",RANDBETWEEN(5000,50000),IF(LEFT(Y1008,1)="N",RANDBETWEEN(10000,150000),IF(LEFT(Y1008,1)="J",RANDBETWEEN(8000,200000),RANDBETWEEN(5000,100000)))))</f>
        <v>4444836</v>
      </c>
      <c r="AW1008" s="2">
        <f ca="1">INT(AV1008*RANDBETWEEN(30,60)/100)</f>
        <v>2578004</v>
      </c>
      <c r="AX1008">
        <f ca="1">IF(Z1008="ORAL",RANDBETWEEN(1000,10000),IF(OR(Z1008="INTRAVENOSA",Z1008="INTRAMUSCULAR"),RANDBETWEEN(100,2000),IF(OR(Z1008="OFTÁLMICA",Z1008="TOPICA (EXTERNA)"),RANDBETWEEN(200,3000),RANDBETWEEN(100,1500))))</f>
        <v>4371</v>
      </c>
      <c r="AY1008" s="2">
        <f ca="1">INT(AV1008*RANDBETWEEN(90,130)/100)</f>
        <v>5200458</v>
      </c>
      <c r="AZ1008" t="str">
        <f t="shared" ca="1" si="78"/>
        <v>10.7%</v>
      </c>
      <c r="BA1008" t="str">
        <f t="shared" ca="1" si="79"/>
        <v>BAJO</v>
      </c>
    </row>
    <row r="1009" spans="4:53" x14ac:dyDescent="0.35">
      <c r="D1009" t="s">
        <v>6158</v>
      </c>
      <c r="E1009" s="1">
        <v>37504</v>
      </c>
      <c r="F1009" t="s">
        <v>3134</v>
      </c>
      <c r="G1009" t="s">
        <v>108</v>
      </c>
      <c r="H1009" t="s">
        <v>1325</v>
      </c>
      <c r="I1009">
        <v>19931123</v>
      </c>
      <c r="J1009" t="s">
        <v>28</v>
      </c>
      <c r="K1009">
        <v>6</v>
      </c>
      <c r="L1009" t="s">
        <v>27</v>
      </c>
      <c r="M1009" t="s">
        <v>4037</v>
      </c>
      <c r="N1009" t="s">
        <v>4038</v>
      </c>
      <c r="O1009" t="s">
        <v>6159</v>
      </c>
      <c r="P1009" t="s">
        <v>27</v>
      </c>
      <c r="Q1009" s="1">
        <v>45012</v>
      </c>
      <c r="R1009" t="s">
        <v>50</v>
      </c>
      <c r="S1009" t="s">
        <v>27</v>
      </c>
      <c r="T1009" t="s">
        <v>4040</v>
      </c>
      <c r="U1009" t="s">
        <v>247</v>
      </c>
      <c r="V1009" t="s">
        <v>554</v>
      </c>
      <c r="W1009">
        <v>3</v>
      </c>
      <c r="X1009">
        <v>19931123</v>
      </c>
      <c r="Y1009" t="s">
        <v>556</v>
      </c>
      <c r="Z1009" t="s">
        <v>260</v>
      </c>
      <c r="AA1009" t="s">
        <v>32</v>
      </c>
      <c r="AB1009" t="s">
        <v>120</v>
      </c>
      <c r="AC1009" t="s">
        <v>38</v>
      </c>
      <c r="AD1009" t="s">
        <v>155</v>
      </c>
      <c r="AE1009">
        <v>1</v>
      </c>
      <c r="AF1009" t="s">
        <v>27</v>
      </c>
      <c r="AG1009" t="s">
        <v>26</v>
      </c>
      <c r="AH1009" t="s">
        <v>6663</v>
      </c>
      <c r="AI1009" t="str">
        <f t="shared" si="75"/>
        <v>NO</v>
      </c>
      <c r="AJ1009" t="str">
        <f t="shared" si="76"/>
        <v>FRESENIUS KABIDEUTSCHLAND</v>
      </c>
      <c r="AK1009" t="str">
        <f>IF(ISNUMBER(SEARCH("FABRICANTE",AC1009)),"FABRICANTE",IF(ISNUMBER(SEARCH("IMPORTADOR",AC1009)),"IMPORTADOR","OTRO"))</f>
        <v>IMPORTADOR</v>
      </c>
      <c r="AL1009" t="str">
        <f>IF(LEFT(Y1009,1)="A","Sistema digestivo",IF(LEFT(Y1009,1)="B","Sangre",IF(LEFT(Y1009,1)="C","Cardiovascular",IF(LEFT(Y1009,1)="D","Dermatológico",IF(LEFT(Y1009,1)="G","Genitourinario",IF(LEFT(Y1009,1)="H","Hormonal",IF(LEFT(Y1009,1)="J","Antiinfecciosos",IF(LEFT(Y1009,1)="L","Oncológicos",IF(LEFT(Y1009,1)="M","Musculoesquelético",IF(LEFT(Y1009,1)="N","Sistema nervioso",IF(LEFT(Y1009,1)="R","Respiratorio",IF(LEFT(Y1009,1)="S","Oftálmico",IF(LEFT(Y1009,1)="V","Varios","OTRO")))))))))))))</f>
        <v>Sangre</v>
      </c>
      <c r="AM1009" t="str">
        <f>IF(AG1009="Vigente","ACTIVO",IF(ISNUMBER(SEARCH("Inactivo",J1009)),"INACTIVO","REVISAR"))</f>
        <v>ACTIVO</v>
      </c>
      <c r="AN1009" t="str">
        <f ca="1">IF(OR(AF1009="",AF1009="null"),"",ROUND((AF1009-TODAY())/365.25,2))</f>
        <v/>
      </c>
      <c r="AO1009" t="str">
        <f ca="1">IF(AND(AG1009="Vigente",OR(AF1009="",AF1009="null",AF1009&gt;TODAY())),"SI",IF(AND(NOT(OR(AF1009="",AF1009="null")),AF1009&lt;=TODAY()),"NO",IF(AG1009="Vigente","SI","DESCONOCIDO")))</f>
        <v>SI</v>
      </c>
      <c r="AP1009" t="str">
        <f>IF(AND(ISNUMBER(SEARCH("IMPORTAR",AA1009)),ISNUMBER(SEARCH("FABRICAR",AA1009))),"MIXTO",IF(ISNUMBER(SEARCH("IMPORTAR",AA1009)),"IMPORTADO",IF(ISNUMBER(SEARCH("FABRICAR",AA1009)),"LOCAL","OTRO")))</f>
        <v>IMPORTADO</v>
      </c>
      <c r="AQ1009" t="str">
        <f>IF(AD1009="Si","SI",IF(AD1009="No","NO",""))</f>
        <v>SI</v>
      </c>
      <c r="AR1009" t="str">
        <f>IF(ISNUMBER(SEARCH("®",N1009)),"MARCA/INNOVADOR","GENERICO")</f>
        <v>GENERICO</v>
      </c>
      <c r="AS1009">
        <f ca="1">IF(AE1009&gt;100,RANDBETWEEN(500,5000),IF(AND(AE1009&gt;=10,AE1009&lt;=100),RANDBETWEEN(100,1000),RANDBETWEEN(10,200)))</f>
        <v>128</v>
      </c>
      <c r="AT1009">
        <f t="shared" ca="1" si="77"/>
        <v>19</v>
      </c>
      <c r="AU1009">
        <f ca="1">INT(AS1009*RANDBETWEEN(120,200)/100)</f>
        <v>208</v>
      </c>
      <c r="AV1009" s="2">
        <f ca="1">IF(LEFT(Y1009,1)="L",RANDBETWEEN(500000,5000000),IF(LEFT(Y1009,1)="C",RANDBETWEEN(5000,50000),IF(LEFT(Y1009,1)="N",RANDBETWEEN(10000,150000),IF(LEFT(Y1009,1)="J",RANDBETWEEN(8000,200000),RANDBETWEEN(5000,100000)))))</f>
        <v>51631</v>
      </c>
      <c r="AW1009" s="2">
        <f ca="1">INT(AV1009*RANDBETWEEN(30,60)/100)</f>
        <v>28913</v>
      </c>
      <c r="AX1009">
        <f ca="1">IF(Z1009="ORAL",RANDBETWEEN(1000,10000),IF(OR(Z1009="INTRAVENOSA",Z1009="INTRAMUSCULAR"),RANDBETWEEN(100,2000),IF(OR(Z1009="OFTÁLMICA",Z1009="TOPICA (EXTERNA)"),RANDBETWEEN(200,3000),RANDBETWEEN(100,1500))))</f>
        <v>1762</v>
      </c>
      <c r="AY1009" s="2">
        <f ca="1">INT(AV1009*RANDBETWEEN(90,130)/100)</f>
        <v>59891</v>
      </c>
      <c r="AZ1009" t="str">
        <f t="shared" ca="1" si="78"/>
        <v>4.2%</v>
      </c>
      <c r="BA1009" t="str">
        <f t="shared" ca="1" si="79"/>
        <v>BAJO</v>
      </c>
    </row>
    <row r="1010" spans="4:53" x14ac:dyDescent="0.35">
      <c r="D1010" t="s">
        <v>6160</v>
      </c>
      <c r="E1010" s="1">
        <v>40268</v>
      </c>
      <c r="F1010" t="s">
        <v>76</v>
      </c>
      <c r="G1010" t="s">
        <v>502</v>
      </c>
      <c r="H1010" t="s">
        <v>549</v>
      </c>
      <c r="I1010">
        <v>20009964</v>
      </c>
      <c r="J1010" t="s">
        <v>28</v>
      </c>
      <c r="K1010">
        <v>8</v>
      </c>
      <c r="L1010" t="s">
        <v>27</v>
      </c>
      <c r="M1010" t="s">
        <v>6161</v>
      </c>
      <c r="N1010" t="s">
        <v>6162</v>
      </c>
      <c r="O1010" t="s">
        <v>6163</v>
      </c>
      <c r="P1010" t="s">
        <v>6164</v>
      </c>
      <c r="Q1010" s="1">
        <v>40399</v>
      </c>
      <c r="R1010" t="s">
        <v>1964</v>
      </c>
      <c r="S1010" t="s">
        <v>27</v>
      </c>
      <c r="T1010" t="s">
        <v>549</v>
      </c>
      <c r="U1010" t="s">
        <v>115</v>
      </c>
      <c r="V1010" t="s">
        <v>6165</v>
      </c>
      <c r="W1010">
        <v>538</v>
      </c>
      <c r="X1010">
        <v>20009964</v>
      </c>
      <c r="Y1010" t="s">
        <v>1966</v>
      </c>
      <c r="Z1010" t="s">
        <v>1967</v>
      </c>
      <c r="AA1010" t="s">
        <v>24</v>
      </c>
      <c r="AB1010" t="s">
        <v>250</v>
      </c>
      <c r="AC1010" t="s">
        <v>25</v>
      </c>
      <c r="AD1010" t="s">
        <v>121</v>
      </c>
      <c r="AE1010">
        <v>1000</v>
      </c>
      <c r="AF1010" t="s">
        <v>27</v>
      </c>
      <c r="AG1010" t="s">
        <v>26</v>
      </c>
      <c r="AH1010" t="s">
        <v>6777</v>
      </c>
      <c r="AI1010" t="str">
        <f t="shared" si="75"/>
        <v>NO</v>
      </c>
      <c r="AJ1010" t="str">
        <f t="shared" si="76"/>
        <v>LABORATORIOS BAXTER</v>
      </c>
      <c r="AK1010" t="str">
        <f>IF(ISNUMBER(SEARCH("FABRICANTE",AC1010)),"FABRICANTE",IF(ISNUMBER(SEARCH("IMPORTADOR",AC1010)),"IMPORTADOR","OTRO"))</f>
        <v>FABRICANTE</v>
      </c>
      <c r="AL1010" t="str">
        <f>IF(LEFT(Y1010,1)="A","Sistema digestivo",IF(LEFT(Y1010,1)="B","Sangre",IF(LEFT(Y1010,1)="C","Cardiovascular",IF(LEFT(Y1010,1)="D","Dermatológico",IF(LEFT(Y1010,1)="G","Genitourinario",IF(LEFT(Y1010,1)="H","Hormonal",IF(LEFT(Y1010,1)="J","Antiinfecciosos",IF(LEFT(Y1010,1)="L","Oncológicos",IF(LEFT(Y1010,1)="M","Musculoesquelético",IF(LEFT(Y1010,1)="N","Sistema nervioso",IF(LEFT(Y1010,1)="R","Respiratorio",IF(LEFT(Y1010,1)="S","Oftálmico",IF(LEFT(Y1010,1)="V","Varios","OTRO")))))))))))))</f>
        <v>Sangre</v>
      </c>
      <c r="AM1010" t="str">
        <f>IF(AG1010="Vigente","ACTIVO",IF(ISNUMBER(SEARCH("Inactivo",J1010)),"INACTIVO","REVISAR"))</f>
        <v>ACTIVO</v>
      </c>
      <c r="AN1010" t="str">
        <f ca="1">IF(OR(AF1010="",AF1010="null"),"",ROUND((AF1010-TODAY())/365.25,2))</f>
        <v/>
      </c>
      <c r="AO1010" t="str">
        <f ca="1">IF(AND(AG1010="Vigente",OR(AF1010="",AF1010="null",AF1010&gt;TODAY())),"SI",IF(AND(NOT(OR(AF1010="",AF1010="null")),AF1010&lt;=TODAY()),"NO",IF(AG1010="Vigente","SI","DESCONOCIDO")))</f>
        <v>SI</v>
      </c>
      <c r="AP1010" t="str">
        <f>IF(AND(ISNUMBER(SEARCH("IMPORTAR",AA1010)),ISNUMBER(SEARCH("FABRICAR",AA1010))),"MIXTO",IF(ISNUMBER(SEARCH("IMPORTAR",AA1010)),"IMPORTADO",IF(ISNUMBER(SEARCH("FABRICAR",AA1010)),"LOCAL","OTRO")))</f>
        <v>LOCAL</v>
      </c>
      <c r="AQ1010" t="str">
        <f>IF(AD1010="Si","SI",IF(AD1010="No","NO",""))</f>
        <v>NO</v>
      </c>
      <c r="AR1010" t="str">
        <f>IF(ISNUMBER(SEARCH("®",N1010)),"MARCA/INNOVADOR","GENERICO")</f>
        <v>GENERICO</v>
      </c>
      <c r="AS1010">
        <f ca="1">IF(AE1010&gt;100,RANDBETWEEN(500,5000),IF(AND(AE1010&gt;=10,AE1010&lt;=100),RANDBETWEEN(100,1000),RANDBETWEEN(10,200)))</f>
        <v>4431</v>
      </c>
      <c r="AT1010">
        <f t="shared" ca="1" si="77"/>
        <v>930</v>
      </c>
      <c r="AU1010">
        <f ca="1">INT(AS1010*RANDBETWEEN(120,200)/100)</f>
        <v>6735</v>
      </c>
      <c r="AV1010" s="2">
        <f ca="1">IF(LEFT(Y1010,1)="L",RANDBETWEEN(500000,5000000),IF(LEFT(Y1010,1)="C",RANDBETWEEN(5000,50000),IF(LEFT(Y1010,1)="N",RANDBETWEEN(10000,150000),IF(LEFT(Y1010,1)="J",RANDBETWEEN(8000,200000),RANDBETWEEN(5000,100000)))))</f>
        <v>63699</v>
      </c>
      <c r="AW1010" s="2">
        <f ca="1">INT(AV1010*RANDBETWEEN(30,60)/100)</f>
        <v>26753</v>
      </c>
      <c r="AX1010">
        <f ca="1">IF(Z1010="ORAL",RANDBETWEEN(1000,10000),IF(OR(Z1010="INTRAVENOSA",Z1010="INTRAMUSCULAR"),RANDBETWEEN(100,2000),IF(OR(Z1010="OFTÁLMICA",Z1010="TOPICA (EXTERNA)"),RANDBETWEEN(200,3000),RANDBETWEEN(100,1500))))</f>
        <v>821</v>
      </c>
      <c r="AY1010" s="2">
        <f ca="1">INT(AV1010*RANDBETWEEN(90,130)/100)</f>
        <v>61151</v>
      </c>
      <c r="AZ1010" t="str">
        <f t="shared" ca="1" si="78"/>
        <v>1.2%</v>
      </c>
      <c r="BA1010" t="str">
        <f t="shared" ca="1" si="79"/>
        <v>BAJO</v>
      </c>
    </row>
    <row r="1011" spans="4:53" x14ac:dyDescent="0.35">
      <c r="D1011" t="s">
        <v>6166</v>
      </c>
      <c r="E1011" s="1">
        <v>39430</v>
      </c>
      <c r="F1011" t="s">
        <v>6167</v>
      </c>
      <c r="G1011" t="s">
        <v>108</v>
      </c>
      <c r="H1011" t="s">
        <v>6168</v>
      </c>
      <c r="I1011">
        <v>19982968</v>
      </c>
      <c r="J1011" t="s">
        <v>28</v>
      </c>
      <c r="K1011">
        <v>1</v>
      </c>
      <c r="L1011" t="s">
        <v>27</v>
      </c>
      <c r="M1011" t="s">
        <v>6169</v>
      </c>
      <c r="N1011" t="s">
        <v>6170</v>
      </c>
      <c r="O1011" t="s">
        <v>6171</v>
      </c>
      <c r="P1011" t="s">
        <v>866</v>
      </c>
      <c r="Q1011" s="1">
        <v>39428</v>
      </c>
      <c r="R1011" t="s">
        <v>396</v>
      </c>
      <c r="S1011" s="1">
        <v>43121</v>
      </c>
      <c r="T1011" t="s">
        <v>6168</v>
      </c>
      <c r="U1011" t="s">
        <v>115</v>
      </c>
      <c r="V1011" t="s">
        <v>6167</v>
      </c>
      <c r="W1011">
        <v>1000</v>
      </c>
      <c r="X1011">
        <v>19982968</v>
      </c>
      <c r="Y1011" t="s">
        <v>6172</v>
      </c>
      <c r="Z1011" t="s">
        <v>119</v>
      </c>
      <c r="AA1011" t="s">
        <v>32</v>
      </c>
      <c r="AB1011" t="s">
        <v>120</v>
      </c>
      <c r="AC1011" t="s">
        <v>25</v>
      </c>
      <c r="AD1011" t="s">
        <v>121</v>
      </c>
      <c r="AE1011">
        <v>50</v>
      </c>
      <c r="AF1011" s="1">
        <v>401769</v>
      </c>
      <c r="AG1011" t="s">
        <v>26</v>
      </c>
      <c r="AH1011" t="s">
        <v>6167</v>
      </c>
      <c r="AI1011" t="str">
        <f t="shared" si="75"/>
        <v>NO</v>
      </c>
      <c r="AJ1011" t="str">
        <f t="shared" si="76"/>
        <v>FERRING INTERNATIONAL CENTER</v>
      </c>
      <c r="AK1011" t="str">
        <f>IF(ISNUMBER(SEARCH("FABRICANTE",AC1011)),"FABRICANTE",IF(ISNUMBER(SEARCH("IMPORTADOR",AC1011)),"IMPORTADOR","OTRO"))</f>
        <v>FABRICANTE</v>
      </c>
      <c r="AL1011" t="str">
        <f>IF(LEFT(Y1011,1)="A","Sistema digestivo",IF(LEFT(Y1011,1)="B","Sangre",IF(LEFT(Y1011,1)="C","Cardiovascular",IF(LEFT(Y1011,1)="D","Dermatológico",IF(LEFT(Y1011,1)="G","Genitourinario",IF(LEFT(Y1011,1)="H","Hormonal",IF(LEFT(Y1011,1)="J","Antiinfecciosos",IF(LEFT(Y1011,1)="L","Oncológicos",IF(LEFT(Y1011,1)="M","Musculoesquelético",IF(LEFT(Y1011,1)="N","Sistema nervioso",IF(LEFT(Y1011,1)="R","Respiratorio",IF(LEFT(Y1011,1)="S","Oftálmico",IF(LEFT(Y1011,1)="V","Varios","OTRO")))))))))))))</f>
        <v>Sistema digestivo</v>
      </c>
      <c r="AM1011" t="str">
        <f>IF(AG1011="Vigente","ACTIVO",IF(ISNUMBER(SEARCH("Inactivo",J1011)),"INACTIVO","REVISAR"))</f>
        <v>ACTIVO</v>
      </c>
      <c r="AN1011">
        <f ca="1">IF(OR(AF1011="",AF1011="null"),"",ROUND((AF1011-TODAY())/365.25,2))</f>
        <v>973.58</v>
      </c>
      <c r="AO1011" t="str">
        <f ca="1">IF(AND(AG1011="Vigente",OR(AF1011="",AF1011="null",AF1011&gt;TODAY())),"SI",IF(AND(NOT(OR(AF1011="",AF1011="null")),AF1011&lt;=TODAY()),"NO",IF(AG1011="Vigente","SI","DESCONOCIDO")))</f>
        <v>SI</v>
      </c>
      <c r="AP1011" t="str">
        <f>IF(AND(ISNUMBER(SEARCH("IMPORTAR",AA1011)),ISNUMBER(SEARCH("FABRICAR",AA1011))),"MIXTO",IF(ISNUMBER(SEARCH("IMPORTAR",AA1011)),"IMPORTADO",IF(ISNUMBER(SEARCH("FABRICAR",AA1011)),"LOCAL","OTRO")))</f>
        <v>IMPORTADO</v>
      </c>
      <c r="AQ1011" t="str">
        <f>IF(AD1011="Si","SI",IF(AD1011="No","NO",""))</f>
        <v>NO</v>
      </c>
      <c r="AR1011" t="str">
        <f>IF(ISNUMBER(SEARCH("®",N1011)),"MARCA/INNOVADOR","GENERICO")</f>
        <v>MARCA/INNOVADOR</v>
      </c>
      <c r="AS1011">
        <f ca="1">IF(AE1011&gt;100,RANDBETWEEN(500,5000),IF(AND(AE1011&gt;=10,AE1011&lt;=100),RANDBETWEEN(100,1000),RANDBETWEEN(10,200)))</f>
        <v>519</v>
      </c>
      <c r="AT1011">
        <f t="shared" ca="1" si="77"/>
        <v>108</v>
      </c>
      <c r="AU1011">
        <f ca="1">INT(AS1011*RANDBETWEEN(120,200)/100)</f>
        <v>965</v>
      </c>
      <c r="AV1011" s="2">
        <f ca="1">IF(LEFT(Y1011,1)="L",RANDBETWEEN(500000,5000000),IF(LEFT(Y1011,1)="C",RANDBETWEEN(5000,50000),IF(LEFT(Y1011,1)="N",RANDBETWEEN(10000,150000),IF(LEFT(Y1011,1)="J",RANDBETWEEN(8000,200000),RANDBETWEEN(5000,100000)))))</f>
        <v>85244</v>
      </c>
      <c r="AW1011" s="2">
        <f ca="1">INT(AV1011*RANDBETWEEN(30,60)/100)</f>
        <v>51146</v>
      </c>
      <c r="AX1011">
        <f ca="1">IF(Z1011="ORAL",RANDBETWEEN(1000,10000),IF(OR(Z1011="INTRAVENOSA",Z1011="INTRAMUSCULAR"),RANDBETWEEN(100,2000),IF(OR(Z1011="OFTÁLMICA",Z1011="TOPICA (EXTERNA)"),RANDBETWEEN(200,3000),RANDBETWEEN(100,1500))))</f>
        <v>3537</v>
      </c>
      <c r="AY1011" s="2">
        <f ca="1">INT(AV1011*RANDBETWEEN(90,130)/100)</f>
        <v>78424</v>
      </c>
      <c r="AZ1011" t="str">
        <f t="shared" ca="1" si="78"/>
        <v>20.6%</v>
      </c>
      <c r="BA1011" t="str">
        <f t="shared" ca="1" si="79"/>
        <v>BAJO</v>
      </c>
    </row>
    <row r="1012" spans="4:53" x14ac:dyDescent="0.35">
      <c r="D1012" t="s">
        <v>6173</v>
      </c>
      <c r="E1012" s="1">
        <v>42018</v>
      </c>
      <c r="F1012" t="s">
        <v>6174</v>
      </c>
      <c r="G1012" t="s">
        <v>108</v>
      </c>
      <c r="H1012" t="s">
        <v>242</v>
      </c>
      <c r="I1012">
        <v>20063408</v>
      </c>
      <c r="J1012" t="s">
        <v>28</v>
      </c>
      <c r="K1012">
        <v>20</v>
      </c>
      <c r="L1012" t="s">
        <v>27</v>
      </c>
      <c r="M1012" t="s">
        <v>6175</v>
      </c>
      <c r="N1012" t="s">
        <v>6176</v>
      </c>
      <c r="O1012" t="s">
        <v>6177</v>
      </c>
      <c r="P1012" t="s">
        <v>6178</v>
      </c>
      <c r="Q1012" s="1">
        <v>42012</v>
      </c>
      <c r="R1012" t="s">
        <v>867</v>
      </c>
      <c r="S1012" t="s">
        <v>27</v>
      </c>
      <c r="T1012" t="s">
        <v>80</v>
      </c>
      <c r="U1012" t="s">
        <v>115</v>
      </c>
      <c r="V1012" t="s">
        <v>1362</v>
      </c>
      <c r="W1012">
        <v>600</v>
      </c>
      <c r="X1012">
        <v>20063408</v>
      </c>
      <c r="Y1012" t="s">
        <v>1363</v>
      </c>
      <c r="Z1012" t="s">
        <v>119</v>
      </c>
      <c r="AA1012" t="s">
        <v>24</v>
      </c>
      <c r="AB1012" t="s">
        <v>120</v>
      </c>
      <c r="AC1012" t="s">
        <v>25</v>
      </c>
      <c r="AD1012" t="s">
        <v>155</v>
      </c>
      <c r="AE1012">
        <v>3</v>
      </c>
      <c r="AF1012" t="s">
        <v>27</v>
      </c>
      <c r="AG1012" t="s">
        <v>26</v>
      </c>
      <c r="AH1012" t="s">
        <v>6848</v>
      </c>
      <c r="AI1012" t="str">
        <f t="shared" si="75"/>
        <v>SI</v>
      </c>
      <c r="AJ1012" t="str">
        <f t="shared" si="76"/>
        <v>TECNOQUIMICAS</v>
      </c>
      <c r="AK1012" t="str">
        <f>IF(ISNUMBER(SEARCH("FABRICANTE",AC1012)),"FABRICANTE",IF(ISNUMBER(SEARCH("IMPORTADOR",AC1012)),"IMPORTADOR","OTRO"))</f>
        <v>FABRICANTE</v>
      </c>
      <c r="AL1012" t="str">
        <f>IF(LEFT(Y1012,1)="A","Sistema digestivo",IF(LEFT(Y1012,1)="B","Sangre",IF(LEFT(Y1012,1)="C","Cardiovascular",IF(LEFT(Y1012,1)="D","Dermatológico",IF(LEFT(Y1012,1)="G","Genitourinario",IF(LEFT(Y1012,1)="H","Hormonal",IF(LEFT(Y1012,1)="J","Antiinfecciosos",IF(LEFT(Y1012,1)="L","Oncológicos",IF(LEFT(Y1012,1)="M","Musculoesquelético",IF(LEFT(Y1012,1)="N","Sistema nervioso",IF(LEFT(Y1012,1)="R","Respiratorio",IF(LEFT(Y1012,1)="S","Oftálmico",IF(LEFT(Y1012,1)="V","Varios","OTRO")))))))))))))</f>
        <v>Sistema digestivo</v>
      </c>
      <c r="AM1012" t="str">
        <f>IF(AG1012="Vigente","ACTIVO",IF(ISNUMBER(SEARCH("Inactivo",J1012)),"INACTIVO","REVISAR"))</f>
        <v>ACTIVO</v>
      </c>
      <c r="AN1012" t="str">
        <f ca="1">IF(OR(AF1012="",AF1012="null"),"",ROUND((AF1012-TODAY())/365.25,2))</f>
        <v/>
      </c>
      <c r="AO1012" t="str">
        <f ca="1">IF(AND(AG1012="Vigente",OR(AF1012="",AF1012="null",AF1012&gt;TODAY())),"SI",IF(AND(NOT(OR(AF1012="",AF1012="null")),AF1012&lt;=TODAY()),"NO",IF(AG1012="Vigente","SI","DESCONOCIDO")))</f>
        <v>SI</v>
      </c>
      <c r="AP1012" t="str">
        <f>IF(AND(ISNUMBER(SEARCH("IMPORTAR",AA1012)),ISNUMBER(SEARCH("FABRICAR",AA1012))),"MIXTO",IF(ISNUMBER(SEARCH("IMPORTAR",AA1012)),"IMPORTADO",IF(ISNUMBER(SEARCH("FABRICAR",AA1012)),"LOCAL","OTRO")))</f>
        <v>LOCAL</v>
      </c>
      <c r="AQ1012" t="str">
        <f>IF(AD1012="Si","SI",IF(AD1012="No","NO",""))</f>
        <v>SI</v>
      </c>
      <c r="AR1012" t="str">
        <f>IF(ISNUMBER(SEARCH("®",N1012)),"MARCA/INNOVADOR","GENERICO")</f>
        <v>MARCA/INNOVADOR</v>
      </c>
      <c r="AS1012">
        <f ca="1">IF(AE1012&gt;100,RANDBETWEEN(500,5000),IF(AND(AE1012&gt;=10,AE1012&lt;=100),RANDBETWEEN(100,1000),RANDBETWEEN(10,200)))</f>
        <v>31</v>
      </c>
      <c r="AT1012">
        <f t="shared" ca="1" si="77"/>
        <v>3</v>
      </c>
      <c r="AU1012">
        <f ca="1">INT(AS1012*RANDBETWEEN(120,200)/100)</f>
        <v>59</v>
      </c>
      <c r="AV1012" s="2">
        <f ca="1">IF(LEFT(Y1012,1)="L",RANDBETWEEN(500000,5000000),IF(LEFT(Y1012,1)="C",RANDBETWEEN(5000,50000),IF(LEFT(Y1012,1)="N",RANDBETWEEN(10000,150000),IF(LEFT(Y1012,1)="J",RANDBETWEEN(8000,200000),RANDBETWEEN(5000,100000)))))</f>
        <v>63645</v>
      </c>
      <c r="AW1012" s="2">
        <f ca="1">INT(AV1012*RANDBETWEEN(30,60)/100)</f>
        <v>36914</v>
      </c>
      <c r="AX1012">
        <f ca="1">IF(Z1012="ORAL",RANDBETWEEN(1000,10000),IF(OR(Z1012="INTRAVENOSA",Z1012="INTRAMUSCULAR"),RANDBETWEEN(100,2000),IF(OR(Z1012="OFTÁLMICA",Z1012="TOPICA (EXTERNA)"),RANDBETWEEN(200,3000),RANDBETWEEN(100,1500))))</f>
        <v>2454</v>
      </c>
      <c r="AY1012" s="2">
        <f ca="1">INT(AV1012*RANDBETWEEN(90,130)/100)</f>
        <v>64281</v>
      </c>
      <c r="AZ1012" t="str">
        <f t="shared" ca="1" si="78"/>
        <v>25%</v>
      </c>
      <c r="BA1012" t="str">
        <f t="shared" ca="1" si="79"/>
        <v>BAJO</v>
      </c>
    </row>
    <row r="1013" spans="4:53" x14ac:dyDescent="0.35">
      <c r="D1013" t="s">
        <v>6179</v>
      </c>
      <c r="E1013" s="1">
        <v>45414</v>
      </c>
      <c r="F1013" t="s">
        <v>949</v>
      </c>
      <c r="G1013" t="s">
        <v>108</v>
      </c>
      <c r="H1013" t="s">
        <v>410</v>
      </c>
      <c r="I1013">
        <v>20254510</v>
      </c>
      <c r="J1013" t="s">
        <v>28</v>
      </c>
      <c r="K1013">
        <v>2</v>
      </c>
      <c r="L1013" t="s">
        <v>6180</v>
      </c>
      <c r="M1013" t="s">
        <v>6181</v>
      </c>
      <c r="N1013" t="s">
        <v>6182</v>
      </c>
      <c r="O1013" t="s">
        <v>6183</v>
      </c>
      <c r="P1013" t="s">
        <v>6184</v>
      </c>
      <c r="Q1013" s="1">
        <v>45405</v>
      </c>
      <c r="R1013" t="s">
        <v>29</v>
      </c>
      <c r="S1013" t="s">
        <v>27</v>
      </c>
      <c r="T1013" t="s">
        <v>172</v>
      </c>
      <c r="U1013" t="s">
        <v>115</v>
      </c>
      <c r="V1013" t="s">
        <v>186</v>
      </c>
      <c r="W1013">
        <v>10</v>
      </c>
      <c r="X1013">
        <v>20254510</v>
      </c>
      <c r="Y1013" t="s">
        <v>4382</v>
      </c>
      <c r="Z1013" t="s">
        <v>119</v>
      </c>
      <c r="AA1013" t="s">
        <v>24</v>
      </c>
      <c r="AB1013" t="s">
        <v>120</v>
      </c>
      <c r="AC1013" t="s">
        <v>25</v>
      </c>
      <c r="AD1013" t="s">
        <v>155</v>
      </c>
      <c r="AE1013">
        <v>2</v>
      </c>
      <c r="AF1013" s="1">
        <v>401769</v>
      </c>
      <c r="AG1013" t="s">
        <v>26</v>
      </c>
      <c r="AH1013" t="s">
        <v>949</v>
      </c>
      <c r="AI1013" t="str">
        <f t="shared" si="75"/>
        <v>NO</v>
      </c>
      <c r="AJ1013" t="str">
        <f t="shared" si="76"/>
        <v>NOVAMED</v>
      </c>
      <c r="AK1013" t="str">
        <f>IF(ISNUMBER(SEARCH("FABRICANTE",AC1013)),"FABRICANTE",IF(ISNUMBER(SEARCH("IMPORTADOR",AC1013)),"IMPORTADOR","OTRO"))</f>
        <v>FABRICANTE</v>
      </c>
      <c r="AL1013" t="str">
        <f>IF(LEFT(Y1013,1)="A","Sistema digestivo",IF(LEFT(Y1013,1)="B","Sangre",IF(LEFT(Y1013,1)="C","Cardiovascular",IF(LEFT(Y1013,1)="D","Dermatológico",IF(LEFT(Y1013,1)="G","Genitourinario",IF(LEFT(Y1013,1)="H","Hormonal",IF(LEFT(Y1013,1)="J","Antiinfecciosos",IF(LEFT(Y1013,1)="L","Oncológicos",IF(LEFT(Y1013,1)="M","Musculoesquelético",IF(LEFT(Y1013,1)="N","Sistema nervioso",IF(LEFT(Y1013,1)="R","Respiratorio",IF(LEFT(Y1013,1)="S","Oftálmico",IF(LEFT(Y1013,1)="V","Varios","OTRO")))))))))))))</f>
        <v>Cardiovascular</v>
      </c>
      <c r="AM1013" t="str">
        <f>IF(AG1013="Vigente","ACTIVO",IF(ISNUMBER(SEARCH("Inactivo",J1013)),"INACTIVO","REVISAR"))</f>
        <v>ACTIVO</v>
      </c>
      <c r="AN1013">
        <f ca="1">IF(OR(AF1013="",AF1013="null"),"",ROUND((AF1013-TODAY())/365.25,2))</f>
        <v>973.58</v>
      </c>
      <c r="AO1013" t="str">
        <f ca="1">IF(AND(AG1013="Vigente",OR(AF1013="",AF1013="null",AF1013&gt;TODAY())),"SI",IF(AND(NOT(OR(AF1013="",AF1013="null")),AF1013&lt;=TODAY()),"NO",IF(AG1013="Vigente","SI","DESCONOCIDO")))</f>
        <v>SI</v>
      </c>
      <c r="AP1013" t="str">
        <f>IF(AND(ISNUMBER(SEARCH("IMPORTAR",AA1013)),ISNUMBER(SEARCH("FABRICAR",AA1013))),"MIXTO",IF(ISNUMBER(SEARCH("IMPORTAR",AA1013)),"IMPORTADO",IF(ISNUMBER(SEARCH("FABRICAR",AA1013)),"LOCAL","OTRO")))</f>
        <v>LOCAL</v>
      </c>
      <c r="AQ1013" t="str">
        <f>IF(AD1013="Si","SI",IF(AD1013="No","NO",""))</f>
        <v>SI</v>
      </c>
      <c r="AR1013" t="str">
        <f>IF(ISNUMBER(SEARCH("®",N1013)),"MARCA/INNOVADOR","GENERICO")</f>
        <v>GENERICO</v>
      </c>
      <c r="AS1013">
        <f ca="1">IF(AE1013&gt;100,RANDBETWEEN(500,5000),IF(AND(AE1013&gt;=10,AE1013&lt;=100),RANDBETWEEN(100,1000),RANDBETWEEN(10,200)))</f>
        <v>25</v>
      </c>
      <c r="AT1013">
        <f t="shared" ca="1" si="77"/>
        <v>7</v>
      </c>
      <c r="AU1013">
        <f ca="1">INT(AS1013*RANDBETWEEN(120,200)/100)</f>
        <v>46</v>
      </c>
      <c r="AV1013" s="2">
        <f ca="1">IF(LEFT(Y1013,1)="L",RANDBETWEEN(500000,5000000),IF(LEFT(Y1013,1)="C",RANDBETWEEN(5000,50000),IF(LEFT(Y1013,1)="N",RANDBETWEEN(10000,150000),IF(LEFT(Y1013,1)="J",RANDBETWEEN(8000,200000),RANDBETWEEN(5000,100000)))))</f>
        <v>35617</v>
      </c>
      <c r="AW1013" s="2">
        <f ca="1">INT(AV1013*RANDBETWEEN(30,60)/100)</f>
        <v>14959</v>
      </c>
      <c r="AX1013">
        <f ca="1">IF(Z1013="ORAL",RANDBETWEEN(1000,10000),IF(OR(Z1013="INTRAVENOSA",Z1013="INTRAMUSCULAR"),RANDBETWEEN(100,2000),IF(OR(Z1013="OFTÁLMICA",Z1013="TOPICA (EXTERNA)"),RANDBETWEEN(200,3000),RANDBETWEEN(100,1500))))</f>
        <v>1917</v>
      </c>
      <c r="AY1013" s="2">
        <f ca="1">INT(AV1013*RANDBETWEEN(90,130)/100)</f>
        <v>40247</v>
      </c>
      <c r="AZ1013" t="str">
        <f t="shared" ca="1" si="78"/>
        <v>5.9%</v>
      </c>
      <c r="BA1013" t="str">
        <f t="shared" ca="1" si="79"/>
        <v>BAJO</v>
      </c>
    </row>
    <row r="1014" spans="4:53" x14ac:dyDescent="0.35">
      <c r="D1014" t="s">
        <v>6185</v>
      </c>
      <c r="E1014" s="1">
        <v>42412</v>
      </c>
      <c r="F1014" t="s">
        <v>3230</v>
      </c>
      <c r="G1014" t="s">
        <v>108</v>
      </c>
      <c r="H1014" t="s">
        <v>6186</v>
      </c>
      <c r="I1014">
        <v>20076204</v>
      </c>
      <c r="J1014" t="s">
        <v>28</v>
      </c>
      <c r="K1014">
        <v>60</v>
      </c>
      <c r="L1014" t="s">
        <v>6187</v>
      </c>
      <c r="M1014" t="s">
        <v>3232</v>
      </c>
      <c r="N1014" t="s">
        <v>3233</v>
      </c>
      <c r="O1014" t="s">
        <v>6188</v>
      </c>
      <c r="P1014" t="s">
        <v>621</v>
      </c>
      <c r="Q1014" s="1">
        <v>43119</v>
      </c>
      <c r="R1014" t="s">
        <v>50</v>
      </c>
      <c r="S1014" t="s">
        <v>27</v>
      </c>
      <c r="T1014" t="s">
        <v>3235</v>
      </c>
      <c r="U1014" t="s">
        <v>115</v>
      </c>
      <c r="V1014" t="s">
        <v>629</v>
      </c>
      <c r="W1014">
        <v>50</v>
      </c>
      <c r="X1014">
        <v>20076204</v>
      </c>
      <c r="Y1014" t="s">
        <v>630</v>
      </c>
      <c r="Z1014" t="s">
        <v>260</v>
      </c>
      <c r="AA1014" t="s">
        <v>32</v>
      </c>
      <c r="AB1014" t="s">
        <v>120</v>
      </c>
      <c r="AC1014" t="s">
        <v>25</v>
      </c>
      <c r="AD1014" t="s">
        <v>155</v>
      </c>
      <c r="AE1014">
        <v>20</v>
      </c>
      <c r="AF1014" t="s">
        <v>27</v>
      </c>
      <c r="AG1014" t="s">
        <v>26</v>
      </c>
      <c r="AH1014" t="s">
        <v>629</v>
      </c>
      <c r="AI1014" t="str">
        <f t="shared" si="75"/>
        <v>NO</v>
      </c>
      <c r="AJ1014" t="str">
        <f t="shared" si="76"/>
        <v>MENARINI INTERNATIONAL OPERATIONS</v>
      </c>
      <c r="AK1014" t="str">
        <f>IF(ISNUMBER(SEARCH("FABRICANTE",AC1014)),"FABRICANTE",IF(ISNUMBER(SEARCH("IMPORTADOR",AC1014)),"IMPORTADOR","OTRO"))</f>
        <v>FABRICANTE</v>
      </c>
      <c r="AL1014" t="str">
        <f>IF(LEFT(Y1014,1)="A","Sistema digestivo",IF(LEFT(Y1014,1)="B","Sangre",IF(LEFT(Y1014,1)="C","Cardiovascular",IF(LEFT(Y1014,1)="D","Dermatológico",IF(LEFT(Y1014,1)="G","Genitourinario",IF(LEFT(Y1014,1)="H","Hormonal",IF(LEFT(Y1014,1)="J","Antiinfecciosos",IF(LEFT(Y1014,1)="L","Oncológicos",IF(LEFT(Y1014,1)="M","Musculoesquelético",IF(LEFT(Y1014,1)="N","Sistema nervioso",IF(LEFT(Y1014,1)="R","Respiratorio",IF(LEFT(Y1014,1)="S","Oftálmico",IF(LEFT(Y1014,1)="V","Varios","OTRO")))))))))))))</f>
        <v>Musculoesquelético</v>
      </c>
      <c r="AM1014" t="str">
        <f>IF(AG1014="Vigente","ACTIVO",IF(ISNUMBER(SEARCH("Inactivo",J1014)),"INACTIVO","REVISAR"))</f>
        <v>ACTIVO</v>
      </c>
      <c r="AN1014" t="str">
        <f ca="1">IF(OR(AF1014="",AF1014="null"),"",ROUND((AF1014-TODAY())/365.25,2))</f>
        <v/>
      </c>
      <c r="AO1014" t="str">
        <f ca="1">IF(AND(AG1014="Vigente",OR(AF1014="",AF1014="null",AF1014&gt;TODAY())),"SI",IF(AND(NOT(OR(AF1014="",AF1014="null")),AF1014&lt;=TODAY()),"NO",IF(AG1014="Vigente","SI","DESCONOCIDO")))</f>
        <v>SI</v>
      </c>
      <c r="AP1014" t="str">
        <f>IF(AND(ISNUMBER(SEARCH("IMPORTAR",AA1014)),ISNUMBER(SEARCH("FABRICAR",AA1014))),"MIXTO",IF(ISNUMBER(SEARCH("IMPORTAR",AA1014)),"IMPORTADO",IF(ISNUMBER(SEARCH("FABRICAR",AA1014)),"LOCAL","OTRO")))</f>
        <v>IMPORTADO</v>
      </c>
      <c r="AQ1014" t="str">
        <f>IF(AD1014="Si","SI",IF(AD1014="No","NO",""))</f>
        <v>SI</v>
      </c>
      <c r="AR1014" t="str">
        <f>IF(ISNUMBER(SEARCH("®",N1014)),"MARCA/INNOVADOR","GENERICO")</f>
        <v>MARCA/INNOVADOR</v>
      </c>
      <c r="AS1014">
        <f ca="1">IF(AE1014&gt;100,RANDBETWEEN(500,5000),IF(AND(AE1014&gt;=10,AE1014&lt;=100),RANDBETWEEN(100,1000),RANDBETWEEN(10,200)))</f>
        <v>482</v>
      </c>
      <c r="AT1014">
        <f t="shared" ca="1" si="77"/>
        <v>101</v>
      </c>
      <c r="AU1014">
        <f ca="1">INT(AS1014*RANDBETWEEN(120,200)/100)</f>
        <v>891</v>
      </c>
      <c r="AV1014" s="2">
        <f ca="1">IF(LEFT(Y1014,1)="L",RANDBETWEEN(500000,5000000),IF(LEFT(Y1014,1)="C",RANDBETWEEN(5000,50000),IF(LEFT(Y1014,1)="N",RANDBETWEEN(10000,150000),IF(LEFT(Y1014,1)="J",RANDBETWEEN(8000,200000),RANDBETWEEN(5000,100000)))))</f>
        <v>72466</v>
      </c>
      <c r="AW1014" s="2">
        <f ca="1">INT(AV1014*RANDBETWEEN(30,60)/100)</f>
        <v>34783</v>
      </c>
      <c r="AX1014">
        <f ca="1">IF(Z1014="ORAL",RANDBETWEEN(1000,10000),IF(OR(Z1014="INTRAVENOSA",Z1014="INTRAMUSCULAR"),RANDBETWEEN(100,2000),IF(OR(Z1014="OFTÁLMICA",Z1014="TOPICA (EXTERNA)"),RANDBETWEEN(200,3000),RANDBETWEEN(100,1500))))</f>
        <v>507</v>
      </c>
      <c r="AY1014" s="2">
        <f ca="1">INT(AV1014*RANDBETWEEN(90,130)/100)</f>
        <v>90582</v>
      </c>
      <c r="AZ1014" t="str">
        <f t="shared" ca="1" si="78"/>
        <v>4.4%</v>
      </c>
      <c r="BA1014" t="str">
        <f t="shared" ca="1" si="79"/>
        <v>BAJO</v>
      </c>
    </row>
    <row r="1015" spans="4:53" x14ac:dyDescent="0.35">
      <c r="D1015" t="s">
        <v>6189</v>
      </c>
      <c r="E1015" s="1">
        <v>39798</v>
      </c>
      <c r="F1015" t="s">
        <v>4800</v>
      </c>
      <c r="G1015" t="s">
        <v>108</v>
      </c>
      <c r="H1015" t="s">
        <v>187</v>
      </c>
      <c r="I1015">
        <v>19991973</v>
      </c>
      <c r="J1015" t="s">
        <v>110</v>
      </c>
      <c r="K1015">
        <v>4</v>
      </c>
      <c r="L1015" t="s">
        <v>27</v>
      </c>
      <c r="M1015" t="s">
        <v>6190</v>
      </c>
      <c r="N1015" t="s">
        <v>6191</v>
      </c>
      <c r="O1015" t="s">
        <v>6192</v>
      </c>
      <c r="P1015" t="s">
        <v>432</v>
      </c>
      <c r="Q1015" s="1">
        <v>39652</v>
      </c>
      <c r="R1015" t="s">
        <v>33</v>
      </c>
      <c r="S1015" t="s">
        <v>27</v>
      </c>
      <c r="T1015" t="s">
        <v>80</v>
      </c>
      <c r="U1015" t="s">
        <v>115</v>
      </c>
      <c r="V1015" t="s">
        <v>667</v>
      </c>
      <c r="W1015">
        <v>40</v>
      </c>
      <c r="X1015">
        <v>19991973</v>
      </c>
      <c r="Y1015" t="s">
        <v>668</v>
      </c>
      <c r="Z1015" t="s">
        <v>119</v>
      </c>
      <c r="AA1015" t="s">
        <v>24</v>
      </c>
      <c r="AB1015" t="s">
        <v>120</v>
      </c>
      <c r="AC1015" t="s">
        <v>25</v>
      </c>
      <c r="AD1015" t="s">
        <v>121</v>
      </c>
      <c r="AE1015">
        <v>10</v>
      </c>
      <c r="AF1015" t="s">
        <v>27</v>
      </c>
      <c r="AG1015" t="s">
        <v>26</v>
      </c>
      <c r="AH1015" t="s">
        <v>667</v>
      </c>
      <c r="AI1015" t="str">
        <f t="shared" si="75"/>
        <v>NO</v>
      </c>
      <c r="AJ1015" t="str">
        <f t="shared" si="76"/>
        <v>TECNOQUIMICAS</v>
      </c>
      <c r="AK1015" t="str">
        <f>IF(ISNUMBER(SEARCH("FABRICANTE",AC1015)),"FABRICANTE",IF(ISNUMBER(SEARCH("IMPORTADOR",AC1015)),"IMPORTADOR","OTRO"))</f>
        <v>FABRICANTE</v>
      </c>
      <c r="AL1015" t="str">
        <f>IF(LEFT(Y1015,1)="A","Sistema digestivo",IF(LEFT(Y1015,1)="B","Sangre",IF(LEFT(Y1015,1)="C","Cardiovascular",IF(LEFT(Y1015,1)="D","Dermatológico",IF(LEFT(Y1015,1)="G","Genitourinario",IF(LEFT(Y1015,1)="H","Hormonal",IF(LEFT(Y1015,1)="J","Antiinfecciosos",IF(LEFT(Y1015,1)="L","Oncológicos",IF(LEFT(Y1015,1)="M","Musculoesquelético",IF(LEFT(Y1015,1)="N","Sistema nervioso",IF(LEFT(Y1015,1)="R","Respiratorio",IF(LEFT(Y1015,1)="S","Oftálmico",IF(LEFT(Y1015,1)="V","Varios","OTRO")))))))))))))</f>
        <v>Cardiovascular</v>
      </c>
      <c r="AM1015" t="str">
        <f>IF(AG1015="Vigente","ACTIVO",IF(ISNUMBER(SEARCH("Inactivo",J1015)),"INACTIVO","REVISAR"))</f>
        <v>ACTIVO</v>
      </c>
      <c r="AN1015" t="str">
        <f ca="1">IF(OR(AF1015="",AF1015="null"),"",ROUND((AF1015-TODAY())/365.25,2))</f>
        <v/>
      </c>
      <c r="AO1015" t="str">
        <f ca="1">IF(AND(AG1015="Vigente",OR(AF1015="",AF1015="null",AF1015&gt;TODAY())),"SI",IF(AND(NOT(OR(AF1015="",AF1015="null")),AF1015&lt;=TODAY()),"NO",IF(AG1015="Vigente","SI","DESCONOCIDO")))</f>
        <v>SI</v>
      </c>
      <c r="AP1015" t="str">
        <f>IF(AND(ISNUMBER(SEARCH("IMPORTAR",AA1015)),ISNUMBER(SEARCH("FABRICAR",AA1015))),"MIXTO",IF(ISNUMBER(SEARCH("IMPORTAR",AA1015)),"IMPORTADO",IF(ISNUMBER(SEARCH("FABRICAR",AA1015)),"LOCAL","OTRO")))</f>
        <v>LOCAL</v>
      </c>
      <c r="AQ1015" t="str">
        <f>IF(AD1015="Si","SI",IF(AD1015="No","NO",""))</f>
        <v>NO</v>
      </c>
      <c r="AR1015" t="str">
        <f>IF(ISNUMBER(SEARCH("®",N1015)),"MARCA/INNOVADOR","GENERICO")</f>
        <v>GENERICO</v>
      </c>
      <c r="AS1015">
        <f ca="1">IF(AE1015&gt;100,RANDBETWEEN(500,5000),IF(AND(AE1015&gt;=10,AE1015&lt;=100),RANDBETWEEN(100,1000),RANDBETWEEN(10,200)))</f>
        <v>229</v>
      </c>
      <c r="AT1015">
        <f t="shared" ca="1" si="77"/>
        <v>66</v>
      </c>
      <c r="AU1015">
        <f ca="1">INT(AS1015*RANDBETWEEN(120,200)/100)</f>
        <v>309</v>
      </c>
      <c r="AV1015" s="2">
        <f ca="1">IF(LEFT(Y1015,1)="L",RANDBETWEEN(500000,5000000),IF(LEFT(Y1015,1)="C",RANDBETWEEN(5000,50000),IF(LEFT(Y1015,1)="N",RANDBETWEEN(10000,150000),IF(LEFT(Y1015,1)="J",RANDBETWEEN(8000,200000),RANDBETWEEN(5000,100000)))))</f>
        <v>27842</v>
      </c>
      <c r="AW1015" s="2">
        <f ca="1">INT(AV1015*RANDBETWEEN(30,60)/100)</f>
        <v>13642</v>
      </c>
      <c r="AX1015">
        <f ca="1">IF(Z1015="ORAL",RANDBETWEEN(1000,10000),IF(OR(Z1015="INTRAVENOSA",Z1015="INTRAMUSCULAR"),RANDBETWEEN(100,2000),IF(OR(Z1015="OFTÁLMICA",Z1015="TOPICA (EXTERNA)"),RANDBETWEEN(200,3000),RANDBETWEEN(100,1500))))</f>
        <v>1171</v>
      </c>
      <c r="AY1015" s="2">
        <f ca="1">INT(AV1015*RANDBETWEEN(90,130)/100)</f>
        <v>35359</v>
      </c>
      <c r="AZ1015" t="str">
        <f t="shared" ca="1" si="78"/>
        <v>12.9%</v>
      </c>
      <c r="BA1015" t="str">
        <f t="shared" ca="1" si="79"/>
        <v>ALTO</v>
      </c>
    </row>
    <row r="1016" spans="4:53" x14ac:dyDescent="0.35">
      <c r="D1016" t="s">
        <v>6193</v>
      </c>
      <c r="E1016" s="1">
        <v>38071</v>
      </c>
      <c r="F1016" t="s">
        <v>6194</v>
      </c>
      <c r="G1016" t="s">
        <v>108</v>
      </c>
      <c r="H1016" t="s">
        <v>454</v>
      </c>
      <c r="I1016">
        <v>19942548</v>
      </c>
      <c r="J1016" t="s">
        <v>28</v>
      </c>
      <c r="K1016">
        <v>5</v>
      </c>
      <c r="L1016" t="s">
        <v>27</v>
      </c>
      <c r="M1016" t="s">
        <v>3976</v>
      </c>
      <c r="N1016" t="s">
        <v>3977</v>
      </c>
      <c r="O1016" t="s">
        <v>6195</v>
      </c>
      <c r="P1016" t="s">
        <v>1061</v>
      </c>
      <c r="Q1016" s="1">
        <v>39031</v>
      </c>
      <c r="R1016" t="s">
        <v>527</v>
      </c>
      <c r="S1016" t="s">
        <v>27</v>
      </c>
      <c r="T1016" t="s">
        <v>454</v>
      </c>
      <c r="U1016" t="s">
        <v>115</v>
      </c>
      <c r="V1016" t="s">
        <v>3979</v>
      </c>
      <c r="W1016">
        <v>3</v>
      </c>
      <c r="X1016">
        <v>19942548</v>
      </c>
      <c r="Y1016" t="s">
        <v>3981</v>
      </c>
      <c r="Z1016" t="s">
        <v>119</v>
      </c>
      <c r="AA1016" t="s">
        <v>2200</v>
      </c>
      <c r="AB1016" t="s">
        <v>120</v>
      </c>
      <c r="AC1016" t="s">
        <v>25</v>
      </c>
      <c r="AD1016" t="s">
        <v>121</v>
      </c>
      <c r="AE1016">
        <v>100</v>
      </c>
      <c r="AF1016" t="s">
        <v>27</v>
      </c>
      <c r="AG1016" t="s">
        <v>26</v>
      </c>
      <c r="AH1016" t="s">
        <v>6849</v>
      </c>
      <c r="AI1016" t="str">
        <f t="shared" si="75"/>
        <v>NO</v>
      </c>
      <c r="AJ1016" t="str">
        <f t="shared" si="76"/>
        <v>PROCAPS</v>
      </c>
      <c r="AK1016" t="str">
        <f>IF(ISNUMBER(SEARCH("FABRICANTE",AC1016)),"FABRICANTE",IF(ISNUMBER(SEARCH("IMPORTADOR",AC1016)),"IMPORTADOR","OTRO"))</f>
        <v>FABRICANTE</v>
      </c>
      <c r="AL1016" t="str">
        <f>IF(LEFT(Y1016,1)="A","Sistema digestivo",IF(LEFT(Y1016,1)="B","Sangre",IF(LEFT(Y1016,1)="C","Cardiovascular",IF(LEFT(Y1016,1)="D","Dermatológico",IF(LEFT(Y1016,1)="G","Genitourinario",IF(LEFT(Y1016,1)="H","Hormonal",IF(LEFT(Y1016,1)="J","Antiinfecciosos",IF(LEFT(Y1016,1)="L","Oncológicos",IF(LEFT(Y1016,1)="M","Musculoesquelético",IF(LEFT(Y1016,1)="N","Sistema nervioso",IF(LEFT(Y1016,1)="R","Respiratorio",IF(LEFT(Y1016,1)="S","Oftálmico",IF(LEFT(Y1016,1)="V","Varios","OTRO")))))))))))))</f>
        <v>Sistema digestivo</v>
      </c>
      <c r="AM1016" t="str">
        <f>IF(AG1016="Vigente","ACTIVO",IF(ISNUMBER(SEARCH("Inactivo",J1016)),"INACTIVO","REVISAR"))</f>
        <v>ACTIVO</v>
      </c>
      <c r="AN1016" t="str">
        <f ca="1">IF(OR(AF1016="",AF1016="null"),"",ROUND((AF1016-TODAY())/365.25,2))</f>
        <v/>
      </c>
      <c r="AO1016" t="str">
        <f ca="1">IF(AND(AG1016="Vigente",OR(AF1016="",AF1016="null",AF1016&gt;TODAY())),"SI",IF(AND(NOT(OR(AF1016="",AF1016="null")),AF1016&lt;=TODAY()),"NO",IF(AG1016="Vigente","SI","DESCONOCIDO")))</f>
        <v>SI</v>
      </c>
      <c r="AP1016" t="str">
        <f>IF(AND(ISNUMBER(SEARCH("IMPORTAR",AA1016)),ISNUMBER(SEARCH("FABRICAR",AA1016))),"MIXTO",IF(ISNUMBER(SEARCH("IMPORTAR",AA1016)),"IMPORTADO",IF(ISNUMBER(SEARCH("FABRICAR",AA1016)),"LOCAL","OTRO")))</f>
        <v>LOCAL</v>
      </c>
      <c r="AQ1016" t="str">
        <f>IF(AD1016="Si","SI",IF(AD1016="No","NO",""))</f>
        <v>NO</v>
      </c>
      <c r="AR1016" t="str">
        <f>IF(ISNUMBER(SEARCH("®",N1016)),"MARCA/INNOVADOR","GENERICO")</f>
        <v>GENERICO</v>
      </c>
      <c r="AS1016">
        <f ca="1">IF(AE1016&gt;100,RANDBETWEEN(500,5000),IF(AND(AE1016&gt;=10,AE1016&lt;=100),RANDBETWEEN(100,1000),RANDBETWEEN(10,200)))</f>
        <v>804</v>
      </c>
      <c r="AT1016">
        <f t="shared" ca="1" si="77"/>
        <v>217</v>
      </c>
      <c r="AU1016">
        <f ca="1">INT(AS1016*RANDBETWEEN(120,200)/100)</f>
        <v>1366</v>
      </c>
      <c r="AV1016" s="2">
        <f ca="1">IF(LEFT(Y1016,1)="L",RANDBETWEEN(500000,5000000),IF(LEFT(Y1016,1)="C",RANDBETWEEN(5000,50000),IF(LEFT(Y1016,1)="N",RANDBETWEEN(10000,150000),IF(LEFT(Y1016,1)="J",RANDBETWEEN(8000,200000),RANDBETWEEN(5000,100000)))))</f>
        <v>65244</v>
      </c>
      <c r="AW1016" s="2">
        <f ca="1">INT(AV1016*RANDBETWEEN(30,60)/100)</f>
        <v>22835</v>
      </c>
      <c r="AX1016">
        <f ca="1">IF(Z1016="ORAL",RANDBETWEEN(1000,10000),IF(OR(Z1016="INTRAVENOSA",Z1016="INTRAMUSCULAR"),RANDBETWEEN(100,2000),IF(OR(Z1016="OFTÁLMICA",Z1016="TOPICA (EXTERNA)"),RANDBETWEEN(200,3000),RANDBETWEEN(100,1500))))</f>
        <v>6524</v>
      </c>
      <c r="AY1016" s="2">
        <f ca="1">INT(AV1016*RANDBETWEEN(90,130)/100)</f>
        <v>80250</v>
      </c>
      <c r="AZ1016" t="str">
        <f t="shared" ca="1" si="78"/>
        <v>18.5%</v>
      </c>
      <c r="BA1016" t="str">
        <f t="shared" ca="1" si="79"/>
        <v>BAJO</v>
      </c>
    </row>
    <row r="1017" spans="4:53" x14ac:dyDescent="0.35">
      <c r="D1017" t="s">
        <v>6196</v>
      </c>
      <c r="E1017" s="1">
        <v>42052</v>
      </c>
      <c r="F1017" t="s">
        <v>1297</v>
      </c>
      <c r="G1017" t="s">
        <v>108</v>
      </c>
      <c r="H1017" t="s">
        <v>1298</v>
      </c>
      <c r="I1017">
        <v>20075649</v>
      </c>
      <c r="J1017" t="s">
        <v>110</v>
      </c>
      <c r="K1017">
        <v>57</v>
      </c>
      <c r="L1017" t="s">
        <v>27</v>
      </c>
      <c r="M1017" t="s">
        <v>1299</v>
      </c>
      <c r="N1017" t="s">
        <v>1300</v>
      </c>
      <c r="O1017" t="s">
        <v>6197</v>
      </c>
      <c r="P1017" t="s">
        <v>1302</v>
      </c>
      <c r="Q1017" s="1">
        <v>41995</v>
      </c>
      <c r="R1017" t="s">
        <v>1302</v>
      </c>
      <c r="S1017" s="1">
        <v>45806</v>
      </c>
      <c r="T1017" t="s">
        <v>80</v>
      </c>
      <c r="U1017" t="s">
        <v>115</v>
      </c>
      <c r="V1017" t="s">
        <v>1303</v>
      </c>
      <c r="W1017">
        <v>100</v>
      </c>
      <c r="X1017">
        <v>20075649</v>
      </c>
      <c r="Y1017" t="s">
        <v>1304</v>
      </c>
      <c r="Z1017" t="s">
        <v>1305</v>
      </c>
      <c r="AA1017" t="s">
        <v>24</v>
      </c>
      <c r="AB1017" t="s">
        <v>120</v>
      </c>
      <c r="AC1017" t="s">
        <v>25</v>
      </c>
      <c r="AD1017" t="s">
        <v>121</v>
      </c>
      <c r="AE1017">
        <v>100</v>
      </c>
      <c r="AF1017" t="s">
        <v>27</v>
      </c>
      <c r="AG1017" t="s">
        <v>26</v>
      </c>
      <c r="AH1017" t="s">
        <v>2143</v>
      </c>
      <c r="AI1017" t="str">
        <f t="shared" si="75"/>
        <v>NO</v>
      </c>
      <c r="AJ1017" t="str">
        <f t="shared" si="76"/>
        <v>TECNOQUIMICAS</v>
      </c>
      <c r="AK1017" t="str">
        <f>IF(ISNUMBER(SEARCH("FABRICANTE",AC1017)),"FABRICANTE",IF(ISNUMBER(SEARCH("IMPORTADOR",AC1017)),"IMPORTADOR","OTRO"))</f>
        <v>FABRICANTE</v>
      </c>
      <c r="AL1017" t="str">
        <f>IF(LEFT(Y1017,1)="A","Sistema digestivo",IF(LEFT(Y1017,1)="B","Sangre",IF(LEFT(Y1017,1)="C","Cardiovascular",IF(LEFT(Y1017,1)="D","Dermatológico",IF(LEFT(Y1017,1)="G","Genitourinario",IF(LEFT(Y1017,1)="H","Hormonal",IF(LEFT(Y1017,1)="J","Antiinfecciosos",IF(LEFT(Y1017,1)="L","Oncológicos",IF(LEFT(Y1017,1)="M","Musculoesquelético",IF(LEFT(Y1017,1)="N","Sistema nervioso",IF(LEFT(Y1017,1)="R","Respiratorio",IF(LEFT(Y1017,1)="S","Oftálmico",IF(LEFT(Y1017,1)="V","Varios","OTRO")))))))))))))</f>
        <v>Genitourinario</v>
      </c>
      <c r="AM1017" t="str">
        <f>IF(AG1017="Vigente","ACTIVO",IF(ISNUMBER(SEARCH("Inactivo",J1017)),"INACTIVO","REVISAR"))</f>
        <v>ACTIVO</v>
      </c>
      <c r="AN1017" t="str">
        <f ca="1">IF(OR(AF1017="",AF1017="null"),"",ROUND((AF1017-TODAY())/365.25,2))</f>
        <v/>
      </c>
      <c r="AO1017" t="str">
        <f ca="1">IF(AND(AG1017="Vigente",OR(AF1017="",AF1017="null",AF1017&gt;TODAY())),"SI",IF(AND(NOT(OR(AF1017="",AF1017="null")),AF1017&lt;=TODAY()),"NO",IF(AG1017="Vigente","SI","DESCONOCIDO")))</f>
        <v>SI</v>
      </c>
      <c r="AP1017" t="str">
        <f>IF(AND(ISNUMBER(SEARCH("IMPORTAR",AA1017)),ISNUMBER(SEARCH("FABRICAR",AA1017))),"MIXTO",IF(ISNUMBER(SEARCH("IMPORTAR",AA1017)),"IMPORTADO",IF(ISNUMBER(SEARCH("FABRICAR",AA1017)),"LOCAL","OTRO")))</f>
        <v>LOCAL</v>
      </c>
      <c r="AQ1017" t="str">
        <f>IF(AD1017="Si","SI",IF(AD1017="No","NO",""))</f>
        <v>NO</v>
      </c>
      <c r="AR1017" t="str">
        <f>IF(ISNUMBER(SEARCH("®",N1017)),"MARCA/INNOVADOR","GENERICO")</f>
        <v>GENERICO</v>
      </c>
      <c r="AS1017">
        <f ca="1">IF(AE1017&gt;100,RANDBETWEEN(500,5000),IF(AND(AE1017&gt;=10,AE1017&lt;=100),RANDBETWEEN(100,1000),RANDBETWEEN(10,200)))</f>
        <v>415</v>
      </c>
      <c r="AT1017">
        <f t="shared" ca="1" si="77"/>
        <v>103</v>
      </c>
      <c r="AU1017">
        <f ca="1">INT(AS1017*RANDBETWEEN(120,200)/100)</f>
        <v>809</v>
      </c>
      <c r="AV1017" s="2">
        <f ca="1">IF(LEFT(Y1017,1)="L",RANDBETWEEN(500000,5000000),IF(LEFT(Y1017,1)="C",RANDBETWEEN(5000,50000),IF(LEFT(Y1017,1)="N",RANDBETWEEN(10000,150000),IF(LEFT(Y1017,1)="J",RANDBETWEEN(8000,200000),RANDBETWEEN(5000,100000)))))</f>
        <v>42950</v>
      </c>
      <c r="AW1017" s="2">
        <f ca="1">INT(AV1017*RANDBETWEEN(30,60)/100)</f>
        <v>19757</v>
      </c>
      <c r="AX1017">
        <f ca="1">IF(Z1017="ORAL",RANDBETWEEN(1000,10000),IF(OR(Z1017="INTRAVENOSA",Z1017="INTRAMUSCULAR"),RANDBETWEEN(100,2000),IF(OR(Z1017="OFTÁLMICA",Z1017="TOPICA (EXTERNA)"),RANDBETWEEN(200,3000),RANDBETWEEN(100,1500))))</f>
        <v>1182</v>
      </c>
      <c r="AY1017" s="2">
        <f ca="1">INT(AV1017*RANDBETWEEN(90,130)/100)</f>
        <v>50681</v>
      </c>
      <c r="AZ1017" t="str">
        <f t="shared" ca="1" si="78"/>
        <v>7.1%</v>
      </c>
      <c r="BA1017" t="str">
        <f t="shared" ca="1" si="79"/>
        <v>ALTO</v>
      </c>
    </row>
    <row r="1018" spans="4:53" x14ac:dyDescent="0.35">
      <c r="D1018" t="s">
        <v>6198</v>
      </c>
      <c r="E1018" s="1">
        <v>39892</v>
      </c>
      <c r="F1018" t="s">
        <v>123</v>
      </c>
      <c r="G1018" t="s">
        <v>108</v>
      </c>
      <c r="H1018" t="s">
        <v>187</v>
      </c>
      <c r="I1018">
        <v>19996023</v>
      </c>
      <c r="J1018" t="s">
        <v>110</v>
      </c>
      <c r="K1018">
        <v>14</v>
      </c>
      <c r="L1018" t="s">
        <v>27</v>
      </c>
      <c r="M1018" t="s">
        <v>6199</v>
      </c>
      <c r="N1018" t="s">
        <v>6200</v>
      </c>
      <c r="O1018" t="s">
        <v>6201</v>
      </c>
      <c r="P1018" t="s">
        <v>659</v>
      </c>
      <c r="Q1018" s="1">
        <v>39743</v>
      </c>
      <c r="R1018" t="s">
        <v>37</v>
      </c>
      <c r="S1018" t="s">
        <v>27</v>
      </c>
      <c r="T1018" t="s">
        <v>80</v>
      </c>
      <c r="U1018" t="s">
        <v>115</v>
      </c>
      <c r="V1018" t="s">
        <v>130</v>
      </c>
      <c r="W1018">
        <v>50</v>
      </c>
      <c r="X1018">
        <v>19996023</v>
      </c>
      <c r="Y1018" t="s">
        <v>131</v>
      </c>
      <c r="Z1018" t="s">
        <v>119</v>
      </c>
      <c r="AA1018" t="s">
        <v>24</v>
      </c>
      <c r="AB1018" t="s">
        <v>120</v>
      </c>
      <c r="AC1018" t="s">
        <v>25</v>
      </c>
      <c r="AD1018" t="s">
        <v>121</v>
      </c>
      <c r="AE1018">
        <v>100</v>
      </c>
      <c r="AF1018" t="s">
        <v>27</v>
      </c>
      <c r="AG1018" t="s">
        <v>26</v>
      </c>
      <c r="AH1018" t="s">
        <v>123</v>
      </c>
      <c r="AI1018" t="str">
        <f t="shared" si="75"/>
        <v>NO</v>
      </c>
      <c r="AJ1018" t="str">
        <f t="shared" si="76"/>
        <v>TECNOQUIMICAS</v>
      </c>
      <c r="AK1018" t="str">
        <f>IF(ISNUMBER(SEARCH("FABRICANTE",AC1018)),"FABRICANTE",IF(ISNUMBER(SEARCH("IMPORTADOR",AC1018)),"IMPORTADOR","OTRO"))</f>
        <v>FABRICANTE</v>
      </c>
      <c r="AL1018" t="str">
        <f>IF(LEFT(Y1018,1)="A","Sistema digestivo",IF(LEFT(Y1018,1)="B","Sangre",IF(LEFT(Y1018,1)="C","Cardiovascular",IF(LEFT(Y1018,1)="D","Dermatológico",IF(LEFT(Y1018,1)="G","Genitourinario",IF(LEFT(Y1018,1)="H","Hormonal",IF(LEFT(Y1018,1)="J","Antiinfecciosos",IF(LEFT(Y1018,1)="L","Oncológicos",IF(LEFT(Y1018,1)="M","Musculoesquelético",IF(LEFT(Y1018,1)="N","Sistema nervioso",IF(LEFT(Y1018,1)="R","Respiratorio",IF(LEFT(Y1018,1)="S","Oftálmico",IF(LEFT(Y1018,1)="V","Varios","OTRO")))))))))))))</f>
        <v>Sistema nervioso</v>
      </c>
      <c r="AM1018" t="str">
        <f>IF(AG1018="Vigente","ACTIVO",IF(ISNUMBER(SEARCH("Inactivo",J1018)),"INACTIVO","REVISAR"))</f>
        <v>ACTIVO</v>
      </c>
      <c r="AN1018" t="str">
        <f ca="1">IF(OR(AF1018="",AF1018="null"),"",ROUND((AF1018-TODAY())/365.25,2))</f>
        <v/>
      </c>
      <c r="AO1018" t="str">
        <f ca="1">IF(AND(AG1018="Vigente",OR(AF1018="",AF1018="null",AF1018&gt;TODAY())),"SI",IF(AND(NOT(OR(AF1018="",AF1018="null")),AF1018&lt;=TODAY()),"NO",IF(AG1018="Vigente","SI","DESCONOCIDO")))</f>
        <v>SI</v>
      </c>
      <c r="AP1018" t="str">
        <f>IF(AND(ISNUMBER(SEARCH("IMPORTAR",AA1018)),ISNUMBER(SEARCH("FABRICAR",AA1018))),"MIXTO",IF(ISNUMBER(SEARCH("IMPORTAR",AA1018)),"IMPORTADO",IF(ISNUMBER(SEARCH("FABRICAR",AA1018)),"LOCAL","OTRO")))</f>
        <v>LOCAL</v>
      </c>
      <c r="AQ1018" t="str">
        <f>IF(AD1018="Si","SI",IF(AD1018="No","NO",""))</f>
        <v>NO</v>
      </c>
      <c r="AR1018" t="str">
        <f>IF(ISNUMBER(SEARCH("®",N1018)),"MARCA/INNOVADOR","GENERICO")</f>
        <v>GENERICO</v>
      </c>
      <c r="AS1018">
        <f ca="1">IF(AE1018&gt;100,RANDBETWEEN(500,5000),IF(AND(AE1018&gt;=10,AE1018&lt;=100),RANDBETWEEN(100,1000),RANDBETWEEN(10,200)))</f>
        <v>122</v>
      </c>
      <c r="AT1018">
        <f t="shared" ca="1" si="77"/>
        <v>31</v>
      </c>
      <c r="AU1018">
        <f ca="1">INT(AS1018*RANDBETWEEN(120,200)/100)</f>
        <v>195</v>
      </c>
      <c r="AV1018" s="2">
        <f ca="1">IF(LEFT(Y1018,1)="L",RANDBETWEEN(500000,5000000),IF(LEFT(Y1018,1)="C",RANDBETWEEN(5000,50000),IF(LEFT(Y1018,1)="N",RANDBETWEEN(10000,150000),IF(LEFT(Y1018,1)="J",RANDBETWEEN(8000,200000),RANDBETWEEN(5000,100000)))))</f>
        <v>58493</v>
      </c>
      <c r="AW1018" s="2">
        <f ca="1">INT(AV1018*RANDBETWEEN(30,60)/100)</f>
        <v>23397</v>
      </c>
      <c r="AX1018">
        <f ca="1">IF(Z1018="ORAL",RANDBETWEEN(1000,10000),IF(OR(Z1018="INTRAVENOSA",Z1018="INTRAMUSCULAR"),RANDBETWEEN(100,2000),IF(OR(Z1018="OFTÁLMICA",Z1018="TOPICA (EXTERNA)"),RANDBETWEEN(200,3000),RANDBETWEEN(100,1500))))</f>
        <v>8122</v>
      </c>
      <c r="AY1018" s="2">
        <f ca="1">INT(AV1018*RANDBETWEEN(90,130)/100)</f>
        <v>54983</v>
      </c>
      <c r="AZ1018" t="str">
        <f t="shared" ca="1" si="78"/>
        <v>15.5%</v>
      </c>
      <c r="BA1018" t="str">
        <f t="shared" ca="1" si="79"/>
        <v>ALTO</v>
      </c>
    </row>
    <row r="1019" spans="4:53" x14ac:dyDescent="0.35">
      <c r="D1019" t="s">
        <v>6202</v>
      </c>
      <c r="E1019" s="1">
        <v>45534</v>
      </c>
      <c r="F1019" t="s">
        <v>6203</v>
      </c>
      <c r="G1019" t="s">
        <v>108</v>
      </c>
      <c r="H1019" t="s">
        <v>6204</v>
      </c>
      <c r="I1019">
        <v>20200512</v>
      </c>
      <c r="J1019" t="s">
        <v>110</v>
      </c>
      <c r="K1019">
        <v>12</v>
      </c>
      <c r="L1019" t="s">
        <v>27</v>
      </c>
      <c r="M1019" t="s">
        <v>6205</v>
      </c>
      <c r="N1019" t="s">
        <v>6206</v>
      </c>
      <c r="O1019" t="s">
        <v>6207</v>
      </c>
      <c r="P1019" t="s">
        <v>2834</v>
      </c>
      <c r="Q1019" s="1">
        <v>45437</v>
      </c>
      <c r="R1019" t="s">
        <v>527</v>
      </c>
      <c r="S1019" t="s">
        <v>27</v>
      </c>
      <c r="T1019" t="s">
        <v>6208</v>
      </c>
      <c r="U1019" t="s">
        <v>115</v>
      </c>
      <c r="V1019" t="s">
        <v>3517</v>
      </c>
      <c r="W1019">
        <v>1</v>
      </c>
      <c r="X1019">
        <v>20200512</v>
      </c>
      <c r="Y1019" t="s">
        <v>3518</v>
      </c>
      <c r="Z1019" t="s">
        <v>119</v>
      </c>
      <c r="AA1019" t="s">
        <v>32</v>
      </c>
      <c r="AB1019" t="s">
        <v>120</v>
      </c>
      <c r="AC1019" t="s">
        <v>25</v>
      </c>
      <c r="AD1019" t="s">
        <v>121</v>
      </c>
      <c r="AE1019">
        <v>120</v>
      </c>
      <c r="AF1019" s="1">
        <v>47380</v>
      </c>
      <c r="AG1019" t="s">
        <v>26</v>
      </c>
      <c r="AH1019" t="s">
        <v>6720</v>
      </c>
      <c r="AI1019" t="str">
        <f t="shared" si="75"/>
        <v>NO</v>
      </c>
      <c r="AJ1019" t="str">
        <f t="shared" si="76"/>
        <v>HEALTHY AMERICA COLOMBIA</v>
      </c>
      <c r="AK1019" t="str">
        <f>IF(ISNUMBER(SEARCH("FABRICANTE",AC1019)),"FABRICANTE",IF(ISNUMBER(SEARCH("IMPORTADOR",AC1019)),"IMPORTADOR","OTRO"))</f>
        <v>FABRICANTE</v>
      </c>
      <c r="AL1019" t="str">
        <f>IF(LEFT(Y1019,1)="A","Sistema digestivo",IF(LEFT(Y1019,1)="B","Sangre",IF(LEFT(Y1019,1)="C","Cardiovascular",IF(LEFT(Y1019,1)="D","Dermatológico",IF(LEFT(Y1019,1)="G","Genitourinario",IF(LEFT(Y1019,1)="H","Hormonal",IF(LEFT(Y1019,1)="J","Antiinfecciosos",IF(LEFT(Y1019,1)="L","Oncológicos",IF(LEFT(Y1019,1)="M","Musculoesquelético",IF(LEFT(Y1019,1)="N","Sistema nervioso",IF(LEFT(Y1019,1)="R","Respiratorio",IF(LEFT(Y1019,1)="S","Oftálmico",IF(LEFT(Y1019,1)="V","Varios","OTRO")))))))))))))</f>
        <v>Sistema digestivo</v>
      </c>
      <c r="AM1019" t="str">
        <f>IF(AG1019="Vigente","ACTIVO",IF(ISNUMBER(SEARCH("Inactivo",J1019)),"INACTIVO","REVISAR"))</f>
        <v>ACTIVO</v>
      </c>
      <c r="AN1019">
        <f ca="1">IF(OR(AF1019="",AF1019="null"),"",ROUND((AF1019-TODAY())/365.25,2))</f>
        <v>3.32</v>
      </c>
      <c r="AO1019" t="str">
        <f ca="1">IF(AND(AG1019="Vigente",OR(AF1019="",AF1019="null",AF1019&gt;TODAY())),"SI",IF(AND(NOT(OR(AF1019="",AF1019="null")),AF1019&lt;=TODAY()),"NO",IF(AG1019="Vigente","SI","DESCONOCIDO")))</f>
        <v>SI</v>
      </c>
      <c r="AP1019" t="str">
        <f>IF(AND(ISNUMBER(SEARCH("IMPORTAR",AA1019)),ISNUMBER(SEARCH("FABRICAR",AA1019))),"MIXTO",IF(ISNUMBER(SEARCH("IMPORTAR",AA1019)),"IMPORTADO",IF(ISNUMBER(SEARCH("FABRICAR",AA1019)),"LOCAL","OTRO")))</f>
        <v>IMPORTADO</v>
      </c>
      <c r="AQ1019" t="str">
        <f>IF(AD1019="Si","SI",IF(AD1019="No","NO",""))</f>
        <v>NO</v>
      </c>
      <c r="AR1019" t="str">
        <f>IF(ISNUMBER(SEARCH("®",N1019)),"MARCA/INNOVADOR","GENERICO")</f>
        <v>GENERICO</v>
      </c>
      <c r="AS1019">
        <f ca="1">IF(AE1019&gt;100,RANDBETWEEN(500,5000),IF(AND(AE1019&gt;=10,AE1019&lt;=100),RANDBETWEEN(100,1000),RANDBETWEEN(10,200)))</f>
        <v>1479</v>
      </c>
      <c r="AT1019">
        <f t="shared" ca="1" si="77"/>
        <v>266</v>
      </c>
      <c r="AU1019">
        <f ca="1">INT(AS1019*RANDBETWEEN(120,200)/100)</f>
        <v>2898</v>
      </c>
      <c r="AV1019" s="2">
        <f ca="1">IF(LEFT(Y1019,1)="L",RANDBETWEEN(500000,5000000),IF(LEFT(Y1019,1)="C",RANDBETWEEN(5000,50000),IF(LEFT(Y1019,1)="N",RANDBETWEEN(10000,150000),IF(LEFT(Y1019,1)="J",RANDBETWEEN(8000,200000),RANDBETWEEN(5000,100000)))))</f>
        <v>29192</v>
      </c>
      <c r="AW1019" s="2">
        <f ca="1">INT(AV1019*RANDBETWEEN(30,60)/100)</f>
        <v>9049</v>
      </c>
      <c r="AX1019">
        <f ca="1">IF(Z1019="ORAL",RANDBETWEEN(1000,10000),IF(OR(Z1019="INTRAVENOSA",Z1019="INTRAMUSCULAR"),RANDBETWEEN(100,2000),IF(OR(Z1019="OFTÁLMICA",Z1019="TOPICA (EXTERNA)"),RANDBETWEEN(200,3000),RANDBETWEEN(100,1500))))</f>
        <v>2462</v>
      </c>
      <c r="AY1019" s="2">
        <f ca="1">INT(AV1019*RANDBETWEEN(90,130)/100)</f>
        <v>30359</v>
      </c>
      <c r="AZ1019" t="str">
        <f t="shared" ca="1" si="78"/>
        <v>21.3%</v>
      </c>
      <c r="BA1019" t="str">
        <f t="shared" ca="1" si="79"/>
        <v>MEDIO</v>
      </c>
    </row>
    <row r="1020" spans="4:53" x14ac:dyDescent="0.35">
      <c r="D1020" t="s">
        <v>6209</v>
      </c>
      <c r="E1020" s="1">
        <v>42052</v>
      </c>
      <c r="F1020" t="s">
        <v>6210</v>
      </c>
      <c r="G1020" t="s">
        <v>108</v>
      </c>
      <c r="H1020" t="s">
        <v>146</v>
      </c>
      <c r="I1020">
        <v>20071262</v>
      </c>
      <c r="J1020" t="s">
        <v>28</v>
      </c>
      <c r="K1020">
        <v>47</v>
      </c>
      <c r="L1020" t="s">
        <v>27</v>
      </c>
      <c r="M1020" t="s">
        <v>6211</v>
      </c>
      <c r="N1020" t="s">
        <v>6212</v>
      </c>
      <c r="O1020" t="s">
        <v>6213</v>
      </c>
      <c r="P1020" t="s">
        <v>97</v>
      </c>
      <c r="Q1020" s="1">
        <v>42412</v>
      </c>
      <c r="R1020" t="s">
        <v>78</v>
      </c>
      <c r="S1020" t="s">
        <v>27</v>
      </c>
      <c r="T1020" t="s">
        <v>146</v>
      </c>
      <c r="U1020" t="s">
        <v>247</v>
      </c>
      <c r="V1020" t="s">
        <v>1015</v>
      </c>
      <c r="W1020" t="s">
        <v>163</v>
      </c>
      <c r="X1020">
        <v>20071262</v>
      </c>
      <c r="Y1020" t="s">
        <v>1016</v>
      </c>
      <c r="Z1020" t="s">
        <v>119</v>
      </c>
      <c r="AA1020" t="s">
        <v>24</v>
      </c>
      <c r="AB1020" t="s">
        <v>120</v>
      </c>
      <c r="AC1020" t="s">
        <v>25</v>
      </c>
      <c r="AD1020" t="s">
        <v>155</v>
      </c>
      <c r="AE1020">
        <v>4</v>
      </c>
      <c r="AF1020" t="s">
        <v>27</v>
      </c>
      <c r="AG1020" t="s">
        <v>26</v>
      </c>
      <c r="AH1020" t="s">
        <v>1726</v>
      </c>
      <c r="AI1020" t="str">
        <f t="shared" si="75"/>
        <v>NO</v>
      </c>
      <c r="AJ1020" t="str">
        <f t="shared" si="76"/>
        <v>TECNOFAR TQ</v>
      </c>
      <c r="AK1020" t="str">
        <f>IF(ISNUMBER(SEARCH("FABRICANTE",AC1020)),"FABRICANTE",IF(ISNUMBER(SEARCH("IMPORTADOR",AC1020)),"IMPORTADOR","OTRO"))</f>
        <v>FABRICANTE</v>
      </c>
      <c r="AL1020" t="str">
        <f>IF(LEFT(Y1020,1)="A","Sistema digestivo",IF(LEFT(Y1020,1)="B","Sangre",IF(LEFT(Y1020,1)="C","Cardiovascular",IF(LEFT(Y1020,1)="D","Dermatológico",IF(LEFT(Y1020,1)="G","Genitourinario",IF(LEFT(Y1020,1)="H","Hormonal",IF(LEFT(Y1020,1)="J","Antiinfecciosos",IF(LEFT(Y1020,1)="L","Oncológicos",IF(LEFT(Y1020,1)="M","Musculoesquelético",IF(LEFT(Y1020,1)="N","Sistema nervioso",IF(LEFT(Y1020,1)="R","Respiratorio",IF(LEFT(Y1020,1)="S","Oftálmico",IF(LEFT(Y1020,1)="V","Varios","OTRO")))))))))))))</f>
        <v>Sistema digestivo</v>
      </c>
      <c r="AM1020" t="str">
        <f>IF(AG1020="Vigente","ACTIVO",IF(ISNUMBER(SEARCH("Inactivo",J1020)),"INACTIVO","REVISAR"))</f>
        <v>ACTIVO</v>
      </c>
      <c r="AN1020" t="str">
        <f ca="1">IF(OR(AF1020="",AF1020="null"),"",ROUND((AF1020-TODAY())/365.25,2))</f>
        <v/>
      </c>
      <c r="AO1020" t="str">
        <f ca="1">IF(AND(AG1020="Vigente",OR(AF1020="",AF1020="null",AF1020&gt;TODAY())),"SI",IF(AND(NOT(OR(AF1020="",AF1020="null")),AF1020&lt;=TODAY()),"NO",IF(AG1020="Vigente","SI","DESCONOCIDO")))</f>
        <v>SI</v>
      </c>
      <c r="AP1020" t="str">
        <f>IF(AND(ISNUMBER(SEARCH("IMPORTAR",AA1020)),ISNUMBER(SEARCH("FABRICAR",AA1020))),"MIXTO",IF(ISNUMBER(SEARCH("IMPORTAR",AA1020)),"IMPORTADO",IF(ISNUMBER(SEARCH("FABRICAR",AA1020)),"LOCAL","OTRO")))</f>
        <v>LOCAL</v>
      </c>
      <c r="AQ1020" t="str">
        <f>IF(AD1020="Si","SI",IF(AD1020="No","NO",""))</f>
        <v>SI</v>
      </c>
      <c r="AR1020" t="str">
        <f>IF(ISNUMBER(SEARCH("®",N1020)),"MARCA/INNOVADOR","GENERICO")</f>
        <v>GENERICO</v>
      </c>
      <c r="AS1020">
        <f ca="1">IF(AE1020&gt;100,RANDBETWEEN(500,5000),IF(AND(AE1020&gt;=10,AE1020&lt;=100),RANDBETWEEN(100,1000),RANDBETWEEN(10,200)))</f>
        <v>106</v>
      </c>
      <c r="AT1020">
        <f t="shared" ca="1" si="77"/>
        <v>27</v>
      </c>
      <c r="AU1020">
        <f ca="1">INT(AS1020*RANDBETWEEN(120,200)/100)</f>
        <v>193</v>
      </c>
      <c r="AV1020" s="2">
        <f ca="1">IF(LEFT(Y1020,1)="L",RANDBETWEEN(500000,5000000),IF(LEFT(Y1020,1)="C",RANDBETWEEN(5000,50000),IF(LEFT(Y1020,1)="N",RANDBETWEEN(10000,150000),IF(LEFT(Y1020,1)="J",RANDBETWEEN(8000,200000),RANDBETWEEN(5000,100000)))))</f>
        <v>61551</v>
      </c>
      <c r="AW1020" s="2">
        <f ca="1">INT(AV1020*RANDBETWEEN(30,60)/100)</f>
        <v>25851</v>
      </c>
      <c r="AX1020">
        <f ca="1">IF(Z1020="ORAL",RANDBETWEEN(1000,10000),IF(OR(Z1020="INTRAVENOSA",Z1020="INTRAMUSCULAR"),RANDBETWEEN(100,2000),IF(OR(Z1020="OFTÁLMICA",Z1020="TOPICA (EXTERNA)"),RANDBETWEEN(200,3000),RANDBETWEEN(100,1500))))</f>
        <v>3793</v>
      </c>
      <c r="AY1020" s="2">
        <f ca="1">INT(AV1020*RANDBETWEEN(90,130)/100)</f>
        <v>80016</v>
      </c>
      <c r="AZ1020" t="str">
        <f t="shared" ca="1" si="78"/>
        <v>15.6%</v>
      </c>
      <c r="BA1020" t="str">
        <f t="shared" ca="1" si="79"/>
        <v>BAJO</v>
      </c>
    </row>
    <row r="1021" spans="4:53" x14ac:dyDescent="0.35">
      <c r="D1021" t="s">
        <v>6214</v>
      </c>
      <c r="E1021" s="1">
        <v>41344</v>
      </c>
      <c r="F1021" t="s">
        <v>6215</v>
      </c>
      <c r="G1021" t="s">
        <v>108</v>
      </c>
      <c r="H1021" t="s">
        <v>1426</v>
      </c>
      <c r="I1021">
        <v>20049457</v>
      </c>
      <c r="J1021" t="s">
        <v>28</v>
      </c>
      <c r="K1021">
        <v>8</v>
      </c>
      <c r="L1021" t="s">
        <v>27</v>
      </c>
      <c r="M1021" t="s">
        <v>6216</v>
      </c>
      <c r="N1021" t="s">
        <v>6217</v>
      </c>
      <c r="O1021" t="s">
        <v>6218</v>
      </c>
      <c r="P1021" t="s">
        <v>33</v>
      </c>
      <c r="Q1021" s="1">
        <v>41330</v>
      </c>
      <c r="R1021" t="s">
        <v>200</v>
      </c>
      <c r="S1021" t="s">
        <v>27</v>
      </c>
      <c r="T1021" t="s">
        <v>947</v>
      </c>
      <c r="U1021" t="s">
        <v>115</v>
      </c>
      <c r="V1021" t="s">
        <v>2437</v>
      </c>
      <c r="W1021">
        <v>5</v>
      </c>
      <c r="X1021">
        <v>20049457</v>
      </c>
      <c r="Y1021" t="s">
        <v>2438</v>
      </c>
      <c r="Z1021" t="s">
        <v>119</v>
      </c>
      <c r="AA1021" t="s">
        <v>24</v>
      </c>
      <c r="AB1021" t="s">
        <v>120</v>
      </c>
      <c r="AC1021" t="s">
        <v>25</v>
      </c>
      <c r="AD1021" t="s">
        <v>155</v>
      </c>
      <c r="AE1021">
        <v>6</v>
      </c>
      <c r="AF1021" t="s">
        <v>27</v>
      </c>
      <c r="AG1021" t="s">
        <v>26</v>
      </c>
      <c r="AH1021" t="s">
        <v>6850</v>
      </c>
      <c r="AI1021" t="str">
        <f t="shared" si="75"/>
        <v>SI</v>
      </c>
      <c r="AJ1021" t="str">
        <f t="shared" si="76"/>
        <v>CLOSTER PHARMA</v>
      </c>
      <c r="AK1021" t="str">
        <f>IF(ISNUMBER(SEARCH("FABRICANTE",AC1021)),"FABRICANTE",IF(ISNUMBER(SEARCH("IMPORTADOR",AC1021)),"IMPORTADOR","OTRO"))</f>
        <v>FABRICANTE</v>
      </c>
      <c r="AL1021" t="str">
        <f>IF(LEFT(Y1021,1)="A","Sistema digestivo",IF(LEFT(Y1021,1)="B","Sangre",IF(LEFT(Y1021,1)="C","Cardiovascular",IF(LEFT(Y1021,1)="D","Dermatológico",IF(LEFT(Y1021,1)="G","Genitourinario",IF(LEFT(Y1021,1)="H","Hormonal",IF(LEFT(Y1021,1)="J","Antiinfecciosos",IF(LEFT(Y1021,1)="L","Oncológicos",IF(LEFT(Y1021,1)="M","Musculoesquelético",IF(LEFT(Y1021,1)="N","Sistema nervioso",IF(LEFT(Y1021,1)="R","Respiratorio",IF(LEFT(Y1021,1)="S","Oftálmico",IF(LEFT(Y1021,1)="V","Varios","OTRO")))))))))))))</f>
        <v>Cardiovascular</v>
      </c>
      <c r="AM1021" t="str">
        <f>IF(AG1021="Vigente","ACTIVO",IF(ISNUMBER(SEARCH("Inactivo",J1021)),"INACTIVO","REVISAR"))</f>
        <v>ACTIVO</v>
      </c>
      <c r="AN1021" t="str">
        <f ca="1">IF(OR(AF1021="",AF1021="null"),"",ROUND((AF1021-TODAY())/365.25,2))</f>
        <v/>
      </c>
      <c r="AO1021" t="str">
        <f ca="1">IF(AND(AG1021="Vigente",OR(AF1021="",AF1021="null",AF1021&gt;TODAY())),"SI",IF(AND(NOT(OR(AF1021="",AF1021="null")),AF1021&lt;=TODAY()),"NO",IF(AG1021="Vigente","SI","DESCONOCIDO")))</f>
        <v>SI</v>
      </c>
      <c r="AP1021" t="str">
        <f>IF(AND(ISNUMBER(SEARCH("IMPORTAR",AA1021)),ISNUMBER(SEARCH("FABRICAR",AA1021))),"MIXTO",IF(ISNUMBER(SEARCH("IMPORTAR",AA1021)),"IMPORTADO",IF(ISNUMBER(SEARCH("FABRICAR",AA1021)),"LOCAL","OTRO")))</f>
        <v>LOCAL</v>
      </c>
      <c r="AQ1021" t="str">
        <f>IF(AD1021="Si","SI",IF(AD1021="No","NO",""))</f>
        <v>SI</v>
      </c>
      <c r="AR1021" t="str">
        <f>IF(ISNUMBER(SEARCH("®",N1021)),"MARCA/INNOVADOR","GENERICO")</f>
        <v>MARCA/INNOVADOR</v>
      </c>
      <c r="AS1021">
        <f ca="1">IF(AE1021&gt;100,RANDBETWEEN(500,5000),IF(AND(AE1021&gt;=10,AE1021&lt;=100),RANDBETWEEN(100,1000),RANDBETWEEN(10,200)))</f>
        <v>129</v>
      </c>
      <c r="AT1021">
        <f t="shared" ca="1" si="77"/>
        <v>29</v>
      </c>
      <c r="AU1021">
        <f ca="1">INT(AS1021*RANDBETWEEN(120,200)/100)</f>
        <v>233</v>
      </c>
      <c r="AV1021" s="2">
        <f ca="1">IF(LEFT(Y1021,1)="L",RANDBETWEEN(500000,5000000),IF(LEFT(Y1021,1)="C",RANDBETWEEN(5000,50000),IF(LEFT(Y1021,1)="N",RANDBETWEEN(10000,150000),IF(LEFT(Y1021,1)="J",RANDBETWEEN(8000,200000),RANDBETWEEN(5000,100000)))))</f>
        <v>10060</v>
      </c>
      <c r="AW1021" s="2">
        <f ca="1">INT(AV1021*RANDBETWEEN(30,60)/100)</f>
        <v>4024</v>
      </c>
      <c r="AX1021">
        <f ca="1">IF(Z1021="ORAL",RANDBETWEEN(1000,10000),IF(OR(Z1021="INTRAVENOSA",Z1021="INTRAMUSCULAR"),RANDBETWEEN(100,2000),IF(OR(Z1021="OFTÁLMICA",Z1021="TOPICA (EXTERNA)"),RANDBETWEEN(200,3000),RANDBETWEEN(100,1500))))</f>
        <v>1594</v>
      </c>
      <c r="AY1021" s="2">
        <f ca="1">INT(AV1021*RANDBETWEEN(90,130)/100)</f>
        <v>12373</v>
      </c>
      <c r="AZ1021" t="str">
        <f t="shared" ca="1" si="78"/>
        <v>21.6%</v>
      </c>
      <c r="BA1021" t="str">
        <f t="shared" ca="1" si="79"/>
        <v>BAJO</v>
      </c>
    </row>
    <row r="1022" spans="4:53" x14ac:dyDescent="0.35">
      <c r="D1022" t="s">
        <v>6219</v>
      </c>
      <c r="E1022" s="1">
        <v>41942</v>
      </c>
      <c r="F1022" t="s">
        <v>6220</v>
      </c>
      <c r="G1022" t="s">
        <v>108</v>
      </c>
      <c r="H1022" t="s">
        <v>114</v>
      </c>
      <c r="I1022">
        <v>20068385</v>
      </c>
      <c r="J1022" t="s">
        <v>28</v>
      </c>
      <c r="K1022">
        <v>6</v>
      </c>
      <c r="L1022" t="s">
        <v>27</v>
      </c>
      <c r="M1022" t="s">
        <v>1610</v>
      </c>
      <c r="N1022" t="s">
        <v>1611</v>
      </c>
      <c r="O1022" t="s">
        <v>1612</v>
      </c>
      <c r="P1022" t="s">
        <v>97</v>
      </c>
      <c r="Q1022" s="1">
        <v>41789</v>
      </c>
      <c r="R1022" t="s">
        <v>37</v>
      </c>
      <c r="S1022" t="s">
        <v>27</v>
      </c>
      <c r="T1022" t="s">
        <v>114</v>
      </c>
      <c r="U1022" t="s">
        <v>115</v>
      </c>
      <c r="V1022" t="s">
        <v>1609</v>
      </c>
      <c r="W1022">
        <v>5</v>
      </c>
      <c r="X1022">
        <v>20068385</v>
      </c>
      <c r="Y1022" t="s">
        <v>1614</v>
      </c>
      <c r="Z1022" t="s">
        <v>119</v>
      </c>
      <c r="AA1022" t="s">
        <v>165</v>
      </c>
      <c r="AB1022" t="s">
        <v>120</v>
      </c>
      <c r="AC1022" t="s">
        <v>38</v>
      </c>
      <c r="AD1022" t="s">
        <v>121</v>
      </c>
      <c r="AE1022">
        <v>100</v>
      </c>
      <c r="AF1022" t="s">
        <v>27</v>
      </c>
      <c r="AG1022" t="s">
        <v>26</v>
      </c>
      <c r="AH1022" t="s">
        <v>3846</v>
      </c>
      <c r="AI1022" t="str">
        <f t="shared" si="75"/>
        <v>NO</v>
      </c>
      <c r="AJ1022" t="str">
        <f t="shared" si="76"/>
        <v>LABORATORIOS LEGRAND</v>
      </c>
      <c r="AK1022" t="str">
        <f>IF(ISNUMBER(SEARCH("FABRICANTE",AC1022)),"FABRICANTE",IF(ISNUMBER(SEARCH("IMPORTADOR",AC1022)),"IMPORTADOR","OTRO"))</f>
        <v>IMPORTADOR</v>
      </c>
      <c r="AL1022" t="str">
        <f>IF(LEFT(Y1022,1)="A","Sistema digestivo",IF(LEFT(Y1022,1)="B","Sangre",IF(LEFT(Y1022,1)="C","Cardiovascular",IF(LEFT(Y1022,1)="D","Dermatológico",IF(LEFT(Y1022,1)="G","Genitourinario",IF(LEFT(Y1022,1)="H","Hormonal",IF(LEFT(Y1022,1)="J","Antiinfecciosos",IF(LEFT(Y1022,1)="L","Oncológicos",IF(LEFT(Y1022,1)="M","Musculoesquelético",IF(LEFT(Y1022,1)="N","Sistema nervioso",IF(LEFT(Y1022,1)="R","Respiratorio",IF(LEFT(Y1022,1)="S","Oftálmico",IF(LEFT(Y1022,1)="V","Varios","OTRO")))))))))))))</f>
        <v>Cardiovascular</v>
      </c>
      <c r="AM1022" t="str">
        <f>IF(AG1022="Vigente","ACTIVO",IF(ISNUMBER(SEARCH("Inactivo",J1022)),"INACTIVO","REVISAR"))</f>
        <v>ACTIVO</v>
      </c>
      <c r="AN1022" t="str">
        <f ca="1">IF(OR(AF1022="",AF1022="null"),"",ROUND((AF1022-TODAY())/365.25,2))</f>
        <v/>
      </c>
      <c r="AO1022" t="str">
        <f ca="1">IF(AND(AG1022="Vigente",OR(AF1022="",AF1022="null",AF1022&gt;TODAY())),"SI",IF(AND(NOT(OR(AF1022="",AF1022="null")),AF1022&lt;=TODAY()),"NO",IF(AG1022="Vigente","SI","DESCONOCIDO")))</f>
        <v>SI</v>
      </c>
      <c r="AP1022" t="str">
        <f>IF(AND(ISNUMBER(SEARCH("IMPORTAR",AA1022)),ISNUMBER(SEARCH("FABRICAR",AA1022))),"MIXTO",IF(ISNUMBER(SEARCH("IMPORTAR",AA1022)),"IMPORTADO",IF(ISNUMBER(SEARCH("FABRICAR",AA1022)),"LOCAL","OTRO")))</f>
        <v>IMPORTADO</v>
      </c>
      <c r="AQ1022" t="str">
        <f>IF(AD1022="Si","SI",IF(AD1022="No","NO",""))</f>
        <v>NO</v>
      </c>
      <c r="AR1022" t="str">
        <f>IF(ISNUMBER(SEARCH("®",N1022)),"MARCA/INNOVADOR","GENERICO")</f>
        <v>GENERICO</v>
      </c>
      <c r="AS1022">
        <f ca="1">IF(AE1022&gt;100,RANDBETWEEN(500,5000),IF(AND(AE1022&gt;=10,AE1022&lt;=100),RANDBETWEEN(100,1000),RANDBETWEEN(10,200)))</f>
        <v>689</v>
      </c>
      <c r="AT1022">
        <f t="shared" ca="1" si="77"/>
        <v>89</v>
      </c>
      <c r="AU1022">
        <f ca="1">INT(AS1022*RANDBETWEEN(120,200)/100)</f>
        <v>1378</v>
      </c>
      <c r="AV1022" s="2">
        <f ca="1">IF(LEFT(Y1022,1)="L",RANDBETWEEN(500000,5000000),IF(LEFT(Y1022,1)="C",RANDBETWEEN(5000,50000),IF(LEFT(Y1022,1)="N",RANDBETWEEN(10000,150000),IF(LEFT(Y1022,1)="J",RANDBETWEEN(8000,200000),RANDBETWEEN(5000,100000)))))</f>
        <v>18178</v>
      </c>
      <c r="AW1022" s="2">
        <f ca="1">INT(AV1022*RANDBETWEEN(30,60)/100)</f>
        <v>5453</v>
      </c>
      <c r="AX1022">
        <f ca="1">IF(Z1022="ORAL",RANDBETWEEN(1000,10000),IF(OR(Z1022="INTRAVENOSA",Z1022="INTRAMUSCULAR"),RANDBETWEEN(100,2000),IF(OR(Z1022="OFTÁLMICA",Z1022="TOPICA (EXTERNA)"),RANDBETWEEN(200,3000),RANDBETWEEN(100,1500))))</f>
        <v>5600</v>
      </c>
      <c r="AY1022" s="2">
        <f ca="1">INT(AV1022*RANDBETWEEN(90,130)/100)</f>
        <v>21995</v>
      </c>
      <c r="AZ1022" t="str">
        <f t="shared" ca="1" si="78"/>
        <v>22%</v>
      </c>
      <c r="BA1022" t="str">
        <f t="shared" ca="1" si="79"/>
        <v>BAJO</v>
      </c>
    </row>
    <row r="1023" spans="4:53" x14ac:dyDescent="0.35">
      <c r="D1023" t="s">
        <v>6221</v>
      </c>
      <c r="E1023" s="1">
        <v>41726</v>
      </c>
      <c r="F1023" t="s">
        <v>490</v>
      </c>
      <c r="G1023" t="s">
        <v>108</v>
      </c>
      <c r="H1023" t="s">
        <v>1943</v>
      </c>
      <c r="I1023">
        <v>20060800</v>
      </c>
      <c r="J1023" t="s">
        <v>28</v>
      </c>
      <c r="K1023">
        <v>8</v>
      </c>
      <c r="L1023" t="s">
        <v>27</v>
      </c>
      <c r="M1023" t="s">
        <v>6222</v>
      </c>
      <c r="N1023" t="s">
        <v>6223</v>
      </c>
      <c r="O1023" t="s">
        <v>6224</v>
      </c>
      <c r="P1023" t="s">
        <v>881</v>
      </c>
      <c r="Q1023" s="1">
        <v>41957</v>
      </c>
      <c r="R1023" t="s">
        <v>67</v>
      </c>
      <c r="S1023" t="s">
        <v>27</v>
      </c>
      <c r="T1023" t="s">
        <v>6225</v>
      </c>
      <c r="U1023" t="s">
        <v>247</v>
      </c>
      <c r="V1023" t="s">
        <v>6226</v>
      </c>
      <c r="W1023" t="s">
        <v>3675</v>
      </c>
      <c r="X1023">
        <v>20060800</v>
      </c>
      <c r="Y1023" t="s">
        <v>6227</v>
      </c>
      <c r="Z1023" t="s">
        <v>119</v>
      </c>
      <c r="AA1023" t="s">
        <v>24</v>
      </c>
      <c r="AB1023" t="s">
        <v>250</v>
      </c>
      <c r="AC1023" t="s">
        <v>25</v>
      </c>
      <c r="AD1023" t="s">
        <v>121</v>
      </c>
      <c r="AE1023">
        <v>1</v>
      </c>
      <c r="AF1023" t="s">
        <v>27</v>
      </c>
      <c r="AG1023" t="s">
        <v>26</v>
      </c>
      <c r="AH1023" t="s">
        <v>6732</v>
      </c>
      <c r="AI1023" t="str">
        <f t="shared" si="75"/>
        <v>NO</v>
      </c>
      <c r="AJ1023" t="str">
        <f t="shared" si="76"/>
        <v>BIONUTREC</v>
      </c>
      <c r="AK1023" t="str">
        <f>IF(ISNUMBER(SEARCH("FABRICANTE",AC1023)),"FABRICANTE",IF(ISNUMBER(SEARCH("IMPORTADOR",AC1023)),"IMPORTADOR","OTRO"))</f>
        <v>FABRICANTE</v>
      </c>
      <c r="AL1023" t="str">
        <f>IF(LEFT(Y1023,1)="A","Sistema digestivo",IF(LEFT(Y1023,1)="B","Sangre",IF(LEFT(Y1023,1)="C","Cardiovascular",IF(LEFT(Y1023,1)="D","Dermatológico",IF(LEFT(Y1023,1)="G","Genitourinario",IF(LEFT(Y1023,1)="H","Hormonal",IF(LEFT(Y1023,1)="J","Antiinfecciosos",IF(LEFT(Y1023,1)="L","Oncológicos",IF(LEFT(Y1023,1)="M","Musculoesquelético",IF(LEFT(Y1023,1)="N","Sistema nervioso",IF(LEFT(Y1023,1)="R","Respiratorio",IF(LEFT(Y1023,1)="S","Oftálmico",IF(LEFT(Y1023,1)="V","Varios","OTRO")))))))))))))</f>
        <v>Respiratorio</v>
      </c>
      <c r="AM1023" t="str">
        <f>IF(AG1023="Vigente","ACTIVO",IF(ISNUMBER(SEARCH("Inactivo",J1023)),"INACTIVO","REVISAR"))</f>
        <v>ACTIVO</v>
      </c>
      <c r="AN1023" t="str">
        <f ca="1">IF(OR(AF1023="",AF1023="null"),"",ROUND((AF1023-TODAY())/365.25,2))</f>
        <v/>
      </c>
      <c r="AO1023" t="str">
        <f ca="1">IF(AND(AG1023="Vigente",OR(AF1023="",AF1023="null",AF1023&gt;TODAY())),"SI",IF(AND(NOT(OR(AF1023="",AF1023="null")),AF1023&lt;=TODAY()),"NO",IF(AG1023="Vigente","SI","DESCONOCIDO")))</f>
        <v>SI</v>
      </c>
      <c r="AP1023" t="str">
        <f>IF(AND(ISNUMBER(SEARCH("IMPORTAR",AA1023)),ISNUMBER(SEARCH("FABRICAR",AA1023))),"MIXTO",IF(ISNUMBER(SEARCH("IMPORTAR",AA1023)),"IMPORTADO",IF(ISNUMBER(SEARCH("FABRICAR",AA1023)),"LOCAL","OTRO")))</f>
        <v>LOCAL</v>
      </c>
      <c r="AQ1023" t="str">
        <f>IF(AD1023="Si","SI",IF(AD1023="No","NO",""))</f>
        <v>NO</v>
      </c>
      <c r="AR1023" t="str">
        <f>IF(ISNUMBER(SEARCH("®",N1023)),"MARCA/INNOVADOR","GENERICO")</f>
        <v>MARCA/INNOVADOR</v>
      </c>
      <c r="AS1023">
        <f ca="1">IF(AE1023&gt;100,RANDBETWEEN(500,5000),IF(AND(AE1023&gt;=10,AE1023&lt;=100),RANDBETWEEN(100,1000),RANDBETWEEN(10,200)))</f>
        <v>163</v>
      </c>
      <c r="AT1023">
        <f t="shared" ca="1" si="77"/>
        <v>48</v>
      </c>
      <c r="AU1023">
        <f ca="1">INT(AS1023*RANDBETWEEN(120,200)/100)</f>
        <v>267</v>
      </c>
      <c r="AV1023" s="2">
        <f ca="1">IF(LEFT(Y1023,1)="L",RANDBETWEEN(500000,5000000),IF(LEFT(Y1023,1)="C",RANDBETWEEN(5000,50000),IF(LEFT(Y1023,1)="N",RANDBETWEEN(10000,150000),IF(LEFT(Y1023,1)="J",RANDBETWEEN(8000,200000),RANDBETWEEN(5000,100000)))))</f>
        <v>16929</v>
      </c>
      <c r="AW1023" s="2">
        <f ca="1">INT(AV1023*RANDBETWEEN(30,60)/100)</f>
        <v>8972</v>
      </c>
      <c r="AX1023">
        <f ca="1">IF(Z1023="ORAL",RANDBETWEEN(1000,10000),IF(OR(Z1023="INTRAVENOSA",Z1023="INTRAMUSCULAR"),RANDBETWEEN(100,2000),IF(OR(Z1023="OFTÁLMICA",Z1023="TOPICA (EXTERNA)"),RANDBETWEEN(200,3000),RANDBETWEEN(100,1500))))</f>
        <v>2760</v>
      </c>
      <c r="AY1023" s="2">
        <f ca="1">INT(AV1023*RANDBETWEEN(90,130)/100)</f>
        <v>20822</v>
      </c>
      <c r="AZ1023" t="str">
        <f t="shared" ca="1" si="78"/>
        <v>23.5%</v>
      </c>
      <c r="BA1023" t="str">
        <f t="shared" ca="1" si="79"/>
        <v>BAJO</v>
      </c>
    </row>
    <row r="1024" spans="4:53" x14ac:dyDescent="0.35">
      <c r="D1024" t="s">
        <v>6228</v>
      </c>
      <c r="E1024" s="1">
        <v>34901</v>
      </c>
      <c r="F1024" t="s">
        <v>2808</v>
      </c>
      <c r="G1024" t="s">
        <v>108</v>
      </c>
      <c r="H1024" t="s">
        <v>549</v>
      </c>
      <c r="I1024">
        <v>24958</v>
      </c>
      <c r="J1024" t="s">
        <v>28</v>
      </c>
      <c r="K1024">
        <v>5</v>
      </c>
      <c r="L1024" t="s">
        <v>27</v>
      </c>
      <c r="M1024" t="s">
        <v>2166</v>
      </c>
      <c r="N1024" t="s">
        <v>2167</v>
      </c>
      <c r="O1024" t="s">
        <v>6229</v>
      </c>
      <c r="P1024" t="s">
        <v>2169</v>
      </c>
      <c r="Q1024" s="1">
        <v>45456</v>
      </c>
      <c r="R1024" t="s">
        <v>50</v>
      </c>
      <c r="S1024" t="s">
        <v>27</v>
      </c>
      <c r="T1024" t="s">
        <v>549</v>
      </c>
      <c r="U1024" t="s">
        <v>115</v>
      </c>
      <c r="V1024" t="s">
        <v>554</v>
      </c>
      <c r="W1024">
        <v>500</v>
      </c>
      <c r="X1024">
        <v>24958</v>
      </c>
      <c r="Y1024" t="s">
        <v>556</v>
      </c>
      <c r="Z1024" t="s">
        <v>260</v>
      </c>
      <c r="AA1024" t="s">
        <v>24</v>
      </c>
      <c r="AB1024" t="s">
        <v>250</v>
      </c>
      <c r="AC1024" t="s">
        <v>25</v>
      </c>
      <c r="AD1024" t="s">
        <v>121</v>
      </c>
      <c r="AE1024">
        <v>500</v>
      </c>
      <c r="AF1024" t="s">
        <v>27</v>
      </c>
      <c r="AG1024" t="s">
        <v>26</v>
      </c>
      <c r="AH1024" t="s">
        <v>6658</v>
      </c>
      <c r="AI1024" t="str">
        <f t="shared" si="75"/>
        <v>NO</v>
      </c>
      <c r="AJ1024" t="str">
        <f t="shared" si="76"/>
        <v>LABORATORIOS BAXTER</v>
      </c>
      <c r="AK1024" t="str">
        <f>IF(ISNUMBER(SEARCH("FABRICANTE",AC1024)),"FABRICANTE",IF(ISNUMBER(SEARCH("IMPORTADOR",AC1024)),"IMPORTADOR","OTRO"))</f>
        <v>FABRICANTE</v>
      </c>
      <c r="AL1024" t="str">
        <f>IF(LEFT(Y1024,1)="A","Sistema digestivo",IF(LEFT(Y1024,1)="B","Sangre",IF(LEFT(Y1024,1)="C","Cardiovascular",IF(LEFT(Y1024,1)="D","Dermatológico",IF(LEFT(Y1024,1)="G","Genitourinario",IF(LEFT(Y1024,1)="H","Hormonal",IF(LEFT(Y1024,1)="J","Antiinfecciosos",IF(LEFT(Y1024,1)="L","Oncológicos",IF(LEFT(Y1024,1)="M","Musculoesquelético",IF(LEFT(Y1024,1)="N","Sistema nervioso",IF(LEFT(Y1024,1)="R","Respiratorio",IF(LEFT(Y1024,1)="S","Oftálmico",IF(LEFT(Y1024,1)="V","Varios","OTRO")))))))))))))</f>
        <v>Sangre</v>
      </c>
      <c r="AM1024" t="str">
        <f>IF(AG1024="Vigente","ACTIVO",IF(ISNUMBER(SEARCH("Inactivo",J1024)),"INACTIVO","REVISAR"))</f>
        <v>ACTIVO</v>
      </c>
      <c r="AN1024" t="str">
        <f ca="1">IF(OR(AF1024="",AF1024="null"),"",ROUND((AF1024-TODAY())/365.25,2))</f>
        <v/>
      </c>
      <c r="AO1024" t="str">
        <f ca="1">IF(AND(AG1024="Vigente",OR(AF1024="",AF1024="null",AF1024&gt;TODAY())),"SI",IF(AND(NOT(OR(AF1024="",AF1024="null")),AF1024&lt;=TODAY()),"NO",IF(AG1024="Vigente","SI","DESCONOCIDO")))</f>
        <v>SI</v>
      </c>
      <c r="AP1024" t="str">
        <f>IF(AND(ISNUMBER(SEARCH("IMPORTAR",AA1024)),ISNUMBER(SEARCH("FABRICAR",AA1024))),"MIXTO",IF(ISNUMBER(SEARCH("IMPORTAR",AA1024)),"IMPORTADO",IF(ISNUMBER(SEARCH("FABRICAR",AA1024)),"LOCAL","OTRO")))</f>
        <v>LOCAL</v>
      </c>
      <c r="AQ1024" t="str">
        <f>IF(AD1024="Si","SI",IF(AD1024="No","NO",""))</f>
        <v>NO</v>
      </c>
      <c r="AR1024" t="str">
        <f>IF(ISNUMBER(SEARCH("®",N1024)),"MARCA/INNOVADOR","GENERICO")</f>
        <v>GENERICO</v>
      </c>
      <c r="AS1024">
        <f ca="1">IF(AE1024&gt;100,RANDBETWEEN(500,5000),IF(AND(AE1024&gt;=10,AE1024&lt;=100),RANDBETWEEN(100,1000),RANDBETWEEN(10,200)))</f>
        <v>1283</v>
      </c>
      <c r="AT1024">
        <f t="shared" ca="1" si="77"/>
        <v>384</v>
      </c>
      <c r="AU1024">
        <f ca="1">INT(AS1024*RANDBETWEEN(120,200)/100)</f>
        <v>1590</v>
      </c>
      <c r="AV1024" s="2">
        <f ca="1">IF(LEFT(Y1024,1)="L",RANDBETWEEN(500000,5000000),IF(LEFT(Y1024,1)="C",RANDBETWEEN(5000,50000),IF(LEFT(Y1024,1)="N",RANDBETWEEN(10000,150000),IF(LEFT(Y1024,1)="J",RANDBETWEEN(8000,200000),RANDBETWEEN(5000,100000)))))</f>
        <v>50314</v>
      </c>
      <c r="AW1024" s="2">
        <f ca="1">INT(AV1024*RANDBETWEEN(30,60)/100)</f>
        <v>25660</v>
      </c>
      <c r="AX1024">
        <f ca="1">IF(Z1024="ORAL",RANDBETWEEN(1000,10000),IF(OR(Z1024="INTRAVENOSA",Z1024="INTRAMUSCULAR"),RANDBETWEEN(100,2000),IF(OR(Z1024="OFTÁLMICA",Z1024="TOPICA (EXTERNA)"),RANDBETWEEN(200,3000),RANDBETWEEN(100,1500))))</f>
        <v>1408</v>
      </c>
      <c r="AY1024" s="2">
        <f ca="1">INT(AV1024*RANDBETWEEN(90,130)/100)</f>
        <v>53835</v>
      </c>
      <c r="AZ1024" t="str">
        <f t="shared" ca="1" si="78"/>
        <v>3.7%</v>
      </c>
      <c r="BA1024" t="str">
        <f t="shared" ca="1" si="79"/>
        <v>BAJO</v>
      </c>
    </row>
    <row r="1025" spans="4:53" x14ac:dyDescent="0.35">
      <c r="D1025" t="s">
        <v>6230</v>
      </c>
      <c r="E1025" s="1">
        <v>42741</v>
      </c>
      <c r="F1025" t="s">
        <v>6231</v>
      </c>
      <c r="G1025" t="s">
        <v>108</v>
      </c>
      <c r="H1025" t="s">
        <v>303</v>
      </c>
      <c r="I1025">
        <v>20103603</v>
      </c>
      <c r="J1025" t="s">
        <v>110</v>
      </c>
      <c r="K1025">
        <v>29</v>
      </c>
      <c r="L1025" t="s">
        <v>6232</v>
      </c>
      <c r="M1025" t="s">
        <v>6233</v>
      </c>
      <c r="N1025" t="s">
        <v>6234</v>
      </c>
      <c r="O1025" t="s">
        <v>6235</v>
      </c>
      <c r="P1025" t="s">
        <v>33</v>
      </c>
      <c r="Q1025" s="1">
        <v>42823</v>
      </c>
      <c r="R1025" t="s">
        <v>33</v>
      </c>
      <c r="S1025" s="1">
        <v>45779</v>
      </c>
      <c r="T1025" t="s">
        <v>308</v>
      </c>
      <c r="U1025" t="s">
        <v>115</v>
      </c>
      <c r="V1025" t="s">
        <v>667</v>
      </c>
      <c r="W1025">
        <v>20</v>
      </c>
      <c r="X1025">
        <v>20103603</v>
      </c>
      <c r="Y1025" t="s">
        <v>668</v>
      </c>
      <c r="Z1025" t="s">
        <v>119</v>
      </c>
      <c r="AA1025" t="s">
        <v>24</v>
      </c>
      <c r="AB1025" t="s">
        <v>120</v>
      </c>
      <c r="AC1025" t="s">
        <v>25</v>
      </c>
      <c r="AD1025" t="s">
        <v>121</v>
      </c>
      <c r="AE1025">
        <v>20</v>
      </c>
      <c r="AF1025" t="s">
        <v>27</v>
      </c>
      <c r="AG1025" t="s">
        <v>26</v>
      </c>
      <c r="AH1025" t="s">
        <v>667</v>
      </c>
      <c r="AI1025" t="str">
        <f t="shared" si="75"/>
        <v>SI</v>
      </c>
      <c r="AJ1025" t="str">
        <f t="shared" si="76"/>
        <v>HUMAX PHARMACEUTICAL</v>
      </c>
      <c r="AK1025" t="str">
        <f>IF(ISNUMBER(SEARCH("FABRICANTE",AC1025)),"FABRICANTE",IF(ISNUMBER(SEARCH("IMPORTADOR",AC1025)),"IMPORTADOR","OTRO"))</f>
        <v>FABRICANTE</v>
      </c>
      <c r="AL1025" t="str">
        <f>IF(LEFT(Y1025,1)="A","Sistema digestivo",IF(LEFT(Y1025,1)="B","Sangre",IF(LEFT(Y1025,1)="C","Cardiovascular",IF(LEFT(Y1025,1)="D","Dermatológico",IF(LEFT(Y1025,1)="G","Genitourinario",IF(LEFT(Y1025,1)="H","Hormonal",IF(LEFT(Y1025,1)="J","Antiinfecciosos",IF(LEFT(Y1025,1)="L","Oncológicos",IF(LEFT(Y1025,1)="M","Musculoesquelético",IF(LEFT(Y1025,1)="N","Sistema nervioso",IF(LEFT(Y1025,1)="R","Respiratorio",IF(LEFT(Y1025,1)="S","Oftálmico",IF(LEFT(Y1025,1)="V","Varios","OTRO")))))))))))))</f>
        <v>Cardiovascular</v>
      </c>
      <c r="AM1025" t="str">
        <f>IF(AG1025="Vigente","ACTIVO",IF(ISNUMBER(SEARCH("Inactivo",J1025)),"INACTIVO","REVISAR"))</f>
        <v>ACTIVO</v>
      </c>
      <c r="AN1025" t="str">
        <f ca="1">IF(OR(AF1025="",AF1025="null"),"",ROUND((AF1025-TODAY())/365.25,2))</f>
        <v/>
      </c>
      <c r="AO1025" t="str">
        <f ca="1">IF(AND(AG1025="Vigente",OR(AF1025="",AF1025="null",AF1025&gt;TODAY())),"SI",IF(AND(NOT(OR(AF1025="",AF1025="null")),AF1025&lt;=TODAY()),"NO",IF(AG1025="Vigente","SI","DESCONOCIDO")))</f>
        <v>SI</v>
      </c>
      <c r="AP1025" t="str">
        <f>IF(AND(ISNUMBER(SEARCH("IMPORTAR",AA1025)),ISNUMBER(SEARCH("FABRICAR",AA1025))),"MIXTO",IF(ISNUMBER(SEARCH("IMPORTAR",AA1025)),"IMPORTADO",IF(ISNUMBER(SEARCH("FABRICAR",AA1025)),"LOCAL","OTRO")))</f>
        <v>LOCAL</v>
      </c>
      <c r="AQ1025" t="str">
        <f>IF(AD1025="Si","SI",IF(AD1025="No","NO",""))</f>
        <v>NO</v>
      </c>
      <c r="AR1025" t="str">
        <f>IF(ISNUMBER(SEARCH("®",N1025)),"MARCA/INNOVADOR","GENERICO")</f>
        <v>MARCA/INNOVADOR</v>
      </c>
      <c r="AS1025">
        <f ca="1">IF(AE1025&gt;100,RANDBETWEEN(500,5000),IF(AND(AE1025&gt;=10,AE1025&lt;=100),RANDBETWEEN(100,1000),RANDBETWEEN(10,200)))</f>
        <v>819</v>
      </c>
      <c r="AT1025">
        <f t="shared" ca="1" si="77"/>
        <v>245</v>
      </c>
      <c r="AU1025">
        <f ca="1">INT(AS1025*RANDBETWEEN(120,200)/100)</f>
        <v>1449</v>
      </c>
      <c r="AV1025" s="2">
        <f ca="1">IF(LEFT(Y1025,1)="L",RANDBETWEEN(500000,5000000),IF(LEFT(Y1025,1)="C",RANDBETWEEN(5000,50000),IF(LEFT(Y1025,1)="N",RANDBETWEEN(10000,150000),IF(LEFT(Y1025,1)="J",RANDBETWEEN(8000,200000),RANDBETWEEN(5000,100000)))))</f>
        <v>30864</v>
      </c>
      <c r="AW1025" s="2">
        <f ca="1">INT(AV1025*RANDBETWEEN(30,60)/100)</f>
        <v>13271</v>
      </c>
      <c r="AX1025">
        <f ca="1">IF(Z1025="ORAL",RANDBETWEEN(1000,10000),IF(OR(Z1025="INTRAVENOSA",Z1025="INTRAMUSCULAR"),RANDBETWEEN(100,2000),IF(OR(Z1025="OFTÁLMICA",Z1025="TOPICA (EXTERNA)"),RANDBETWEEN(200,3000),RANDBETWEEN(100,1500))))</f>
        <v>1213</v>
      </c>
      <c r="AY1025" s="2">
        <f ca="1">INT(AV1025*RANDBETWEEN(90,130)/100)</f>
        <v>30246</v>
      </c>
      <c r="AZ1025" t="str">
        <f t="shared" ca="1" si="78"/>
        <v>9.6%</v>
      </c>
      <c r="BA1025" t="str">
        <f t="shared" ca="1" si="79"/>
        <v>ALTO</v>
      </c>
    </row>
    <row r="1026" spans="4:53" x14ac:dyDescent="0.35">
      <c r="D1026" t="s">
        <v>6236</v>
      </c>
      <c r="E1026" s="1">
        <v>43144</v>
      </c>
      <c r="F1026" t="s">
        <v>6237</v>
      </c>
      <c r="G1026" t="s">
        <v>108</v>
      </c>
      <c r="H1026" t="s">
        <v>2468</v>
      </c>
      <c r="I1026">
        <v>20106373</v>
      </c>
      <c r="J1026" t="s">
        <v>28</v>
      </c>
      <c r="K1026">
        <v>1</v>
      </c>
      <c r="L1026" t="s">
        <v>27</v>
      </c>
      <c r="M1026" t="s">
        <v>6238</v>
      </c>
      <c r="N1026" t="s">
        <v>6239</v>
      </c>
      <c r="O1026" t="s">
        <v>6240</v>
      </c>
      <c r="P1026" t="s">
        <v>6241</v>
      </c>
      <c r="Q1026" s="1">
        <v>42782</v>
      </c>
      <c r="R1026" t="s">
        <v>151</v>
      </c>
      <c r="S1026" t="s">
        <v>27</v>
      </c>
      <c r="T1026" t="s">
        <v>2474</v>
      </c>
      <c r="U1026" t="s">
        <v>115</v>
      </c>
      <c r="V1026" t="s">
        <v>152</v>
      </c>
      <c r="W1026">
        <v>5</v>
      </c>
      <c r="X1026">
        <v>20106373</v>
      </c>
      <c r="Y1026" t="s">
        <v>153</v>
      </c>
      <c r="Z1026" t="s">
        <v>154</v>
      </c>
      <c r="AA1026" t="s">
        <v>24</v>
      </c>
      <c r="AB1026" t="s">
        <v>133</v>
      </c>
      <c r="AC1026" t="s">
        <v>25</v>
      </c>
      <c r="AD1026" t="s">
        <v>121</v>
      </c>
      <c r="AE1026">
        <v>1</v>
      </c>
      <c r="AF1026" t="s">
        <v>27</v>
      </c>
      <c r="AG1026" t="s">
        <v>26</v>
      </c>
      <c r="AH1026" t="s">
        <v>6237</v>
      </c>
      <c r="AI1026" t="str">
        <f t="shared" si="75"/>
        <v>NO</v>
      </c>
      <c r="AJ1026" t="str">
        <f t="shared" si="76"/>
        <v>ESPECIALIDADES OFTALMOLOGICAS</v>
      </c>
      <c r="AK1026" t="str">
        <f>IF(ISNUMBER(SEARCH("FABRICANTE",AC1026)),"FABRICANTE",IF(ISNUMBER(SEARCH("IMPORTADOR",AC1026)),"IMPORTADOR","OTRO"))</f>
        <v>FABRICANTE</v>
      </c>
      <c r="AL1026" t="str">
        <f>IF(LEFT(Y1026,1)="A","Sistema digestivo",IF(LEFT(Y1026,1)="B","Sangre",IF(LEFT(Y1026,1)="C","Cardiovascular",IF(LEFT(Y1026,1)="D","Dermatológico",IF(LEFT(Y1026,1)="G","Genitourinario",IF(LEFT(Y1026,1)="H","Hormonal",IF(LEFT(Y1026,1)="J","Antiinfecciosos",IF(LEFT(Y1026,1)="L","Oncológicos",IF(LEFT(Y1026,1)="M","Musculoesquelético",IF(LEFT(Y1026,1)="N","Sistema nervioso",IF(LEFT(Y1026,1)="R","Respiratorio",IF(LEFT(Y1026,1)="S","Oftálmico",IF(LEFT(Y1026,1)="V","Varios","OTRO")))))))))))))</f>
        <v>Oftálmico</v>
      </c>
      <c r="AM1026" t="str">
        <f>IF(AG1026="Vigente","ACTIVO",IF(ISNUMBER(SEARCH("Inactivo",J1026)),"INACTIVO","REVISAR"))</f>
        <v>ACTIVO</v>
      </c>
      <c r="AN1026" t="str">
        <f ca="1">IF(OR(AF1026="",AF1026="null"),"",ROUND((AF1026-TODAY())/365.25,2))</f>
        <v/>
      </c>
      <c r="AO1026" t="str">
        <f ca="1">IF(AND(AG1026="Vigente",OR(AF1026="",AF1026="null",AF1026&gt;TODAY())),"SI",IF(AND(NOT(OR(AF1026="",AF1026="null")),AF1026&lt;=TODAY()),"NO",IF(AG1026="Vigente","SI","DESCONOCIDO")))</f>
        <v>SI</v>
      </c>
      <c r="AP1026" t="str">
        <f>IF(AND(ISNUMBER(SEARCH("IMPORTAR",AA1026)),ISNUMBER(SEARCH("FABRICAR",AA1026))),"MIXTO",IF(ISNUMBER(SEARCH("IMPORTAR",AA1026)),"IMPORTADO",IF(ISNUMBER(SEARCH("FABRICAR",AA1026)),"LOCAL","OTRO")))</f>
        <v>LOCAL</v>
      </c>
      <c r="AQ1026" t="str">
        <f>IF(AD1026="Si","SI",IF(AD1026="No","NO",""))</f>
        <v>NO</v>
      </c>
      <c r="AR1026" t="str">
        <f>IF(ISNUMBER(SEARCH("®",N1026)),"MARCA/INNOVADOR","GENERICO")</f>
        <v>GENERICO</v>
      </c>
      <c r="AS1026">
        <f ca="1">IF(AE1026&gt;100,RANDBETWEEN(500,5000),IF(AND(AE1026&gt;=10,AE1026&lt;=100),RANDBETWEEN(100,1000),RANDBETWEEN(10,200)))</f>
        <v>158</v>
      </c>
      <c r="AT1026">
        <f t="shared" ca="1" si="77"/>
        <v>28</v>
      </c>
      <c r="AU1026">
        <f ca="1">INT(AS1026*RANDBETWEEN(120,200)/100)</f>
        <v>197</v>
      </c>
      <c r="AV1026" s="2">
        <f ca="1">IF(LEFT(Y1026,1)="L",RANDBETWEEN(500000,5000000),IF(LEFT(Y1026,1)="C",RANDBETWEEN(5000,50000),IF(LEFT(Y1026,1)="N",RANDBETWEEN(10000,150000),IF(LEFT(Y1026,1)="J",RANDBETWEEN(8000,200000),RANDBETWEEN(5000,100000)))))</f>
        <v>50474</v>
      </c>
      <c r="AW1026" s="2">
        <f ca="1">INT(AV1026*RANDBETWEEN(30,60)/100)</f>
        <v>22713</v>
      </c>
      <c r="AX1026">
        <f ca="1">IF(Z1026="ORAL",RANDBETWEEN(1000,10000),IF(OR(Z1026="INTRAVENOSA",Z1026="INTRAMUSCULAR"),RANDBETWEEN(100,2000),IF(OR(Z1026="OFTÁLMICA",Z1026="TOPICA (EXTERNA)"),RANDBETWEEN(200,3000),RANDBETWEEN(100,1500))))</f>
        <v>215</v>
      </c>
      <c r="AY1026" s="2">
        <f ca="1">INT(AV1026*RANDBETWEEN(90,130)/100)</f>
        <v>58549</v>
      </c>
      <c r="AZ1026" t="str">
        <f t="shared" ca="1" si="78"/>
        <v>11.2%</v>
      </c>
      <c r="BA1026" t="str">
        <f t="shared" ca="1" si="79"/>
        <v>BAJO</v>
      </c>
    </row>
    <row r="1027" spans="4:53" x14ac:dyDescent="0.35">
      <c r="D1027" t="s">
        <v>6242</v>
      </c>
      <c r="E1027" s="1">
        <v>36161</v>
      </c>
      <c r="F1027" t="s">
        <v>6243</v>
      </c>
      <c r="G1027" t="s">
        <v>108</v>
      </c>
      <c r="H1027" t="s">
        <v>5302</v>
      </c>
      <c r="I1027">
        <v>226433</v>
      </c>
      <c r="J1027" t="s">
        <v>28</v>
      </c>
      <c r="K1027">
        <v>15</v>
      </c>
      <c r="L1027" t="s">
        <v>6244</v>
      </c>
      <c r="M1027" t="s">
        <v>5304</v>
      </c>
      <c r="N1027" t="s">
        <v>5305</v>
      </c>
      <c r="O1027" t="s">
        <v>6245</v>
      </c>
      <c r="P1027" t="s">
        <v>574</v>
      </c>
      <c r="Q1027" s="1">
        <v>44280</v>
      </c>
      <c r="R1027" t="s">
        <v>200</v>
      </c>
      <c r="S1027" t="s">
        <v>27</v>
      </c>
      <c r="T1027" t="s">
        <v>464</v>
      </c>
      <c r="U1027" t="s">
        <v>115</v>
      </c>
      <c r="V1027" t="s">
        <v>3868</v>
      </c>
      <c r="W1027">
        <v>125</v>
      </c>
      <c r="X1027">
        <v>226433</v>
      </c>
      <c r="Y1027" t="s">
        <v>3869</v>
      </c>
      <c r="Z1027" t="s">
        <v>119</v>
      </c>
      <c r="AA1027" t="s">
        <v>32</v>
      </c>
      <c r="AB1027" t="s">
        <v>120</v>
      </c>
      <c r="AC1027" t="s">
        <v>25</v>
      </c>
      <c r="AD1027" t="s">
        <v>155</v>
      </c>
      <c r="AE1027">
        <v>150</v>
      </c>
      <c r="AF1027" t="s">
        <v>27</v>
      </c>
      <c r="AG1027" t="s">
        <v>26</v>
      </c>
      <c r="AH1027" t="s">
        <v>6851</v>
      </c>
      <c r="AI1027" t="str">
        <f t="shared" ref="AI1027:AI1090" si="80">IF(OR(ISNUMBER(SEARCH("+",F1027)),ISNUMBER(SEARCH(".",F1027))),"SI","NO")</f>
        <v>NO</v>
      </c>
      <c r="AJ1027" t="str">
        <f t="shared" ref="AJ1027:AJ1090" si="81">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1027)," S.A.S.",""),"S.A.S.","")," S.A.S",""),"S.A.S","")," S.A.C.I.","")," S.A.C.I","")," SAS","")," S.A.","")," S.A","")," LTDA.","")," LTDA","")," LIMITED","")," LTD.","")," LTD","")," INC.","")," INC","")," GMBH &amp; CO. KG.","")," GMBH","")," LLC","")," A.G.","")," A.G","")," A/S","")," S.R.L.","")," S.R.L","")," S.P.A.","")," DE C.V.","")," AG",""),"  "," "))</f>
        <v>MEGALABS COLOMBIA</v>
      </c>
      <c r="AK1027" t="str">
        <f>IF(ISNUMBER(SEARCH("FABRICANTE",AC1027)),"FABRICANTE",IF(ISNUMBER(SEARCH("IMPORTADOR",AC1027)),"IMPORTADOR","OTRO"))</f>
        <v>FABRICANTE</v>
      </c>
      <c r="AL1027" t="str">
        <f>IF(LEFT(Y1027,1)="A","Sistema digestivo",IF(LEFT(Y1027,1)="B","Sangre",IF(LEFT(Y1027,1)="C","Cardiovascular",IF(LEFT(Y1027,1)="D","Dermatológico",IF(LEFT(Y1027,1)="G","Genitourinario",IF(LEFT(Y1027,1)="H","Hormonal",IF(LEFT(Y1027,1)="J","Antiinfecciosos",IF(LEFT(Y1027,1)="L","Oncológicos",IF(LEFT(Y1027,1)="M","Musculoesquelético",IF(LEFT(Y1027,1)="N","Sistema nervioso",IF(LEFT(Y1027,1)="R","Respiratorio",IF(LEFT(Y1027,1)="S","Oftálmico",IF(LEFT(Y1027,1)="V","Varios","OTRO")))))))))))))</f>
        <v>Sistema digestivo</v>
      </c>
      <c r="AM1027" t="str">
        <f>IF(AG1027="Vigente","ACTIVO",IF(ISNUMBER(SEARCH("Inactivo",J1027)),"INACTIVO","REVISAR"))</f>
        <v>ACTIVO</v>
      </c>
      <c r="AN1027" t="str">
        <f ca="1">IF(OR(AF1027="",AF1027="null"),"",ROUND((AF1027-TODAY())/365.25,2))</f>
        <v/>
      </c>
      <c r="AO1027" t="str">
        <f ca="1">IF(AND(AG1027="Vigente",OR(AF1027="",AF1027="null",AF1027&gt;TODAY())),"SI",IF(AND(NOT(OR(AF1027="",AF1027="null")),AF1027&lt;=TODAY()),"NO",IF(AG1027="Vigente","SI","DESCONOCIDO")))</f>
        <v>SI</v>
      </c>
      <c r="AP1027" t="str">
        <f>IF(AND(ISNUMBER(SEARCH("IMPORTAR",AA1027)),ISNUMBER(SEARCH("FABRICAR",AA1027))),"MIXTO",IF(ISNUMBER(SEARCH("IMPORTAR",AA1027)),"IMPORTADO",IF(ISNUMBER(SEARCH("FABRICAR",AA1027)),"LOCAL","OTRO")))</f>
        <v>IMPORTADO</v>
      </c>
      <c r="AQ1027" t="str">
        <f>IF(AD1027="Si","SI",IF(AD1027="No","NO",""))</f>
        <v>SI</v>
      </c>
      <c r="AR1027" t="str">
        <f>IF(ISNUMBER(SEARCH("®",N1027)),"MARCA/INNOVADOR","GENERICO")</f>
        <v>MARCA/INNOVADOR</v>
      </c>
      <c r="AS1027">
        <f ca="1">IF(AE1027&gt;100,RANDBETWEEN(500,5000),IF(AND(AE1027&gt;=10,AE1027&lt;=100),RANDBETWEEN(100,1000),RANDBETWEEN(10,200)))</f>
        <v>3139</v>
      </c>
      <c r="AT1027">
        <f t="shared" ref="AT1027:AT1090" ca="1" si="82">INT(AS1027*RANDBETWEEN(10,30)/100)</f>
        <v>596</v>
      </c>
      <c r="AU1027">
        <f ca="1">INT(AS1027*RANDBETWEEN(120,200)/100)</f>
        <v>4645</v>
      </c>
      <c r="AV1027" s="2">
        <f ca="1">IF(LEFT(Y1027,1)="L",RANDBETWEEN(500000,5000000),IF(LEFT(Y1027,1)="C",RANDBETWEEN(5000,50000),IF(LEFT(Y1027,1)="N",RANDBETWEEN(10000,150000),IF(LEFT(Y1027,1)="J",RANDBETWEEN(8000,200000),RANDBETWEEN(5000,100000)))))</f>
        <v>10973</v>
      </c>
      <c r="AW1027" s="2">
        <f ca="1">INT(AV1027*RANDBETWEEN(30,60)/100)</f>
        <v>5486</v>
      </c>
      <c r="AX1027">
        <f ca="1">IF(Z1027="ORAL",RANDBETWEEN(1000,10000),IF(OR(Z1027="INTRAVENOSA",Z1027="INTRAMUSCULAR"),RANDBETWEEN(100,2000),IF(OR(Z1027="OFTÁLMICA",Z1027="TOPICA (EXTERNA)"),RANDBETWEEN(200,3000),RANDBETWEEN(100,1500))))</f>
        <v>5873</v>
      </c>
      <c r="AY1027" s="2">
        <f ca="1">INT(AV1027*RANDBETWEEN(90,130)/100)</f>
        <v>13716</v>
      </c>
      <c r="AZ1027" t="str">
        <f t="shared" ref="AZ1027:AZ1090" ca="1" si="83">IF(Z1027="ORAL",RANDBETWEEN(50,250)/10,IF(OR(Z1027="TOPICA (EXTERNA)",Z1027="OFTÁLMICA"),RANDBETWEEN(20,150)/10,IF(OR(Z1027="SUBCUTANEA",Z1027="INTRAMUSCULAR"),RANDBETWEEN(10,100)/10,IF(Z1027="INTRAVENOSA",RANDBETWEEN(1,50)/10,RANDBETWEEN(5,80)/10))))&amp;"%"</f>
        <v>23.4%</v>
      </c>
      <c r="BA1027" t="str">
        <f t="shared" ref="BA1027:BA1090" ca="1" si="84">IF(OR(AG1027&lt;&gt;"Vigente",AND(ISNUMBER(AF1027),AF1027&lt;TODAY()),AND(J1027="Inactivo",NOT(ISNUMBER(AF1027)))),"ALTO",IF(OR(AND(J1027="Inactivo",ISNUMBER(AF1027)),AND(ISNUMBER(AF1027),AF1027&gt;TODAY(),AF1027&lt;=TODAY()+1825)),"MEDIO","BAJO"))</f>
        <v>BAJO</v>
      </c>
    </row>
    <row r="1028" spans="4:53" x14ac:dyDescent="0.35">
      <c r="D1028" t="s">
        <v>6246</v>
      </c>
      <c r="E1028" s="1">
        <v>39500</v>
      </c>
      <c r="F1028" t="s">
        <v>6247</v>
      </c>
      <c r="G1028" t="s">
        <v>108</v>
      </c>
      <c r="H1028" t="s">
        <v>6065</v>
      </c>
      <c r="I1028">
        <v>19985987</v>
      </c>
      <c r="J1028" t="s">
        <v>110</v>
      </c>
      <c r="K1028">
        <v>5</v>
      </c>
      <c r="L1028" t="s">
        <v>6248</v>
      </c>
      <c r="M1028" t="s">
        <v>6249</v>
      </c>
      <c r="N1028" t="s">
        <v>6250</v>
      </c>
      <c r="O1028" t="s">
        <v>6251</v>
      </c>
      <c r="P1028" t="s">
        <v>6252</v>
      </c>
      <c r="Q1028" s="1">
        <v>39484</v>
      </c>
      <c r="R1028" t="s">
        <v>826</v>
      </c>
      <c r="S1028" s="1">
        <v>44799</v>
      </c>
      <c r="T1028" t="s">
        <v>278</v>
      </c>
      <c r="U1028" t="s">
        <v>115</v>
      </c>
      <c r="V1028" t="s">
        <v>2896</v>
      </c>
      <c r="W1028">
        <v>18</v>
      </c>
      <c r="X1028">
        <v>19985987</v>
      </c>
      <c r="Y1028" t="s">
        <v>2898</v>
      </c>
      <c r="Z1028" t="s">
        <v>2899</v>
      </c>
      <c r="AA1028" t="s">
        <v>32</v>
      </c>
      <c r="AB1028" t="s">
        <v>120</v>
      </c>
      <c r="AC1028" t="s">
        <v>25</v>
      </c>
      <c r="AD1028" t="s">
        <v>121</v>
      </c>
      <c r="AE1028">
        <v>60</v>
      </c>
      <c r="AF1028" t="s">
        <v>27</v>
      </c>
      <c r="AG1028" t="s">
        <v>26</v>
      </c>
      <c r="AH1028" t="s">
        <v>2896</v>
      </c>
      <c r="AI1028" t="str">
        <f t="shared" si="80"/>
        <v>NO</v>
      </c>
      <c r="AJ1028" t="str">
        <f t="shared" si="81"/>
        <v>BIOTOSCANA FARMA</v>
      </c>
      <c r="AK1028" t="str">
        <f>IF(ISNUMBER(SEARCH("FABRICANTE",AC1028)),"FABRICANTE",IF(ISNUMBER(SEARCH("IMPORTADOR",AC1028)),"IMPORTADOR","OTRO"))</f>
        <v>FABRICANTE</v>
      </c>
      <c r="AL1028" t="str">
        <f>IF(LEFT(Y1028,1)="A","Sistema digestivo",IF(LEFT(Y1028,1)="B","Sangre",IF(LEFT(Y1028,1)="C","Cardiovascular",IF(LEFT(Y1028,1)="D","Dermatológico",IF(LEFT(Y1028,1)="G","Genitourinario",IF(LEFT(Y1028,1)="H","Hormonal",IF(LEFT(Y1028,1)="J","Antiinfecciosos",IF(LEFT(Y1028,1)="L","Oncológicos",IF(LEFT(Y1028,1)="M","Musculoesquelético",IF(LEFT(Y1028,1)="N","Sistema nervioso",IF(LEFT(Y1028,1)="R","Respiratorio",IF(LEFT(Y1028,1)="S","Oftálmico",IF(LEFT(Y1028,1)="V","Varios","OTRO")))))))))))))</f>
        <v>Sistema nervioso</v>
      </c>
      <c r="AM1028" t="str">
        <f>IF(AG1028="Vigente","ACTIVO",IF(ISNUMBER(SEARCH("Inactivo",J1028)),"INACTIVO","REVISAR"))</f>
        <v>ACTIVO</v>
      </c>
      <c r="AN1028" t="str">
        <f ca="1">IF(OR(AF1028="",AF1028="null"),"",ROUND((AF1028-TODAY())/365.25,2))</f>
        <v/>
      </c>
      <c r="AO1028" t="str">
        <f ca="1">IF(AND(AG1028="Vigente",OR(AF1028="",AF1028="null",AF1028&gt;TODAY())),"SI",IF(AND(NOT(OR(AF1028="",AF1028="null")),AF1028&lt;=TODAY()),"NO",IF(AG1028="Vigente","SI","DESCONOCIDO")))</f>
        <v>SI</v>
      </c>
      <c r="AP1028" t="str">
        <f>IF(AND(ISNUMBER(SEARCH("IMPORTAR",AA1028)),ISNUMBER(SEARCH("FABRICAR",AA1028))),"MIXTO",IF(ISNUMBER(SEARCH("IMPORTAR",AA1028)),"IMPORTADO",IF(ISNUMBER(SEARCH("FABRICAR",AA1028)),"LOCAL","OTRO")))</f>
        <v>IMPORTADO</v>
      </c>
      <c r="AQ1028" t="str">
        <f>IF(AD1028="Si","SI",IF(AD1028="No","NO",""))</f>
        <v>NO</v>
      </c>
      <c r="AR1028" t="str">
        <f>IF(ISNUMBER(SEARCH("®",N1028)),"MARCA/INNOVADOR","GENERICO")</f>
        <v>GENERICO</v>
      </c>
      <c r="AS1028">
        <f ca="1">IF(AE1028&gt;100,RANDBETWEEN(500,5000),IF(AND(AE1028&gt;=10,AE1028&lt;=100),RANDBETWEEN(100,1000),RANDBETWEEN(10,200)))</f>
        <v>203</v>
      </c>
      <c r="AT1028">
        <f t="shared" ca="1" si="82"/>
        <v>60</v>
      </c>
      <c r="AU1028">
        <f ca="1">INT(AS1028*RANDBETWEEN(120,200)/100)</f>
        <v>355</v>
      </c>
      <c r="AV1028" s="2">
        <f ca="1">IF(LEFT(Y1028,1)="L",RANDBETWEEN(500000,5000000),IF(LEFT(Y1028,1)="C",RANDBETWEEN(5000,50000),IF(LEFT(Y1028,1)="N",RANDBETWEEN(10000,150000),IF(LEFT(Y1028,1)="J",RANDBETWEEN(8000,200000),RANDBETWEEN(5000,100000)))))</f>
        <v>126607</v>
      </c>
      <c r="AW1028" s="2">
        <f ca="1">INT(AV1028*RANDBETWEEN(30,60)/100)</f>
        <v>49376</v>
      </c>
      <c r="AX1028">
        <f ca="1">IF(Z1028="ORAL",RANDBETWEEN(1000,10000),IF(OR(Z1028="INTRAVENOSA",Z1028="INTRAMUSCULAR"),RANDBETWEEN(100,2000),IF(OR(Z1028="OFTÁLMICA",Z1028="TOPICA (EXTERNA)"),RANDBETWEEN(200,3000),RANDBETWEEN(100,1500))))</f>
        <v>751</v>
      </c>
      <c r="AY1028" s="2">
        <f ca="1">INT(AV1028*RANDBETWEEN(90,130)/100)</f>
        <v>158258</v>
      </c>
      <c r="AZ1028" t="str">
        <f t="shared" ca="1" si="83"/>
        <v>2.1%</v>
      </c>
      <c r="BA1028" t="str">
        <f t="shared" ca="1" si="84"/>
        <v>ALTO</v>
      </c>
    </row>
    <row r="1029" spans="4:53" x14ac:dyDescent="0.35">
      <c r="D1029" t="s">
        <v>6253</v>
      </c>
      <c r="E1029" s="1">
        <v>43473</v>
      </c>
      <c r="F1029" t="s">
        <v>6254</v>
      </c>
      <c r="G1029" t="s">
        <v>108</v>
      </c>
      <c r="H1029" t="s">
        <v>6255</v>
      </c>
      <c r="I1029">
        <v>20117351</v>
      </c>
      <c r="J1029" t="s">
        <v>28</v>
      </c>
      <c r="K1029">
        <v>9</v>
      </c>
      <c r="L1029" t="s">
        <v>4534</v>
      </c>
      <c r="M1029" t="s">
        <v>4535</v>
      </c>
      <c r="N1029" t="s">
        <v>4536</v>
      </c>
      <c r="O1029" t="s">
        <v>4537</v>
      </c>
      <c r="P1029" t="s">
        <v>4538</v>
      </c>
      <c r="Q1029" s="1">
        <v>43452</v>
      </c>
      <c r="R1029" t="s">
        <v>151</v>
      </c>
      <c r="S1029" t="s">
        <v>27</v>
      </c>
      <c r="T1029" t="s">
        <v>650</v>
      </c>
      <c r="U1029" t="s">
        <v>115</v>
      </c>
      <c r="V1029" t="s">
        <v>4539</v>
      </c>
      <c r="W1029">
        <v>1</v>
      </c>
      <c r="X1029">
        <v>20117351</v>
      </c>
      <c r="Y1029" t="s">
        <v>4540</v>
      </c>
      <c r="Z1029" t="s">
        <v>154</v>
      </c>
      <c r="AA1029" t="s">
        <v>24</v>
      </c>
      <c r="AB1029" t="s">
        <v>133</v>
      </c>
      <c r="AC1029" t="s">
        <v>25</v>
      </c>
      <c r="AD1029" t="s">
        <v>121</v>
      </c>
      <c r="AE1029">
        <v>1</v>
      </c>
      <c r="AF1029" t="s">
        <v>27</v>
      </c>
      <c r="AG1029" t="s">
        <v>26</v>
      </c>
      <c r="AH1029" t="s">
        <v>339</v>
      </c>
      <c r="AI1029" t="str">
        <f t="shared" si="80"/>
        <v>SI</v>
      </c>
      <c r="AJ1029" t="str">
        <f t="shared" si="81"/>
        <v>QUIRUPOS</v>
      </c>
      <c r="AK1029" t="str">
        <f>IF(ISNUMBER(SEARCH("FABRICANTE",AC1029)),"FABRICANTE",IF(ISNUMBER(SEARCH("IMPORTADOR",AC1029)),"IMPORTADOR","OTRO"))</f>
        <v>FABRICANTE</v>
      </c>
      <c r="AL1029" t="str">
        <f>IF(LEFT(Y1029,1)="A","Sistema digestivo",IF(LEFT(Y1029,1)="B","Sangre",IF(LEFT(Y1029,1)="C","Cardiovascular",IF(LEFT(Y1029,1)="D","Dermatológico",IF(LEFT(Y1029,1)="G","Genitourinario",IF(LEFT(Y1029,1)="H","Hormonal",IF(LEFT(Y1029,1)="J","Antiinfecciosos",IF(LEFT(Y1029,1)="L","Oncológicos",IF(LEFT(Y1029,1)="M","Musculoesquelético",IF(LEFT(Y1029,1)="N","Sistema nervioso",IF(LEFT(Y1029,1)="R","Respiratorio",IF(LEFT(Y1029,1)="S","Oftálmico",IF(LEFT(Y1029,1)="V","Varios","OTRO")))))))))))))</f>
        <v>Oftálmico</v>
      </c>
      <c r="AM1029" t="str">
        <f>IF(AG1029="Vigente","ACTIVO",IF(ISNUMBER(SEARCH("Inactivo",J1029)),"INACTIVO","REVISAR"))</f>
        <v>ACTIVO</v>
      </c>
      <c r="AN1029" t="str">
        <f ca="1">IF(OR(AF1029="",AF1029="null"),"",ROUND((AF1029-TODAY())/365.25,2))</f>
        <v/>
      </c>
      <c r="AO1029" t="str">
        <f ca="1">IF(AND(AG1029="Vigente",OR(AF1029="",AF1029="null",AF1029&gt;TODAY())),"SI",IF(AND(NOT(OR(AF1029="",AF1029="null")),AF1029&lt;=TODAY()),"NO",IF(AG1029="Vigente","SI","DESCONOCIDO")))</f>
        <v>SI</v>
      </c>
      <c r="AP1029" t="str">
        <f>IF(AND(ISNUMBER(SEARCH("IMPORTAR",AA1029)),ISNUMBER(SEARCH("FABRICAR",AA1029))),"MIXTO",IF(ISNUMBER(SEARCH("IMPORTAR",AA1029)),"IMPORTADO",IF(ISNUMBER(SEARCH("FABRICAR",AA1029)),"LOCAL","OTRO")))</f>
        <v>LOCAL</v>
      </c>
      <c r="AQ1029" t="str">
        <f>IF(AD1029="Si","SI",IF(AD1029="No","NO",""))</f>
        <v>NO</v>
      </c>
      <c r="AR1029" t="str">
        <f>IF(ISNUMBER(SEARCH("®",N1029)),"MARCA/INNOVADOR","GENERICO")</f>
        <v>GENERICO</v>
      </c>
      <c r="AS1029">
        <f ca="1">IF(AE1029&gt;100,RANDBETWEEN(500,5000),IF(AND(AE1029&gt;=10,AE1029&lt;=100),RANDBETWEEN(100,1000),RANDBETWEEN(10,200)))</f>
        <v>105</v>
      </c>
      <c r="AT1029">
        <f t="shared" ca="1" si="82"/>
        <v>16</v>
      </c>
      <c r="AU1029">
        <f ca="1">INT(AS1029*RANDBETWEEN(120,200)/100)</f>
        <v>138</v>
      </c>
      <c r="AV1029" s="2">
        <f ca="1">IF(LEFT(Y1029,1)="L",RANDBETWEEN(500000,5000000),IF(LEFT(Y1029,1)="C",RANDBETWEEN(5000,50000),IF(LEFT(Y1029,1)="N",RANDBETWEEN(10000,150000),IF(LEFT(Y1029,1)="J",RANDBETWEEN(8000,200000),RANDBETWEEN(5000,100000)))))</f>
        <v>16990</v>
      </c>
      <c r="AW1029" s="2">
        <f ca="1">INT(AV1029*RANDBETWEEN(30,60)/100)</f>
        <v>5946</v>
      </c>
      <c r="AX1029">
        <f ca="1">IF(Z1029="ORAL",RANDBETWEEN(1000,10000),IF(OR(Z1029="INTRAVENOSA",Z1029="INTRAMUSCULAR"),RANDBETWEEN(100,2000),IF(OR(Z1029="OFTÁLMICA",Z1029="TOPICA (EXTERNA)"),RANDBETWEEN(200,3000),RANDBETWEEN(100,1500))))</f>
        <v>1790</v>
      </c>
      <c r="AY1029" s="2">
        <f ca="1">INT(AV1029*RANDBETWEEN(90,130)/100)</f>
        <v>18519</v>
      </c>
      <c r="AZ1029" t="str">
        <f t="shared" ca="1" si="83"/>
        <v>5%</v>
      </c>
      <c r="BA1029" t="str">
        <f t="shared" ca="1" si="84"/>
        <v>BAJO</v>
      </c>
    </row>
    <row r="1030" spans="4:53" x14ac:dyDescent="0.35">
      <c r="D1030" t="s">
        <v>6256</v>
      </c>
      <c r="E1030" s="1">
        <v>42663</v>
      </c>
      <c r="F1030" t="s">
        <v>6257</v>
      </c>
      <c r="G1030" t="s">
        <v>108</v>
      </c>
      <c r="H1030" t="s">
        <v>6258</v>
      </c>
      <c r="I1030">
        <v>20102025</v>
      </c>
      <c r="J1030" t="s">
        <v>28</v>
      </c>
      <c r="K1030">
        <v>5</v>
      </c>
      <c r="L1030" t="s">
        <v>6259</v>
      </c>
      <c r="M1030" t="s">
        <v>6260</v>
      </c>
      <c r="N1030" t="s">
        <v>6261</v>
      </c>
      <c r="O1030" t="s">
        <v>6262</v>
      </c>
      <c r="P1030" t="s">
        <v>6263</v>
      </c>
      <c r="Q1030" s="1">
        <v>44313</v>
      </c>
      <c r="R1030" t="s">
        <v>6264</v>
      </c>
      <c r="S1030" t="s">
        <v>27</v>
      </c>
      <c r="T1030" t="s">
        <v>6265</v>
      </c>
      <c r="U1030" t="s">
        <v>115</v>
      </c>
      <c r="V1030" t="s">
        <v>6266</v>
      </c>
      <c r="W1030" t="s">
        <v>3164</v>
      </c>
      <c r="X1030">
        <v>20102025</v>
      </c>
      <c r="Y1030" t="s">
        <v>6267</v>
      </c>
      <c r="Z1030" t="s">
        <v>1168</v>
      </c>
      <c r="AA1030" t="s">
        <v>32</v>
      </c>
      <c r="AB1030" t="s">
        <v>1983</v>
      </c>
      <c r="AC1030" t="s">
        <v>25</v>
      </c>
      <c r="AD1030" t="s">
        <v>155</v>
      </c>
      <c r="AE1030">
        <v>1</v>
      </c>
      <c r="AF1030" t="s">
        <v>27</v>
      </c>
      <c r="AG1030" t="s">
        <v>26</v>
      </c>
      <c r="AH1030" t="s">
        <v>6257</v>
      </c>
      <c r="AI1030" t="str">
        <f t="shared" si="80"/>
        <v>NO</v>
      </c>
      <c r="AJ1030" t="str">
        <f t="shared" si="81"/>
        <v>GLENMARK PHARMACEUTICALS COLOMBIA</v>
      </c>
      <c r="AK1030" t="str">
        <f>IF(ISNUMBER(SEARCH("FABRICANTE",AC1030)),"FABRICANTE",IF(ISNUMBER(SEARCH("IMPORTADOR",AC1030)),"IMPORTADOR","OTRO"))</f>
        <v>FABRICANTE</v>
      </c>
      <c r="AL1030" t="str">
        <f>IF(LEFT(Y1030,1)="A","Sistema digestivo",IF(LEFT(Y1030,1)="B","Sangre",IF(LEFT(Y1030,1)="C","Cardiovascular",IF(LEFT(Y1030,1)="D","Dermatológico",IF(LEFT(Y1030,1)="G","Genitourinario",IF(LEFT(Y1030,1)="H","Hormonal",IF(LEFT(Y1030,1)="J","Antiinfecciosos",IF(LEFT(Y1030,1)="L","Oncológicos",IF(LEFT(Y1030,1)="M","Musculoesquelético",IF(LEFT(Y1030,1)="N","Sistema nervioso",IF(LEFT(Y1030,1)="R","Respiratorio",IF(LEFT(Y1030,1)="S","Oftálmico",IF(LEFT(Y1030,1)="V","Varios","OTRO")))))))))))))</f>
        <v>Respiratorio</v>
      </c>
      <c r="AM1030" t="str">
        <f>IF(AG1030="Vigente","ACTIVO",IF(ISNUMBER(SEARCH("Inactivo",J1030)),"INACTIVO","REVISAR"))</f>
        <v>ACTIVO</v>
      </c>
      <c r="AN1030" t="str">
        <f ca="1">IF(OR(AF1030="",AF1030="null"),"",ROUND((AF1030-TODAY())/365.25,2))</f>
        <v/>
      </c>
      <c r="AO1030" t="str">
        <f ca="1">IF(AND(AG1030="Vigente",OR(AF1030="",AF1030="null",AF1030&gt;TODAY())),"SI",IF(AND(NOT(OR(AF1030="",AF1030="null")),AF1030&lt;=TODAY()),"NO",IF(AG1030="Vigente","SI","DESCONOCIDO")))</f>
        <v>SI</v>
      </c>
      <c r="AP1030" t="str">
        <f>IF(AND(ISNUMBER(SEARCH("IMPORTAR",AA1030)),ISNUMBER(SEARCH("FABRICAR",AA1030))),"MIXTO",IF(ISNUMBER(SEARCH("IMPORTAR",AA1030)),"IMPORTADO",IF(ISNUMBER(SEARCH("FABRICAR",AA1030)),"LOCAL","OTRO")))</f>
        <v>IMPORTADO</v>
      </c>
      <c r="AQ1030" t="str">
        <f>IF(AD1030="Si","SI",IF(AD1030="No","NO",""))</f>
        <v>SI</v>
      </c>
      <c r="AR1030" t="str">
        <f>IF(ISNUMBER(SEARCH("®",N1030)),"MARCA/INNOVADOR","GENERICO")</f>
        <v>GENERICO</v>
      </c>
      <c r="AS1030">
        <f ca="1">IF(AE1030&gt;100,RANDBETWEEN(500,5000),IF(AND(AE1030&gt;=10,AE1030&lt;=100),RANDBETWEEN(100,1000),RANDBETWEEN(10,200)))</f>
        <v>94</v>
      </c>
      <c r="AT1030">
        <f t="shared" ca="1" si="82"/>
        <v>14</v>
      </c>
      <c r="AU1030">
        <f ca="1">INT(AS1030*RANDBETWEEN(120,200)/100)</f>
        <v>150</v>
      </c>
      <c r="AV1030" s="2">
        <f ca="1">IF(LEFT(Y1030,1)="L",RANDBETWEEN(500000,5000000),IF(LEFT(Y1030,1)="C",RANDBETWEEN(5000,50000),IF(LEFT(Y1030,1)="N",RANDBETWEEN(10000,150000),IF(LEFT(Y1030,1)="J",RANDBETWEEN(8000,200000),RANDBETWEEN(5000,100000)))))</f>
        <v>60558</v>
      </c>
      <c r="AW1030" s="2">
        <f ca="1">INT(AV1030*RANDBETWEEN(30,60)/100)</f>
        <v>32701</v>
      </c>
      <c r="AX1030">
        <f ca="1">IF(Z1030="ORAL",RANDBETWEEN(1000,10000),IF(OR(Z1030="INTRAVENOSA",Z1030="INTRAMUSCULAR"),RANDBETWEEN(100,2000),IF(OR(Z1030="OFTÁLMICA",Z1030="TOPICA (EXTERNA)"),RANDBETWEEN(200,3000),RANDBETWEEN(100,1500))))</f>
        <v>640</v>
      </c>
      <c r="AY1030" s="2">
        <f ca="1">INT(AV1030*RANDBETWEEN(90,130)/100)</f>
        <v>55713</v>
      </c>
      <c r="AZ1030" t="str">
        <f t="shared" ca="1" si="83"/>
        <v>1.8%</v>
      </c>
      <c r="BA1030" t="str">
        <f t="shared" ca="1" si="84"/>
        <v>BAJO</v>
      </c>
    </row>
    <row r="1031" spans="4:53" x14ac:dyDescent="0.35">
      <c r="D1031" t="s">
        <v>6268</v>
      </c>
      <c r="E1031" s="1">
        <v>41870</v>
      </c>
      <c r="F1031" t="s">
        <v>35</v>
      </c>
      <c r="G1031" t="s">
        <v>108</v>
      </c>
      <c r="H1031" t="s">
        <v>684</v>
      </c>
      <c r="I1031">
        <v>20059258</v>
      </c>
      <c r="J1031" t="s">
        <v>28</v>
      </c>
      <c r="K1031">
        <v>1</v>
      </c>
      <c r="L1031" t="s">
        <v>27</v>
      </c>
      <c r="M1031" t="s">
        <v>6269</v>
      </c>
      <c r="N1031" t="s">
        <v>6270</v>
      </c>
      <c r="O1031" t="s">
        <v>6271</v>
      </c>
      <c r="P1031" t="s">
        <v>37</v>
      </c>
      <c r="Q1031" s="1">
        <v>41719</v>
      </c>
      <c r="R1031" t="s">
        <v>37</v>
      </c>
      <c r="S1031" t="s">
        <v>27</v>
      </c>
      <c r="T1031" t="s">
        <v>688</v>
      </c>
      <c r="U1031" t="s">
        <v>115</v>
      </c>
      <c r="V1031" t="s">
        <v>35</v>
      </c>
      <c r="W1031">
        <v>150</v>
      </c>
      <c r="X1031">
        <v>20059258</v>
      </c>
      <c r="Y1031" t="s">
        <v>36</v>
      </c>
      <c r="Z1031" t="s">
        <v>119</v>
      </c>
      <c r="AA1031" t="s">
        <v>24</v>
      </c>
      <c r="AB1031" t="s">
        <v>120</v>
      </c>
      <c r="AC1031" t="s">
        <v>25</v>
      </c>
      <c r="AD1031" t="s">
        <v>121</v>
      </c>
      <c r="AE1031">
        <v>14</v>
      </c>
      <c r="AF1031" s="1">
        <v>402133</v>
      </c>
      <c r="AG1031" t="s">
        <v>26</v>
      </c>
      <c r="AH1031" t="s">
        <v>35</v>
      </c>
      <c r="AI1031" t="str">
        <f t="shared" si="80"/>
        <v>NO</v>
      </c>
      <c r="AJ1031" t="str">
        <f t="shared" si="81"/>
        <v>SALUS PHARMA LABS</v>
      </c>
      <c r="AK1031" t="str">
        <f>IF(ISNUMBER(SEARCH("FABRICANTE",AC1031)),"FABRICANTE",IF(ISNUMBER(SEARCH("IMPORTADOR",AC1031)),"IMPORTADOR","OTRO"))</f>
        <v>FABRICANTE</v>
      </c>
      <c r="AL1031" t="str">
        <f>IF(LEFT(Y1031,1)="A","Sistema digestivo",IF(LEFT(Y1031,1)="B","Sangre",IF(LEFT(Y1031,1)="C","Cardiovascular",IF(LEFT(Y1031,1)="D","Dermatológico",IF(LEFT(Y1031,1)="G","Genitourinario",IF(LEFT(Y1031,1)="H","Hormonal",IF(LEFT(Y1031,1)="J","Antiinfecciosos",IF(LEFT(Y1031,1)="L","Oncológicos",IF(LEFT(Y1031,1)="M","Musculoesquelético",IF(LEFT(Y1031,1)="N","Sistema nervioso",IF(LEFT(Y1031,1)="R","Respiratorio",IF(LEFT(Y1031,1)="S","Oftálmico",IF(LEFT(Y1031,1)="V","Varios","OTRO")))))))))))))</f>
        <v>Sistema nervioso</v>
      </c>
      <c r="AM1031" t="str">
        <f>IF(AG1031="Vigente","ACTIVO",IF(ISNUMBER(SEARCH("Inactivo",J1031)),"INACTIVO","REVISAR"))</f>
        <v>ACTIVO</v>
      </c>
      <c r="AN1031">
        <f ca="1">IF(OR(AF1031="",AF1031="null"),"",ROUND((AF1031-TODAY())/365.25,2))</f>
        <v>974.58</v>
      </c>
      <c r="AO1031" t="str">
        <f ca="1">IF(AND(AG1031="Vigente",OR(AF1031="",AF1031="null",AF1031&gt;TODAY())),"SI",IF(AND(NOT(OR(AF1031="",AF1031="null")),AF1031&lt;=TODAY()),"NO",IF(AG1031="Vigente","SI","DESCONOCIDO")))</f>
        <v>SI</v>
      </c>
      <c r="AP1031" t="str">
        <f>IF(AND(ISNUMBER(SEARCH("IMPORTAR",AA1031)),ISNUMBER(SEARCH("FABRICAR",AA1031))),"MIXTO",IF(ISNUMBER(SEARCH("IMPORTAR",AA1031)),"IMPORTADO",IF(ISNUMBER(SEARCH("FABRICAR",AA1031)),"LOCAL","OTRO")))</f>
        <v>LOCAL</v>
      </c>
      <c r="AQ1031" t="str">
        <f>IF(AD1031="Si","SI",IF(AD1031="No","NO",""))</f>
        <v>NO</v>
      </c>
      <c r="AR1031" t="str">
        <f>IF(ISNUMBER(SEARCH("®",N1031)),"MARCA/INNOVADOR","GENERICO")</f>
        <v>GENERICO</v>
      </c>
      <c r="AS1031">
        <f ca="1">IF(AE1031&gt;100,RANDBETWEEN(500,5000),IF(AND(AE1031&gt;=10,AE1031&lt;=100),RANDBETWEEN(100,1000),RANDBETWEEN(10,200)))</f>
        <v>937</v>
      </c>
      <c r="AT1031">
        <f t="shared" ca="1" si="82"/>
        <v>168</v>
      </c>
      <c r="AU1031">
        <f ca="1">INT(AS1031*RANDBETWEEN(120,200)/100)</f>
        <v>1611</v>
      </c>
      <c r="AV1031" s="2">
        <f ca="1">IF(LEFT(Y1031,1)="L",RANDBETWEEN(500000,5000000),IF(LEFT(Y1031,1)="C",RANDBETWEEN(5000,50000),IF(LEFT(Y1031,1)="N",RANDBETWEEN(10000,150000),IF(LEFT(Y1031,1)="J",RANDBETWEEN(8000,200000),RANDBETWEEN(5000,100000)))))</f>
        <v>27071</v>
      </c>
      <c r="AW1031" s="2">
        <f ca="1">INT(AV1031*RANDBETWEEN(30,60)/100)</f>
        <v>11369</v>
      </c>
      <c r="AX1031">
        <f ca="1">IF(Z1031="ORAL",RANDBETWEEN(1000,10000),IF(OR(Z1031="INTRAVENOSA",Z1031="INTRAMUSCULAR"),RANDBETWEEN(100,2000),IF(OR(Z1031="OFTÁLMICA",Z1031="TOPICA (EXTERNA)"),RANDBETWEEN(200,3000),RANDBETWEEN(100,1500))))</f>
        <v>5567</v>
      </c>
      <c r="AY1031" s="2">
        <f ca="1">INT(AV1031*RANDBETWEEN(90,130)/100)</f>
        <v>34921</v>
      </c>
      <c r="AZ1031" t="str">
        <f t="shared" ca="1" si="83"/>
        <v>22.8%</v>
      </c>
      <c r="BA1031" t="str">
        <f t="shared" ca="1" si="84"/>
        <v>BAJO</v>
      </c>
    </row>
    <row r="1032" spans="4:53" x14ac:dyDescent="0.35">
      <c r="D1032" t="s">
        <v>6272</v>
      </c>
      <c r="E1032" s="1">
        <v>36082</v>
      </c>
      <c r="F1032" t="s">
        <v>5773</v>
      </c>
      <c r="G1032" t="s">
        <v>108</v>
      </c>
      <c r="H1032" t="s">
        <v>1001</v>
      </c>
      <c r="I1032">
        <v>227312</v>
      </c>
      <c r="J1032" t="s">
        <v>28</v>
      </c>
      <c r="K1032">
        <v>32</v>
      </c>
      <c r="L1032" t="s">
        <v>27</v>
      </c>
      <c r="M1032" t="s">
        <v>5774</v>
      </c>
      <c r="N1032" t="s">
        <v>5775</v>
      </c>
      <c r="O1032" t="s">
        <v>6273</v>
      </c>
      <c r="P1032" t="s">
        <v>659</v>
      </c>
      <c r="Q1032" s="1">
        <v>41232</v>
      </c>
      <c r="R1032" t="s">
        <v>780</v>
      </c>
      <c r="S1032" t="s">
        <v>27</v>
      </c>
      <c r="T1032" t="s">
        <v>1001</v>
      </c>
      <c r="U1032" t="s">
        <v>115</v>
      </c>
      <c r="V1032" t="s">
        <v>782</v>
      </c>
      <c r="W1032">
        <v>150</v>
      </c>
      <c r="X1032">
        <v>227312</v>
      </c>
      <c r="Y1032" t="s">
        <v>783</v>
      </c>
      <c r="Z1032" t="s">
        <v>119</v>
      </c>
      <c r="AA1032" t="s">
        <v>32</v>
      </c>
      <c r="AB1032" t="s">
        <v>120</v>
      </c>
      <c r="AC1032" t="s">
        <v>38</v>
      </c>
      <c r="AD1032" t="s">
        <v>155</v>
      </c>
      <c r="AE1032">
        <v>30</v>
      </c>
      <c r="AF1032" t="s">
        <v>27</v>
      </c>
      <c r="AG1032" t="s">
        <v>26</v>
      </c>
      <c r="AH1032" t="s">
        <v>782</v>
      </c>
      <c r="AI1032" t="str">
        <f t="shared" si="80"/>
        <v>NO</v>
      </c>
      <c r="AJ1032" t="str">
        <f t="shared" si="81"/>
        <v>ASPEN COLOMBIANA</v>
      </c>
      <c r="AK1032" t="str">
        <f>IF(ISNUMBER(SEARCH("FABRICANTE",AC1032)),"FABRICANTE",IF(ISNUMBER(SEARCH("IMPORTADOR",AC1032)),"IMPORTADOR","OTRO"))</f>
        <v>IMPORTADOR</v>
      </c>
      <c r="AL1032" t="str">
        <f>IF(LEFT(Y1032,1)="A","Sistema digestivo",IF(LEFT(Y1032,1)="B","Sangre",IF(LEFT(Y1032,1)="C","Cardiovascular",IF(LEFT(Y1032,1)="D","Dermatológico",IF(LEFT(Y1032,1)="G","Genitourinario",IF(LEFT(Y1032,1)="H","Hormonal",IF(LEFT(Y1032,1)="J","Antiinfecciosos",IF(LEFT(Y1032,1)="L","Oncológicos",IF(LEFT(Y1032,1)="M","Musculoesquelético",IF(LEFT(Y1032,1)="N","Sistema nervioso",IF(LEFT(Y1032,1)="R","Respiratorio",IF(LEFT(Y1032,1)="S","Oftálmico",IF(LEFT(Y1032,1)="V","Varios","OTRO")))))))))))))</f>
        <v>Sistema nervioso</v>
      </c>
      <c r="AM1032" t="str">
        <f>IF(AG1032="Vigente","ACTIVO",IF(ISNUMBER(SEARCH("Inactivo",J1032)),"INACTIVO","REVISAR"))</f>
        <v>ACTIVO</v>
      </c>
      <c r="AN1032" t="str">
        <f ca="1">IF(OR(AF1032="",AF1032="null"),"",ROUND((AF1032-TODAY())/365.25,2))</f>
        <v/>
      </c>
      <c r="AO1032" t="str">
        <f ca="1">IF(AND(AG1032="Vigente",OR(AF1032="",AF1032="null",AF1032&gt;TODAY())),"SI",IF(AND(NOT(OR(AF1032="",AF1032="null")),AF1032&lt;=TODAY()),"NO",IF(AG1032="Vigente","SI","DESCONOCIDO")))</f>
        <v>SI</v>
      </c>
      <c r="AP1032" t="str">
        <f>IF(AND(ISNUMBER(SEARCH("IMPORTAR",AA1032)),ISNUMBER(SEARCH("FABRICAR",AA1032))),"MIXTO",IF(ISNUMBER(SEARCH("IMPORTAR",AA1032)),"IMPORTADO",IF(ISNUMBER(SEARCH("FABRICAR",AA1032)),"LOCAL","OTRO")))</f>
        <v>IMPORTADO</v>
      </c>
      <c r="AQ1032" t="str">
        <f>IF(AD1032="Si","SI",IF(AD1032="No","NO",""))</f>
        <v>SI</v>
      </c>
      <c r="AR1032" t="str">
        <f>IF(ISNUMBER(SEARCH("®",N1032)),"MARCA/INNOVADOR","GENERICO")</f>
        <v>MARCA/INNOVADOR</v>
      </c>
      <c r="AS1032">
        <f ca="1">IF(AE1032&gt;100,RANDBETWEEN(500,5000),IF(AND(AE1032&gt;=10,AE1032&lt;=100),RANDBETWEEN(100,1000),RANDBETWEEN(10,200)))</f>
        <v>760</v>
      </c>
      <c r="AT1032">
        <f t="shared" ca="1" si="82"/>
        <v>205</v>
      </c>
      <c r="AU1032">
        <f ca="1">INT(AS1032*RANDBETWEEN(120,200)/100)</f>
        <v>1048</v>
      </c>
      <c r="AV1032" s="2">
        <f ca="1">IF(LEFT(Y1032,1)="L",RANDBETWEEN(500000,5000000),IF(LEFT(Y1032,1)="C",RANDBETWEEN(5000,50000),IF(LEFT(Y1032,1)="N",RANDBETWEEN(10000,150000),IF(LEFT(Y1032,1)="J",RANDBETWEEN(8000,200000),RANDBETWEEN(5000,100000)))))</f>
        <v>60407</v>
      </c>
      <c r="AW1032" s="2">
        <f ca="1">INT(AV1032*RANDBETWEEN(30,60)/100)</f>
        <v>31411</v>
      </c>
      <c r="AX1032">
        <f ca="1">IF(Z1032="ORAL",RANDBETWEEN(1000,10000),IF(OR(Z1032="INTRAVENOSA",Z1032="INTRAMUSCULAR"),RANDBETWEEN(100,2000),IF(OR(Z1032="OFTÁLMICA",Z1032="TOPICA (EXTERNA)"),RANDBETWEEN(200,3000),RANDBETWEEN(100,1500))))</f>
        <v>6926</v>
      </c>
      <c r="AY1032" s="2">
        <f ca="1">INT(AV1032*RANDBETWEEN(90,130)/100)</f>
        <v>72488</v>
      </c>
      <c r="AZ1032" t="str">
        <f t="shared" ca="1" si="83"/>
        <v>13.7%</v>
      </c>
      <c r="BA1032" t="str">
        <f t="shared" ca="1" si="84"/>
        <v>BAJO</v>
      </c>
    </row>
    <row r="1033" spans="4:53" x14ac:dyDescent="0.35">
      <c r="D1033" t="s">
        <v>6274</v>
      </c>
      <c r="E1033" s="1">
        <v>35773</v>
      </c>
      <c r="F1033" t="s">
        <v>6275</v>
      </c>
      <c r="G1033" t="s">
        <v>502</v>
      </c>
      <c r="H1033" t="s">
        <v>6276</v>
      </c>
      <c r="I1033">
        <v>22543</v>
      </c>
      <c r="J1033" t="s">
        <v>110</v>
      </c>
      <c r="K1033">
        <v>7</v>
      </c>
      <c r="L1033" t="s">
        <v>27</v>
      </c>
      <c r="M1033" t="s">
        <v>6277</v>
      </c>
      <c r="N1033" t="s">
        <v>6278</v>
      </c>
      <c r="O1033" t="s">
        <v>6279</v>
      </c>
      <c r="P1033" t="s">
        <v>234</v>
      </c>
      <c r="Q1033" s="1">
        <v>40462</v>
      </c>
      <c r="R1033" t="s">
        <v>50</v>
      </c>
      <c r="S1033" s="1">
        <v>43172</v>
      </c>
      <c r="T1033" t="s">
        <v>1847</v>
      </c>
      <c r="U1033" t="s">
        <v>115</v>
      </c>
      <c r="V1033" t="s">
        <v>6280</v>
      </c>
      <c r="W1033">
        <v>350</v>
      </c>
      <c r="X1033">
        <v>22543</v>
      </c>
      <c r="Y1033" t="s">
        <v>6281</v>
      </c>
      <c r="Z1033" t="s">
        <v>119</v>
      </c>
      <c r="AA1033" t="s">
        <v>32</v>
      </c>
      <c r="AB1033" t="s">
        <v>120</v>
      </c>
      <c r="AC1033" t="s">
        <v>25</v>
      </c>
      <c r="AD1033" t="s">
        <v>121</v>
      </c>
      <c r="AE1033">
        <v>200</v>
      </c>
      <c r="AF1033" t="s">
        <v>27</v>
      </c>
      <c r="AG1033" t="s">
        <v>26</v>
      </c>
      <c r="AH1033" t="s">
        <v>6852</v>
      </c>
      <c r="AI1033" t="str">
        <f t="shared" si="80"/>
        <v>NO</v>
      </c>
      <c r="AJ1033" t="str">
        <f t="shared" si="81"/>
        <v>GE HEALTHCARE AS</v>
      </c>
      <c r="AK1033" t="str">
        <f>IF(ISNUMBER(SEARCH("FABRICANTE",AC1033)),"FABRICANTE",IF(ISNUMBER(SEARCH("IMPORTADOR",AC1033)),"IMPORTADOR","OTRO"))</f>
        <v>FABRICANTE</v>
      </c>
      <c r="AL1033" t="str">
        <f>IF(LEFT(Y1033,1)="A","Sistema digestivo",IF(LEFT(Y1033,1)="B","Sangre",IF(LEFT(Y1033,1)="C","Cardiovascular",IF(LEFT(Y1033,1)="D","Dermatológico",IF(LEFT(Y1033,1)="G","Genitourinario",IF(LEFT(Y1033,1)="H","Hormonal",IF(LEFT(Y1033,1)="J","Antiinfecciosos",IF(LEFT(Y1033,1)="L","Oncológicos",IF(LEFT(Y1033,1)="M","Musculoesquelético",IF(LEFT(Y1033,1)="N","Sistema nervioso",IF(LEFT(Y1033,1)="R","Respiratorio",IF(LEFT(Y1033,1)="S","Oftálmico",IF(LEFT(Y1033,1)="V","Varios","OTRO")))))))))))))</f>
        <v>Varios</v>
      </c>
      <c r="AM1033" t="str">
        <f>IF(AG1033="Vigente","ACTIVO",IF(ISNUMBER(SEARCH("Inactivo",J1033)),"INACTIVO","REVISAR"))</f>
        <v>ACTIVO</v>
      </c>
      <c r="AN1033" t="str">
        <f ca="1">IF(OR(AF1033="",AF1033="null"),"",ROUND((AF1033-TODAY())/365.25,2))</f>
        <v/>
      </c>
      <c r="AO1033" t="str">
        <f ca="1">IF(AND(AG1033="Vigente",OR(AF1033="",AF1033="null",AF1033&gt;TODAY())),"SI",IF(AND(NOT(OR(AF1033="",AF1033="null")),AF1033&lt;=TODAY()),"NO",IF(AG1033="Vigente","SI","DESCONOCIDO")))</f>
        <v>SI</v>
      </c>
      <c r="AP1033" t="str">
        <f>IF(AND(ISNUMBER(SEARCH("IMPORTAR",AA1033)),ISNUMBER(SEARCH("FABRICAR",AA1033))),"MIXTO",IF(ISNUMBER(SEARCH("IMPORTAR",AA1033)),"IMPORTADO",IF(ISNUMBER(SEARCH("FABRICAR",AA1033)),"LOCAL","OTRO")))</f>
        <v>IMPORTADO</v>
      </c>
      <c r="AQ1033" t="str">
        <f>IF(AD1033="Si","SI",IF(AD1033="No","NO",""))</f>
        <v>NO</v>
      </c>
      <c r="AR1033" t="str">
        <f>IF(ISNUMBER(SEARCH("®",N1033)),"MARCA/INNOVADOR","GENERICO")</f>
        <v>MARCA/INNOVADOR</v>
      </c>
      <c r="AS1033">
        <f ca="1">IF(AE1033&gt;100,RANDBETWEEN(500,5000),IF(AND(AE1033&gt;=10,AE1033&lt;=100),RANDBETWEEN(100,1000),RANDBETWEEN(10,200)))</f>
        <v>2597</v>
      </c>
      <c r="AT1033">
        <f t="shared" ca="1" si="82"/>
        <v>259</v>
      </c>
      <c r="AU1033">
        <f ca="1">INT(AS1033*RANDBETWEEN(120,200)/100)</f>
        <v>4544</v>
      </c>
      <c r="AV1033" s="2">
        <f ca="1">IF(LEFT(Y1033,1)="L",RANDBETWEEN(500000,5000000),IF(LEFT(Y1033,1)="C",RANDBETWEEN(5000,50000),IF(LEFT(Y1033,1)="N",RANDBETWEEN(10000,150000),IF(LEFT(Y1033,1)="J",RANDBETWEEN(8000,200000),RANDBETWEEN(5000,100000)))))</f>
        <v>97909</v>
      </c>
      <c r="AW1033" s="2">
        <f ca="1">INT(AV1033*RANDBETWEEN(30,60)/100)</f>
        <v>32309</v>
      </c>
      <c r="AX1033">
        <f ca="1">IF(Z1033="ORAL",RANDBETWEEN(1000,10000),IF(OR(Z1033="INTRAVENOSA",Z1033="INTRAMUSCULAR"),RANDBETWEEN(100,2000),IF(OR(Z1033="OFTÁLMICA",Z1033="TOPICA (EXTERNA)"),RANDBETWEEN(200,3000),RANDBETWEEN(100,1500))))</f>
        <v>9913</v>
      </c>
      <c r="AY1033" s="2">
        <f ca="1">INT(AV1033*RANDBETWEEN(90,130)/100)</f>
        <v>88118</v>
      </c>
      <c r="AZ1033" t="str">
        <f t="shared" ca="1" si="83"/>
        <v>18.3%</v>
      </c>
      <c r="BA1033" t="str">
        <f t="shared" ca="1" si="84"/>
        <v>ALTO</v>
      </c>
    </row>
    <row r="1034" spans="4:53" x14ac:dyDescent="0.35">
      <c r="D1034" t="s">
        <v>6282</v>
      </c>
      <c r="E1034" s="1">
        <v>39694</v>
      </c>
      <c r="F1034" t="s">
        <v>6283</v>
      </c>
      <c r="G1034" t="s">
        <v>108</v>
      </c>
      <c r="H1034" t="s">
        <v>6284</v>
      </c>
      <c r="I1034">
        <v>19989642</v>
      </c>
      <c r="J1034" t="s">
        <v>28</v>
      </c>
      <c r="K1034">
        <v>1</v>
      </c>
      <c r="L1034" t="s">
        <v>6285</v>
      </c>
      <c r="M1034" t="s">
        <v>6286</v>
      </c>
      <c r="N1034" t="s">
        <v>6287</v>
      </c>
      <c r="O1034" t="s">
        <v>6288</v>
      </c>
      <c r="P1034" t="s">
        <v>601</v>
      </c>
      <c r="Q1034" s="1">
        <v>39622</v>
      </c>
      <c r="R1034" t="s">
        <v>1312</v>
      </c>
      <c r="S1034" t="s">
        <v>27</v>
      </c>
      <c r="T1034" t="s">
        <v>6289</v>
      </c>
      <c r="U1034" t="s">
        <v>6290</v>
      </c>
      <c r="V1034" t="s">
        <v>6291</v>
      </c>
      <c r="W1034">
        <v>12</v>
      </c>
      <c r="X1034">
        <v>19989642</v>
      </c>
      <c r="Y1034" t="s">
        <v>6292</v>
      </c>
      <c r="Z1034" t="s">
        <v>260</v>
      </c>
      <c r="AA1034" t="s">
        <v>32</v>
      </c>
      <c r="AB1034" t="s">
        <v>239</v>
      </c>
      <c r="AC1034" t="s">
        <v>25</v>
      </c>
      <c r="AD1034" t="s">
        <v>121</v>
      </c>
      <c r="AE1034">
        <v>1</v>
      </c>
      <c r="AF1034" t="s">
        <v>27</v>
      </c>
      <c r="AG1034" t="s">
        <v>26</v>
      </c>
      <c r="AH1034" t="s">
        <v>6721</v>
      </c>
      <c r="AI1034" t="str">
        <f t="shared" si="80"/>
        <v>NO</v>
      </c>
      <c r="AJ1034" t="str">
        <f t="shared" si="81"/>
        <v>OCTAPHARMA</v>
      </c>
      <c r="AK1034" t="str">
        <f>IF(ISNUMBER(SEARCH("FABRICANTE",AC1034)),"FABRICANTE",IF(ISNUMBER(SEARCH("IMPORTADOR",AC1034)),"IMPORTADOR","OTRO"))</f>
        <v>FABRICANTE</v>
      </c>
      <c r="AL1034" t="str">
        <f>IF(LEFT(Y1034,1)="A","Sistema digestivo",IF(LEFT(Y1034,1)="B","Sangre",IF(LEFT(Y1034,1)="C","Cardiovascular",IF(LEFT(Y1034,1)="D","Dermatológico",IF(LEFT(Y1034,1)="G","Genitourinario",IF(LEFT(Y1034,1)="H","Hormonal",IF(LEFT(Y1034,1)="J","Antiinfecciosos",IF(LEFT(Y1034,1)="L","Oncológicos",IF(LEFT(Y1034,1)="M","Musculoesquelético",IF(LEFT(Y1034,1)="N","Sistema nervioso",IF(LEFT(Y1034,1)="R","Respiratorio",IF(LEFT(Y1034,1)="S","Oftálmico",IF(LEFT(Y1034,1)="V","Varios","OTRO")))))))))))))</f>
        <v>Sangre</v>
      </c>
      <c r="AM1034" t="str">
        <f>IF(AG1034="Vigente","ACTIVO",IF(ISNUMBER(SEARCH("Inactivo",J1034)),"INACTIVO","REVISAR"))</f>
        <v>ACTIVO</v>
      </c>
      <c r="AN1034" t="str">
        <f ca="1">IF(OR(AF1034="",AF1034="null"),"",ROUND((AF1034-TODAY())/365.25,2))</f>
        <v/>
      </c>
      <c r="AO1034" t="str">
        <f ca="1">IF(AND(AG1034="Vigente",OR(AF1034="",AF1034="null",AF1034&gt;TODAY())),"SI",IF(AND(NOT(OR(AF1034="",AF1034="null")),AF1034&lt;=TODAY()),"NO",IF(AG1034="Vigente","SI","DESCONOCIDO")))</f>
        <v>SI</v>
      </c>
      <c r="AP1034" t="str">
        <f>IF(AND(ISNUMBER(SEARCH("IMPORTAR",AA1034)),ISNUMBER(SEARCH("FABRICAR",AA1034))),"MIXTO",IF(ISNUMBER(SEARCH("IMPORTAR",AA1034)),"IMPORTADO",IF(ISNUMBER(SEARCH("FABRICAR",AA1034)),"LOCAL","OTRO")))</f>
        <v>IMPORTADO</v>
      </c>
      <c r="AQ1034" t="str">
        <f>IF(AD1034="Si","SI",IF(AD1034="No","NO",""))</f>
        <v>NO</v>
      </c>
      <c r="AR1034" t="str">
        <f>IF(ISNUMBER(SEARCH("®",N1034)),"MARCA/INNOVADOR","GENERICO")</f>
        <v>MARCA/INNOVADOR</v>
      </c>
      <c r="AS1034">
        <f ca="1">IF(AE1034&gt;100,RANDBETWEEN(500,5000),IF(AND(AE1034&gt;=10,AE1034&lt;=100),RANDBETWEEN(100,1000),RANDBETWEEN(10,200)))</f>
        <v>50</v>
      </c>
      <c r="AT1034">
        <f t="shared" ca="1" si="82"/>
        <v>14</v>
      </c>
      <c r="AU1034">
        <f ca="1">INT(AS1034*RANDBETWEEN(120,200)/100)</f>
        <v>95</v>
      </c>
      <c r="AV1034" s="2">
        <f ca="1">IF(LEFT(Y1034,1)="L",RANDBETWEEN(500000,5000000),IF(LEFT(Y1034,1)="C",RANDBETWEEN(5000,50000),IF(LEFT(Y1034,1)="N",RANDBETWEEN(10000,150000),IF(LEFT(Y1034,1)="J",RANDBETWEEN(8000,200000),RANDBETWEEN(5000,100000)))))</f>
        <v>70559</v>
      </c>
      <c r="AW1034" s="2">
        <f ca="1">INT(AV1034*RANDBETWEEN(30,60)/100)</f>
        <v>42335</v>
      </c>
      <c r="AX1034">
        <f ca="1">IF(Z1034="ORAL",RANDBETWEEN(1000,10000),IF(OR(Z1034="INTRAVENOSA",Z1034="INTRAMUSCULAR"),RANDBETWEEN(100,2000),IF(OR(Z1034="OFTÁLMICA",Z1034="TOPICA (EXTERNA)"),RANDBETWEEN(200,3000),RANDBETWEEN(100,1500))))</f>
        <v>1338</v>
      </c>
      <c r="AY1034" s="2">
        <f ca="1">INT(AV1034*RANDBETWEEN(90,130)/100)</f>
        <v>67031</v>
      </c>
      <c r="AZ1034" t="str">
        <f t="shared" ca="1" si="83"/>
        <v>4.8%</v>
      </c>
      <c r="BA1034" t="str">
        <f t="shared" ca="1" si="84"/>
        <v>BAJO</v>
      </c>
    </row>
    <row r="1035" spans="4:53" x14ac:dyDescent="0.35">
      <c r="D1035" t="s">
        <v>6293</v>
      </c>
      <c r="E1035" s="1">
        <v>39897</v>
      </c>
      <c r="F1035" t="s">
        <v>2341</v>
      </c>
      <c r="G1035" t="s">
        <v>108</v>
      </c>
      <c r="H1035" t="s">
        <v>6294</v>
      </c>
      <c r="I1035">
        <v>19985112</v>
      </c>
      <c r="J1035" t="s">
        <v>28</v>
      </c>
      <c r="K1035">
        <v>6</v>
      </c>
      <c r="L1035" t="s">
        <v>27</v>
      </c>
      <c r="M1035" t="s">
        <v>6295</v>
      </c>
      <c r="N1035" t="s">
        <v>6296</v>
      </c>
      <c r="O1035" t="s">
        <v>6297</v>
      </c>
      <c r="P1035" t="s">
        <v>29</v>
      </c>
      <c r="Q1035" s="1">
        <v>41039</v>
      </c>
      <c r="R1035" t="s">
        <v>29</v>
      </c>
      <c r="S1035" t="s">
        <v>27</v>
      </c>
      <c r="T1035" t="s">
        <v>6298</v>
      </c>
      <c r="U1035" t="s">
        <v>115</v>
      </c>
      <c r="V1035" t="s">
        <v>2346</v>
      </c>
      <c r="W1035">
        <v>800</v>
      </c>
      <c r="X1035">
        <v>19985112</v>
      </c>
      <c r="Y1035" t="s">
        <v>2347</v>
      </c>
      <c r="Z1035" t="s">
        <v>119</v>
      </c>
      <c r="AA1035" t="s">
        <v>24</v>
      </c>
      <c r="AB1035" t="s">
        <v>120</v>
      </c>
      <c r="AC1035" t="s">
        <v>25</v>
      </c>
      <c r="AD1035" t="s">
        <v>121</v>
      </c>
      <c r="AE1035">
        <v>20</v>
      </c>
      <c r="AF1035" t="s">
        <v>27</v>
      </c>
      <c r="AG1035" t="s">
        <v>26</v>
      </c>
      <c r="AH1035" t="s">
        <v>2341</v>
      </c>
      <c r="AI1035" t="str">
        <f t="shared" si="80"/>
        <v>NO</v>
      </c>
      <c r="AJ1035" t="str">
        <f t="shared" si="81"/>
        <v>GLOBAL INTERNATIONAL MEDICINE- GIMED</v>
      </c>
      <c r="AK1035" t="str">
        <f>IF(ISNUMBER(SEARCH("FABRICANTE",AC1035)),"FABRICANTE",IF(ISNUMBER(SEARCH("IMPORTADOR",AC1035)),"IMPORTADOR","OTRO"))</f>
        <v>FABRICANTE</v>
      </c>
      <c r="AL1035" t="str">
        <f>IF(LEFT(Y1035,1)="A","Sistema digestivo",IF(LEFT(Y1035,1)="B","Sangre",IF(LEFT(Y1035,1)="C","Cardiovascular",IF(LEFT(Y1035,1)="D","Dermatológico",IF(LEFT(Y1035,1)="G","Genitourinario",IF(LEFT(Y1035,1)="H","Hormonal",IF(LEFT(Y1035,1)="J","Antiinfecciosos",IF(LEFT(Y1035,1)="L","Oncológicos",IF(LEFT(Y1035,1)="M","Musculoesquelético",IF(LEFT(Y1035,1)="N","Sistema nervioso",IF(LEFT(Y1035,1)="R","Respiratorio",IF(LEFT(Y1035,1)="S","Oftálmico",IF(LEFT(Y1035,1)="V","Varios","OTRO")))))))))))))</f>
        <v>Antiinfecciosos</v>
      </c>
      <c r="AM1035" t="str">
        <f>IF(AG1035="Vigente","ACTIVO",IF(ISNUMBER(SEARCH("Inactivo",J1035)),"INACTIVO","REVISAR"))</f>
        <v>ACTIVO</v>
      </c>
      <c r="AN1035" t="str">
        <f ca="1">IF(OR(AF1035="",AF1035="null"),"",ROUND((AF1035-TODAY())/365.25,2))</f>
        <v/>
      </c>
      <c r="AO1035" t="str">
        <f ca="1">IF(AND(AG1035="Vigente",OR(AF1035="",AF1035="null",AF1035&gt;TODAY())),"SI",IF(AND(NOT(OR(AF1035="",AF1035="null")),AF1035&lt;=TODAY()),"NO",IF(AG1035="Vigente","SI","DESCONOCIDO")))</f>
        <v>SI</v>
      </c>
      <c r="AP1035" t="str">
        <f>IF(AND(ISNUMBER(SEARCH("IMPORTAR",AA1035)),ISNUMBER(SEARCH("FABRICAR",AA1035))),"MIXTO",IF(ISNUMBER(SEARCH("IMPORTAR",AA1035)),"IMPORTADO",IF(ISNUMBER(SEARCH("FABRICAR",AA1035)),"LOCAL","OTRO")))</f>
        <v>LOCAL</v>
      </c>
      <c r="AQ1035" t="str">
        <f>IF(AD1035="Si","SI",IF(AD1035="No","NO",""))</f>
        <v>NO</v>
      </c>
      <c r="AR1035" t="str">
        <f>IF(ISNUMBER(SEARCH("®",N1035)),"MARCA/INNOVADOR","GENERICO")</f>
        <v>GENERICO</v>
      </c>
      <c r="AS1035">
        <f ca="1">IF(AE1035&gt;100,RANDBETWEEN(500,5000),IF(AND(AE1035&gt;=10,AE1035&lt;=100),RANDBETWEEN(100,1000),RANDBETWEEN(10,200)))</f>
        <v>1000</v>
      </c>
      <c r="AT1035">
        <f t="shared" ca="1" si="82"/>
        <v>180</v>
      </c>
      <c r="AU1035">
        <f ca="1">INT(AS1035*RANDBETWEEN(120,200)/100)</f>
        <v>1550</v>
      </c>
      <c r="AV1035" s="2">
        <f ca="1">IF(LEFT(Y1035,1)="L",RANDBETWEEN(500000,5000000),IF(LEFT(Y1035,1)="C",RANDBETWEEN(5000,50000),IF(LEFT(Y1035,1)="N",RANDBETWEEN(10000,150000),IF(LEFT(Y1035,1)="J",RANDBETWEEN(8000,200000),RANDBETWEEN(5000,100000)))))</f>
        <v>58569</v>
      </c>
      <c r="AW1035" s="2">
        <f ca="1">INT(AV1035*RANDBETWEEN(30,60)/100)</f>
        <v>29870</v>
      </c>
      <c r="AX1035">
        <f ca="1">IF(Z1035="ORAL",RANDBETWEEN(1000,10000),IF(OR(Z1035="INTRAVENOSA",Z1035="INTRAMUSCULAR"),RANDBETWEEN(100,2000),IF(OR(Z1035="OFTÁLMICA",Z1035="TOPICA (EXTERNA)"),RANDBETWEEN(200,3000),RANDBETWEEN(100,1500))))</f>
        <v>6614</v>
      </c>
      <c r="AY1035" s="2">
        <f ca="1">INT(AV1035*RANDBETWEEN(90,130)/100)</f>
        <v>70868</v>
      </c>
      <c r="AZ1035" t="str">
        <f t="shared" ca="1" si="83"/>
        <v>16%</v>
      </c>
      <c r="BA1035" t="str">
        <f t="shared" ca="1" si="84"/>
        <v>BAJO</v>
      </c>
    </row>
    <row r="1036" spans="4:53" x14ac:dyDescent="0.35">
      <c r="D1036" t="s">
        <v>6299</v>
      </c>
      <c r="E1036" s="1">
        <v>36161</v>
      </c>
      <c r="F1036" t="s">
        <v>2396</v>
      </c>
      <c r="G1036" t="s">
        <v>108</v>
      </c>
      <c r="H1036" t="s">
        <v>44</v>
      </c>
      <c r="I1036">
        <v>1980632</v>
      </c>
      <c r="J1036" t="s">
        <v>28</v>
      </c>
      <c r="K1036">
        <v>2</v>
      </c>
      <c r="L1036" t="s">
        <v>27</v>
      </c>
      <c r="M1036" t="s">
        <v>6300</v>
      </c>
      <c r="N1036" t="s">
        <v>6301</v>
      </c>
      <c r="O1036" t="s">
        <v>6302</v>
      </c>
      <c r="P1036" t="s">
        <v>266</v>
      </c>
      <c r="Q1036" s="1">
        <v>39031</v>
      </c>
      <c r="R1036" t="s">
        <v>33</v>
      </c>
      <c r="S1036" s="1">
        <v>44287</v>
      </c>
      <c r="T1036" t="s">
        <v>3878</v>
      </c>
      <c r="U1036" t="s">
        <v>247</v>
      </c>
      <c r="V1036" t="s">
        <v>2396</v>
      </c>
      <c r="W1036">
        <v>1</v>
      </c>
      <c r="X1036">
        <v>1980632</v>
      </c>
      <c r="Y1036" t="s">
        <v>2401</v>
      </c>
      <c r="Z1036" t="s">
        <v>119</v>
      </c>
      <c r="AA1036" t="s">
        <v>24</v>
      </c>
      <c r="AB1036" t="s">
        <v>120</v>
      </c>
      <c r="AC1036" t="s">
        <v>25</v>
      </c>
      <c r="AD1036" t="s">
        <v>121</v>
      </c>
      <c r="AE1036">
        <v>2</v>
      </c>
      <c r="AF1036" t="s">
        <v>27</v>
      </c>
      <c r="AG1036" t="s">
        <v>26</v>
      </c>
      <c r="AH1036" t="s">
        <v>2396</v>
      </c>
      <c r="AI1036" t="str">
        <f t="shared" si="80"/>
        <v>NO</v>
      </c>
      <c r="AJ1036" t="str">
        <f t="shared" si="81"/>
        <v>BIOCHEM FARMACEUTICA DE COLOMBIAS.A.</v>
      </c>
      <c r="AK1036" t="str">
        <f>IF(ISNUMBER(SEARCH("FABRICANTE",AC1036)),"FABRICANTE",IF(ISNUMBER(SEARCH("IMPORTADOR",AC1036)),"IMPORTADOR","OTRO"))</f>
        <v>FABRICANTE</v>
      </c>
      <c r="AL1036" t="str">
        <f>IF(LEFT(Y1036,1)="A","Sistema digestivo",IF(LEFT(Y1036,1)="B","Sangre",IF(LEFT(Y1036,1)="C","Cardiovascular",IF(LEFT(Y1036,1)="D","Dermatológico",IF(LEFT(Y1036,1)="G","Genitourinario",IF(LEFT(Y1036,1)="H","Hormonal",IF(LEFT(Y1036,1)="J","Antiinfecciosos",IF(LEFT(Y1036,1)="L","Oncológicos",IF(LEFT(Y1036,1)="M","Musculoesquelético",IF(LEFT(Y1036,1)="N","Sistema nervioso",IF(LEFT(Y1036,1)="R","Respiratorio",IF(LEFT(Y1036,1)="S","Oftálmico",IF(LEFT(Y1036,1)="V","Varios","OTRO")))))))))))))</f>
        <v>OTRO</v>
      </c>
      <c r="AM1036" t="str">
        <f>IF(AG1036="Vigente","ACTIVO",IF(ISNUMBER(SEARCH("Inactivo",J1036)),"INACTIVO","REVISAR"))</f>
        <v>ACTIVO</v>
      </c>
      <c r="AN1036" t="str">
        <f ca="1">IF(OR(AF1036="",AF1036="null"),"",ROUND((AF1036-TODAY())/365.25,2))</f>
        <v/>
      </c>
      <c r="AO1036" t="str">
        <f ca="1">IF(AND(AG1036="Vigente",OR(AF1036="",AF1036="null",AF1036&gt;TODAY())),"SI",IF(AND(NOT(OR(AF1036="",AF1036="null")),AF1036&lt;=TODAY()),"NO",IF(AG1036="Vigente","SI","DESCONOCIDO")))</f>
        <v>SI</v>
      </c>
      <c r="AP1036" t="str">
        <f>IF(AND(ISNUMBER(SEARCH("IMPORTAR",AA1036)),ISNUMBER(SEARCH("FABRICAR",AA1036))),"MIXTO",IF(ISNUMBER(SEARCH("IMPORTAR",AA1036)),"IMPORTADO",IF(ISNUMBER(SEARCH("FABRICAR",AA1036)),"LOCAL","OTRO")))</f>
        <v>LOCAL</v>
      </c>
      <c r="AQ1036" t="str">
        <f>IF(AD1036="Si","SI",IF(AD1036="No","NO",""))</f>
        <v>NO</v>
      </c>
      <c r="AR1036" t="str">
        <f>IF(ISNUMBER(SEARCH("®",N1036)),"MARCA/INNOVADOR","GENERICO")</f>
        <v>GENERICO</v>
      </c>
      <c r="AS1036">
        <f ca="1">IF(AE1036&gt;100,RANDBETWEEN(500,5000),IF(AND(AE1036&gt;=10,AE1036&lt;=100),RANDBETWEEN(100,1000),RANDBETWEEN(10,200)))</f>
        <v>100</v>
      </c>
      <c r="AT1036">
        <f t="shared" ca="1" si="82"/>
        <v>19</v>
      </c>
      <c r="AU1036">
        <f ca="1">INT(AS1036*RANDBETWEEN(120,200)/100)</f>
        <v>167</v>
      </c>
      <c r="AV1036" s="2">
        <f ca="1">IF(LEFT(Y1036,1)="L",RANDBETWEEN(500000,5000000),IF(LEFT(Y1036,1)="C",RANDBETWEEN(5000,50000),IF(LEFT(Y1036,1)="N",RANDBETWEEN(10000,150000),IF(LEFT(Y1036,1)="J",RANDBETWEEN(8000,200000),RANDBETWEEN(5000,100000)))))</f>
        <v>68254</v>
      </c>
      <c r="AW1036" s="2">
        <f ca="1">INT(AV1036*RANDBETWEEN(30,60)/100)</f>
        <v>24571</v>
      </c>
      <c r="AX1036">
        <f ca="1">IF(Z1036="ORAL",RANDBETWEEN(1000,10000),IF(OR(Z1036="INTRAVENOSA",Z1036="INTRAMUSCULAR"),RANDBETWEEN(100,2000),IF(OR(Z1036="OFTÁLMICA",Z1036="TOPICA (EXTERNA)"),RANDBETWEEN(200,3000),RANDBETWEEN(100,1500))))</f>
        <v>8520</v>
      </c>
      <c r="AY1036" s="2">
        <f ca="1">INT(AV1036*RANDBETWEEN(90,130)/100)</f>
        <v>67571</v>
      </c>
      <c r="AZ1036" t="str">
        <f t="shared" ca="1" si="83"/>
        <v>17.1%</v>
      </c>
      <c r="BA1036" t="str">
        <f t="shared" ca="1" si="84"/>
        <v>BAJO</v>
      </c>
    </row>
    <row r="1037" spans="4:53" x14ac:dyDescent="0.35">
      <c r="D1037" t="s">
        <v>6303</v>
      </c>
      <c r="E1037" s="1">
        <v>37827</v>
      </c>
      <c r="F1037" t="s">
        <v>4759</v>
      </c>
      <c r="G1037" t="s">
        <v>108</v>
      </c>
      <c r="H1037" t="s">
        <v>80</v>
      </c>
      <c r="I1037">
        <v>19937061</v>
      </c>
      <c r="J1037" t="s">
        <v>110</v>
      </c>
      <c r="K1037">
        <v>31</v>
      </c>
      <c r="L1037" t="s">
        <v>27</v>
      </c>
      <c r="M1037" t="s">
        <v>159</v>
      </c>
      <c r="N1037" t="s">
        <v>160</v>
      </c>
      <c r="O1037" t="s">
        <v>6304</v>
      </c>
      <c r="P1037" t="s">
        <v>37</v>
      </c>
      <c r="Q1037" s="1">
        <v>39602</v>
      </c>
      <c r="R1037" t="s">
        <v>37</v>
      </c>
      <c r="S1037" s="1">
        <v>41614</v>
      </c>
      <c r="T1037" t="s">
        <v>80</v>
      </c>
      <c r="U1037" t="s">
        <v>115</v>
      </c>
      <c r="V1037" t="s">
        <v>162</v>
      </c>
      <c r="W1037">
        <v>2</v>
      </c>
      <c r="X1037">
        <v>19937061</v>
      </c>
      <c r="Y1037" t="s">
        <v>164</v>
      </c>
      <c r="Z1037" t="s">
        <v>119</v>
      </c>
      <c r="AA1037" t="s">
        <v>165</v>
      </c>
      <c r="AB1037" t="s">
        <v>120</v>
      </c>
      <c r="AC1037" t="s">
        <v>38</v>
      </c>
      <c r="AD1037" t="s">
        <v>121</v>
      </c>
      <c r="AE1037">
        <v>54</v>
      </c>
      <c r="AF1037" t="s">
        <v>27</v>
      </c>
      <c r="AG1037" t="s">
        <v>26</v>
      </c>
      <c r="AH1037" t="s">
        <v>6611</v>
      </c>
      <c r="AI1037" t="str">
        <f t="shared" si="80"/>
        <v>SI</v>
      </c>
      <c r="AJ1037" t="str">
        <f t="shared" si="81"/>
        <v>TECNOQUIMICAS</v>
      </c>
      <c r="AK1037" t="str">
        <f>IF(ISNUMBER(SEARCH("FABRICANTE",AC1037)),"FABRICANTE",IF(ISNUMBER(SEARCH("IMPORTADOR",AC1037)),"IMPORTADOR","OTRO"))</f>
        <v>IMPORTADOR</v>
      </c>
      <c r="AL1037" t="str">
        <f>IF(LEFT(Y1037,1)="A","Sistema digestivo",IF(LEFT(Y1037,1)="B","Sangre",IF(LEFT(Y1037,1)="C","Cardiovascular",IF(LEFT(Y1037,1)="D","Dermatológico",IF(LEFT(Y1037,1)="G","Genitourinario",IF(LEFT(Y1037,1)="H","Hormonal",IF(LEFT(Y1037,1)="J","Antiinfecciosos",IF(LEFT(Y1037,1)="L","Oncológicos",IF(LEFT(Y1037,1)="M","Musculoesquelético",IF(LEFT(Y1037,1)="N","Sistema nervioso",IF(LEFT(Y1037,1)="R","Respiratorio",IF(LEFT(Y1037,1)="S","Oftálmico",IF(LEFT(Y1037,1)="V","Varios","OTRO")))))))))))))</f>
        <v>Musculoesquelético</v>
      </c>
      <c r="AM1037" t="str">
        <f>IF(AG1037="Vigente","ACTIVO",IF(ISNUMBER(SEARCH("Inactivo",J1037)),"INACTIVO","REVISAR"))</f>
        <v>ACTIVO</v>
      </c>
      <c r="AN1037" t="str">
        <f ca="1">IF(OR(AF1037="",AF1037="null"),"",ROUND((AF1037-TODAY())/365.25,2))</f>
        <v/>
      </c>
      <c r="AO1037" t="str">
        <f ca="1">IF(AND(AG1037="Vigente",OR(AF1037="",AF1037="null",AF1037&gt;TODAY())),"SI",IF(AND(NOT(OR(AF1037="",AF1037="null")),AF1037&lt;=TODAY()),"NO",IF(AG1037="Vigente","SI","DESCONOCIDO")))</f>
        <v>SI</v>
      </c>
      <c r="AP1037" t="str">
        <f>IF(AND(ISNUMBER(SEARCH("IMPORTAR",AA1037)),ISNUMBER(SEARCH("FABRICAR",AA1037))),"MIXTO",IF(ISNUMBER(SEARCH("IMPORTAR",AA1037)),"IMPORTADO",IF(ISNUMBER(SEARCH("FABRICAR",AA1037)),"LOCAL","OTRO")))</f>
        <v>IMPORTADO</v>
      </c>
      <c r="AQ1037" t="str">
        <f>IF(AD1037="Si","SI",IF(AD1037="No","NO",""))</f>
        <v>NO</v>
      </c>
      <c r="AR1037" t="str">
        <f>IF(ISNUMBER(SEARCH("®",N1037)),"MARCA/INNOVADOR","GENERICO")</f>
        <v>GENERICO</v>
      </c>
      <c r="AS1037">
        <f ca="1">IF(AE1037&gt;100,RANDBETWEEN(500,5000),IF(AND(AE1037&gt;=10,AE1037&lt;=100),RANDBETWEEN(100,1000),RANDBETWEEN(10,200)))</f>
        <v>651</v>
      </c>
      <c r="AT1037">
        <f t="shared" ca="1" si="82"/>
        <v>149</v>
      </c>
      <c r="AU1037">
        <f ca="1">INT(AS1037*RANDBETWEEN(120,200)/100)</f>
        <v>1054</v>
      </c>
      <c r="AV1037" s="2">
        <f ca="1">IF(LEFT(Y1037,1)="L",RANDBETWEEN(500000,5000000),IF(LEFT(Y1037,1)="C",RANDBETWEEN(5000,50000),IF(LEFT(Y1037,1)="N",RANDBETWEEN(10000,150000),IF(LEFT(Y1037,1)="J",RANDBETWEEN(8000,200000),RANDBETWEEN(5000,100000)))))</f>
        <v>23790</v>
      </c>
      <c r="AW1037" s="2">
        <f ca="1">INT(AV1037*RANDBETWEEN(30,60)/100)</f>
        <v>10943</v>
      </c>
      <c r="AX1037">
        <f ca="1">IF(Z1037="ORAL",RANDBETWEEN(1000,10000),IF(OR(Z1037="INTRAVENOSA",Z1037="INTRAMUSCULAR"),RANDBETWEEN(100,2000),IF(OR(Z1037="OFTÁLMICA",Z1037="TOPICA (EXTERNA)"),RANDBETWEEN(200,3000),RANDBETWEEN(100,1500))))</f>
        <v>5520</v>
      </c>
      <c r="AY1037" s="2">
        <f ca="1">INT(AV1037*RANDBETWEEN(90,130)/100)</f>
        <v>26644</v>
      </c>
      <c r="AZ1037" t="str">
        <f t="shared" ca="1" si="83"/>
        <v>5.1%</v>
      </c>
      <c r="BA1037" t="str">
        <f t="shared" ca="1" si="84"/>
        <v>ALTO</v>
      </c>
    </row>
    <row r="1038" spans="4:53" x14ac:dyDescent="0.35">
      <c r="D1038" t="s">
        <v>6305</v>
      </c>
      <c r="E1038" s="1">
        <v>42801</v>
      </c>
      <c r="F1038" t="s">
        <v>6306</v>
      </c>
      <c r="G1038" t="s">
        <v>108</v>
      </c>
      <c r="H1038" t="s">
        <v>1546</v>
      </c>
      <c r="I1038">
        <v>20095495</v>
      </c>
      <c r="J1038" t="s">
        <v>28</v>
      </c>
      <c r="K1038">
        <v>1</v>
      </c>
      <c r="L1038" t="s">
        <v>27</v>
      </c>
      <c r="M1038" t="s">
        <v>6307</v>
      </c>
      <c r="N1038" t="s">
        <v>6308</v>
      </c>
      <c r="O1038" t="s">
        <v>6309</v>
      </c>
      <c r="P1038" t="s">
        <v>3568</v>
      </c>
      <c r="Q1038" s="1">
        <v>42671</v>
      </c>
      <c r="R1038" t="s">
        <v>211</v>
      </c>
      <c r="S1038" t="s">
        <v>27</v>
      </c>
      <c r="T1038" t="s">
        <v>2068</v>
      </c>
      <c r="U1038" t="s">
        <v>469</v>
      </c>
      <c r="V1038" t="s">
        <v>6310</v>
      </c>
      <c r="W1038">
        <v>250</v>
      </c>
      <c r="X1038">
        <v>20095495</v>
      </c>
      <c r="Y1038" t="s">
        <v>6311</v>
      </c>
      <c r="Z1038" t="s">
        <v>260</v>
      </c>
      <c r="AA1038" t="s">
        <v>32</v>
      </c>
      <c r="AB1038" t="s">
        <v>239</v>
      </c>
      <c r="AC1038" t="s">
        <v>25</v>
      </c>
      <c r="AD1038" t="s">
        <v>121</v>
      </c>
      <c r="AE1038">
        <v>1</v>
      </c>
      <c r="AF1038" t="s">
        <v>27</v>
      </c>
      <c r="AG1038" t="s">
        <v>26</v>
      </c>
      <c r="AH1038" t="s">
        <v>6722</v>
      </c>
      <c r="AI1038" t="str">
        <f t="shared" si="80"/>
        <v>NO</v>
      </c>
      <c r="AJ1038" t="str">
        <f t="shared" si="81"/>
        <v>BAYER</v>
      </c>
      <c r="AK1038" t="str">
        <f>IF(ISNUMBER(SEARCH("FABRICANTE",AC1038)),"FABRICANTE",IF(ISNUMBER(SEARCH("IMPORTADOR",AC1038)),"IMPORTADOR","OTRO"))</f>
        <v>FABRICANTE</v>
      </c>
      <c r="AL1038" t="str">
        <f>IF(LEFT(Y1038,1)="A","Sistema digestivo",IF(LEFT(Y1038,1)="B","Sangre",IF(LEFT(Y1038,1)="C","Cardiovascular",IF(LEFT(Y1038,1)="D","Dermatológico",IF(LEFT(Y1038,1)="G","Genitourinario",IF(LEFT(Y1038,1)="H","Hormonal",IF(LEFT(Y1038,1)="J","Antiinfecciosos",IF(LEFT(Y1038,1)="L","Oncológicos",IF(LEFT(Y1038,1)="M","Musculoesquelético",IF(LEFT(Y1038,1)="N","Sistema nervioso",IF(LEFT(Y1038,1)="R","Respiratorio",IF(LEFT(Y1038,1)="S","Oftálmico",IF(LEFT(Y1038,1)="V","Varios","OTRO")))))))))))))</f>
        <v>Sangre</v>
      </c>
      <c r="AM1038" t="str">
        <f>IF(AG1038="Vigente","ACTIVO",IF(ISNUMBER(SEARCH("Inactivo",J1038)),"INACTIVO","REVISAR"))</f>
        <v>ACTIVO</v>
      </c>
      <c r="AN1038" t="str">
        <f ca="1">IF(OR(AF1038="",AF1038="null"),"",ROUND((AF1038-TODAY())/365.25,2))</f>
        <v/>
      </c>
      <c r="AO1038" t="str">
        <f ca="1">IF(AND(AG1038="Vigente",OR(AF1038="",AF1038="null",AF1038&gt;TODAY())),"SI",IF(AND(NOT(OR(AF1038="",AF1038="null")),AF1038&lt;=TODAY()),"NO",IF(AG1038="Vigente","SI","DESCONOCIDO")))</f>
        <v>SI</v>
      </c>
      <c r="AP1038" t="str">
        <f>IF(AND(ISNUMBER(SEARCH("IMPORTAR",AA1038)),ISNUMBER(SEARCH("FABRICAR",AA1038))),"MIXTO",IF(ISNUMBER(SEARCH("IMPORTAR",AA1038)),"IMPORTADO",IF(ISNUMBER(SEARCH("FABRICAR",AA1038)),"LOCAL","OTRO")))</f>
        <v>IMPORTADO</v>
      </c>
      <c r="AQ1038" t="str">
        <f>IF(AD1038="Si","SI",IF(AD1038="No","NO",""))</f>
        <v>NO</v>
      </c>
      <c r="AR1038" t="str">
        <f>IF(ISNUMBER(SEARCH("®",N1038)),"MARCA/INNOVADOR","GENERICO")</f>
        <v>MARCA/INNOVADOR</v>
      </c>
      <c r="AS1038">
        <f ca="1">IF(AE1038&gt;100,RANDBETWEEN(500,5000),IF(AND(AE1038&gt;=10,AE1038&lt;=100),RANDBETWEEN(100,1000),RANDBETWEEN(10,200)))</f>
        <v>37</v>
      </c>
      <c r="AT1038">
        <f t="shared" ca="1" si="82"/>
        <v>4</v>
      </c>
      <c r="AU1038">
        <f ca="1">INT(AS1038*RANDBETWEEN(120,200)/100)</f>
        <v>48</v>
      </c>
      <c r="AV1038" s="2">
        <f ca="1">IF(LEFT(Y1038,1)="L",RANDBETWEEN(500000,5000000),IF(LEFT(Y1038,1)="C",RANDBETWEEN(5000,50000),IF(LEFT(Y1038,1)="N",RANDBETWEEN(10000,150000),IF(LEFT(Y1038,1)="J",RANDBETWEEN(8000,200000),RANDBETWEEN(5000,100000)))))</f>
        <v>29880</v>
      </c>
      <c r="AW1038" s="2">
        <f ca="1">INT(AV1038*RANDBETWEEN(30,60)/100)</f>
        <v>14940</v>
      </c>
      <c r="AX1038">
        <f ca="1">IF(Z1038="ORAL",RANDBETWEEN(1000,10000),IF(OR(Z1038="INTRAVENOSA",Z1038="INTRAMUSCULAR"),RANDBETWEEN(100,2000),IF(OR(Z1038="OFTÁLMICA",Z1038="TOPICA (EXTERNA)"),RANDBETWEEN(200,3000),RANDBETWEEN(100,1500))))</f>
        <v>1258</v>
      </c>
      <c r="AY1038" s="2">
        <f ca="1">INT(AV1038*RANDBETWEEN(90,130)/100)</f>
        <v>36453</v>
      </c>
      <c r="AZ1038" t="str">
        <f t="shared" ca="1" si="83"/>
        <v>1.9%</v>
      </c>
      <c r="BA1038" t="str">
        <f t="shared" ca="1" si="84"/>
        <v>BAJO</v>
      </c>
    </row>
    <row r="1039" spans="4:53" x14ac:dyDescent="0.35">
      <c r="D1039" t="s">
        <v>6312</v>
      </c>
      <c r="E1039" s="1">
        <v>42206</v>
      </c>
      <c r="F1039" t="s">
        <v>1132</v>
      </c>
      <c r="G1039" t="s">
        <v>108</v>
      </c>
      <c r="H1039" t="s">
        <v>93</v>
      </c>
      <c r="I1039">
        <v>20084685</v>
      </c>
      <c r="J1039" t="s">
        <v>28</v>
      </c>
      <c r="K1039">
        <v>39</v>
      </c>
      <c r="L1039" t="s">
        <v>27</v>
      </c>
      <c r="M1039" t="s">
        <v>1133</v>
      </c>
      <c r="N1039" t="s">
        <v>1134</v>
      </c>
      <c r="O1039" t="s">
        <v>6313</v>
      </c>
      <c r="P1039" t="s">
        <v>1136</v>
      </c>
      <c r="Q1039" s="1">
        <v>45349</v>
      </c>
      <c r="R1039" t="s">
        <v>50</v>
      </c>
      <c r="S1039" t="s">
        <v>27</v>
      </c>
      <c r="T1039" t="s">
        <v>93</v>
      </c>
      <c r="U1039" t="s">
        <v>115</v>
      </c>
      <c r="V1039" t="s">
        <v>275</v>
      </c>
      <c r="W1039">
        <v>40</v>
      </c>
      <c r="X1039">
        <v>20084685</v>
      </c>
      <c r="Y1039" t="s">
        <v>276</v>
      </c>
      <c r="Z1039" t="s">
        <v>260</v>
      </c>
      <c r="AA1039" t="s">
        <v>32</v>
      </c>
      <c r="AB1039" t="s">
        <v>239</v>
      </c>
      <c r="AC1039" t="s">
        <v>38</v>
      </c>
      <c r="AD1039" t="s">
        <v>121</v>
      </c>
      <c r="AE1039">
        <v>1</v>
      </c>
      <c r="AF1039" t="s">
        <v>27</v>
      </c>
      <c r="AG1039" t="s">
        <v>26</v>
      </c>
      <c r="AH1039" t="s">
        <v>1822</v>
      </c>
      <c r="AI1039" t="str">
        <f t="shared" si="80"/>
        <v>SI</v>
      </c>
      <c r="AJ1039" t="str">
        <f t="shared" si="81"/>
        <v>LABORATORIOS DELTA</v>
      </c>
      <c r="AK1039" t="str">
        <f>IF(ISNUMBER(SEARCH("FABRICANTE",AC1039)),"FABRICANTE",IF(ISNUMBER(SEARCH("IMPORTADOR",AC1039)),"IMPORTADOR","OTRO"))</f>
        <v>IMPORTADOR</v>
      </c>
      <c r="AL1039" t="str">
        <f>IF(LEFT(Y1039,1)="A","Sistema digestivo",IF(LEFT(Y1039,1)="B","Sangre",IF(LEFT(Y1039,1)="C","Cardiovascular",IF(LEFT(Y1039,1)="D","Dermatológico",IF(LEFT(Y1039,1)="G","Genitourinario",IF(LEFT(Y1039,1)="H","Hormonal",IF(LEFT(Y1039,1)="J","Antiinfecciosos",IF(LEFT(Y1039,1)="L","Oncológicos",IF(LEFT(Y1039,1)="M","Musculoesquelético",IF(LEFT(Y1039,1)="N","Sistema nervioso",IF(LEFT(Y1039,1)="R","Respiratorio",IF(LEFT(Y1039,1)="S","Oftálmico",IF(LEFT(Y1039,1)="V","Varios","OTRO")))))))))))))</f>
        <v>Sangre</v>
      </c>
      <c r="AM1039" t="str">
        <f>IF(AG1039="Vigente","ACTIVO",IF(ISNUMBER(SEARCH("Inactivo",J1039)),"INACTIVO","REVISAR"))</f>
        <v>ACTIVO</v>
      </c>
      <c r="AN1039" t="str">
        <f ca="1">IF(OR(AF1039="",AF1039="null"),"",ROUND((AF1039-TODAY())/365.25,2))</f>
        <v/>
      </c>
      <c r="AO1039" t="str">
        <f ca="1">IF(AND(AG1039="Vigente",OR(AF1039="",AF1039="null",AF1039&gt;TODAY())),"SI",IF(AND(NOT(OR(AF1039="",AF1039="null")),AF1039&lt;=TODAY()),"NO",IF(AG1039="Vigente","SI","DESCONOCIDO")))</f>
        <v>SI</v>
      </c>
      <c r="AP1039" t="str">
        <f>IF(AND(ISNUMBER(SEARCH("IMPORTAR",AA1039)),ISNUMBER(SEARCH("FABRICAR",AA1039))),"MIXTO",IF(ISNUMBER(SEARCH("IMPORTAR",AA1039)),"IMPORTADO",IF(ISNUMBER(SEARCH("FABRICAR",AA1039)),"LOCAL","OTRO")))</f>
        <v>IMPORTADO</v>
      </c>
      <c r="AQ1039" t="str">
        <f>IF(AD1039="Si","SI",IF(AD1039="No","NO",""))</f>
        <v>NO</v>
      </c>
      <c r="AR1039" t="str">
        <f>IF(ISNUMBER(SEARCH("®",N1039)),"MARCA/INNOVADOR","GENERICO")</f>
        <v>GENERICO</v>
      </c>
      <c r="AS1039">
        <f ca="1">IF(AE1039&gt;100,RANDBETWEEN(500,5000),IF(AND(AE1039&gt;=10,AE1039&lt;=100),RANDBETWEEN(100,1000),RANDBETWEEN(10,200)))</f>
        <v>155</v>
      </c>
      <c r="AT1039">
        <f t="shared" ca="1" si="82"/>
        <v>24</v>
      </c>
      <c r="AU1039">
        <f ca="1">INT(AS1039*RANDBETWEEN(120,200)/100)</f>
        <v>292</v>
      </c>
      <c r="AV1039" s="2">
        <f ca="1">IF(LEFT(Y1039,1)="L",RANDBETWEEN(500000,5000000),IF(LEFT(Y1039,1)="C",RANDBETWEEN(5000,50000),IF(LEFT(Y1039,1)="N",RANDBETWEEN(10000,150000),IF(LEFT(Y1039,1)="J",RANDBETWEEN(8000,200000),RANDBETWEEN(5000,100000)))))</f>
        <v>15154</v>
      </c>
      <c r="AW1039" s="2">
        <f ca="1">INT(AV1039*RANDBETWEEN(30,60)/100)</f>
        <v>6061</v>
      </c>
      <c r="AX1039">
        <f ca="1">IF(Z1039="ORAL",RANDBETWEEN(1000,10000),IF(OR(Z1039="INTRAVENOSA",Z1039="INTRAMUSCULAR"),RANDBETWEEN(100,2000),IF(OR(Z1039="OFTÁLMICA",Z1039="TOPICA (EXTERNA)"),RANDBETWEEN(200,3000),RANDBETWEEN(100,1500))))</f>
        <v>1232</v>
      </c>
      <c r="AY1039" s="2">
        <f ca="1">INT(AV1039*RANDBETWEEN(90,130)/100)</f>
        <v>16063</v>
      </c>
      <c r="AZ1039" t="str">
        <f t="shared" ca="1" si="83"/>
        <v>1%</v>
      </c>
      <c r="BA1039" t="str">
        <f t="shared" ca="1" si="84"/>
        <v>BAJO</v>
      </c>
    </row>
    <row r="1040" spans="4:53" x14ac:dyDescent="0.35">
      <c r="D1040" t="s">
        <v>6314</v>
      </c>
      <c r="E1040" s="1">
        <v>38958</v>
      </c>
      <c r="F1040" t="s">
        <v>6315</v>
      </c>
      <c r="G1040" t="s">
        <v>247</v>
      </c>
      <c r="H1040" t="s">
        <v>6316</v>
      </c>
      <c r="I1040">
        <v>19964644</v>
      </c>
      <c r="J1040" t="s">
        <v>110</v>
      </c>
      <c r="K1040">
        <v>12</v>
      </c>
      <c r="L1040" t="s">
        <v>27</v>
      </c>
      <c r="M1040" t="s">
        <v>6317</v>
      </c>
      <c r="N1040" t="s">
        <v>6318</v>
      </c>
      <c r="O1040" t="s">
        <v>6319</v>
      </c>
      <c r="P1040" t="s">
        <v>2920</v>
      </c>
      <c r="Q1040" s="1">
        <v>39106</v>
      </c>
      <c r="R1040" t="s">
        <v>912</v>
      </c>
      <c r="S1040" s="1">
        <v>43063</v>
      </c>
      <c r="T1040" t="s">
        <v>6320</v>
      </c>
      <c r="U1040" t="s">
        <v>247</v>
      </c>
      <c r="V1040" t="s">
        <v>6315</v>
      </c>
      <c r="W1040">
        <v>2</v>
      </c>
      <c r="X1040">
        <v>19964644</v>
      </c>
      <c r="Y1040" t="s">
        <v>6321</v>
      </c>
      <c r="Z1040" t="s">
        <v>566</v>
      </c>
      <c r="AA1040" t="s">
        <v>24</v>
      </c>
      <c r="AB1040" t="s">
        <v>653</v>
      </c>
      <c r="AC1040" t="s">
        <v>25</v>
      </c>
      <c r="AD1040" t="s">
        <v>121</v>
      </c>
      <c r="AE1040">
        <v>50</v>
      </c>
      <c r="AF1040" t="s">
        <v>27</v>
      </c>
      <c r="AG1040" t="s">
        <v>26</v>
      </c>
      <c r="AH1040" t="s">
        <v>6315</v>
      </c>
      <c r="AI1040" t="str">
        <f t="shared" si="80"/>
        <v>NO</v>
      </c>
      <c r="AJ1040" t="str">
        <f t="shared" si="81"/>
        <v>PHARMADERM</v>
      </c>
      <c r="AK1040" t="str">
        <f>IF(ISNUMBER(SEARCH("FABRICANTE",AC1040)),"FABRICANTE",IF(ISNUMBER(SEARCH("IMPORTADOR",AC1040)),"IMPORTADOR","OTRO"))</f>
        <v>FABRICANTE</v>
      </c>
      <c r="AL1040" t="str">
        <f>IF(LEFT(Y1040,1)="A","Sistema digestivo",IF(LEFT(Y1040,1)="B","Sangre",IF(LEFT(Y1040,1)="C","Cardiovascular",IF(LEFT(Y1040,1)="D","Dermatológico",IF(LEFT(Y1040,1)="G","Genitourinario",IF(LEFT(Y1040,1)="H","Hormonal",IF(LEFT(Y1040,1)="J","Antiinfecciosos",IF(LEFT(Y1040,1)="L","Oncológicos",IF(LEFT(Y1040,1)="M","Musculoesquelético",IF(LEFT(Y1040,1)="N","Sistema nervioso",IF(LEFT(Y1040,1)="R","Respiratorio",IF(LEFT(Y1040,1)="S","Oftálmico",IF(LEFT(Y1040,1)="V","Varios","OTRO")))))))))))))</f>
        <v>Dermatológico</v>
      </c>
      <c r="AM1040" t="str">
        <f>IF(AG1040="Vigente","ACTIVO",IF(ISNUMBER(SEARCH("Inactivo",J1040)),"INACTIVO","REVISAR"))</f>
        <v>ACTIVO</v>
      </c>
      <c r="AN1040" t="str">
        <f ca="1">IF(OR(AF1040="",AF1040="null"),"",ROUND((AF1040-TODAY())/365.25,2))</f>
        <v/>
      </c>
      <c r="AO1040" t="str">
        <f ca="1">IF(AND(AG1040="Vigente",OR(AF1040="",AF1040="null",AF1040&gt;TODAY())),"SI",IF(AND(NOT(OR(AF1040="",AF1040="null")),AF1040&lt;=TODAY()),"NO",IF(AG1040="Vigente","SI","DESCONOCIDO")))</f>
        <v>SI</v>
      </c>
      <c r="AP1040" t="str">
        <f>IF(AND(ISNUMBER(SEARCH("IMPORTAR",AA1040)),ISNUMBER(SEARCH("FABRICAR",AA1040))),"MIXTO",IF(ISNUMBER(SEARCH("IMPORTAR",AA1040)),"IMPORTADO",IF(ISNUMBER(SEARCH("FABRICAR",AA1040)),"LOCAL","OTRO")))</f>
        <v>LOCAL</v>
      </c>
      <c r="AQ1040" t="str">
        <f>IF(AD1040="Si","SI",IF(AD1040="No","NO",""))</f>
        <v>NO</v>
      </c>
      <c r="AR1040" t="str">
        <f>IF(ISNUMBER(SEARCH("®",N1040)),"MARCA/INNOVADOR","GENERICO")</f>
        <v>MARCA/INNOVADOR</v>
      </c>
      <c r="AS1040">
        <f ca="1">IF(AE1040&gt;100,RANDBETWEEN(500,5000),IF(AND(AE1040&gt;=10,AE1040&lt;=100),RANDBETWEEN(100,1000),RANDBETWEEN(10,200)))</f>
        <v>260</v>
      </c>
      <c r="AT1040">
        <f t="shared" ca="1" si="82"/>
        <v>57</v>
      </c>
      <c r="AU1040">
        <f ca="1">INT(AS1040*RANDBETWEEN(120,200)/100)</f>
        <v>343</v>
      </c>
      <c r="AV1040" s="2">
        <f ca="1">IF(LEFT(Y1040,1)="L",RANDBETWEEN(500000,5000000),IF(LEFT(Y1040,1)="C",RANDBETWEEN(5000,50000),IF(LEFT(Y1040,1)="N",RANDBETWEEN(10000,150000),IF(LEFT(Y1040,1)="J",RANDBETWEEN(8000,200000),RANDBETWEEN(5000,100000)))))</f>
        <v>70722</v>
      </c>
      <c r="AW1040" s="2">
        <f ca="1">INT(AV1040*RANDBETWEEN(30,60)/100)</f>
        <v>34653</v>
      </c>
      <c r="AX1040">
        <f ca="1">IF(Z1040="ORAL",RANDBETWEEN(1000,10000),IF(OR(Z1040="INTRAVENOSA",Z1040="INTRAMUSCULAR"),RANDBETWEEN(100,2000),IF(OR(Z1040="OFTÁLMICA",Z1040="TOPICA (EXTERNA)"),RANDBETWEEN(200,3000),RANDBETWEEN(100,1500))))</f>
        <v>523</v>
      </c>
      <c r="AY1040" s="2">
        <f ca="1">INT(AV1040*RANDBETWEEN(90,130)/100)</f>
        <v>74258</v>
      </c>
      <c r="AZ1040" t="str">
        <f t="shared" ca="1" si="83"/>
        <v>4%</v>
      </c>
      <c r="BA1040" t="str">
        <f t="shared" ca="1" si="84"/>
        <v>ALTO</v>
      </c>
    </row>
    <row r="1041" spans="4:53" x14ac:dyDescent="0.35">
      <c r="D1041" t="s">
        <v>6322</v>
      </c>
      <c r="E1041" s="1">
        <v>37424</v>
      </c>
      <c r="F1041" t="s">
        <v>5689</v>
      </c>
      <c r="G1041" t="s">
        <v>108</v>
      </c>
      <c r="H1041" t="s">
        <v>2424</v>
      </c>
      <c r="I1041">
        <v>19929371</v>
      </c>
      <c r="J1041" t="s">
        <v>28</v>
      </c>
      <c r="K1041">
        <v>3</v>
      </c>
      <c r="L1041" t="s">
        <v>27</v>
      </c>
      <c r="M1041" t="s">
        <v>5690</v>
      </c>
      <c r="N1041" t="s">
        <v>5691</v>
      </c>
      <c r="O1041" t="s">
        <v>6323</v>
      </c>
      <c r="P1041" t="s">
        <v>2428</v>
      </c>
      <c r="Q1041" s="1">
        <v>39031</v>
      </c>
      <c r="R1041" t="s">
        <v>50</v>
      </c>
      <c r="S1041" t="s">
        <v>27</v>
      </c>
      <c r="T1041" t="s">
        <v>2424</v>
      </c>
      <c r="U1041" t="s">
        <v>115</v>
      </c>
      <c r="V1041" t="s">
        <v>2321</v>
      </c>
      <c r="W1041">
        <v>20</v>
      </c>
      <c r="X1041">
        <v>19929371</v>
      </c>
      <c r="Y1041" t="s">
        <v>2322</v>
      </c>
      <c r="Z1041" t="s">
        <v>6324</v>
      </c>
      <c r="AA1041" t="s">
        <v>24</v>
      </c>
      <c r="AB1041" t="s">
        <v>120</v>
      </c>
      <c r="AC1041" t="s">
        <v>25</v>
      </c>
      <c r="AD1041" t="s">
        <v>121</v>
      </c>
      <c r="AE1041">
        <v>50</v>
      </c>
      <c r="AF1041" t="s">
        <v>27</v>
      </c>
      <c r="AG1041" t="s">
        <v>26</v>
      </c>
      <c r="AH1041" t="s">
        <v>5689</v>
      </c>
      <c r="AI1041" t="str">
        <f t="shared" si="80"/>
        <v>NO</v>
      </c>
      <c r="AJ1041" t="str">
        <f t="shared" si="81"/>
        <v>PRODUCTORA Y COMERCIALIZADORA ODONTOLOGICANEW STETIC</v>
      </c>
      <c r="AK1041" t="str">
        <f>IF(ISNUMBER(SEARCH("FABRICANTE",AC1041)),"FABRICANTE",IF(ISNUMBER(SEARCH("IMPORTADOR",AC1041)),"IMPORTADOR","OTRO"))</f>
        <v>FABRICANTE</v>
      </c>
      <c r="AL1041" t="str">
        <f>IF(LEFT(Y1041,1)="A","Sistema digestivo",IF(LEFT(Y1041,1)="B","Sangre",IF(LEFT(Y1041,1)="C","Cardiovascular",IF(LEFT(Y1041,1)="D","Dermatológico",IF(LEFT(Y1041,1)="G","Genitourinario",IF(LEFT(Y1041,1)="H","Hormonal",IF(LEFT(Y1041,1)="J","Antiinfecciosos",IF(LEFT(Y1041,1)="L","Oncológicos",IF(LEFT(Y1041,1)="M","Musculoesquelético",IF(LEFT(Y1041,1)="N","Sistema nervioso",IF(LEFT(Y1041,1)="R","Respiratorio",IF(LEFT(Y1041,1)="S","Oftálmico",IF(LEFT(Y1041,1)="V","Varios","OTRO")))))))))))))</f>
        <v>Sistema nervioso</v>
      </c>
      <c r="AM1041" t="str">
        <f>IF(AG1041="Vigente","ACTIVO",IF(ISNUMBER(SEARCH("Inactivo",J1041)),"INACTIVO","REVISAR"))</f>
        <v>ACTIVO</v>
      </c>
      <c r="AN1041" t="str">
        <f ca="1">IF(OR(AF1041="",AF1041="null"),"",ROUND((AF1041-TODAY())/365.25,2))</f>
        <v/>
      </c>
      <c r="AO1041" t="str">
        <f ca="1">IF(AND(AG1041="Vigente",OR(AF1041="",AF1041="null",AF1041&gt;TODAY())),"SI",IF(AND(NOT(OR(AF1041="",AF1041="null")),AF1041&lt;=TODAY()),"NO",IF(AG1041="Vigente","SI","DESCONOCIDO")))</f>
        <v>SI</v>
      </c>
      <c r="AP1041" t="str">
        <f>IF(AND(ISNUMBER(SEARCH("IMPORTAR",AA1041)),ISNUMBER(SEARCH("FABRICAR",AA1041))),"MIXTO",IF(ISNUMBER(SEARCH("IMPORTAR",AA1041)),"IMPORTADO",IF(ISNUMBER(SEARCH("FABRICAR",AA1041)),"LOCAL","OTRO")))</f>
        <v>LOCAL</v>
      </c>
      <c r="AQ1041" t="str">
        <f>IF(AD1041="Si","SI",IF(AD1041="No","NO",""))</f>
        <v>NO</v>
      </c>
      <c r="AR1041" t="str">
        <f>IF(ISNUMBER(SEARCH("®",N1041)),"MARCA/INNOVADOR","GENERICO")</f>
        <v>GENERICO</v>
      </c>
      <c r="AS1041">
        <f ca="1">IF(AE1041&gt;100,RANDBETWEEN(500,5000),IF(AND(AE1041&gt;=10,AE1041&lt;=100),RANDBETWEEN(100,1000),RANDBETWEEN(10,200)))</f>
        <v>531</v>
      </c>
      <c r="AT1041">
        <f t="shared" ca="1" si="82"/>
        <v>143</v>
      </c>
      <c r="AU1041">
        <f ca="1">INT(AS1041*RANDBETWEEN(120,200)/100)</f>
        <v>838</v>
      </c>
      <c r="AV1041" s="2">
        <f ca="1">IF(LEFT(Y1041,1)="L",RANDBETWEEN(500000,5000000),IF(LEFT(Y1041,1)="C",RANDBETWEEN(5000,50000),IF(LEFT(Y1041,1)="N",RANDBETWEEN(10000,150000),IF(LEFT(Y1041,1)="J",RANDBETWEEN(8000,200000),RANDBETWEEN(5000,100000)))))</f>
        <v>123951</v>
      </c>
      <c r="AW1041" s="2">
        <f ca="1">INT(AV1041*RANDBETWEEN(30,60)/100)</f>
        <v>54538</v>
      </c>
      <c r="AX1041">
        <f ca="1">IF(Z1041="ORAL",RANDBETWEEN(1000,10000),IF(OR(Z1041="INTRAVENOSA",Z1041="INTRAMUSCULAR"),RANDBETWEEN(100,2000),IF(OR(Z1041="OFTÁLMICA",Z1041="TOPICA (EXTERNA)"),RANDBETWEEN(200,3000),RANDBETWEEN(100,1500))))</f>
        <v>1176</v>
      </c>
      <c r="AY1041" s="2">
        <f ca="1">INT(AV1041*RANDBETWEEN(90,130)/100)</f>
        <v>118992</v>
      </c>
      <c r="AZ1041" t="str">
        <f t="shared" ca="1" si="83"/>
        <v>3.6%</v>
      </c>
      <c r="BA1041" t="str">
        <f t="shared" ca="1" si="84"/>
        <v>BAJO</v>
      </c>
    </row>
    <row r="1042" spans="4:53" x14ac:dyDescent="0.35">
      <c r="D1042" t="s">
        <v>6325</v>
      </c>
      <c r="E1042" s="1">
        <v>42195</v>
      </c>
      <c r="F1042" t="s">
        <v>6326</v>
      </c>
      <c r="G1042" t="s">
        <v>6327</v>
      </c>
      <c r="H1042" t="s">
        <v>6328</v>
      </c>
      <c r="I1042">
        <v>20084001</v>
      </c>
      <c r="J1042" t="s">
        <v>28</v>
      </c>
      <c r="K1042">
        <v>3</v>
      </c>
      <c r="L1042" t="s">
        <v>6329</v>
      </c>
      <c r="M1042" t="s">
        <v>6330</v>
      </c>
      <c r="N1042" t="s">
        <v>6331</v>
      </c>
      <c r="O1042" t="s">
        <v>6332</v>
      </c>
      <c r="P1042" t="s">
        <v>257</v>
      </c>
      <c r="Q1042" s="1">
        <v>42195</v>
      </c>
      <c r="R1042" t="s">
        <v>1818</v>
      </c>
      <c r="S1042" t="s">
        <v>27</v>
      </c>
      <c r="T1042" t="s">
        <v>2155</v>
      </c>
      <c r="U1042" t="s">
        <v>5983</v>
      </c>
      <c r="V1042" t="s">
        <v>6333</v>
      </c>
      <c r="W1042" t="s">
        <v>2963</v>
      </c>
      <c r="X1042">
        <v>20084001</v>
      </c>
      <c r="Y1042" t="s">
        <v>6334</v>
      </c>
      <c r="Z1042" t="s">
        <v>1168</v>
      </c>
      <c r="AA1042" t="s">
        <v>32</v>
      </c>
      <c r="AB1042" t="s">
        <v>1983</v>
      </c>
      <c r="AC1042" t="s">
        <v>38</v>
      </c>
      <c r="AD1042" t="s">
        <v>121</v>
      </c>
      <c r="AE1042">
        <v>10</v>
      </c>
      <c r="AF1042" s="1">
        <v>401769</v>
      </c>
      <c r="AG1042" t="s">
        <v>26</v>
      </c>
      <c r="AH1042" t="s">
        <v>6723</v>
      </c>
      <c r="AI1042" t="str">
        <f t="shared" si="80"/>
        <v>NO</v>
      </c>
      <c r="AJ1042" t="str">
        <f t="shared" si="81"/>
        <v>GASES INDUSTRIALES DE COLOMBIA - CRYOGAS</v>
      </c>
      <c r="AK1042" t="str">
        <f>IF(ISNUMBER(SEARCH("FABRICANTE",AC1042)),"FABRICANTE",IF(ISNUMBER(SEARCH("IMPORTADOR",AC1042)),"IMPORTADOR","OTRO"))</f>
        <v>IMPORTADOR</v>
      </c>
      <c r="AL1042" t="str">
        <f>IF(LEFT(Y1042,1)="A","Sistema digestivo",IF(LEFT(Y1042,1)="B","Sangre",IF(LEFT(Y1042,1)="C","Cardiovascular",IF(LEFT(Y1042,1)="D","Dermatológico",IF(LEFT(Y1042,1)="G","Genitourinario",IF(LEFT(Y1042,1)="H","Hormonal",IF(LEFT(Y1042,1)="J","Antiinfecciosos",IF(LEFT(Y1042,1)="L","Oncológicos",IF(LEFT(Y1042,1)="M","Musculoesquelético",IF(LEFT(Y1042,1)="N","Sistema nervioso",IF(LEFT(Y1042,1)="R","Respiratorio",IF(LEFT(Y1042,1)="S","Oftálmico",IF(LEFT(Y1042,1)="V","Varios","OTRO")))))))))))))</f>
        <v>Respiratorio</v>
      </c>
      <c r="AM1042" t="str">
        <f>IF(AG1042="Vigente","ACTIVO",IF(ISNUMBER(SEARCH("Inactivo",J1042)),"INACTIVO","REVISAR"))</f>
        <v>ACTIVO</v>
      </c>
      <c r="AN1042">
        <f ca="1">IF(OR(AF1042="",AF1042="null"),"",ROUND((AF1042-TODAY())/365.25,2))</f>
        <v>973.58</v>
      </c>
      <c r="AO1042" t="str">
        <f ca="1">IF(AND(AG1042="Vigente",OR(AF1042="",AF1042="null",AF1042&gt;TODAY())),"SI",IF(AND(NOT(OR(AF1042="",AF1042="null")),AF1042&lt;=TODAY()),"NO",IF(AG1042="Vigente","SI","DESCONOCIDO")))</f>
        <v>SI</v>
      </c>
      <c r="AP1042" t="str">
        <f>IF(AND(ISNUMBER(SEARCH("IMPORTAR",AA1042)),ISNUMBER(SEARCH("FABRICAR",AA1042))),"MIXTO",IF(ISNUMBER(SEARCH("IMPORTAR",AA1042)),"IMPORTADO",IF(ISNUMBER(SEARCH("FABRICAR",AA1042)),"LOCAL","OTRO")))</f>
        <v>IMPORTADO</v>
      </c>
      <c r="AQ1042" t="str">
        <f>IF(AD1042="Si","SI",IF(AD1042="No","NO",""))</f>
        <v>NO</v>
      </c>
      <c r="AR1042" t="str">
        <f>IF(ISNUMBER(SEARCH("®",N1042)),"MARCA/INNOVADOR","GENERICO")</f>
        <v>MARCA/INNOVADOR</v>
      </c>
      <c r="AS1042">
        <f ca="1">IF(AE1042&gt;100,RANDBETWEEN(500,5000),IF(AND(AE1042&gt;=10,AE1042&lt;=100),RANDBETWEEN(100,1000),RANDBETWEEN(10,200)))</f>
        <v>404</v>
      </c>
      <c r="AT1042">
        <f t="shared" ca="1" si="82"/>
        <v>44</v>
      </c>
      <c r="AU1042">
        <f ca="1">INT(AS1042*RANDBETWEEN(120,200)/100)</f>
        <v>743</v>
      </c>
      <c r="AV1042" s="2">
        <f ca="1">IF(LEFT(Y1042,1)="L",RANDBETWEEN(500000,5000000),IF(LEFT(Y1042,1)="C",RANDBETWEEN(5000,50000),IF(LEFT(Y1042,1)="N",RANDBETWEEN(10000,150000),IF(LEFT(Y1042,1)="J",RANDBETWEEN(8000,200000),RANDBETWEEN(5000,100000)))))</f>
        <v>61165</v>
      </c>
      <c r="AW1042" s="2">
        <f ca="1">INT(AV1042*RANDBETWEEN(30,60)/100)</f>
        <v>21407</v>
      </c>
      <c r="AX1042">
        <f ca="1">IF(Z1042="ORAL",RANDBETWEEN(1000,10000),IF(OR(Z1042="INTRAVENOSA",Z1042="INTRAMUSCULAR"),RANDBETWEEN(100,2000),IF(OR(Z1042="OFTÁLMICA",Z1042="TOPICA (EXTERNA)"),RANDBETWEEN(200,3000),RANDBETWEEN(100,1500))))</f>
        <v>988</v>
      </c>
      <c r="AY1042" s="2">
        <f ca="1">INT(AV1042*RANDBETWEEN(90,130)/100)</f>
        <v>69728</v>
      </c>
      <c r="AZ1042" t="str">
        <f t="shared" ca="1" si="83"/>
        <v>6%</v>
      </c>
      <c r="BA1042" t="str">
        <f t="shared" ca="1" si="84"/>
        <v>BAJO</v>
      </c>
    </row>
    <row r="1043" spans="4:53" x14ac:dyDescent="0.35">
      <c r="D1043" t="s">
        <v>6335</v>
      </c>
      <c r="E1043" s="1">
        <v>41477</v>
      </c>
      <c r="F1043" t="s">
        <v>743</v>
      </c>
      <c r="G1043" t="s">
        <v>108</v>
      </c>
      <c r="H1043" t="s">
        <v>354</v>
      </c>
      <c r="I1043">
        <v>20056375</v>
      </c>
      <c r="J1043" t="s">
        <v>28</v>
      </c>
      <c r="K1043">
        <v>24</v>
      </c>
      <c r="L1043" t="s">
        <v>27</v>
      </c>
      <c r="M1043" t="s">
        <v>6336</v>
      </c>
      <c r="N1043" t="s">
        <v>6337</v>
      </c>
      <c r="O1043" t="s">
        <v>6338</v>
      </c>
      <c r="P1043" t="s">
        <v>33</v>
      </c>
      <c r="Q1043" s="1">
        <v>41351</v>
      </c>
      <c r="R1043" t="s">
        <v>33</v>
      </c>
      <c r="S1043" t="s">
        <v>27</v>
      </c>
      <c r="T1043" t="s">
        <v>354</v>
      </c>
      <c r="U1043" t="s">
        <v>115</v>
      </c>
      <c r="V1043" t="s">
        <v>743</v>
      </c>
      <c r="W1043">
        <v>1</v>
      </c>
      <c r="X1043">
        <v>20056375</v>
      </c>
      <c r="Y1043" t="s">
        <v>747</v>
      </c>
      <c r="Z1043" t="s">
        <v>119</v>
      </c>
      <c r="AA1043" t="s">
        <v>32</v>
      </c>
      <c r="AB1043" t="s">
        <v>120</v>
      </c>
      <c r="AC1043" t="s">
        <v>38</v>
      </c>
      <c r="AD1043" t="s">
        <v>155</v>
      </c>
      <c r="AE1043">
        <v>60</v>
      </c>
      <c r="AF1043" t="s">
        <v>27</v>
      </c>
      <c r="AG1043" t="s">
        <v>26</v>
      </c>
      <c r="AH1043" t="s">
        <v>743</v>
      </c>
      <c r="AI1043" t="str">
        <f t="shared" si="80"/>
        <v>NO</v>
      </c>
      <c r="AJ1043" t="str">
        <f t="shared" si="81"/>
        <v>PFIZER</v>
      </c>
      <c r="AK1043" t="str">
        <f>IF(ISNUMBER(SEARCH("FABRICANTE",AC1043)),"FABRICANTE",IF(ISNUMBER(SEARCH("IMPORTADOR",AC1043)),"IMPORTADOR","OTRO"))</f>
        <v>IMPORTADOR</v>
      </c>
      <c r="AL1043" t="str">
        <f>IF(LEFT(Y1043,1)="A","Sistema digestivo",IF(LEFT(Y1043,1)="B","Sangre",IF(LEFT(Y1043,1)="C","Cardiovascular",IF(LEFT(Y1043,1)="D","Dermatológico",IF(LEFT(Y1043,1)="G","Genitourinario",IF(LEFT(Y1043,1)="H","Hormonal",IF(LEFT(Y1043,1)="J","Antiinfecciosos",IF(LEFT(Y1043,1)="L","Oncológicos",IF(LEFT(Y1043,1)="M","Musculoesquelético",IF(LEFT(Y1043,1)="N","Sistema nervioso",IF(LEFT(Y1043,1)="R","Respiratorio",IF(LEFT(Y1043,1)="S","Oftálmico",IF(LEFT(Y1043,1)="V","Varios","OTRO")))))))))))))</f>
        <v>Oncológicos</v>
      </c>
      <c r="AM1043" t="str">
        <f>IF(AG1043="Vigente","ACTIVO",IF(ISNUMBER(SEARCH("Inactivo",J1043)),"INACTIVO","REVISAR"))</f>
        <v>ACTIVO</v>
      </c>
      <c r="AN1043" t="str">
        <f ca="1">IF(OR(AF1043="",AF1043="null"),"",ROUND((AF1043-TODAY())/365.25,2))</f>
        <v/>
      </c>
      <c r="AO1043" t="str">
        <f ca="1">IF(AND(AG1043="Vigente",OR(AF1043="",AF1043="null",AF1043&gt;TODAY())),"SI",IF(AND(NOT(OR(AF1043="",AF1043="null")),AF1043&lt;=TODAY()),"NO",IF(AG1043="Vigente","SI","DESCONOCIDO")))</f>
        <v>SI</v>
      </c>
      <c r="AP1043" t="str">
        <f>IF(AND(ISNUMBER(SEARCH("IMPORTAR",AA1043)),ISNUMBER(SEARCH("FABRICAR",AA1043))),"MIXTO",IF(ISNUMBER(SEARCH("IMPORTAR",AA1043)),"IMPORTADO",IF(ISNUMBER(SEARCH("FABRICAR",AA1043)),"LOCAL","OTRO")))</f>
        <v>IMPORTADO</v>
      </c>
      <c r="AQ1043" t="str">
        <f>IF(AD1043="Si","SI",IF(AD1043="No","NO",""))</f>
        <v>SI</v>
      </c>
      <c r="AR1043" t="str">
        <f>IF(ISNUMBER(SEARCH("®",N1043)),"MARCA/INNOVADOR","GENERICO")</f>
        <v>MARCA/INNOVADOR</v>
      </c>
      <c r="AS1043">
        <f ca="1">IF(AE1043&gt;100,RANDBETWEEN(500,5000),IF(AND(AE1043&gt;=10,AE1043&lt;=100),RANDBETWEEN(100,1000),RANDBETWEEN(10,200)))</f>
        <v>795</v>
      </c>
      <c r="AT1043">
        <f t="shared" ca="1" si="82"/>
        <v>135</v>
      </c>
      <c r="AU1043">
        <f ca="1">INT(AS1043*RANDBETWEEN(120,200)/100)</f>
        <v>1073</v>
      </c>
      <c r="AV1043" s="2">
        <f ca="1">IF(LEFT(Y1043,1)="L",RANDBETWEEN(500000,5000000),IF(LEFT(Y1043,1)="C",RANDBETWEEN(5000,50000),IF(LEFT(Y1043,1)="N",RANDBETWEEN(10000,150000),IF(LEFT(Y1043,1)="J",RANDBETWEEN(8000,200000),RANDBETWEEN(5000,100000)))))</f>
        <v>2598516</v>
      </c>
      <c r="AW1043" s="2">
        <f ca="1">INT(AV1043*RANDBETWEEN(30,60)/100)</f>
        <v>1065391</v>
      </c>
      <c r="AX1043">
        <f ca="1">IF(Z1043="ORAL",RANDBETWEEN(1000,10000),IF(OR(Z1043="INTRAVENOSA",Z1043="INTRAMUSCULAR"),RANDBETWEEN(100,2000),IF(OR(Z1043="OFTÁLMICA",Z1043="TOPICA (EXTERNA)"),RANDBETWEEN(200,3000),RANDBETWEEN(100,1500))))</f>
        <v>4774</v>
      </c>
      <c r="AY1043" s="2">
        <f ca="1">INT(AV1043*RANDBETWEEN(90,130)/100)</f>
        <v>2624501</v>
      </c>
      <c r="AZ1043" t="str">
        <f t="shared" ca="1" si="83"/>
        <v>22.4%</v>
      </c>
      <c r="BA1043" t="str">
        <f t="shared" ca="1" si="84"/>
        <v>BAJO</v>
      </c>
    </row>
    <row r="1044" spans="4:53" x14ac:dyDescent="0.35">
      <c r="D1044" t="s">
        <v>6339</v>
      </c>
      <c r="E1044" s="1">
        <v>36161</v>
      </c>
      <c r="F1044" t="s">
        <v>6340</v>
      </c>
      <c r="G1044" t="s">
        <v>502</v>
      </c>
      <c r="H1044" t="s">
        <v>2182</v>
      </c>
      <c r="I1044">
        <v>33519</v>
      </c>
      <c r="J1044" t="s">
        <v>28</v>
      </c>
      <c r="K1044">
        <v>2</v>
      </c>
      <c r="L1044" t="s">
        <v>27</v>
      </c>
      <c r="M1044" t="s">
        <v>6341</v>
      </c>
      <c r="N1044" t="s">
        <v>6342</v>
      </c>
      <c r="O1044" t="s">
        <v>6343</v>
      </c>
      <c r="P1044" t="s">
        <v>6344</v>
      </c>
      <c r="Q1044" s="1">
        <v>39031</v>
      </c>
      <c r="R1044" t="s">
        <v>50</v>
      </c>
      <c r="S1044" t="s">
        <v>27</v>
      </c>
      <c r="T1044" t="s">
        <v>2030</v>
      </c>
      <c r="U1044" t="s">
        <v>247</v>
      </c>
      <c r="V1044" t="s">
        <v>6345</v>
      </c>
      <c r="W1044">
        <v>2</v>
      </c>
      <c r="X1044">
        <v>33519</v>
      </c>
      <c r="Y1044" t="s">
        <v>6346</v>
      </c>
      <c r="Z1044" t="s">
        <v>260</v>
      </c>
      <c r="AA1044" t="s">
        <v>24</v>
      </c>
      <c r="AB1044" t="s">
        <v>120</v>
      </c>
      <c r="AC1044" t="s">
        <v>25</v>
      </c>
      <c r="AD1044" t="s">
        <v>121</v>
      </c>
      <c r="AE1044">
        <v>1000</v>
      </c>
      <c r="AF1044" t="s">
        <v>27</v>
      </c>
      <c r="AG1044" t="s">
        <v>26</v>
      </c>
      <c r="AH1044" t="s">
        <v>6853</v>
      </c>
      <c r="AI1044" t="str">
        <f t="shared" si="80"/>
        <v>NO</v>
      </c>
      <c r="AJ1044" t="str">
        <f t="shared" si="81"/>
        <v>LABORATORIOS RYAN DE COLOMBIA S.EN C.</v>
      </c>
      <c r="AK1044" t="str">
        <f>IF(ISNUMBER(SEARCH("FABRICANTE",AC1044)),"FABRICANTE",IF(ISNUMBER(SEARCH("IMPORTADOR",AC1044)),"IMPORTADOR","OTRO"))</f>
        <v>FABRICANTE</v>
      </c>
      <c r="AL1044" t="str">
        <f>IF(LEFT(Y1044,1)="A","Sistema digestivo",IF(LEFT(Y1044,1)="B","Sangre",IF(LEFT(Y1044,1)="C","Cardiovascular",IF(LEFT(Y1044,1)="D","Dermatológico",IF(LEFT(Y1044,1)="G","Genitourinario",IF(LEFT(Y1044,1)="H","Hormonal",IF(LEFT(Y1044,1)="J","Antiinfecciosos",IF(LEFT(Y1044,1)="L","Oncológicos",IF(LEFT(Y1044,1)="M","Musculoesquelético",IF(LEFT(Y1044,1)="N","Sistema nervioso",IF(LEFT(Y1044,1)="R","Respiratorio",IF(LEFT(Y1044,1)="S","Oftálmico",IF(LEFT(Y1044,1)="V","Varios","OTRO")))))))))))))</f>
        <v>Sistema digestivo</v>
      </c>
      <c r="AM1044" t="str">
        <f>IF(AG1044="Vigente","ACTIVO",IF(ISNUMBER(SEARCH("Inactivo",J1044)),"INACTIVO","REVISAR"))</f>
        <v>ACTIVO</v>
      </c>
      <c r="AN1044" t="str">
        <f ca="1">IF(OR(AF1044="",AF1044="null"),"",ROUND((AF1044-TODAY())/365.25,2))</f>
        <v/>
      </c>
      <c r="AO1044" t="str">
        <f ca="1">IF(AND(AG1044="Vigente",OR(AF1044="",AF1044="null",AF1044&gt;TODAY())),"SI",IF(AND(NOT(OR(AF1044="",AF1044="null")),AF1044&lt;=TODAY()),"NO",IF(AG1044="Vigente","SI","DESCONOCIDO")))</f>
        <v>SI</v>
      </c>
      <c r="AP1044" t="str">
        <f>IF(AND(ISNUMBER(SEARCH("IMPORTAR",AA1044)),ISNUMBER(SEARCH("FABRICAR",AA1044))),"MIXTO",IF(ISNUMBER(SEARCH("IMPORTAR",AA1044)),"IMPORTADO",IF(ISNUMBER(SEARCH("FABRICAR",AA1044)),"LOCAL","OTRO")))</f>
        <v>LOCAL</v>
      </c>
      <c r="AQ1044" t="str">
        <f>IF(AD1044="Si","SI",IF(AD1044="No","NO",""))</f>
        <v>NO</v>
      </c>
      <c r="AR1044" t="str">
        <f>IF(ISNUMBER(SEARCH("®",N1044)),"MARCA/INNOVADOR","GENERICO")</f>
        <v>GENERICO</v>
      </c>
      <c r="AS1044">
        <f ca="1">IF(AE1044&gt;100,RANDBETWEEN(500,5000),IF(AND(AE1044&gt;=10,AE1044&lt;=100),RANDBETWEEN(100,1000),RANDBETWEEN(10,200)))</f>
        <v>4890</v>
      </c>
      <c r="AT1044">
        <f t="shared" ca="1" si="82"/>
        <v>1075</v>
      </c>
      <c r="AU1044">
        <f ca="1">INT(AS1044*RANDBETWEEN(120,200)/100)</f>
        <v>8117</v>
      </c>
      <c r="AV1044" s="2">
        <f ca="1">IF(LEFT(Y1044,1)="L",RANDBETWEEN(500000,5000000),IF(LEFT(Y1044,1)="C",RANDBETWEEN(5000,50000),IF(LEFT(Y1044,1)="N",RANDBETWEEN(10000,150000),IF(LEFT(Y1044,1)="J",RANDBETWEEN(8000,200000),RANDBETWEEN(5000,100000)))))</f>
        <v>20347</v>
      </c>
      <c r="AW1044" s="2">
        <f ca="1">INT(AV1044*RANDBETWEEN(30,60)/100)</f>
        <v>11190</v>
      </c>
      <c r="AX1044">
        <f ca="1">IF(Z1044="ORAL",RANDBETWEEN(1000,10000),IF(OR(Z1044="INTRAVENOSA",Z1044="INTRAMUSCULAR"),RANDBETWEEN(100,2000),IF(OR(Z1044="OFTÁLMICA",Z1044="TOPICA (EXTERNA)"),RANDBETWEEN(200,3000),RANDBETWEEN(100,1500))))</f>
        <v>214</v>
      </c>
      <c r="AY1044" s="2">
        <f ca="1">INT(AV1044*RANDBETWEEN(90,130)/100)</f>
        <v>22788</v>
      </c>
      <c r="AZ1044" t="str">
        <f t="shared" ca="1" si="83"/>
        <v>0.5%</v>
      </c>
      <c r="BA1044" t="str">
        <f t="shared" ca="1" si="84"/>
        <v>BAJO</v>
      </c>
    </row>
    <row r="1045" spans="4:53" x14ac:dyDescent="0.35">
      <c r="D1045" t="s">
        <v>6347</v>
      </c>
      <c r="E1045" s="1">
        <v>37519</v>
      </c>
      <c r="F1045" t="s">
        <v>6348</v>
      </c>
      <c r="G1045" t="s">
        <v>108</v>
      </c>
      <c r="H1045" t="s">
        <v>172</v>
      </c>
      <c r="I1045">
        <v>19931777</v>
      </c>
      <c r="J1045" t="s">
        <v>28</v>
      </c>
      <c r="K1045">
        <v>27</v>
      </c>
      <c r="L1045" t="s">
        <v>27</v>
      </c>
      <c r="M1045" t="s">
        <v>6349</v>
      </c>
      <c r="N1045" t="s">
        <v>6350</v>
      </c>
      <c r="O1045" t="s">
        <v>6351</v>
      </c>
      <c r="P1045" t="s">
        <v>29</v>
      </c>
      <c r="Q1045" s="1">
        <v>44352</v>
      </c>
      <c r="R1045" t="s">
        <v>29</v>
      </c>
      <c r="S1045" t="s">
        <v>27</v>
      </c>
      <c r="T1045" t="s">
        <v>172</v>
      </c>
      <c r="U1045" t="s">
        <v>115</v>
      </c>
      <c r="V1045" t="s">
        <v>706</v>
      </c>
      <c r="W1045">
        <v>8</v>
      </c>
      <c r="X1045">
        <v>19931777</v>
      </c>
      <c r="Y1045" t="s">
        <v>707</v>
      </c>
      <c r="Z1045" t="s">
        <v>119</v>
      </c>
      <c r="AA1045" t="s">
        <v>165</v>
      </c>
      <c r="AB1045" t="s">
        <v>120</v>
      </c>
      <c r="AC1045" t="s">
        <v>38</v>
      </c>
      <c r="AD1045" t="s">
        <v>121</v>
      </c>
      <c r="AE1045">
        <v>40</v>
      </c>
      <c r="AF1045" t="s">
        <v>27</v>
      </c>
      <c r="AG1045" t="s">
        <v>26</v>
      </c>
      <c r="AH1045" t="s">
        <v>1525</v>
      </c>
      <c r="AI1045" t="str">
        <f t="shared" si="80"/>
        <v>SI</v>
      </c>
      <c r="AJ1045" t="str">
        <f t="shared" si="81"/>
        <v>NOVAMED</v>
      </c>
      <c r="AK1045" t="str">
        <f>IF(ISNUMBER(SEARCH("FABRICANTE",AC1045)),"FABRICANTE",IF(ISNUMBER(SEARCH("IMPORTADOR",AC1045)),"IMPORTADOR","OTRO"))</f>
        <v>IMPORTADOR</v>
      </c>
      <c r="AL1045" t="str">
        <f>IF(LEFT(Y1045,1)="A","Sistema digestivo",IF(LEFT(Y1045,1)="B","Sangre",IF(LEFT(Y1045,1)="C","Cardiovascular",IF(LEFT(Y1045,1)="D","Dermatológico",IF(LEFT(Y1045,1)="G","Genitourinario",IF(LEFT(Y1045,1)="H","Hormonal",IF(LEFT(Y1045,1)="J","Antiinfecciosos",IF(LEFT(Y1045,1)="L","Oncológicos",IF(LEFT(Y1045,1)="M","Musculoesquelético",IF(LEFT(Y1045,1)="N","Sistema nervioso",IF(LEFT(Y1045,1)="R","Respiratorio",IF(LEFT(Y1045,1)="S","Oftálmico",IF(LEFT(Y1045,1)="V","Varios","OTRO")))))))))))))</f>
        <v>Sistema nervioso</v>
      </c>
      <c r="AM1045" t="str">
        <f>IF(AG1045="Vigente","ACTIVO",IF(ISNUMBER(SEARCH("Inactivo",J1045)),"INACTIVO","REVISAR"))</f>
        <v>ACTIVO</v>
      </c>
      <c r="AN1045" t="str">
        <f ca="1">IF(OR(AF1045="",AF1045="null"),"",ROUND((AF1045-TODAY())/365.25,2))</f>
        <v/>
      </c>
      <c r="AO1045" t="str">
        <f ca="1">IF(AND(AG1045="Vigente",OR(AF1045="",AF1045="null",AF1045&gt;TODAY())),"SI",IF(AND(NOT(OR(AF1045="",AF1045="null")),AF1045&lt;=TODAY()),"NO",IF(AG1045="Vigente","SI","DESCONOCIDO")))</f>
        <v>SI</v>
      </c>
      <c r="AP1045" t="str">
        <f>IF(AND(ISNUMBER(SEARCH("IMPORTAR",AA1045)),ISNUMBER(SEARCH("FABRICAR",AA1045))),"MIXTO",IF(ISNUMBER(SEARCH("IMPORTAR",AA1045)),"IMPORTADO",IF(ISNUMBER(SEARCH("FABRICAR",AA1045)),"LOCAL","OTRO")))</f>
        <v>IMPORTADO</v>
      </c>
      <c r="AQ1045" t="str">
        <f>IF(AD1045="Si","SI",IF(AD1045="No","NO",""))</f>
        <v>NO</v>
      </c>
      <c r="AR1045" t="str">
        <f>IF(ISNUMBER(SEARCH("®",N1045)),"MARCA/INNOVADOR","GENERICO")</f>
        <v>MARCA/INNOVADOR</v>
      </c>
      <c r="AS1045">
        <f ca="1">IF(AE1045&gt;100,RANDBETWEEN(500,5000),IF(AND(AE1045&gt;=10,AE1045&lt;=100),RANDBETWEEN(100,1000),RANDBETWEEN(10,200)))</f>
        <v>677</v>
      </c>
      <c r="AT1045">
        <f t="shared" ca="1" si="82"/>
        <v>88</v>
      </c>
      <c r="AU1045">
        <f ca="1">INT(AS1045*RANDBETWEEN(120,200)/100)</f>
        <v>819</v>
      </c>
      <c r="AV1045" s="2">
        <f ca="1">IF(LEFT(Y1045,1)="L",RANDBETWEEN(500000,5000000),IF(LEFT(Y1045,1)="C",RANDBETWEEN(5000,50000),IF(LEFT(Y1045,1)="N",RANDBETWEEN(10000,150000),IF(LEFT(Y1045,1)="J",RANDBETWEEN(8000,200000),RANDBETWEEN(5000,100000)))))</f>
        <v>108766</v>
      </c>
      <c r="AW1045" s="2">
        <f ca="1">INT(AV1045*RANDBETWEEN(30,60)/100)</f>
        <v>43506</v>
      </c>
      <c r="AX1045">
        <f ca="1">IF(Z1045="ORAL",RANDBETWEEN(1000,10000),IF(OR(Z1045="INTRAVENOSA",Z1045="INTRAMUSCULAR"),RANDBETWEEN(100,2000),IF(OR(Z1045="OFTÁLMICA",Z1045="TOPICA (EXTERNA)"),RANDBETWEEN(200,3000),RANDBETWEEN(100,1500))))</f>
        <v>3150</v>
      </c>
      <c r="AY1045" s="2">
        <f ca="1">INT(AV1045*RANDBETWEEN(90,130)/100)</f>
        <v>133782</v>
      </c>
      <c r="AZ1045" t="str">
        <f t="shared" ca="1" si="83"/>
        <v>15.4%</v>
      </c>
      <c r="BA1045" t="str">
        <f t="shared" ca="1" si="84"/>
        <v>BAJO</v>
      </c>
    </row>
    <row r="1046" spans="4:53" x14ac:dyDescent="0.35">
      <c r="D1046" t="s">
        <v>6352</v>
      </c>
      <c r="E1046" s="1">
        <v>42906</v>
      </c>
      <c r="F1046" t="s">
        <v>966</v>
      </c>
      <c r="G1046" t="s">
        <v>108</v>
      </c>
      <c r="H1046" t="s">
        <v>3828</v>
      </c>
      <c r="I1046">
        <v>20110996</v>
      </c>
      <c r="J1046" t="s">
        <v>28</v>
      </c>
      <c r="K1046">
        <v>3</v>
      </c>
      <c r="L1046" t="s">
        <v>27</v>
      </c>
      <c r="M1046" t="s">
        <v>3829</v>
      </c>
      <c r="N1046" t="s">
        <v>3830</v>
      </c>
      <c r="O1046" t="s">
        <v>6353</v>
      </c>
      <c r="P1046" t="s">
        <v>659</v>
      </c>
      <c r="Q1046" s="1">
        <v>42852</v>
      </c>
      <c r="R1046" t="s">
        <v>37</v>
      </c>
      <c r="S1046" t="s">
        <v>27</v>
      </c>
      <c r="T1046" t="s">
        <v>63</v>
      </c>
      <c r="U1046" t="s">
        <v>115</v>
      </c>
      <c r="V1046" t="s">
        <v>321</v>
      </c>
      <c r="W1046">
        <v>10</v>
      </c>
      <c r="X1046">
        <v>20110996</v>
      </c>
      <c r="Y1046" t="s">
        <v>322</v>
      </c>
      <c r="Z1046" t="s">
        <v>119</v>
      </c>
      <c r="AA1046" t="s">
        <v>24</v>
      </c>
      <c r="AB1046" t="s">
        <v>120</v>
      </c>
      <c r="AC1046" t="s">
        <v>25</v>
      </c>
      <c r="AD1046" t="s">
        <v>121</v>
      </c>
      <c r="AE1046">
        <v>100</v>
      </c>
      <c r="AF1046" t="s">
        <v>27</v>
      </c>
      <c r="AG1046" t="s">
        <v>26</v>
      </c>
      <c r="AH1046" t="s">
        <v>966</v>
      </c>
      <c r="AI1046" t="str">
        <f t="shared" si="80"/>
        <v>NO</v>
      </c>
      <c r="AJ1046" t="str">
        <f t="shared" si="81"/>
        <v>TRIDEX FARMACEUTICA</v>
      </c>
      <c r="AK1046" t="str">
        <f>IF(ISNUMBER(SEARCH("FABRICANTE",AC1046)),"FABRICANTE",IF(ISNUMBER(SEARCH("IMPORTADOR",AC1046)),"IMPORTADOR","OTRO"))</f>
        <v>FABRICANTE</v>
      </c>
      <c r="AL1046" t="str">
        <f>IF(LEFT(Y1046,1)="A","Sistema digestivo",IF(LEFT(Y1046,1)="B","Sangre",IF(LEFT(Y1046,1)="C","Cardiovascular",IF(LEFT(Y1046,1)="D","Dermatológico",IF(LEFT(Y1046,1)="G","Genitourinario",IF(LEFT(Y1046,1)="H","Hormonal",IF(LEFT(Y1046,1)="J","Antiinfecciosos",IF(LEFT(Y1046,1)="L","Oncológicos",IF(LEFT(Y1046,1)="M","Musculoesquelético",IF(LEFT(Y1046,1)="N","Sistema nervioso",IF(LEFT(Y1046,1)="R","Respiratorio",IF(LEFT(Y1046,1)="S","Oftálmico",IF(LEFT(Y1046,1)="V","Varios","OTRO")))))))))))))</f>
        <v>Sistema nervioso</v>
      </c>
      <c r="AM1046" t="str">
        <f>IF(AG1046="Vigente","ACTIVO",IF(ISNUMBER(SEARCH("Inactivo",J1046)),"INACTIVO","REVISAR"))</f>
        <v>ACTIVO</v>
      </c>
      <c r="AN1046" t="str">
        <f ca="1">IF(OR(AF1046="",AF1046="null"),"",ROUND((AF1046-TODAY())/365.25,2))</f>
        <v/>
      </c>
      <c r="AO1046" t="str">
        <f ca="1">IF(AND(AG1046="Vigente",OR(AF1046="",AF1046="null",AF1046&gt;TODAY())),"SI",IF(AND(NOT(OR(AF1046="",AF1046="null")),AF1046&lt;=TODAY()),"NO",IF(AG1046="Vigente","SI","DESCONOCIDO")))</f>
        <v>SI</v>
      </c>
      <c r="AP1046" t="str">
        <f>IF(AND(ISNUMBER(SEARCH("IMPORTAR",AA1046)),ISNUMBER(SEARCH("FABRICAR",AA1046))),"MIXTO",IF(ISNUMBER(SEARCH("IMPORTAR",AA1046)),"IMPORTADO",IF(ISNUMBER(SEARCH("FABRICAR",AA1046)),"LOCAL","OTRO")))</f>
        <v>LOCAL</v>
      </c>
      <c r="AQ1046" t="str">
        <f>IF(AD1046="Si","SI",IF(AD1046="No","NO",""))</f>
        <v>NO</v>
      </c>
      <c r="AR1046" t="str">
        <f>IF(ISNUMBER(SEARCH("®",N1046)),"MARCA/INNOVADOR","GENERICO")</f>
        <v>MARCA/INNOVADOR</v>
      </c>
      <c r="AS1046">
        <f ca="1">IF(AE1046&gt;100,RANDBETWEEN(500,5000),IF(AND(AE1046&gt;=10,AE1046&lt;=100),RANDBETWEEN(100,1000),RANDBETWEEN(10,200)))</f>
        <v>133</v>
      </c>
      <c r="AT1046">
        <f t="shared" ca="1" si="82"/>
        <v>23</v>
      </c>
      <c r="AU1046">
        <f ca="1">INT(AS1046*RANDBETWEEN(120,200)/100)</f>
        <v>186</v>
      </c>
      <c r="AV1046" s="2">
        <f ca="1">IF(LEFT(Y1046,1)="L",RANDBETWEEN(500000,5000000),IF(LEFT(Y1046,1)="C",RANDBETWEEN(5000,50000),IF(LEFT(Y1046,1)="N",RANDBETWEEN(10000,150000),IF(LEFT(Y1046,1)="J",RANDBETWEEN(8000,200000),RANDBETWEEN(5000,100000)))))</f>
        <v>20962</v>
      </c>
      <c r="AW1046" s="2">
        <f ca="1">INT(AV1046*RANDBETWEEN(30,60)/100)</f>
        <v>10900</v>
      </c>
      <c r="AX1046">
        <f ca="1">IF(Z1046="ORAL",RANDBETWEEN(1000,10000),IF(OR(Z1046="INTRAVENOSA",Z1046="INTRAMUSCULAR"),RANDBETWEEN(100,2000),IF(OR(Z1046="OFTÁLMICA",Z1046="TOPICA (EXTERNA)"),RANDBETWEEN(200,3000),RANDBETWEEN(100,1500))))</f>
        <v>2339</v>
      </c>
      <c r="AY1046" s="2">
        <f ca="1">INT(AV1046*RANDBETWEEN(90,130)/100)</f>
        <v>20542</v>
      </c>
      <c r="AZ1046" t="str">
        <f t="shared" ca="1" si="83"/>
        <v>11.5%</v>
      </c>
      <c r="BA1046" t="str">
        <f t="shared" ca="1" si="84"/>
        <v>BAJO</v>
      </c>
    </row>
    <row r="1047" spans="4:53" x14ac:dyDescent="0.35">
      <c r="D1047" t="s">
        <v>6354</v>
      </c>
      <c r="E1047" s="1">
        <v>45369</v>
      </c>
      <c r="F1047" t="s">
        <v>2909</v>
      </c>
      <c r="G1047" t="s">
        <v>108</v>
      </c>
      <c r="H1047" t="s">
        <v>68</v>
      </c>
      <c r="I1047">
        <v>20254131</v>
      </c>
      <c r="J1047" t="s">
        <v>28</v>
      </c>
      <c r="K1047">
        <v>16</v>
      </c>
      <c r="L1047" t="s">
        <v>27</v>
      </c>
      <c r="M1047" t="s">
        <v>6355</v>
      </c>
      <c r="N1047" t="s">
        <v>6356</v>
      </c>
      <c r="O1047" t="s">
        <v>6357</v>
      </c>
      <c r="P1047" t="s">
        <v>676</v>
      </c>
      <c r="Q1047" s="1">
        <v>45364</v>
      </c>
      <c r="R1047" t="s">
        <v>33</v>
      </c>
      <c r="S1047" t="s">
        <v>27</v>
      </c>
      <c r="T1047" t="s">
        <v>2408</v>
      </c>
      <c r="U1047" t="s">
        <v>115</v>
      </c>
      <c r="V1047" t="s">
        <v>3450</v>
      </c>
      <c r="W1047">
        <v>65</v>
      </c>
      <c r="X1047">
        <v>20254131</v>
      </c>
      <c r="Y1047" t="s">
        <v>3452</v>
      </c>
      <c r="Z1047" t="s">
        <v>119</v>
      </c>
      <c r="AA1047" t="s">
        <v>24</v>
      </c>
      <c r="AB1047" t="s">
        <v>120</v>
      </c>
      <c r="AC1047" t="s">
        <v>25</v>
      </c>
      <c r="AD1047" t="s">
        <v>121</v>
      </c>
      <c r="AE1047">
        <v>48</v>
      </c>
      <c r="AF1047" s="1">
        <v>401769</v>
      </c>
      <c r="AG1047" t="s">
        <v>26</v>
      </c>
      <c r="AH1047" t="s">
        <v>976</v>
      </c>
      <c r="AI1047" t="str">
        <f t="shared" si="80"/>
        <v>NO</v>
      </c>
      <c r="AJ1047" t="str">
        <f t="shared" si="81"/>
        <v>BIOFLUIDOS &amp; FARMA</v>
      </c>
      <c r="AK1047" t="str">
        <f>IF(ISNUMBER(SEARCH("FABRICANTE",AC1047)),"FABRICANTE",IF(ISNUMBER(SEARCH("IMPORTADOR",AC1047)),"IMPORTADOR","OTRO"))</f>
        <v>FABRICANTE</v>
      </c>
      <c r="AL1047" t="str">
        <f>IF(LEFT(Y1047,1)="A","Sistema digestivo",IF(LEFT(Y1047,1)="B","Sangre",IF(LEFT(Y1047,1)="C","Cardiovascular",IF(LEFT(Y1047,1)="D","Dermatológico",IF(LEFT(Y1047,1)="G","Genitourinario",IF(LEFT(Y1047,1)="H","Hormonal",IF(LEFT(Y1047,1)="J","Antiinfecciosos",IF(LEFT(Y1047,1)="L","Oncológicos",IF(LEFT(Y1047,1)="M","Musculoesquelético",IF(LEFT(Y1047,1)="N","Sistema nervioso",IF(LEFT(Y1047,1)="R","Respiratorio",IF(LEFT(Y1047,1)="S","Oftálmico",IF(LEFT(Y1047,1)="V","Varios","OTRO")))))))))))))</f>
        <v>Sistema nervioso</v>
      </c>
      <c r="AM1047" t="str">
        <f>IF(AG1047="Vigente","ACTIVO",IF(ISNUMBER(SEARCH("Inactivo",J1047)),"INACTIVO","REVISAR"))</f>
        <v>ACTIVO</v>
      </c>
      <c r="AN1047">
        <f ca="1">IF(OR(AF1047="",AF1047="null"),"",ROUND((AF1047-TODAY())/365.25,2))</f>
        <v>973.58</v>
      </c>
      <c r="AO1047" t="str">
        <f ca="1">IF(AND(AG1047="Vigente",OR(AF1047="",AF1047="null",AF1047&gt;TODAY())),"SI",IF(AND(NOT(OR(AF1047="",AF1047="null")),AF1047&lt;=TODAY()),"NO",IF(AG1047="Vigente","SI","DESCONOCIDO")))</f>
        <v>SI</v>
      </c>
      <c r="AP1047" t="str">
        <f>IF(AND(ISNUMBER(SEARCH("IMPORTAR",AA1047)),ISNUMBER(SEARCH("FABRICAR",AA1047))),"MIXTO",IF(ISNUMBER(SEARCH("IMPORTAR",AA1047)),"IMPORTADO",IF(ISNUMBER(SEARCH("FABRICAR",AA1047)),"LOCAL","OTRO")))</f>
        <v>LOCAL</v>
      </c>
      <c r="AQ1047" t="str">
        <f>IF(AD1047="Si","SI",IF(AD1047="No","NO",""))</f>
        <v>NO</v>
      </c>
      <c r="AR1047" t="str">
        <f>IF(ISNUMBER(SEARCH("®",N1047)),"MARCA/INNOVADOR","GENERICO")</f>
        <v>MARCA/INNOVADOR</v>
      </c>
      <c r="AS1047">
        <f ca="1">IF(AE1047&gt;100,RANDBETWEEN(500,5000),IF(AND(AE1047&gt;=10,AE1047&lt;=100),RANDBETWEEN(100,1000),RANDBETWEEN(10,200)))</f>
        <v>652</v>
      </c>
      <c r="AT1047">
        <f t="shared" ca="1" si="82"/>
        <v>143</v>
      </c>
      <c r="AU1047">
        <f ca="1">INT(AS1047*RANDBETWEEN(120,200)/100)</f>
        <v>906</v>
      </c>
      <c r="AV1047" s="2">
        <f ca="1">IF(LEFT(Y1047,1)="L",RANDBETWEEN(500000,5000000),IF(LEFT(Y1047,1)="C",RANDBETWEEN(5000,50000),IF(LEFT(Y1047,1)="N",RANDBETWEEN(10000,150000),IF(LEFT(Y1047,1)="J",RANDBETWEEN(8000,200000),RANDBETWEEN(5000,100000)))))</f>
        <v>137689</v>
      </c>
      <c r="AW1047" s="2">
        <f ca="1">INT(AV1047*RANDBETWEEN(30,60)/100)</f>
        <v>53698</v>
      </c>
      <c r="AX1047">
        <f ca="1">IF(Z1047="ORAL",RANDBETWEEN(1000,10000),IF(OR(Z1047="INTRAVENOSA",Z1047="INTRAMUSCULAR"),RANDBETWEEN(100,2000),IF(OR(Z1047="OFTÁLMICA",Z1047="TOPICA (EXTERNA)"),RANDBETWEEN(200,3000),RANDBETWEEN(100,1500))))</f>
        <v>5466</v>
      </c>
      <c r="AY1047" s="2">
        <f ca="1">INT(AV1047*RANDBETWEEN(90,130)/100)</f>
        <v>132181</v>
      </c>
      <c r="AZ1047" t="str">
        <f t="shared" ca="1" si="83"/>
        <v>10.2%</v>
      </c>
      <c r="BA1047" t="str">
        <f t="shared" ca="1" si="84"/>
        <v>BAJO</v>
      </c>
    </row>
    <row r="1048" spans="4:53" x14ac:dyDescent="0.35">
      <c r="D1048" t="s">
        <v>6358</v>
      </c>
      <c r="E1048" s="1">
        <v>34356</v>
      </c>
      <c r="F1048" t="s">
        <v>811</v>
      </c>
      <c r="G1048" t="s">
        <v>108</v>
      </c>
      <c r="H1048" t="s">
        <v>812</v>
      </c>
      <c r="I1048">
        <v>200541</v>
      </c>
      <c r="J1048" t="s">
        <v>28</v>
      </c>
      <c r="K1048">
        <v>9</v>
      </c>
      <c r="L1048" t="s">
        <v>27</v>
      </c>
      <c r="M1048" t="s">
        <v>6359</v>
      </c>
      <c r="N1048" t="s">
        <v>6360</v>
      </c>
      <c r="O1048" t="s">
        <v>6361</v>
      </c>
      <c r="P1048" t="s">
        <v>6362</v>
      </c>
      <c r="Q1048" s="1">
        <v>41242</v>
      </c>
      <c r="R1048" t="s">
        <v>47</v>
      </c>
      <c r="S1048" t="s">
        <v>27</v>
      </c>
      <c r="T1048" t="s">
        <v>812</v>
      </c>
      <c r="U1048" t="s">
        <v>115</v>
      </c>
      <c r="V1048" t="s">
        <v>817</v>
      </c>
      <c r="W1048">
        <v>50</v>
      </c>
      <c r="X1048">
        <v>200541</v>
      </c>
      <c r="Y1048" t="s">
        <v>818</v>
      </c>
      <c r="Z1048" t="s">
        <v>119</v>
      </c>
      <c r="AA1048" t="s">
        <v>32</v>
      </c>
      <c r="AB1048" t="s">
        <v>120</v>
      </c>
      <c r="AC1048" t="s">
        <v>38</v>
      </c>
      <c r="AD1048" t="s">
        <v>121</v>
      </c>
      <c r="AE1048">
        <v>10</v>
      </c>
      <c r="AF1048" t="s">
        <v>27</v>
      </c>
      <c r="AG1048" t="s">
        <v>26</v>
      </c>
      <c r="AH1048" t="s">
        <v>6653</v>
      </c>
      <c r="AI1048" t="str">
        <f t="shared" si="80"/>
        <v>NO</v>
      </c>
      <c r="AJ1048" t="str">
        <f t="shared" si="81"/>
        <v>ASTRAZENECA COLOMBIA</v>
      </c>
      <c r="AK1048" t="str">
        <f>IF(ISNUMBER(SEARCH("FABRICANTE",AC1048)),"FABRICANTE",IF(ISNUMBER(SEARCH("IMPORTADOR",AC1048)),"IMPORTADOR","OTRO"))</f>
        <v>IMPORTADOR</v>
      </c>
      <c r="AL1048" t="str">
        <f>IF(LEFT(Y1048,1)="A","Sistema digestivo",IF(LEFT(Y1048,1)="B","Sangre",IF(LEFT(Y1048,1)="C","Cardiovascular",IF(LEFT(Y1048,1)="D","Dermatológico",IF(LEFT(Y1048,1)="G","Genitourinario",IF(LEFT(Y1048,1)="H","Hormonal",IF(LEFT(Y1048,1)="J","Antiinfecciosos",IF(LEFT(Y1048,1)="L","Oncológicos",IF(LEFT(Y1048,1)="M","Musculoesquelético",IF(LEFT(Y1048,1)="N","Sistema nervioso",IF(LEFT(Y1048,1)="R","Respiratorio",IF(LEFT(Y1048,1)="S","Oftálmico",IF(LEFT(Y1048,1)="V","Varios","OTRO")))))))))))))</f>
        <v>Cardiovascular</v>
      </c>
      <c r="AM1048" t="str">
        <f>IF(AG1048="Vigente","ACTIVO",IF(ISNUMBER(SEARCH("Inactivo",J1048)),"INACTIVO","REVISAR"))</f>
        <v>ACTIVO</v>
      </c>
      <c r="AN1048" t="str">
        <f ca="1">IF(OR(AF1048="",AF1048="null"),"",ROUND((AF1048-TODAY())/365.25,2))</f>
        <v/>
      </c>
      <c r="AO1048" t="str">
        <f ca="1">IF(AND(AG1048="Vigente",OR(AF1048="",AF1048="null",AF1048&gt;TODAY())),"SI",IF(AND(NOT(OR(AF1048="",AF1048="null")),AF1048&lt;=TODAY()),"NO",IF(AG1048="Vigente","SI","DESCONOCIDO")))</f>
        <v>SI</v>
      </c>
      <c r="AP1048" t="str">
        <f>IF(AND(ISNUMBER(SEARCH("IMPORTAR",AA1048)),ISNUMBER(SEARCH("FABRICAR",AA1048))),"MIXTO",IF(ISNUMBER(SEARCH("IMPORTAR",AA1048)),"IMPORTADO",IF(ISNUMBER(SEARCH("FABRICAR",AA1048)),"LOCAL","OTRO")))</f>
        <v>IMPORTADO</v>
      </c>
      <c r="AQ1048" t="str">
        <f>IF(AD1048="Si","SI",IF(AD1048="No","NO",""))</f>
        <v>NO</v>
      </c>
      <c r="AR1048" t="str">
        <f>IF(ISNUMBER(SEARCH("®",N1048)),"MARCA/INNOVADOR","GENERICO")</f>
        <v>MARCA/INNOVADOR</v>
      </c>
      <c r="AS1048">
        <f ca="1">IF(AE1048&gt;100,RANDBETWEEN(500,5000),IF(AND(AE1048&gt;=10,AE1048&lt;=100),RANDBETWEEN(100,1000),RANDBETWEEN(10,200)))</f>
        <v>761</v>
      </c>
      <c r="AT1048">
        <f t="shared" ca="1" si="82"/>
        <v>144</v>
      </c>
      <c r="AU1048">
        <f ca="1">INT(AS1048*RANDBETWEEN(120,200)/100)</f>
        <v>1339</v>
      </c>
      <c r="AV1048" s="2">
        <f ca="1">IF(LEFT(Y1048,1)="L",RANDBETWEEN(500000,5000000),IF(LEFT(Y1048,1)="C",RANDBETWEEN(5000,50000),IF(LEFT(Y1048,1)="N",RANDBETWEEN(10000,150000),IF(LEFT(Y1048,1)="J",RANDBETWEEN(8000,200000),RANDBETWEEN(5000,100000)))))</f>
        <v>16933</v>
      </c>
      <c r="AW1048" s="2">
        <f ca="1">INT(AV1048*RANDBETWEEN(30,60)/100)</f>
        <v>6434</v>
      </c>
      <c r="AX1048">
        <f ca="1">IF(Z1048="ORAL",RANDBETWEEN(1000,10000),IF(OR(Z1048="INTRAVENOSA",Z1048="INTRAMUSCULAR"),RANDBETWEEN(100,2000),IF(OR(Z1048="OFTÁLMICA",Z1048="TOPICA (EXTERNA)"),RANDBETWEEN(200,3000),RANDBETWEEN(100,1500))))</f>
        <v>3730</v>
      </c>
      <c r="AY1048" s="2">
        <f ca="1">INT(AV1048*RANDBETWEEN(90,130)/100)</f>
        <v>18118</v>
      </c>
      <c r="AZ1048" t="str">
        <f t="shared" ca="1" si="83"/>
        <v>19.7%</v>
      </c>
      <c r="BA1048" t="str">
        <f t="shared" ca="1" si="84"/>
        <v>BAJO</v>
      </c>
    </row>
    <row r="1049" spans="4:53" x14ac:dyDescent="0.35">
      <c r="D1049" t="s">
        <v>6363</v>
      </c>
      <c r="E1049" s="1">
        <v>36161</v>
      </c>
      <c r="F1049" t="s">
        <v>6364</v>
      </c>
      <c r="G1049" t="s">
        <v>108</v>
      </c>
      <c r="H1049" t="s">
        <v>376</v>
      </c>
      <c r="I1049">
        <v>19905376</v>
      </c>
      <c r="J1049" t="s">
        <v>28</v>
      </c>
      <c r="K1049">
        <v>7</v>
      </c>
      <c r="L1049" t="s">
        <v>27</v>
      </c>
      <c r="M1049" t="s">
        <v>372</v>
      </c>
      <c r="N1049" t="s">
        <v>373</v>
      </c>
      <c r="O1049" t="s">
        <v>6365</v>
      </c>
      <c r="P1049" t="s">
        <v>27</v>
      </c>
      <c r="Q1049" s="1">
        <v>45512</v>
      </c>
      <c r="R1049" t="s">
        <v>375</v>
      </c>
      <c r="S1049" s="1">
        <v>45646</v>
      </c>
      <c r="T1049" t="s">
        <v>376</v>
      </c>
      <c r="U1049" t="s">
        <v>469</v>
      </c>
      <c r="V1049" t="s">
        <v>378</v>
      </c>
      <c r="W1049">
        <v>40</v>
      </c>
      <c r="X1049">
        <v>19905376</v>
      </c>
      <c r="Y1049" t="s">
        <v>379</v>
      </c>
      <c r="Z1049" t="s">
        <v>213</v>
      </c>
      <c r="AA1049" t="s">
        <v>32</v>
      </c>
      <c r="AB1049" t="s">
        <v>239</v>
      </c>
      <c r="AC1049" t="s">
        <v>25</v>
      </c>
      <c r="AD1049" t="s">
        <v>121</v>
      </c>
      <c r="AE1049">
        <v>10</v>
      </c>
      <c r="AF1049" s="1">
        <v>401769</v>
      </c>
      <c r="AG1049" t="s">
        <v>26</v>
      </c>
      <c r="AH1049" t="s">
        <v>6364</v>
      </c>
      <c r="AI1049" t="str">
        <f t="shared" si="80"/>
        <v>NO</v>
      </c>
      <c r="AJ1049" t="str">
        <f t="shared" si="81"/>
        <v>GLAXOSMITHKLINE BIOLOGICALS</v>
      </c>
      <c r="AK1049" t="str">
        <f>IF(ISNUMBER(SEARCH("FABRICANTE",AC1049)),"FABRICANTE",IF(ISNUMBER(SEARCH("IMPORTADOR",AC1049)),"IMPORTADOR","OTRO"))</f>
        <v>FABRICANTE</v>
      </c>
      <c r="AL1049" t="str">
        <f>IF(LEFT(Y1049,1)="A","Sistema digestivo",IF(LEFT(Y1049,1)="B","Sangre",IF(LEFT(Y1049,1)="C","Cardiovascular",IF(LEFT(Y1049,1)="D","Dermatológico",IF(LEFT(Y1049,1)="G","Genitourinario",IF(LEFT(Y1049,1)="H","Hormonal",IF(LEFT(Y1049,1)="J","Antiinfecciosos",IF(LEFT(Y1049,1)="L","Oncológicos",IF(LEFT(Y1049,1)="M","Musculoesquelético",IF(LEFT(Y1049,1)="N","Sistema nervioso",IF(LEFT(Y1049,1)="R","Respiratorio",IF(LEFT(Y1049,1)="S","Oftálmico",IF(LEFT(Y1049,1)="V","Varios","OTRO")))))))))))))</f>
        <v>Antiinfecciosos</v>
      </c>
      <c r="AM1049" t="str">
        <f>IF(AG1049="Vigente","ACTIVO",IF(ISNUMBER(SEARCH("Inactivo",J1049)),"INACTIVO","REVISAR"))</f>
        <v>ACTIVO</v>
      </c>
      <c r="AN1049">
        <f ca="1">IF(OR(AF1049="",AF1049="null"),"",ROUND((AF1049-TODAY())/365.25,2))</f>
        <v>973.58</v>
      </c>
      <c r="AO1049" t="str">
        <f ca="1">IF(AND(AG1049="Vigente",OR(AF1049="",AF1049="null",AF1049&gt;TODAY())),"SI",IF(AND(NOT(OR(AF1049="",AF1049="null")),AF1049&lt;=TODAY()),"NO",IF(AG1049="Vigente","SI","DESCONOCIDO")))</f>
        <v>SI</v>
      </c>
      <c r="AP1049" t="str">
        <f>IF(AND(ISNUMBER(SEARCH("IMPORTAR",AA1049)),ISNUMBER(SEARCH("FABRICAR",AA1049))),"MIXTO",IF(ISNUMBER(SEARCH("IMPORTAR",AA1049)),"IMPORTADO",IF(ISNUMBER(SEARCH("FABRICAR",AA1049)),"LOCAL","OTRO")))</f>
        <v>IMPORTADO</v>
      </c>
      <c r="AQ1049" t="str">
        <f>IF(AD1049="Si","SI",IF(AD1049="No","NO",""))</f>
        <v>NO</v>
      </c>
      <c r="AR1049" t="str">
        <f>IF(ISNUMBER(SEARCH("®",N1049)),"MARCA/INNOVADOR","GENERICO")</f>
        <v>GENERICO</v>
      </c>
      <c r="AS1049">
        <f ca="1">IF(AE1049&gt;100,RANDBETWEEN(500,5000),IF(AND(AE1049&gt;=10,AE1049&lt;=100),RANDBETWEEN(100,1000),RANDBETWEEN(10,200)))</f>
        <v>798</v>
      </c>
      <c r="AT1049">
        <f t="shared" ca="1" si="82"/>
        <v>151</v>
      </c>
      <c r="AU1049">
        <f ca="1">INT(AS1049*RANDBETWEEN(120,200)/100)</f>
        <v>1101</v>
      </c>
      <c r="AV1049" s="2">
        <f ca="1">IF(LEFT(Y1049,1)="L",RANDBETWEEN(500000,5000000),IF(LEFT(Y1049,1)="C",RANDBETWEEN(5000,50000),IF(LEFT(Y1049,1)="N",RANDBETWEEN(10000,150000),IF(LEFT(Y1049,1)="J",RANDBETWEEN(8000,200000),RANDBETWEEN(5000,100000)))))</f>
        <v>149350</v>
      </c>
      <c r="AW1049" s="2">
        <f ca="1">INT(AV1049*RANDBETWEEN(30,60)/100)</f>
        <v>53766</v>
      </c>
      <c r="AX1049">
        <f ca="1">IF(Z1049="ORAL",RANDBETWEEN(1000,10000),IF(OR(Z1049="INTRAVENOSA",Z1049="INTRAMUSCULAR"),RANDBETWEEN(100,2000),IF(OR(Z1049="OFTÁLMICA",Z1049="TOPICA (EXTERNA)"),RANDBETWEEN(200,3000),RANDBETWEEN(100,1500))))</f>
        <v>387</v>
      </c>
      <c r="AY1049" s="2">
        <f ca="1">INT(AV1049*RANDBETWEEN(90,130)/100)</f>
        <v>183700</v>
      </c>
      <c r="AZ1049" t="str">
        <f t="shared" ca="1" si="83"/>
        <v>1.7%</v>
      </c>
      <c r="BA1049" t="str">
        <f t="shared" ca="1" si="84"/>
        <v>BAJO</v>
      </c>
    </row>
    <row r="1050" spans="4:53" x14ac:dyDescent="0.35">
      <c r="D1050" t="s">
        <v>6366</v>
      </c>
      <c r="E1050" s="1">
        <v>43542</v>
      </c>
      <c r="F1050" t="s">
        <v>6367</v>
      </c>
      <c r="G1050" t="s">
        <v>108</v>
      </c>
      <c r="H1050" t="s">
        <v>168</v>
      </c>
      <c r="I1050">
        <v>20138038</v>
      </c>
      <c r="J1050" t="s">
        <v>28</v>
      </c>
      <c r="K1050">
        <v>3</v>
      </c>
      <c r="L1050" t="s">
        <v>6368</v>
      </c>
      <c r="M1050" t="s">
        <v>6369</v>
      </c>
      <c r="N1050" t="s">
        <v>6370</v>
      </c>
      <c r="O1050" t="s">
        <v>6371</v>
      </c>
      <c r="P1050" t="s">
        <v>6372</v>
      </c>
      <c r="Q1050" s="1">
        <v>43529</v>
      </c>
      <c r="R1050" t="s">
        <v>78</v>
      </c>
      <c r="S1050" t="s">
        <v>27</v>
      </c>
      <c r="T1050" t="s">
        <v>172</v>
      </c>
      <c r="U1050" t="s">
        <v>247</v>
      </c>
      <c r="V1050" t="s">
        <v>6367</v>
      </c>
      <c r="W1050">
        <v>5</v>
      </c>
      <c r="X1050">
        <v>20138038</v>
      </c>
      <c r="Y1050" t="s">
        <v>6373</v>
      </c>
      <c r="Z1050" t="s">
        <v>119</v>
      </c>
      <c r="AA1050" t="s">
        <v>24</v>
      </c>
      <c r="AB1050" t="s">
        <v>250</v>
      </c>
      <c r="AC1050" t="s">
        <v>25</v>
      </c>
      <c r="AD1050" t="s">
        <v>121</v>
      </c>
      <c r="AE1050">
        <v>1</v>
      </c>
      <c r="AF1050" t="s">
        <v>27</v>
      </c>
      <c r="AG1050" t="s">
        <v>26</v>
      </c>
      <c r="AH1050" t="s">
        <v>6367</v>
      </c>
      <c r="AI1050" t="str">
        <f t="shared" si="80"/>
        <v>NO</v>
      </c>
      <c r="AJ1050" t="str">
        <f t="shared" si="81"/>
        <v>NOVAMED</v>
      </c>
      <c r="AK1050" t="str">
        <f>IF(ISNUMBER(SEARCH("FABRICANTE",AC1050)),"FABRICANTE",IF(ISNUMBER(SEARCH("IMPORTADOR",AC1050)),"IMPORTADOR","OTRO"))</f>
        <v>FABRICANTE</v>
      </c>
      <c r="AL1050" t="str">
        <f>IF(LEFT(Y1050,1)="A","Sistema digestivo",IF(LEFT(Y1050,1)="B","Sangre",IF(LEFT(Y1050,1)="C","Cardiovascular",IF(LEFT(Y1050,1)="D","Dermatológico",IF(LEFT(Y1050,1)="G","Genitourinario",IF(LEFT(Y1050,1)="H","Hormonal",IF(LEFT(Y1050,1)="J","Antiinfecciosos",IF(LEFT(Y1050,1)="L","Oncológicos",IF(LEFT(Y1050,1)="M","Musculoesquelético",IF(LEFT(Y1050,1)="N","Sistema nervioso",IF(LEFT(Y1050,1)="R","Respiratorio",IF(LEFT(Y1050,1)="S","Oftálmico",IF(LEFT(Y1050,1)="V","Varios","OTRO")))))))))))))</f>
        <v>Respiratorio</v>
      </c>
      <c r="AM1050" t="str">
        <f>IF(AG1050="Vigente","ACTIVO",IF(ISNUMBER(SEARCH("Inactivo",J1050)),"INACTIVO","REVISAR"))</f>
        <v>ACTIVO</v>
      </c>
      <c r="AN1050" t="str">
        <f ca="1">IF(OR(AF1050="",AF1050="null"),"",ROUND((AF1050-TODAY())/365.25,2))</f>
        <v/>
      </c>
      <c r="AO1050" t="str">
        <f ca="1">IF(AND(AG1050="Vigente",OR(AF1050="",AF1050="null",AF1050&gt;TODAY())),"SI",IF(AND(NOT(OR(AF1050="",AF1050="null")),AF1050&lt;=TODAY()),"NO",IF(AG1050="Vigente","SI","DESCONOCIDO")))</f>
        <v>SI</v>
      </c>
      <c r="AP1050" t="str">
        <f>IF(AND(ISNUMBER(SEARCH("IMPORTAR",AA1050)),ISNUMBER(SEARCH("FABRICAR",AA1050))),"MIXTO",IF(ISNUMBER(SEARCH("IMPORTAR",AA1050)),"IMPORTADO",IF(ISNUMBER(SEARCH("FABRICAR",AA1050)),"LOCAL","OTRO")))</f>
        <v>LOCAL</v>
      </c>
      <c r="AQ1050" t="str">
        <f>IF(AD1050="Si","SI",IF(AD1050="No","NO",""))</f>
        <v>NO</v>
      </c>
      <c r="AR1050" t="str">
        <f>IF(ISNUMBER(SEARCH("®",N1050)),"MARCA/INNOVADOR","GENERICO")</f>
        <v>MARCA/INNOVADOR</v>
      </c>
      <c r="AS1050">
        <f ca="1">IF(AE1050&gt;100,RANDBETWEEN(500,5000),IF(AND(AE1050&gt;=10,AE1050&lt;=100),RANDBETWEEN(100,1000),RANDBETWEEN(10,200)))</f>
        <v>37</v>
      </c>
      <c r="AT1050">
        <f t="shared" ca="1" si="82"/>
        <v>5</v>
      </c>
      <c r="AU1050">
        <f ca="1">INT(AS1050*RANDBETWEEN(120,200)/100)</f>
        <v>49</v>
      </c>
      <c r="AV1050" s="2">
        <f ca="1">IF(LEFT(Y1050,1)="L",RANDBETWEEN(500000,5000000),IF(LEFT(Y1050,1)="C",RANDBETWEEN(5000,50000),IF(LEFT(Y1050,1)="N",RANDBETWEEN(10000,150000),IF(LEFT(Y1050,1)="J",RANDBETWEEN(8000,200000),RANDBETWEEN(5000,100000)))))</f>
        <v>36027</v>
      </c>
      <c r="AW1050" s="2">
        <f ca="1">INT(AV1050*RANDBETWEEN(30,60)/100)</f>
        <v>16932</v>
      </c>
      <c r="AX1050">
        <f ca="1">IF(Z1050="ORAL",RANDBETWEEN(1000,10000),IF(OR(Z1050="INTRAVENOSA",Z1050="INTRAMUSCULAR"),RANDBETWEEN(100,2000),IF(OR(Z1050="OFTÁLMICA",Z1050="TOPICA (EXTERNA)"),RANDBETWEEN(200,3000),RANDBETWEEN(100,1500))))</f>
        <v>5967</v>
      </c>
      <c r="AY1050" s="2">
        <f ca="1">INT(AV1050*RANDBETWEEN(90,130)/100)</f>
        <v>45033</v>
      </c>
      <c r="AZ1050" t="str">
        <f t="shared" ca="1" si="83"/>
        <v>18.1%</v>
      </c>
      <c r="BA1050" t="str">
        <f t="shared" ca="1" si="84"/>
        <v>BAJO</v>
      </c>
    </row>
    <row r="1051" spans="4:53" x14ac:dyDescent="0.35">
      <c r="D1051" t="s">
        <v>6374</v>
      </c>
      <c r="E1051" s="1">
        <v>38489</v>
      </c>
      <c r="F1051" t="s">
        <v>6375</v>
      </c>
      <c r="G1051" t="s">
        <v>108</v>
      </c>
      <c r="H1051" t="s">
        <v>4491</v>
      </c>
      <c r="I1051">
        <v>19948326</v>
      </c>
      <c r="J1051" t="s">
        <v>28</v>
      </c>
      <c r="K1051">
        <v>11</v>
      </c>
      <c r="L1051" t="s">
        <v>27</v>
      </c>
      <c r="M1051" t="s">
        <v>6376</v>
      </c>
      <c r="N1051" t="s">
        <v>6377</v>
      </c>
      <c r="O1051" t="s">
        <v>6378</v>
      </c>
      <c r="P1051" t="s">
        <v>6379</v>
      </c>
      <c r="Q1051" s="1">
        <v>40786</v>
      </c>
      <c r="R1051" t="s">
        <v>6380</v>
      </c>
      <c r="S1051" t="s">
        <v>27</v>
      </c>
      <c r="T1051" t="s">
        <v>1591</v>
      </c>
      <c r="U1051" t="s">
        <v>115</v>
      </c>
      <c r="V1051" t="s">
        <v>6381</v>
      </c>
      <c r="W1051">
        <v>5</v>
      </c>
      <c r="X1051">
        <v>19948326</v>
      </c>
      <c r="Y1051" t="s">
        <v>6382</v>
      </c>
      <c r="Z1051" t="s">
        <v>119</v>
      </c>
      <c r="AA1051" t="s">
        <v>24</v>
      </c>
      <c r="AB1051" t="s">
        <v>120</v>
      </c>
      <c r="AC1051" t="s">
        <v>25</v>
      </c>
      <c r="AD1051" t="s">
        <v>121</v>
      </c>
      <c r="AE1051">
        <v>200</v>
      </c>
      <c r="AF1051" t="s">
        <v>27</v>
      </c>
      <c r="AG1051" t="s">
        <v>26</v>
      </c>
      <c r="AH1051" t="s">
        <v>6375</v>
      </c>
      <c r="AI1051" t="str">
        <f t="shared" si="80"/>
        <v>NO</v>
      </c>
      <c r="AJ1051" t="str">
        <f t="shared" si="81"/>
        <v>LABORATORIO INTERNACIONAL DE COLOMBIA - LABINCO</v>
      </c>
      <c r="AK1051" t="str">
        <f>IF(ISNUMBER(SEARCH("FABRICANTE",AC1051)),"FABRICANTE",IF(ISNUMBER(SEARCH("IMPORTADOR",AC1051)),"IMPORTADOR","OTRO"))</f>
        <v>FABRICANTE</v>
      </c>
      <c r="AL1051" t="str">
        <f>IF(LEFT(Y1051,1)="A","Sistema digestivo",IF(LEFT(Y1051,1)="B","Sangre",IF(LEFT(Y1051,1)="C","Cardiovascular",IF(LEFT(Y1051,1)="D","Dermatológico",IF(LEFT(Y1051,1)="G","Genitourinario",IF(LEFT(Y1051,1)="H","Hormonal",IF(LEFT(Y1051,1)="J","Antiinfecciosos",IF(LEFT(Y1051,1)="L","Oncológicos",IF(LEFT(Y1051,1)="M","Musculoesquelético",IF(LEFT(Y1051,1)="N","Sistema nervioso",IF(LEFT(Y1051,1)="R","Respiratorio",IF(LEFT(Y1051,1)="S","Oftálmico",IF(LEFT(Y1051,1)="V","Varios","OTRO")))))))))))))</f>
        <v>Sistema digestivo</v>
      </c>
      <c r="AM1051" t="str">
        <f>IF(AG1051="Vigente","ACTIVO",IF(ISNUMBER(SEARCH("Inactivo",J1051)),"INACTIVO","REVISAR"))</f>
        <v>ACTIVO</v>
      </c>
      <c r="AN1051" t="str">
        <f ca="1">IF(OR(AF1051="",AF1051="null"),"",ROUND((AF1051-TODAY())/365.25,2))</f>
        <v/>
      </c>
      <c r="AO1051" t="str">
        <f ca="1">IF(AND(AG1051="Vigente",OR(AF1051="",AF1051="null",AF1051&gt;TODAY())),"SI",IF(AND(NOT(OR(AF1051="",AF1051="null")),AF1051&lt;=TODAY()),"NO",IF(AG1051="Vigente","SI","DESCONOCIDO")))</f>
        <v>SI</v>
      </c>
      <c r="AP1051" t="str">
        <f>IF(AND(ISNUMBER(SEARCH("IMPORTAR",AA1051)),ISNUMBER(SEARCH("FABRICAR",AA1051))),"MIXTO",IF(ISNUMBER(SEARCH("IMPORTAR",AA1051)),"IMPORTADO",IF(ISNUMBER(SEARCH("FABRICAR",AA1051)),"LOCAL","OTRO")))</f>
        <v>LOCAL</v>
      </c>
      <c r="AQ1051" t="str">
        <f>IF(AD1051="Si","SI",IF(AD1051="No","NO",""))</f>
        <v>NO</v>
      </c>
      <c r="AR1051" t="str">
        <f>IF(ISNUMBER(SEARCH("®",N1051)),"MARCA/INNOVADOR","GENERICO")</f>
        <v>GENERICO</v>
      </c>
      <c r="AS1051">
        <f ca="1">IF(AE1051&gt;100,RANDBETWEEN(500,5000),IF(AND(AE1051&gt;=10,AE1051&lt;=100),RANDBETWEEN(100,1000),RANDBETWEEN(10,200)))</f>
        <v>4707</v>
      </c>
      <c r="AT1051">
        <f t="shared" ca="1" si="82"/>
        <v>470</v>
      </c>
      <c r="AU1051">
        <f ca="1">INT(AS1051*RANDBETWEEN(120,200)/100)</f>
        <v>7013</v>
      </c>
      <c r="AV1051" s="2">
        <f ca="1">IF(LEFT(Y1051,1)="L",RANDBETWEEN(500000,5000000),IF(LEFT(Y1051,1)="C",RANDBETWEEN(5000,50000),IF(LEFT(Y1051,1)="N",RANDBETWEEN(10000,150000),IF(LEFT(Y1051,1)="J",RANDBETWEEN(8000,200000),RANDBETWEEN(5000,100000)))))</f>
        <v>23527</v>
      </c>
      <c r="AW1051" s="2">
        <f ca="1">INT(AV1051*RANDBETWEEN(30,60)/100)</f>
        <v>9881</v>
      </c>
      <c r="AX1051">
        <f ca="1">IF(Z1051="ORAL",RANDBETWEEN(1000,10000),IF(OR(Z1051="INTRAVENOSA",Z1051="INTRAMUSCULAR"),RANDBETWEEN(100,2000),IF(OR(Z1051="OFTÁLMICA",Z1051="TOPICA (EXTERNA)"),RANDBETWEEN(200,3000),RANDBETWEEN(100,1500))))</f>
        <v>3814</v>
      </c>
      <c r="AY1051" s="2">
        <f ca="1">INT(AV1051*RANDBETWEEN(90,130)/100)</f>
        <v>27997</v>
      </c>
      <c r="AZ1051" t="str">
        <f t="shared" ca="1" si="83"/>
        <v>20%</v>
      </c>
      <c r="BA1051" t="str">
        <f t="shared" ca="1" si="84"/>
        <v>BAJO</v>
      </c>
    </row>
    <row r="1052" spans="4:53" x14ac:dyDescent="0.35">
      <c r="D1052" t="s">
        <v>6383</v>
      </c>
      <c r="E1052" s="1">
        <v>36161</v>
      </c>
      <c r="F1052" t="s">
        <v>6384</v>
      </c>
      <c r="G1052" t="s">
        <v>108</v>
      </c>
      <c r="H1052" t="s">
        <v>114</v>
      </c>
      <c r="I1052">
        <v>31337</v>
      </c>
      <c r="J1052" t="s">
        <v>28</v>
      </c>
      <c r="K1052">
        <v>3</v>
      </c>
      <c r="L1052" t="s">
        <v>27</v>
      </c>
      <c r="M1052" t="s">
        <v>6385</v>
      </c>
      <c r="N1052" t="s">
        <v>6386</v>
      </c>
      <c r="O1052" t="s">
        <v>6387</v>
      </c>
      <c r="P1052" t="s">
        <v>2378</v>
      </c>
      <c r="Q1052" s="1">
        <v>39031</v>
      </c>
      <c r="R1052" t="s">
        <v>62</v>
      </c>
      <c r="S1052" t="s">
        <v>27</v>
      </c>
      <c r="T1052" t="s">
        <v>1388</v>
      </c>
      <c r="U1052" t="s">
        <v>2356</v>
      </c>
      <c r="V1052" t="s">
        <v>6384</v>
      </c>
      <c r="W1052">
        <v>1</v>
      </c>
      <c r="X1052">
        <v>31337</v>
      </c>
      <c r="Y1052" t="s">
        <v>6388</v>
      </c>
      <c r="Z1052" t="s">
        <v>566</v>
      </c>
      <c r="AA1052" t="s">
        <v>24</v>
      </c>
      <c r="AB1052" t="s">
        <v>653</v>
      </c>
      <c r="AC1052" t="s">
        <v>25</v>
      </c>
      <c r="AD1052" t="s">
        <v>121</v>
      </c>
      <c r="AE1052">
        <v>1</v>
      </c>
      <c r="AF1052" t="s">
        <v>27</v>
      </c>
      <c r="AG1052" t="s">
        <v>26</v>
      </c>
      <c r="AH1052" t="s">
        <v>6854</v>
      </c>
      <c r="AI1052" t="str">
        <f t="shared" si="80"/>
        <v>NO</v>
      </c>
      <c r="AJ1052" t="str">
        <f t="shared" si="81"/>
        <v>LABORATORIOS BUSSIE</v>
      </c>
      <c r="AK1052" t="str">
        <f>IF(ISNUMBER(SEARCH("FABRICANTE",AC1052)),"FABRICANTE",IF(ISNUMBER(SEARCH("IMPORTADOR",AC1052)),"IMPORTADOR","OTRO"))</f>
        <v>FABRICANTE</v>
      </c>
      <c r="AL1052" t="str">
        <f>IF(LEFT(Y1052,1)="A","Sistema digestivo",IF(LEFT(Y1052,1)="B","Sangre",IF(LEFT(Y1052,1)="C","Cardiovascular",IF(LEFT(Y1052,1)="D","Dermatológico",IF(LEFT(Y1052,1)="G","Genitourinario",IF(LEFT(Y1052,1)="H","Hormonal",IF(LEFT(Y1052,1)="J","Antiinfecciosos",IF(LEFT(Y1052,1)="L","Oncológicos",IF(LEFT(Y1052,1)="M","Musculoesquelético",IF(LEFT(Y1052,1)="N","Sistema nervioso",IF(LEFT(Y1052,1)="R","Respiratorio",IF(LEFT(Y1052,1)="S","Oftálmico",IF(LEFT(Y1052,1)="V","Varios","OTRO")))))))))))))</f>
        <v>Dermatológico</v>
      </c>
      <c r="AM1052" t="str">
        <f>IF(AG1052="Vigente","ACTIVO",IF(ISNUMBER(SEARCH("Inactivo",J1052)),"INACTIVO","REVISAR"))</f>
        <v>ACTIVO</v>
      </c>
      <c r="AN1052" t="str">
        <f ca="1">IF(OR(AF1052="",AF1052="null"),"",ROUND((AF1052-TODAY())/365.25,2))</f>
        <v/>
      </c>
      <c r="AO1052" t="str">
        <f ca="1">IF(AND(AG1052="Vigente",OR(AF1052="",AF1052="null",AF1052&gt;TODAY())),"SI",IF(AND(NOT(OR(AF1052="",AF1052="null")),AF1052&lt;=TODAY()),"NO",IF(AG1052="Vigente","SI","DESCONOCIDO")))</f>
        <v>SI</v>
      </c>
      <c r="AP1052" t="str">
        <f>IF(AND(ISNUMBER(SEARCH("IMPORTAR",AA1052)),ISNUMBER(SEARCH("FABRICAR",AA1052))),"MIXTO",IF(ISNUMBER(SEARCH("IMPORTAR",AA1052)),"IMPORTADO",IF(ISNUMBER(SEARCH("FABRICAR",AA1052)),"LOCAL","OTRO")))</f>
        <v>LOCAL</v>
      </c>
      <c r="AQ1052" t="str">
        <f>IF(AD1052="Si","SI",IF(AD1052="No","NO",""))</f>
        <v>NO</v>
      </c>
      <c r="AR1052" t="str">
        <f>IF(ISNUMBER(SEARCH("®",N1052)),"MARCA/INNOVADOR","GENERICO")</f>
        <v>GENERICO</v>
      </c>
      <c r="AS1052">
        <f ca="1">IF(AE1052&gt;100,RANDBETWEEN(500,5000),IF(AND(AE1052&gt;=10,AE1052&lt;=100),RANDBETWEEN(100,1000),RANDBETWEEN(10,200)))</f>
        <v>144</v>
      </c>
      <c r="AT1052">
        <f t="shared" ca="1" si="82"/>
        <v>24</v>
      </c>
      <c r="AU1052">
        <f ca="1">INT(AS1052*RANDBETWEEN(120,200)/100)</f>
        <v>201</v>
      </c>
      <c r="AV1052" s="2">
        <f ca="1">IF(LEFT(Y1052,1)="L",RANDBETWEEN(500000,5000000),IF(LEFT(Y1052,1)="C",RANDBETWEEN(5000,50000),IF(LEFT(Y1052,1)="N",RANDBETWEEN(10000,150000),IF(LEFT(Y1052,1)="J",RANDBETWEEN(8000,200000),RANDBETWEEN(5000,100000)))))</f>
        <v>80985</v>
      </c>
      <c r="AW1052" s="2">
        <f ca="1">INT(AV1052*RANDBETWEEN(30,60)/100)</f>
        <v>26725</v>
      </c>
      <c r="AX1052">
        <f ca="1">IF(Z1052="ORAL",RANDBETWEEN(1000,10000),IF(OR(Z1052="INTRAVENOSA",Z1052="INTRAMUSCULAR"),RANDBETWEEN(100,2000),IF(OR(Z1052="OFTÁLMICA",Z1052="TOPICA (EXTERNA)"),RANDBETWEEN(200,3000),RANDBETWEEN(100,1500))))</f>
        <v>2809</v>
      </c>
      <c r="AY1052" s="2">
        <f ca="1">INT(AV1052*RANDBETWEEN(90,130)/100)</f>
        <v>76935</v>
      </c>
      <c r="AZ1052" t="str">
        <f t="shared" ca="1" si="83"/>
        <v>5.5%</v>
      </c>
      <c r="BA1052" t="str">
        <f t="shared" ca="1" si="84"/>
        <v>BAJO</v>
      </c>
    </row>
    <row r="1053" spans="4:53" x14ac:dyDescent="0.35">
      <c r="D1053" t="s">
        <v>6389</v>
      </c>
      <c r="E1053" s="1">
        <v>41344</v>
      </c>
      <c r="F1053" t="s">
        <v>3326</v>
      </c>
      <c r="G1053" t="s">
        <v>108</v>
      </c>
      <c r="H1053" t="s">
        <v>3327</v>
      </c>
      <c r="I1053">
        <v>20025390</v>
      </c>
      <c r="J1053" t="s">
        <v>28</v>
      </c>
      <c r="K1053">
        <v>21</v>
      </c>
      <c r="L1053" t="s">
        <v>27</v>
      </c>
      <c r="M1053" t="s">
        <v>3328</v>
      </c>
      <c r="N1053" t="s">
        <v>3329</v>
      </c>
      <c r="O1053" t="s">
        <v>6390</v>
      </c>
      <c r="P1053" t="s">
        <v>659</v>
      </c>
      <c r="Q1053" s="1">
        <v>41333</v>
      </c>
      <c r="R1053" t="s">
        <v>37</v>
      </c>
      <c r="S1053" t="s">
        <v>27</v>
      </c>
      <c r="T1053" t="s">
        <v>1490</v>
      </c>
      <c r="U1053" t="s">
        <v>115</v>
      </c>
      <c r="V1053" t="s">
        <v>3331</v>
      </c>
      <c r="W1053">
        <v>135</v>
      </c>
      <c r="X1053">
        <v>20025390</v>
      </c>
      <c r="Y1053" t="s">
        <v>3332</v>
      </c>
      <c r="Z1053" t="s">
        <v>119</v>
      </c>
      <c r="AA1053" t="s">
        <v>24</v>
      </c>
      <c r="AB1053" t="s">
        <v>120</v>
      </c>
      <c r="AC1053" t="s">
        <v>25</v>
      </c>
      <c r="AD1053" t="s">
        <v>155</v>
      </c>
      <c r="AE1053">
        <v>2</v>
      </c>
      <c r="AF1053" s="1">
        <v>401769</v>
      </c>
      <c r="AG1053" t="s">
        <v>26</v>
      </c>
      <c r="AH1053" t="s">
        <v>6805</v>
      </c>
      <c r="AI1053" t="str">
        <f t="shared" si="80"/>
        <v>SI</v>
      </c>
      <c r="AJ1053" t="str">
        <f t="shared" si="81"/>
        <v>LABORATORIO FRANCO COLOMBIANO - LAFRANCOL</v>
      </c>
      <c r="AK1053" t="str">
        <f>IF(ISNUMBER(SEARCH("FABRICANTE",AC1053)),"FABRICANTE",IF(ISNUMBER(SEARCH("IMPORTADOR",AC1053)),"IMPORTADOR","OTRO"))</f>
        <v>FABRICANTE</v>
      </c>
      <c r="AL1053" t="str">
        <f>IF(LEFT(Y1053,1)="A","Sistema digestivo",IF(LEFT(Y1053,1)="B","Sangre",IF(LEFT(Y1053,1)="C","Cardiovascular",IF(LEFT(Y1053,1)="D","Dermatológico",IF(LEFT(Y1053,1)="G","Genitourinario",IF(LEFT(Y1053,1)="H","Hormonal",IF(LEFT(Y1053,1)="J","Antiinfecciosos",IF(LEFT(Y1053,1)="L","Oncológicos",IF(LEFT(Y1053,1)="M","Musculoesquelético",IF(LEFT(Y1053,1)="N","Sistema nervioso",IF(LEFT(Y1053,1)="R","Respiratorio",IF(LEFT(Y1053,1)="S","Oftálmico",IF(LEFT(Y1053,1)="V","Varios","OTRO")))))))))))))</f>
        <v>Cardiovascular</v>
      </c>
      <c r="AM1053" t="str">
        <f>IF(AG1053="Vigente","ACTIVO",IF(ISNUMBER(SEARCH("Inactivo",J1053)),"INACTIVO","REVISAR"))</f>
        <v>ACTIVO</v>
      </c>
      <c r="AN1053">
        <f ca="1">IF(OR(AF1053="",AF1053="null"),"",ROUND((AF1053-TODAY())/365.25,2))</f>
        <v>973.58</v>
      </c>
      <c r="AO1053" t="str">
        <f ca="1">IF(AND(AG1053="Vigente",OR(AF1053="",AF1053="null",AF1053&gt;TODAY())),"SI",IF(AND(NOT(OR(AF1053="",AF1053="null")),AF1053&lt;=TODAY()),"NO",IF(AG1053="Vigente","SI","DESCONOCIDO")))</f>
        <v>SI</v>
      </c>
      <c r="AP1053" t="str">
        <f>IF(AND(ISNUMBER(SEARCH("IMPORTAR",AA1053)),ISNUMBER(SEARCH("FABRICAR",AA1053))),"MIXTO",IF(ISNUMBER(SEARCH("IMPORTAR",AA1053)),"IMPORTADO",IF(ISNUMBER(SEARCH("FABRICAR",AA1053)),"LOCAL","OTRO")))</f>
        <v>LOCAL</v>
      </c>
      <c r="AQ1053" t="str">
        <f>IF(AD1053="Si","SI",IF(AD1053="No","NO",""))</f>
        <v>SI</v>
      </c>
      <c r="AR1053" t="str">
        <f>IF(ISNUMBER(SEARCH("®",N1053)),"MARCA/INNOVADOR","GENERICO")</f>
        <v>MARCA/INNOVADOR</v>
      </c>
      <c r="AS1053">
        <f ca="1">IF(AE1053&gt;100,RANDBETWEEN(500,5000),IF(AND(AE1053&gt;=10,AE1053&lt;=100),RANDBETWEEN(100,1000),RANDBETWEEN(10,200)))</f>
        <v>144</v>
      </c>
      <c r="AT1053">
        <f t="shared" ca="1" si="82"/>
        <v>34</v>
      </c>
      <c r="AU1053">
        <f ca="1">INT(AS1053*RANDBETWEEN(120,200)/100)</f>
        <v>174</v>
      </c>
      <c r="AV1053" s="2">
        <f ca="1">IF(LEFT(Y1053,1)="L",RANDBETWEEN(500000,5000000),IF(LEFT(Y1053,1)="C",RANDBETWEEN(5000,50000),IF(LEFT(Y1053,1)="N",RANDBETWEEN(10000,150000),IF(LEFT(Y1053,1)="J",RANDBETWEEN(8000,200000),RANDBETWEEN(5000,100000)))))</f>
        <v>37082</v>
      </c>
      <c r="AW1053" s="2">
        <f ca="1">INT(AV1053*RANDBETWEEN(30,60)/100)</f>
        <v>17799</v>
      </c>
      <c r="AX1053">
        <f ca="1">IF(Z1053="ORAL",RANDBETWEEN(1000,10000),IF(OR(Z1053="INTRAVENOSA",Z1053="INTRAMUSCULAR"),RANDBETWEEN(100,2000),IF(OR(Z1053="OFTÁLMICA",Z1053="TOPICA (EXTERNA)"),RANDBETWEEN(200,3000),RANDBETWEEN(100,1500))))</f>
        <v>9326</v>
      </c>
      <c r="AY1053" s="2">
        <f ca="1">INT(AV1053*RANDBETWEEN(90,130)/100)</f>
        <v>47464</v>
      </c>
      <c r="AZ1053" t="str">
        <f t="shared" ca="1" si="83"/>
        <v>19.5%</v>
      </c>
      <c r="BA1053" t="str">
        <f t="shared" ca="1" si="84"/>
        <v>BAJO</v>
      </c>
    </row>
    <row r="1054" spans="4:53" x14ac:dyDescent="0.35">
      <c r="D1054" t="s">
        <v>6391</v>
      </c>
      <c r="E1054" s="1">
        <v>41054</v>
      </c>
      <c r="F1054" t="s">
        <v>2058</v>
      </c>
      <c r="G1054" t="s">
        <v>108</v>
      </c>
      <c r="H1054" t="s">
        <v>242</v>
      </c>
      <c r="I1054">
        <v>20042480</v>
      </c>
      <c r="J1054" t="s">
        <v>28</v>
      </c>
      <c r="K1054">
        <v>48</v>
      </c>
      <c r="L1054" t="s">
        <v>27</v>
      </c>
      <c r="M1054" t="s">
        <v>243</v>
      </c>
      <c r="N1054" t="s">
        <v>244</v>
      </c>
      <c r="O1054" t="s">
        <v>6392</v>
      </c>
      <c r="P1054" t="s">
        <v>246</v>
      </c>
      <c r="Q1054" s="1">
        <v>42591</v>
      </c>
      <c r="R1054" t="s">
        <v>67</v>
      </c>
      <c r="S1054" t="s">
        <v>27</v>
      </c>
      <c r="T1054" t="s">
        <v>80</v>
      </c>
      <c r="U1054" t="s">
        <v>247</v>
      </c>
      <c r="V1054" t="s">
        <v>248</v>
      </c>
      <c r="W1054" t="s">
        <v>2060</v>
      </c>
      <c r="X1054">
        <v>20042480</v>
      </c>
      <c r="Y1054" t="s">
        <v>249</v>
      </c>
      <c r="Z1054" t="s">
        <v>119</v>
      </c>
      <c r="AA1054" t="s">
        <v>24</v>
      </c>
      <c r="AB1054" t="s">
        <v>250</v>
      </c>
      <c r="AC1054" t="s">
        <v>25</v>
      </c>
      <c r="AD1054" t="s">
        <v>121</v>
      </c>
      <c r="AE1054">
        <v>2</v>
      </c>
      <c r="AF1054" t="s">
        <v>27</v>
      </c>
      <c r="AG1054" t="s">
        <v>26</v>
      </c>
      <c r="AH1054" t="s">
        <v>6765</v>
      </c>
      <c r="AI1054" t="str">
        <f t="shared" si="80"/>
        <v>NO</v>
      </c>
      <c r="AJ1054" t="str">
        <f t="shared" si="81"/>
        <v>TECNOQUIMICAS</v>
      </c>
      <c r="AK1054" t="str">
        <f>IF(ISNUMBER(SEARCH("FABRICANTE",AC1054)),"FABRICANTE",IF(ISNUMBER(SEARCH("IMPORTADOR",AC1054)),"IMPORTADOR","OTRO"))</f>
        <v>FABRICANTE</v>
      </c>
      <c r="AL1054" t="str">
        <f>IF(LEFT(Y1054,1)="A","Sistema digestivo",IF(LEFT(Y1054,1)="B","Sangre",IF(LEFT(Y1054,1)="C","Cardiovascular",IF(LEFT(Y1054,1)="D","Dermatológico",IF(LEFT(Y1054,1)="G","Genitourinario",IF(LEFT(Y1054,1)="H","Hormonal",IF(LEFT(Y1054,1)="J","Antiinfecciosos",IF(LEFT(Y1054,1)="L","Oncológicos",IF(LEFT(Y1054,1)="M","Musculoesquelético",IF(LEFT(Y1054,1)="N","Sistema nervioso",IF(LEFT(Y1054,1)="R","Respiratorio",IF(LEFT(Y1054,1)="S","Oftálmico",IF(LEFT(Y1054,1)="V","Varios","OTRO")))))))))))))</f>
        <v>Sistema digestivo</v>
      </c>
      <c r="AM1054" t="str">
        <f>IF(AG1054="Vigente","ACTIVO",IF(ISNUMBER(SEARCH("Inactivo",J1054)),"INACTIVO","REVISAR"))</f>
        <v>ACTIVO</v>
      </c>
      <c r="AN1054" t="str">
        <f ca="1">IF(OR(AF1054="",AF1054="null"),"",ROUND((AF1054-TODAY())/365.25,2))</f>
        <v/>
      </c>
      <c r="AO1054" t="str">
        <f ca="1">IF(AND(AG1054="Vigente",OR(AF1054="",AF1054="null",AF1054&gt;TODAY())),"SI",IF(AND(NOT(OR(AF1054="",AF1054="null")),AF1054&lt;=TODAY()),"NO",IF(AG1054="Vigente","SI","DESCONOCIDO")))</f>
        <v>SI</v>
      </c>
      <c r="AP1054" t="str">
        <f>IF(AND(ISNUMBER(SEARCH("IMPORTAR",AA1054)),ISNUMBER(SEARCH("FABRICAR",AA1054))),"MIXTO",IF(ISNUMBER(SEARCH("IMPORTAR",AA1054)),"IMPORTADO",IF(ISNUMBER(SEARCH("FABRICAR",AA1054)),"LOCAL","OTRO")))</f>
        <v>LOCAL</v>
      </c>
      <c r="AQ1054" t="str">
        <f>IF(AD1054="Si","SI",IF(AD1054="No","NO",""))</f>
        <v>NO</v>
      </c>
      <c r="AR1054" t="str">
        <f>IF(ISNUMBER(SEARCH("®",N1054)),"MARCA/INNOVADOR","GENERICO")</f>
        <v>MARCA/INNOVADOR</v>
      </c>
      <c r="AS1054">
        <f ca="1">IF(AE1054&gt;100,RANDBETWEEN(500,5000),IF(AND(AE1054&gt;=10,AE1054&lt;=100),RANDBETWEEN(100,1000),RANDBETWEEN(10,200)))</f>
        <v>117</v>
      </c>
      <c r="AT1054">
        <f t="shared" ca="1" si="82"/>
        <v>23</v>
      </c>
      <c r="AU1054">
        <f ca="1">INT(AS1054*RANDBETWEEN(120,200)/100)</f>
        <v>180</v>
      </c>
      <c r="AV1054" s="2">
        <f ca="1">IF(LEFT(Y1054,1)="L",RANDBETWEEN(500000,5000000),IF(LEFT(Y1054,1)="C",RANDBETWEEN(5000,50000),IF(LEFT(Y1054,1)="N",RANDBETWEEN(10000,150000),IF(LEFT(Y1054,1)="J",RANDBETWEEN(8000,200000),RANDBETWEEN(5000,100000)))))</f>
        <v>89135</v>
      </c>
      <c r="AW1054" s="2">
        <f ca="1">INT(AV1054*RANDBETWEEN(30,60)/100)</f>
        <v>42784</v>
      </c>
      <c r="AX1054">
        <f ca="1">IF(Z1054="ORAL",RANDBETWEEN(1000,10000),IF(OR(Z1054="INTRAVENOSA",Z1054="INTRAMUSCULAR"),RANDBETWEEN(100,2000),IF(OR(Z1054="OFTÁLMICA",Z1054="TOPICA (EXTERNA)"),RANDBETWEEN(200,3000),RANDBETWEEN(100,1500))))</f>
        <v>1585</v>
      </c>
      <c r="AY1054" s="2">
        <f ca="1">INT(AV1054*RANDBETWEEN(90,130)/100)</f>
        <v>94483</v>
      </c>
      <c r="AZ1054" t="str">
        <f t="shared" ca="1" si="83"/>
        <v>23.9%</v>
      </c>
      <c r="BA1054" t="str">
        <f t="shared" ca="1" si="84"/>
        <v>BAJO</v>
      </c>
    </row>
    <row r="1055" spans="4:53" x14ac:dyDescent="0.35">
      <c r="D1055" t="s">
        <v>6393</v>
      </c>
      <c r="E1055" s="1">
        <v>38161</v>
      </c>
      <c r="F1055" t="s">
        <v>3214</v>
      </c>
      <c r="G1055" t="s">
        <v>108</v>
      </c>
      <c r="H1055" t="s">
        <v>4138</v>
      </c>
      <c r="I1055">
        <v>19945455</v>
      </c>
      <c r="J1055" t="s">
        <v>28</v>
      </c>
      <c r="K1055">
        <v>1</v>
      </c>
      <c r="L1055" t="s">
        <v>27</v>
      </c>
      <c r="M1055" t="s">
        <v>6394</v>
      </c>
      <c r="N1055" t="s">
        <v>6395</v>
      </c>
      <c r="O1055" t="s">
        <v>6396</v>
      </c>
      <c r="P1055" t="s">
        <v>6397</v>
      </c>
      <c r="Q1055" s="1">
        <v>39031</v>
      </c>
      <c r="R1055" t="s">
        <v>1163</v>
      </c>
      <c r="S1055" t="s">
        <v>27</v>
      </c>
      <c r="T1055" t="s">
        <v>3215</v>
      </c>
      <c r="U1055" t="s">
        <v>807</v>
      </c>
      <c r="V1055" t="s">
        <v>6266</v>
      </c>
      <c r="W1055">
        <v>320</v>
      </c>
      <c r="X1055">
        <v>19945455</v>
      </c>
      <c r="Y1055" t="s">
        <v>6267</v>
      </c>
      <c r="Z1055" t="s">
        <v>1168</v>
      </c>
      <c r="AA1055" t="s">
        <v>32</v>
      </c>
      <c r="AB1055" t="s">
        <v>1983</v>
      </c>
      <c r="AC1055" t="s">
        <v>25</v>
      </c>
      <c r="AD1055" t="s">
        <v>155</v>
      </c>
      <c r="AE1055">
        <v>1</v>
      </c>
      <c r="AF1055" t="s">
        <v>27</v>
      </c>
      <c r="AG1055" t="s">
        <v>26</v>
      </c>
      <c r="AH1055" t="s">
        <v>3214</v>
      </c>
      <c r="AI1055" t="str">
        <f t="shared" si="80"/>
        <v>NO</v>
      </c>
      <c r="AJ1055" t="str">
        <f t="shared" si="81"/>
        <v>ASTRAZENECA COLOMBIA</v>
      </c>
      <c r="AK1055" t="str">
        <f>IF(ISNUMBER(SEARCH("FABRICANTE",AC1055)),"FABRICANTE",IF(ISNUMBER(SEARCH("IMPORTADOR",AC1055)),"IMPORTADOR","OTRO"))</f>
        <v>FABRICANTE</v>
      </c>
      <c r="AL1055" t="str">
        <f>IF(LEFT(Y1055,1)="A","Sistema digestivo",IF(LEFT(Y1055,1)="B","Sangre",IF(LEFT(Y1055,1)="C","Cardiovascular",IF(LEFT(Y1055,1)="D","Dermatológico",IF(LEFT(Y1055,1)="G","Genitourinario",IF(LEFT(Y1055,1)="H","Hormonal",IF(LEFT(Y1055,1)="J","Antiinfecciosos",IF(LEFT(Y1055,1)="L","Oncológicos",IF(LEFT(Y1055,1)="M","Musculoesquelético",IF(LEFT(Y1055,1)="N","Sistema nervioso",IF(LEFT(Y1055,1)="R","Respiratorio",IF(LEFT(Y1055,1)="S","Oftálmico",IF(LEFT(Y1055,1)="V","Varios","OTRO")))))))))))))</f>
        <v>Respiratorio</v>
      </c>
      <c r="AM1055" t="str">
        <f>IF(AG1055="Vigente","ACTIVO",IF(ISNUMBER(SEARCH("Inactivo",J1055)),"INACTIVO","REVISAR"))</f>
        <v>ACTIVO</v>
      </c>
      <c r="AN1055" t="str">
        <f ca="1">IF(OR(AF1055="",AF1055="null"),"",ROUND((AF1055-TODAY())/365.25,2))</f>
        <v/>
      </c>
      <c r="AO1055" t="str">
        <f ca="1">IF(AND(AG1055="Vigente",OR(AF1055="",AF1055="null",AF1055&gt;TODAY())),"SI",IF(AND(NOT(OR(AF1055="",AF1055="null")),AF1055&lt;=TODAY()),"NO",IF(AG1055="Vigente","SI","DESCONOCIDO")))</f>
        <v>SI</v>
      </c>
      <c r="AP1055" t="str">
        <f>IF(AND(ISNUMBER(SEARCH("IMPORTAR",AA1055)),ISNUMBER(SEARCH("FABRICAR",AA1055))),"MIXTO",IF(ISNUMBER(SEARCH("IMPORTAR",AA1055)),"IMPORTADO",IF(ISNUMBER(SEARCH("FABRICAR",AA1055)),"LOCAL","OTRO")))</f>
        <v>IMPORTADO</v>
      </c>
      <c r="AQ1055" t="str">
        <f>IF(AD1055="Si","SI",IF(AD1055="No","NO",""))</f>
        <v>SI</v>
      </c>
      <c r="AR1055" t="str">
        <f>IF(ISNUMBER(SEARCH("®",N1055)),"MARCA/INNOVADOR","GENERICO")</f>
        <v>MARCA/INNOVADOR</v>
      </c>
      <c r="AS1055">
        <f ca="1">IF(AE1055&gt;100,RANDBETWEEN(500,5000),IF(AND(AE1055&gt;=10,AE1055&lt;=100),RANDBETWEEN(100,1000),RANDBETWEEN(10,200)))</f>
        <v>182</v>
      </c>
      <c r="AT1055">
        <f t="shared" ca="1" si="82"/>
        <v>47</v>
      </c>
      <c r="AU1055">
        <f ca="1">INT(AS1055*RANDBETWEEN(120,200)/100)</f>
        <v>285</v>
      </c>
      <c r="AV1055" s="2">
        <f ca="1">IF(LEFT(Y1055,1)="L",RANDBETWEEN(500000,5000000),IF(LEFT(Y1055,1)="C",RANDBETWEEN(5000,50000),IF(LEFT(Y1055,1)="N",RANDBETWEEN(10000,150000),IF(LEFT(Y1055,1)="J",RANDBETWEEN(8000,200000),RANDBETWEEN(5000,100000)))))</f>
        <v>65220</v>
      </c>
      <c r="AW1055" s="2">
        <f ca="1">INT(AV1055*RANDBETWEEN(30,60)/100)</f>
        <v>35871</v>
      </c>
      <c r="AX1055">
        <f ca="1">IF(Z1055="ORAL",RANDBETWEEN(1000,10000),IF(OR(Z1055="INTRAVENOSA",Z1055="INTRAMUSCULAR"),RANDBETWEEN(100,2000),IF(OR(Z1055="OFTÁLMICA",Z1055="TOPICA (EXTERNA)"),RANDBETWEEN(200,3000),RANDBETWEEN(100,1500))))</f>
        <v>269</v>
      </c>
      <c r="AY1055" s="2">
        <f ca="1">INT(AV1055*RANDBETWEEN(90,130)/100)</f>
        <v>75003</v>
      </c>
      <c r="AZ1055" t="str">
        <f t="shared" ca="1" si="83"/>
        <v>3.4%</v>
      </c>
      <c r="BA1055" t="str">
        <f t="shared" ca="1" si="84"/>
        <v>BAJO</v>
      </c>
    </row>
    <row r="1056" spans="4:53" x14ac:dyDescent="0.35">
      <c r="D1056" t="s">
        <v>6398</v>
      </c>
      <c r="E1056" s="1">
        <v>45758</v>
      </c>
      <c r="F1056" t="s">
        <v>96</v>
      </c>
      <c r="G1056" t="s">
        <v>108</v>
      </c>
      <c r="H1056" t="s">
        <v>449</v>
      </c>
      <c r="I1056">
        <v>20240464</v>
      </c>
      <c r="J1056" t="s">
        <v>28</v>
      </c>
      <c r="K1056">
        <v>2</v>
      </c>
      <c r="L1056" t="s">
        <v>27</v>
      </c>
      <c r="M1056" t="s">
        <v>6399</v>
      </c>
      <c r="N1056" t="s">
        <v>6400</v>
      </c>
      <c r="O1056" t="s">
        <v>6401</v>
      </c>
      <c r="P1056" t="s">
        <v>29</v>
      </c>
      <c r="Q1056" s="1">
        <v>45705</v>
      </c>
      <c r="R1056" t="s">
        <v>29</v>
      </c>
      <c r="S1056" t="s">
        <v>27</v>
      </c>
      <c r="T1056" t="s">
        <v>449</v>
      </c>
      <c r="U1056" t="s">
        <v>115</v>
      </c>
      <c r="V1056" t="s">
        <v>96</v>
      </c>
      <c r="W1056">
        <v>50</v>
      </c>
      <c r="X1056">
        <v>20240464</v>
      </c>
      <c r="Y1056" t="s">
        <v>6402</v>
      </c>
      <c r="Z1056" t="s">
        <v>119</v>
      </c>
      <c r="AA1056" t="s">
        <v>32</v>
      </c>
      <c r="AB1056" t="s">
        <v>120</v>
      </c>
      <c r="AC1056" t="s">
        <v>25</v>
      </c>
      <c r="AD1056" t="s">
        <v>121</v>
      </c>
      <c r="AE1056">
        <v>30</v>
      </c>
      <c r="AF1056" s="1">
        <v>47602</v>
      </c>
      <c r="AG1056" t="s">
        <v>26</v>
      </c>
      <c r="AH1056" t="s">
        <v>96</v>
      </c>
      <c r="AI1056" t="str">
        <f t="shared" si="80"/>
        <v>NO</v>
      </c>
      <c r="AJ1056" t="str">
        <f t="shared" si="81"/>
        <v>MSN LABORATORIES PRIVATE</v>
      </c>
      <c r="AK1056" t="str">
        <f>IF(ISNUMBER(SEARCH("FABRICANTE",AC1056)),"FABRICANTE",IF(ISNUMBER(SEARCH("IMPORTADOR",AC1056)),"IMPORTADOR","OTRO"))</f>
        <v>FABRICANTE</v>
      </c>
      <c r="AL1056" t="str">
        <f>IF(LEFT(Y1056,1)="A","Sistema digestivo",IF(LEFT(Y1056,1)="B","Sangre",IF(LEFT(Y1056,1)="C","Cardiovascular",IF(LEFT(Y1056,1)="D","Dermatológico",IF(LEFT(Y1056,1)="G","Genitourinario",IF(LEFT(Y1056,1)="H","Hormonal",IF(LEFT(Y1056,1)="J","Antiinfecciosos",IF(LEFT(Y1056,1)="L","Oncológicos",IF(LEFT(Y1056,1)="M","Musculoesquelético",IF(LEFT(Y1056,1)="N","Sistema nervioso",IF(LEFT(Y1056,1)="R","Respiratorio",IF(LEFT(Y1056,1)="S","Oftálmico",IF(LEFT(Y1056,1)="V","Varios","OTRO")))))))))))))</f>
        <v>Sistema digestivo</v>
      </c>
      <c r="AM1056" t="str">
        <f>IF(AG1056="Vigente","ACTIVO",IF(ISNUMBER(SEARCH("Inactivo",J1056)),"INACTIVO","REVISAR"))</f>
        <v>ACTIVO</v>
      </c>
      <c r="AN1056">
        <f ca="1">IF(OR(AF1056="",AF1056="null"),"",ROUND((AF1056-TODAY())/365.25,2))</f>
        <v>3.93</v>
      </c>
      <c r="AO1056" t="str">
        <f ca="1">IF(AND(AG1056="Vigente",OR(AF1056="",AF1056="null",AF1056&gt;TODAY())),"SI",IF(AND(NOT(OR(AF1056="",AF1056="null")),AF1056&lt;=TODAY()),"NO",IF(AG1056="Vigente","SI","DESCONOCIDO")))</f>
        <v>SI</v>
      </c>
      <c r="AP1056" t="str">
        <f>IF(AND(ISNUMBER(SEARCH("IMPORTAR",AA1056)),ISNUMBER(SEARCH("FABRICAR",AA1056))),"MIXTO",IF(ISNUMBER(SEARCH("IMPORTAR",AA1056)),"IMPORTADO",IF(ISNUMBER(SEARCH("FABRICAR",AA1056)),"LOCAL","OTRO")))</f>
        <v>IMPORTADO</v>
      </c>
      <c r="AQ1056" t="str">
        <f>IF(AD1056="Si","SI",IF(AD1056="No","NO",""))</f>
        <v>NO</v>
      </c>
      <c r="AR1056" t="str">
        <f>IF(ISNUMBER(SEARCH("®",N1056)),"MARCA/INNOVADOR","GENERICO")</f>
        <v>MARCA/INNOVADOR</v>
      </c>
      <c r="AS1056">
        <f ca="1">IF(AE1056&gt;100,RANDBETWEEN(500,5000),IF(AND(AE1056&gt;=10,AE1056&lt;=100),RANDBETWEEN(100,1000),RANDBETWEEN(10,200)))</f>
        <v>843</v>
      </c>
      <c r="AT1056">
        <f t="shared" ca="1" si="82"/>
        <v>185</v>
      </c>
      <c r="AU1056">
        <f ca="1">INT(AS1056*RANDBETWEEN(120,200)/100)</f>
        <v>1256</v>
      </c>
      <c r="AV1056" s="2">
        <f ca="1">IF(LEFT(Y1056,1)="L",RANDBETWEEN(500000,5000000),IF(LEFT(Y1056,1)="C",RANDBETWEEN(5000,50000),IF(LEFT(Y1056,1)="N",RANDBETWEEN(10000,150000),IF(LEFT(Y1056,1)="J",RANDBETWEEN(8000,200000),RANDBETWEEN(5000,100000)))))</f>
        <v>87676</v>
      </c>
      <c r="AW1056" s="2">
        <f ca="1">INT(AV1056*RANDBETWEEN(30,60)/100)</f>
        <v>41207</v>
      </c>
      <c r="AX1056">
        <f ca="1">IF(Z1056="ORAL",RANDBETWEEN(1000,10000),IF(OR(Z1056="INTRAVENOSA",Z1056="INTRAMUSCULAR"),RANDBETWEEN(100,2000),IF(OR(Z1056="OFTÁLMICA",Z1056="TOPICA (EXTERNA)"),RANDBETWEEN(200,3000),RANDBETWEEN(100,1500))))</f>
        <v>3794</v>
      </c>
      <c r="AY1056" s="2">
        <f ca="1">INT(AV1056*RANDBETWEEN(90,130)/100)</f>
        <v>99950</v>
      </c>
      <c r="AZ1056" t="str">
        <f t="shared" ca="1" si="83"/>
        <v>14.7%</v>
      </c>
      <c r="BA1056" t="str">
        <f t="shared" ca="1" si="84"/>
        <v>MEDIO</v>
      </c>
    </row>
    <row r="1057" spans="4:53" x14ac:dyDescent="0.35">
      <c r="D1057" t="s">
        <v>6403</v>
      </c>
      <c r="E1057" s="1">
        <v>35580</v>
      </c>
      <c r="F1057" t="s">
        <v>6404</v>
      </c>
      <c r="G1057" t="s">
        <v>108</v>
      </c>
      <c r="H1057" t="s">
        <v>1001</v>
      </c>
      <c r="I1057">
        <v>212444</v>
      </c>
      <c r="J1057" t="s">
        <v>28</v>
      </c>
      <c r="K1057">
        <v>27</v>
      </c>
      <c r="L1057" t="s">
        <v>27</v>
      </c>
      <c r="M1057" t="s">
        <v>6405</v>
      </c>
      <c r="N1057" t="s">
        <v>6406</v>
      </c>
      <c r="O1057" t="s">
        <v>6407</v>
      </c>
      <c r="P1057" t="s">
        <v>33</v>
      </c>
      <c r="Q1057" s="1">
        <v>43398</v>
      </c>
      <c r="R1057" t="s">
        <v>33</v>
      </c>
      <c r="S1057" t="s">
        <v>27</v>
      </c>
      <c r="T1057" t="s">
        <v>2414</v>
      </c>
      <c r="U1057" t="s">
        <v>115</v>
      </c>
      <c r="V1057" t="s">
        <v>1583</v>
      </c>
      <c r="W1057">
        <v>20</v>
      </c>
      <c r="X1057">
        <v>212444</v>
      </c>
      <c r="Y1057" t="s">
        <v>1584</v>
      </c>
      <c r="Z1057" t="s">
        <v>119</v>
      </c>
      <c r="AA1057" t="s">
        <v>32</v>
      </c>
      <c r="AB1057" t="s">
        <v>120</v>
      </c>
      <c r="AC1057" t="s">
        <v>38</v>
      </c>
      <c r="AD1057" t="s">
        <v>121</v>
      </c>
      <c r="AE1057">
        <v>30</v>
      </c>
      <c r="AF1057" t="s">
        <v>27</v>
      </c>
      <c r="AG1057" t="s">
        <v>26</v>
      </c>
      <c r="AH1057" t="s">
        <v>6755</v>
      </c>
      <c r="AI1057" t="str">
        <f t="shared" si="80"/>
        <v>NO</v>
      </c>
      <c r="AJ1057" t="str">
        <f t="shared" si="81"/>
        <v>ASPEN COLOMBIANA</v>
      </c>
      <c r="AK1057" t="str">
        <f>IF(ISNUMBER(SEARCH("FABRICANTE",AC1057)),"FABRICANTE",IF(ISNUMBER(SEARCH("IMPORTADOR",AC1057)),"IMPORTADOR","OTRO"))</f>
        <v>IMPORTADOR</v>
      </c>
      <c r="AL1057" t="str">
        <f>IF(LEFT(Y1057,1)="A","Sistema digestivo",IF(LEFT(Y1057,1)="B","Sangre",IF(LEFT(Y1057,1)="C","Cardiovascular",IF(LEFT(Y1057,1)="D","Dermatológico",IF(LEFT(Y1057,1)="G","Genitourinario",IF(LEFT(Y1057,1)="H","Hormonal",IF(LEFT(Y1057,1)="J","Antiinfecciosos",IF(LEFT(Y1057,1)="L","Oncológicos",IF(LEFT(Y1057,1)="M","Musculoesquelético",IF(LEFT(Y1057,1)="N","Sistema nervioso",IF(LEFT(Y1057,1)="R","Respiratorio",IF(LEFT(Y1057,1)="S","Oftálmico",IF(LEFT(Y1057,1)="V","Varios","OTRO")))))))))))))</f>
        <v>Cardiovascular</v>
      </c>
      <c r="AM1057" t="str">
        <f>IF(AG1057="Vigente","ACTIVO",IF(ISNUMBER(SEARCH("Inactivo",J1057)),"INACTIVO","REVISAR"))</f>
        <v>ACTIVO</v>
      </c>
      <c r="AN1057" t="str">
        <f ca="1">IF(OR(AF1057="",AF1057="null"),"",ROUND((AF1057-TODAY())/365.25,2))</f>
        <v/>
      </c>
      <c r="AO1057" t="str">
        <f ca="1">IF(AND(AG1057="Vigente",OR(AF1057="",AF1057="null",AF1057&gt;TODAY())),"SI",IF(AND(NOT(OR(AF1057="",AF1057="null")),AF1057&lt;=TODAY()),"NO",IF(AG1057="Vigente","SI","DESCONOCIDO")))</f>
        <v>SI</v>
      </c>
      <c r="AP1057" t="str">
        <f>IF(AND(ISNUMBER(SEARCH("IMPORTAR",AA1057)),ISNUMBER(SEARCH("FABRICAR",AA1057))),"MIXTO",IF(ISNUMBER(SEARCH("IMPORTAR",AA1057)),"IMPORTADO",IF(ISNUMBER(SEARCH("FABRICAR",AA1057)),"LOCAL","OTRO")))</f>
        <v>IMPORTADO</v>
      </c>
      <c r="AQ1057" t="str">
        <f>IF(AD1057="Si","SI",IF(AD1057="No","NO",""))</f>
        <v>NO</v>
      </c>
      <c r="AR1057" t="str">
        <f>IF(ISNUMBER(SEARCH("®",N1057)),"MARCA/INNOVADOR","GENERICO")</f>
        <v>GENERICO</v>
      </c>
      <c r="AS1057">
        <f ca="1">IF(AE1057&gt;100,RANDBETWEEN(500,5000),IF(AND(AE1057&gt;=10,AE1057&lt;=100),RANDBETWEEN(100,1000),RANDBETWEEN(10,200)))</f>
        <v>695</v>
      </c>
      <c r="AT1057">
        <f t="shared" ca="1" si="82"/>
        <v>208</v>
      </c>
      <c r="AU1057">
        <f ca="1">INT(AS1057*RANDBETWEEN(120,200)/100)</f>
        <v>1278</v>
      </c>
      <c r="AV1057" s="2">
        <f ca="1">IF(LEFT(Y1057,1)="L",RANDBETWEEN(500000,5000000),IF(LEFT(Y1057,1)="C",RANDBETWEEN(5000,50000),IF(LEFT(Y1057,1)="N",RANDBETWEEN(10000,150000),IF(LEFT(Y1057,1)="J",RANDBETWEEN(8000,200000),RANDBETWEEN(5000,100000)))))</f>
        <v>7240</v>
      </c>
      <c r="AW1057" s="2">
        <f ca="1">INT(AV1057*RANDBETWEEN(30,60)/100)</f>
        <v>3258</v>
      </c>
      <c r="AX1057">
        <f ca="1">IF(Z1057="ORAL",RANDBETWEEN(1000,10000),IF(OR(Z1057="INTRAVENOSA",Z1057="INTRAMUSCULAR"),RANDBETWEEN(100,2000),IF(OR(Z1057="OFTÁLMICA",Z1057="TOPICA (EXTERNA)"),RANDBETWEEN(200,3000),RANDBETWEEN(100,1500))))</f>
        <v>4063</v>
      </c>
      <c r="AY1057" s="2">
        <f ca="1">INT(AV1057*RANDBETWEEN(90,130)/100)</f>
        <v>7312</v>
      </c>
      <c r="AZ1057" t="str">
        <f t="shared" ca="1" si="83"/>
        <v>24.5%</v>
      </c>
      <c r="BA1057" t="str">
        <f t="shared" ca="1" si="84"/>
        <v>BAJO</v>
      </c>
    </row>
    <row r="1058" spans="4:53" x14ac:dyDescent="0.35">
      <c r="D1058" t="s">
        <v>6408</v>
      </c>
      <c r="E1058" s="1">
        <v>39241</v>
      </c>
      <c r="F1058" t="s">
        <v>998</v>
      </c>
      <c r="G1058" t="s">
        <v>247</v>
      </c>
      <c r="H1058" t="s">
        <v>760</v>
      </c>
      <c r="I1058">
        <v>19974254</v>
      </c>
      <c r="J1058" t="s">
        <v>110</v>
      </c>
      <c r="K1058">
        <v>5</v>
      </c>
      <c r="L1058" t="s">
        <v>27</v>
      </c>
      <c r="M1058" t="s">
        <v>761</v>
      </c>
      <c r="N1058" t="s">
        <v>762</v>
      </c>
      <c r="O1058" t="s">
        <v>6409</v>
      </c>
      <c r="P1058" t="s">
        <v>764</v>
      </c>
      <c r="Q1058" s="1">
        <v>39233</v>
      </c>
      <c r="R1058" t="s">
        <v>211</v>
      </c>
      <c r="S1058" s="1">
        <v>44046</v>
      </c>
      <c r="T1058" t="s">
        <v>51</v>
      </c>
      <c r="U1058" t="s">
        <v>247</v>
      </c>
      <c r="V1058" t="s">
        <v>765</v>
      </c>
      <c r="W1058">
        <v>4</v>
      </c>
      <c r="X1058">
        <v>19974254</v>
      </c>
      <c r="Y1058" t="s">
        <v>766</v>
      </c>
      <c r="Z1058" t="s">
        <v>260</v>
      </c>
      <c r="AA1058" t="s">
        <v>32</v>
      </c>
      <c r="AB1058" t="s">
        <v>120</v>
      </c>
      <c r="AC1058" t="s">
        <v>25</v>
      </c>
      <c r="AD1058" t="s">
        <v>121</v>
      </c>
      <c r="AE1058">
        <v>225</v>
      </c>
      <c r="AF1058" t="s">
        <v>27</v>
      </c>
      <c r="AG1058" t="s">
        <v>26</v>
      </c>
      <c r="AH1058" t="s">
        <v>6622</v>
      </c>
      <c r="AI1058" t="str">
        <f t="shared" si="80"/>
        <v>SI</v>
      </c>
      <c r="AJ1058" t="str">
        <f t="shared" si="81"/>
        <v>BLAU FARMACÉUTICA COLOMBIA</v>
      </c>
      <c r="AK1058" t="str">
        <f>IF(ISNUMBER(SEARCH("FABRICANTE",AC1058)),"FABRICANTE",IF(ISNUMBER(SEARCH("IMPORTADOR",AC1058)),"IMPORTADOR","OTRO"))</f>
        <v>FABRICANTE</v>
      </c>
      <c r="AL1058" t="str">
        <f>IF(LEFT(Y1058,1)="A","Sistema digestivo",IF(LEFT(Y1058,1)="B","Sangre",IF(LEFT(Y1058,1)="C","Cardiovascular",IF(LEFT(Y1058,1)="D","Dermatológico",IF(LEFT(Y1058,1)="G","Genitourinario",IF(LEFT(Y1058,1)="H","Hormonal",IF(LEFT(Y1058,1)="J","Antiinfecciosos",IF(LEFT(Y1058,1)="L","Oncológicos",IF(LEFT(Y1058,1)="M","Musculoesquelético",IF(LEFT(Y1058,1)="N","Sistema nervioso",IF(LEFT(Y1058,1)="R","Respiratorio",IF(LEFT(Y1058,1)="S","Oftálmico",IF(LEFT(Y1058,1)="V","Varios","OTRO")))))))))))))</f>
        <v>Antiinfecciosos</v>
      </c>
      <c r="AM1058" t="str">
        <f>IF(AG1058="Vigente","ACTIVO",IF(ISNUMBER(SEARCH("Inactivo",J1058)),"INACTIVO","REVISAR"))</f>
        <v>ACTIVO</v>
      </c>
      <c r="AN1058" t="str">
        <f ca="1">IF(OR(AF1058="",AF1058="null"),"",ROUND((AF1058-TODAY())/365.25,2))</f>
        <v/>
      </c>
      <c r="AO1058" t="str">
        <f ca="1">IF(AND(AG1058="Vigente",OR(AF1058="",AF1058="null",AF1058&gt;TODAY())),"SI",IF(AND(NOT(OR(AF1058="",AF1058="null")),AF1058&lt;=TODAY()),"NO",IF(AG1058="Vigente","SI","DESCONOCIDO")))</f>
        <v>SI</v>
      </c>
      <c r="AP1058" t="str">
        <f>IF(AND(ISNUMBER(SEARCH("IMPORTAR",AA1058)),ISNUMBER(SEARCH("FABRICAR",AA1058))),"MIXTO",IF(ISNUMBER(SEARCH("IMPORTAR",AA1058)),"IMPORTADO",IF(ISNUMBER(SEARCH("FABRICAR",AA1058)),"LOCAL","OTRO")))</f>
        <v>IMPORTADO</v>
      </c>
      <c r="AQ1058" t="str">
        <f>IF(AD1058="Si","SI",IF(AD1058="No","NO",""))</f>
        <v>NO</v>
      </c>
      <c r="AR1058" t="str">
        <f>IF(ISNUMBER(SEARCH("®",N1058)),"MARCA/INNOVADOR","GENERICO")</f>
        <v>MARCA/INNOVADOR</v>
      </c>
      <c r="AS1058">
        <f ca="1">IF(AE1058&gt;100,RANDBETWEEN(500,5000),IF(AND(AE1058&gt;=10,AE1058&lt;=100),RANDBETWEEN(100,1000),RANDBETWEEN(10,200)))</f>
        <v>624</v>
      </c>
      <c r="AT1058">
        <f t="shared" ca="1" si="82"/>
        <v>93</v>
      </c>
      <c r="AU1058">
        <f ca="1">INT(AS1058*RANDBETWEEN(120,200)/100)</f>
        <v>861</v>
      </c>
      <c r="AV1058" s="2">
        <f ca="1">IF(LEFT(Y1058,1)="L",RANDBETWEEN(500000,5000000),IF(LEFT(Y1058,1)="C",RANDBETWEEN(5000,50000),IF(LEFT(Y1058,1)="N",RANDBETWEEN(10000,150000),IF(LEFT(Y1058,1)="J",RANDBETWEEN(8000,200000),RANDBETWEEN(5000,100000)))))</f>
        <v>13554</v>
      </c>
      <c r="AW1058" s="2">
        <f ca="1">INT(AV1058*RANDBETWEEN(30,60)/100)</f>
        <v>4472</v>
      </c>
      <c r="AX1058">
        <f ca="1">IF(Z1058="ORAL",RANDBETWEEN(1000,10000),IF(OR(Z1058="INTRAVENOSA",Z1058="INTRAMUSCULAR"),RANDBETWEEN(100,2000),IF(OR(Z1058="OFTÁLMICA",Z1058="TOPICA (EXTERNA)"),RANDBETWEEN(200,3000),RANDBETWEEN(100,1500))))</f>
        <v>1829</v>
      </c>
      <c r="AY1058" s="2">
        <f ca="1">INT(AV1058*RANDBETWEEN(90,130)/100)</f>
        <v>15451</v>
      </c>
      <c r="AZ1058" t="str">
        <f t="shared" ca="1" si="83"/>
        <v>5%</v>
      </c>
      <c r="BA1058" t="str">
        <f t="shared" ca="1" si="84"/>
        <v>ALTO</v>
      </c>
    </row>
    <row r="1059" spans="4:53" x14ac:dyDescent="0.35">
      <c r="D1059" t="s">
        <v>6410</v>
      </c>
      <c r="E1059" s="1">
        <v>41054</v>
      </c>
      <c r="F1059" t="s">
        <v>2058</v>
      </c>
      <c r="G1059" t="s">
        <v>108</v>
      </c>
      <c r="H1059" t="s">
        <v>242</v>
      </c>
      <c r="I1059">
        <v>20042480</v>
      </c>
      <c r="J1059" t="s">
        <v>28</v>
      </c>
      <c r="K1059">
        <v>255</v>
      </c>
      <c r="L1059" t="s">
        <v>27</v>
      </c>
      <c r="M1059" t="s">
        <v>243</v>
      </c>
      <c r="N1059" t="s">
        <v>244</v>
      </c>
      <c r="O1059" t="s">
        <v>6411</v>
      </c>
      <c r="P1059" t="s">
        <v>246</v>
      </c>
      <c r="Q1059" s="1">
        <v>42591</v>
      </c>
      <c r="R1059" t="s">
        <v>67</v>
      </c>
      <c r="S1059" t="s">
        <v>27</v>
      </c>
      <c r="T1059" t="s">
        <v>80</v>
      </c>
      <c r="U1059" t="s">
        <v>247</v>
      </c>
      <c r="V1059" t="s">
        <v>248</v>
      </c>
      <c r="W1059" t="s">
        <v>2060</v>
      </c>
      <c r="X1059">
        <v>20042480</v>
      </c>
      <c r="Y1059" t="s">
        <v>249</v>
      </c>
      <c r="Z1059" t="s">
        <v>119</v>
      </c>
      <c r="AA1059" t="s">
        <v>24</v>
      </c>
      <c r="AB1059" t="s">
        <v>250</v>
      </c>
      <c r="AC1059" t="s">
        <v>25</v>
      </c>
      <c r="AD1059" t="s">
        <v>121</v>
      </c>
      <c r="AE1059">
        <v>9</v>
      </c>
      <c r="AF1059" t="s">
        <v>27</v>
      </c>
      <c r="AG1059" t="s">
        <v>26</v>
      </c>
      <c r="AH1059" t="s">
        <v>6765</v>
      </c>
      <c r="AI1059" t="str">
        <f t="shared" si="80"/>
        <v>NO</v>
      </c>
      <c r="AJ1059" t="str">
        <f t="shared" si="81"/>
        <v>TECNOQUIMICAS</v>
      </c>
      <c r="AK1059" t="str">
        <f>IF(ISNUMBER(SEARCH("FABRICANTE",AC1059)),"FABRICANTE",IF(ISNUMBER(SEARCH("IMPORTADOR",AC1059)),"IMPORTADOR","OTRO"))</f>
        <v>FABRICANTE</v>
      </c>
      <c r="AL1059" t="str">
        <f>IF(LEFT(Y1059,1)="A","Sistema digestivo",IF(LEFT(Y1059,1)="B","Sangre",IF(LEFT(Y1059,1)="C","Cardiovascular",IF(LEFT(Y1059,1)="D","Dermatológico",IF(LEFT(Y1059,1)="G","Genitourinario",IF(LEFT(Y1059,1)="H","Hormonal",IF(LEFT(Y1059,1)="J","Antiinfecciosos",IF(LEFT(Y1059,1)="L","Oncológicos",IF(LEFT(Y1059,1)="M","Musculoesquelético",IF(LEFT(Y1059,1)="N","Sistema nervioso",IF(LEFT(Y1059,1)="R","Respiratorio",IF(LEFT(Y1059,1)="S","Oftálmico",IF(LEFT(Y1059,1)="V","Varios","OTRO")))))))))))))</f>
        <v>Sistema digestivo</v>
      </c>
      <c r="AM1059" t="str">
        <f>IF(AG1059="Vigente","ACTIVO",IF(ISNUMBER(SEARCH("Inactivo",J1059)),"INACTIVO","REVISAR"))</f>
        <v>ACTIVO</v>
      </c>
      <c r="AN1059" t="str">
        <f ca="1">IF(OR(AF1059="",AF1059="null"),"",ROUND((AF1059-TODAY())/365.25,2))</f>
        <v/>
      </c>
      <c r="AO1059" t="str">
        <f ca="1">IF(AND(AG1059="Vigente",OR(AF1059="",AF1059="null",AF1059&gt;TODAY())),"SI",IF(AND(NOT(OR(AF1059="",AF1059="null")),AF1059&lt;=TODAY()),"NO",IF(AG1059="Vigente","SI","DESCONOCIDO")))</f>
        <v>SI</v>
      </c>
      <c r="AP1059" t="str">
        <f>IF(AND(ISNUMBER(SEARCH("IMPORTAR",AA1059)),ISNUMBER(SEARCH("FABRICAR",AA1059))),"MIXTO",IF(ISNUMBER(SEARCH("IMPORTAR",AA1059)),"IMPORTADO",IF(ISNUMBER(SEARCH("FABRICAR",AA1059)),"LOCAL","OTRO")))</f>
        <v>LOCAL</v>
      </c>
      <c r="AQ1059" t="str">
        <f>IF(AD1059="Si","SI",IF(AD1059="No","NO",""))</f>
        <v>NO</v>
      </c>
      <c r="AR1059" t="str">
        <f>IF(ISNUMBER(SEARCH("®",N1059)),"MARCA/INNOVADOR","GENERICO")</f>
        <v>MARCA/INNOVADOR</v>
      </c>
      <c r="AS1059">
        <f ca="1">IF(AE1059&gt;100,RANDBETWEEN(500,5000),IF(AND(AE1059&gt;=10,AE1059&lt;=100),RANDBETWEEN(100,1000),RANDBETWEEN(10,200)))</f>
        <v>195</v>
      </c>
      <c r="AT1059">
        <f t="shared" ca="1" si="82"/>
        <v>29</v>
      </c>
      <c r="AU1059">
        <f ca="1">INT(AS1059*RANDBETWEEN(120,200)/100)</f>
        <v>390</v>
      </c>
      <c r="AV1059" s="2">
        <f ca="1">IF(LEFT(Y1059,1)="L",RANDBETWEEN(500000,5000000),IF(LEFT(Y1059,1)="C",RANDBETWEEN(5000,50000),IF(LEFT(Y1059,1)="N",RANDBETWEEN(10000,150000),IF(LEFT(Y1059,1)="J",RANDBETWEEN(8000,200000),RANDBETWEEN(5000,100000)))))</f>
        <v>45476</v>
      </c>
      <c r="AW1059" s="2">
        <f ca="1">INT(AV1059*RANDBETWEEN(30,60)/100)</f>
        <v>14097</v>
      </c>
      <c r="AX1059">
        <f ca="1">IF(Z1059="ORAL",RANDBETWEEN(1000,10000),IF(OR(Z1059="INTRAVENOSA",Z1059="INTRAMUSCULAR"),RANDBETWEEN(100,2000),IF(OR(Z1059="OFTÁLMICA",Z1059="TOPICA (EXTERNA)"),RANDBETWEEN(200,3000),RANDBETWEEN(100,1500))))</f>
        <v>6444</v>
      </c>
      <c r="AY1059" s="2">
        <f ca="1">INT(AV1059*RANDBETWEEN(90,130)/100)</f>
        <v>40928</v>
      </c>
      <c r="AZ1059" t="str">
        <f t="shared" ca="1" si="83"/>
        <v>13.9%</v>
      </c>
      <c r="BA1059" t="str">
        <f t="shared" ca="1" si="84"/>
        <v>BAJO</v>
      </c>
    </row>
    <row r="1060" spans="4:53" x14ac:dyDescent="0.35">
      <c r="D1060" t="s">
        <v>6412</v>
      </c>
      <c r="E1060" s="1">
        <v>43404</v>
      </c>
      <c r="F1060" t="s">
        <v>6413</v>
      </c>
      <c r="G1060" t="s">
        <v>108</v>
      </c>
      <c r="H1060" t="s">
        <v>464</v>
      </c>
      <c r="I1060">
        <v>20121040</v>
      </c>
      <c r="J1060" t="s">
        <v>28</v>
      </c>
      <c r="K1060">
        <v>5</v>
      </c>
      <c r="L1060" t="s">
        <v>6414</v>
      </c>
      <c r="M1060" t="s">
        <v>6415</v>
      </c>
      <c r="N1060" t="s">
        <v>6416</v>
      </c>
      <c r="O1060" t="s">
        <v>6417</v>
      </c>
      <c r="P1060" t="s">
        <v>29</v>
      </c>
      <c r="Q1060" s="1">
        <v>44021</v>
      </c>
      <c r="R1060" t="s">
        <v>29</v>
      </c>
      <c r="S1060" t="s">
        <v>27</v>
      </c>
      <c r="T1060" t="s">
        <v>464</v>
      </c>
      <c r="U1060" t="s">
        <v>115</v>
      </c>
      <c r="V1060" t="s">
        <v>3938</v>
      </c>
      <c r="W1060">
        <v>5</v>
      </c>
      <c r="X1060">
        <v>20121040</v>
      </c>
      <c r="Y1060" t="s">
        <v>3939</v>
      </c>
      <c r="Z1060" t="s">
        <v>119</v>
      </c>
      <c r="AA1060" t="s">
        <v>165</v>
      </c>
      <c r="AB1060" t="s">
        <v>120</v>
      </c>
      <c r="AC1060" t="s">
        <v>38</v>
      </c>
      <c r="AD1060" t="s">
        <v>155</v>
      </c>
      <c r="AE1060">
        <v>30</v>
      </c>
      <c r="AF1060" t="s">
        <v>27</v>
      </c>
      <c r="AG1060" t="s">
        <v>26</v>
      </c>
      <c r="AH1060" t="s">
        <v>6413</v>
      </c>
      <c r="AI1060" t="str">
        <f t="shared" si="80"/>
        <v>NO</v>
      </c>
      <c r="AJ1060" t="str">
        <f t="shared" si="81"/>
        <v>MEGALABS COLOMBIA</v>
      </c>
      <c r="AK1060" t="str">
        <f>IF(ISNUMBER(SEARCH("FABRICANTE",AC1060)),"FABRICANTE",IF(ISNUMBER(SEARCH("IMPORTADOR",AC1060)),"IMPORTADOR","OTRO"))</f>
        <v>IMPORTADOR</v>
      </c>
      <c r="AL1060" t="str">
        <f>IF(LEFT(Y1060,1)="A","Sistema digestivo",IF(LEFT(Y1060,1)="B","Sangre",IF(LEFT(Y1060,1)="C","Cardiovascular",IF(LEFT(Y1060,1)="D","Dermatológico",IF(LEFT(Y1060,1)="G","Genitourinario",IF(LEFT(Y1060,1)="H","Hormonal",IF(LEFT(Y1060,1)="J","Antiinfecciosos",IF(LEFT(Y1060,1)="L","Oncológicos",IF(LEFT(Y1060,1)="M","Musculoesquelético",IF(LEFT(Y1060,1)="N","Sistema nervioso",IF(LEFT(Y1060,1)="R","Respiratorio",IF(LEFT(Y1060,1)="S","Oftálmico",IF(LEFT(Y1060,1)="V","Varios","OTRO")))))))))))))</f>
        <v>Cardiovascular</v>
      </c>
      <c r="AM1060" t="str">
        <f>IF(AG1060="Vigente","ACTIVO",IF(ISNUMBER(SEARCH("Inactivo",J1060)),"INACTIVO","REVISAR"))</f>
        <v>ACTIVO</v>
      </c>
      <c r="AN1060" t="str">
        <f ca="1">IF(OR(AF1060="",AF1060="null"),"",ROUND((AF1060-TODAY())/365.25,2))</f>
        <v/>
      </c>
      <c r="AO1060" t="str">
        <f ca="1">IF(AND(AG1060="Vigente",OR(AF1060="",AF1060="null",AF1060&gt;TODAY())),"SI",IF(AND(NOT(OR(AF1060="",AF1060="null")),AF1060&lt;=TODAY()),"NO",IF(AG1060="Vigente","SI","DESCONOCIDO")))</f>
        <v>SI</v>
      </c>
      <c r="AP1060" t="str">
        <f>IF(AND(ISNUMBER(SEARCH("IMPORTAR",AA1060)),ISNUMBER(SEARCH("FABRICAR",AA1060))),"MIXTO",IF(ISNUMBER(SEARCH("IMPORTAR",AA1060)),"IMPORTADO",IF(ISNUMBER(SEARCH("FABRICAR",AA1060)),"LOCAL","OTRO")))</f>
        <v>IMPORTADO</v>
      </c>
      <c r="AQ1060" t="str">
        <f>IF(AD1060="Si","SI",IF(AD1060="No","NO",""))</f>
        <v>SI</v>
      </c>
      <c r="AR1060" t="str">
        <f>IF(ISNUMBER(SEARCH("®",N1060)),"MARCA/INNOVADOR","GENERICO")</f>
        <v>MARCA/INNOVADOR</v>
      </c>
      <c r="AS1060">
        <f ca="1">IF(AE1060&gt;100,RANDBETWEEN(500,5000),IF(AND(AE1060&gt;=10,AE1060&lt;=100),RANDBETWEEN(100,1000),RANDBETWEEN(10,200)))</f>
        <v>908</v>
      </c>
      <c r="AT1060">
        <f t="shared" ca="1" si="82"/>
        <v>190</v>
      </c>
      <c r="AU1060">
        <f ca="1">INT(AS1060*RANDBETWEEN(120,200)/100)</f>
        <v>1561</v>
      </c>
      <c r="AV1060" s="2">
        <f ca="1">IF(LEFT(Y1060,1)="L",RANDBETWEEN(500000,5000000),IF(LEFT(Y1060,1)="C",RANDBETWEEN(5000,50000),IF(LEFT(Y1060,1)="N",RANDBETWEEN(10000,150000),IF(LEFT(Y1060,1)="J",RANDBETWEEN(8000,200000),RANDBETWEEN(5000,100000)))))</f>
        <v>33366</v>
      </c>
      <c r="AW1060" s="2">
        <f ca="1">INT(AV1060*RANDBETWEEN(30,60)/100)</f>
        <v>11678</v>
      </c>
      <c r="AX1060">
        <f ca="1">IF(Z1060="ORAL",RANDBETWEEN(1000,10000),IF(OR(Z1060="INTRAVENOSA",Z1060="INTRAMUSCULAR"),RANDBETWEEN(100,2000),IF(OR(Z1060="OFTÁLMICA",Z1060="TOPICA (EXTERNA)"),RANDBETWEEN(200,3000),RANDBETWEEN(100,1500))))</f>
        <v>1435</v>
      </c>
      <c r="AY1060" s="2">
        <f ca="1">INT(AV1060*RANDBETWEEN(90,130)/100)</f>
        <v>34033</v>
      </c>
      <c r="AZ1060" t="str">
        <f t="shared" ca="1" si="83"/>
        <v>5.3%</v>
      </c>
      <c r="BA1060" t="str">
        <f t="shared" ca="1" si="84"/>
        <v>BAJO</v>
      </c>
    </row>
    <row r="1061" spans="4:53" x14ac:dyDescent="0.35">
      <c r="D1061" t="s">
        <v>6418</v>
      </c>
      <c r="E1061" s="1">
        <v>39241</v>
      </c>
      <c r="F1061" t="s">
        <v>6419</v>
      </c>
      <c r="G1061" t="s">
        <v>108</v>
      </c>
      <c r="H1061" t="s">
        <v>503</v>
      </c>
      <c r="I1061">
        <v>19974890</v>
      </c>
      <c r="J1061" t="s">
        <v>28</v>
      </c>
      <c r="K1061">
        <v>21</v>
      </c>
      <c r="L1061" t="s">
        <v>27</v>
      </c>
      <c r="M1061" t="s">
        <v>6420</v>
      </c>
      <c r="N1061" t="s">
        <v>6421</v>
      </c>
      <c r="O1061" t="s">
        <v>6422</v>
      </c>
      <c r="P1061" t="s">
        <v>6423</v>
      </c>
      <c r="Q1061" s="1">
        <v>41402</v>
      </c>
      <c r="R1061" t="s">
        <v>375</v>
      </c>
      <c r="S1061" t="s">
        <v>27</v>
      </c>
      <c r="T1061" t="s">
        <v>454</v>
      </c>
      <c r="U1061" t="s">
        <v>115</v>
      </c>
      <c r="V1061" t="s">
        <v>1248</v>
      </c>
      <c r="W1061">
        <v>4</v>
      </c>
      <c r="X1061">
        <v>19974890</v>
      </c>
      <c r="Y1061" t="s">
        <v>2761</v>
      </c>
      <c r="Z1061" t="s">
        <v>213</v>
      </c>
      <c r="AA1061" t="s">
        <v>24</v>
      </c>
      <c r="AB1061" t="s">
        <v>120</v>
      </c>
      <c r="AC1061" t="s">
        <v>25</v>
      </c>
      <c r="AD1061" t="s">
        <v>155</v>
      </c>
      <c r="AE1061">
        <v>1</v>
      </c>
      <c r="AF1061" t="s">
        <v>27</v>
      </c>
      <c r="AG1061" t="s">
        <v>26</v>
      </c>
      <c r="AH1061" t="s">
        <v>6724</v>
      </c>
      <c r="AI1061" t="str">
        <f t="shared" si="80"/>
        <v>SI</v>
      </c>
      <c r="AJ1061" t="str">
        <f t="shared" si="81"/>
        <v>PROCAPS</v>
      </c>
      <c r="AK1061" t="str">
        <f>IF(ISNUMBER(SEARCH("FABRICANTE",AC1061)),"FABRICANTE",IF(ISNUMBER(SEARCH("IMPORTADOR",AC1061)),"IMPORTADOR","OTRO"))</f>
        <v>FABRICANTE</v>
      </c>
      <c r="AL1061" t="str">
        <f>IF(LEFT(Y1061,1)="A","Sistema digestivo",IF(LEFT(Y1061,1)="B","Sangre",IF(LEFT(Y1061,1)="C","Cardiovascular",IF(LEFT(Y1061,1)="D","Dermatológico",IF(LEFT(Y1061,1)="G","Genitourinario",IF(LEFT(Y1061,1)="H","Hormonal",IF(LEFT(Y1061,1)="J","Antiinfecciosos",IF(LEFT(Y1061,1)="L","Oncológicos",IF(LEFT(Y1061,1)="M","Musculoesquelético",IF(LEFT(Y1061,1)="N","Sistema nervioso",IF(LEFT(Y1061,1)="R","Respiratorio",IF(LEFT(Y1061,1)="S","Oftálmico",IF(LEFT(Y1061,1)="V","Varios","OTRO")))))))))))))</f>
        <v>Hormonal</v>
      </c>
      <c r="AM1061" t="str">
        <f>IF(AG1061="Vigente","ACTIVO",IF(ISNUMBER(SEARCH("Inactivo",J1061)),"INACTIVO","REVISAR"))</f>
        <v>ACTIVO</v>
      </c>
      <c r="AN1061" t="str">
        <f ca="1">IF(OR(AF1061="",AF1061="null"),"",ROUND((AF1061-TODAY())/365.25,2))</f>
        <v/>
      </c>
      <c r="AO1061" t="str">
        <f ca="1">IF(AND(AG1061="Vigente",OR(AF1061="",AF1061="null",AF1061&gt;TODAY())),"SI",IF(AND(NOT(OR(AF1061="",AF1061="null")),AF1061&lt;=TODAY()),"NO",IF(AG1061="Vigente","SI","DESCONOCIDO")))</f>
        <v>SI</v>
      </c>
      <c r="AP1061" t="str">
        <f>IF(AND(ISNUMBER(SEARCH("IMPORTAR",AA1061)),ISNUMBER(SEARCH("FABRICAR",AA1061))),"MIXTO",IF(ISNUMBER(SEARCH("IMPORTAR",AA1061)),"IMPORTADO",IF(ISNUMBER(SEARCH("FABRICAR",AA1061)),"LOCAL","OTRO")))</f>
        <v>LOCAL</v>
      </c>
      <c r="AQ1061" t="str">
        <f>IF(AD1061="Si","SI",IF(AD1061="No","NO",""))</f>
        <v>SI</v>
      </c>
      <c r="AR1061" t="str">
        <f>IF(ISNUMBER(SEARCH("®",N1061)),"MARCA/INNOVADOR","GENERICO")</f>
        <v>MARCA/INNOVADOR</v>
      </c>
      <c r="AS1061">
        <f ca="1">IF(AE1061&gt;100,RANDBETWEEN(500,5000),IF(AND(AE1061&gt;=10,AE1061&lt;=100),RANDBETWEEN(100,1000),RANDBETWEEN(10,200)))</f>
        <v>186</v>
      </c>
      <c r="AT1061">
        <f t="shared" ca="1" si="82"/>
        <v>26</v>
      </c>
      <c r="AU1061">
        <f ca="1">INT(AS1061*RANDBETWEEN(120,200)/100)</f>
        <v>245</v>
      </c>
      <c r="AV1061" s="2">
        <f ca="1">IF(LEFT(Y1061,1)="L",RANDBETWEEN(500000,5000000),IF(LEFT(Y1061,1)="C",RANDBETWEEN(5000,50000),IF(LEFT(Y1061,1)="N",RANDBETWEEN(10000,150000),IF(LEFT(Y1061,1)="J",RANDBETWEEN(8000,200000),RANDBETWEEN(5000,100000)))))</f>
        <v>58470</v>
      </c>
      <c r="AW1061" s="2">
        <f ca="1">INT(AV1061*RANDBETWEEN(30,60)/100)</f>
        <v>29235</v>
      </c>
      <c r="AX1061">
        <f ca="1">IF(Z1061="ORAL",RANDBETWEEN(1000,10000),IF(OR(Z1061="INTRAVENOSA",Z1061="INTRAMUSCULAR"),RANDBETWEEN(100,2000),IF(OR(Z1061="OFTÁLMICA",Z1061="TOPICA (EXTERNA)"),RANDBETWEEN(200,3000),RANDBETWEEN(100,1500))))</f>
        <v>254</v>
      </c>
      <c r="AY1061" s="2">
        <f ca="1">INT(AV1061*RANDBETWEEN(90,130)/100)</f>
        <v>67825</v>
      </c>
      <c r="AZ1061" t="str">
        <f t="shared" ca="1" si="83"/>
        <v>1.9%</v>
      </c>
      <c r="BA1061" t="str">
        <f t="shared" ca="1" si="84"/>
        <v>BAJO</v>
      </c>
    </row>
    <row r="1062" spans="4:53" x14ac:dyDescent="0.35">
      <c r="D1062" t="s">
        <v>6424</v>
      </c>
      <c r="E1062" s="1">
        <v>45037</v>
      </c>
      <c r="F1062" t="s">
        <v>6425</v>
      </c>
      <c r="G1062" t="s">
        <v>108</v>
      </c>
      <c r="H1062" t="s">
        <v>633</v>
      </c>
      <c r="I1062">
        <v>20171579</v>
      </c>
      <c r="J1062" t="s">
        <v>28</v>
      </c>
      <c r="K1062">
        <v>2</v>
      </c>
      <c r="L1062" t="s">
        <v>6426</v>
      </c>
      <c r="M1062" t="s">
        <v>6427</v>
      </c>
      <c r="N1062" t="s">
        <v>6428</v>
      </c>
      <c r="O1062" t="s">
        <v>6429</v>
      </c>
      <c r="P1062" t="s">
        <v>181</v>
      </c>
      <c r="Q1062" s="1">
        <v>44064</v>
      </c>
      <c r="R1062" t="s">
        <v>37</v>
      </c>
      <c r="S1062" t="s">
        <v>27</v>
      </c>
      <c r="T1062" t="s">
        <v>6430</v>
      </c>
      <c r="U1062" t="s">
        <v>115</v>
      </c>
      <c r="V1062" t="s">
        <v>6431</v>
      </c>
      <c r="W1062" t="s">
        <v>2386</v>
      </c>
      <c r="X1062">
        <v>20171579</v>
      </c>
      <c r="Y1062" t="s">
        <v>6432</v>
      </c>
      <c r="Z1062" t="s">
        <v>119</v>
      </c>
      <c r="AA1062" t="s">
        <v>32</v>
      </c>
      <c r="AB1062" t="s">
        <v>120</v>
      </c>
      <c r="AC1062" t="s">
        <v>25</v>
      </c>
      <c r="AD1062" t="s">
        <v>121</v>
      </c>
      <c r="AE1062">
        <v>30</v>
      </c>
      <c r="AF1062" s="1">
        <v>401769</v>
      </c>
      <c r="AG1062" t="s">
        <v>26</v>
      </c>
      <c r="AH1062" t="s">
        <v>6855</v>
      </c>
      <c r="AI1062" t="str">
        <f t="shared" si="80"/>
        <v>NO</v>
      </c>
      <c r="AJ1062" t="str">
        <f t="shared" si="81"/>
        <v>EXELTIS S. A.S.</v>
      </c>
      <c r="AK1062" t="str">
        <f>IF(ISNUMBER(SEARCH("FABRICANTE",AC1062)),"FABRICANTE",IF(ISNUMBER(SEARCH("IMPORTADOR",AC1062)),"IMPORTADOR","OTRO"))</f>
        <v>FABRICANTE</v>
      </c>
      <c r="AL1062" t="str">
        <f>IF(LEFT(Y1062,1)="A","Sistema digestivo",IF(LEFT(Y1062,1)="B","Sangre",IF(LEFT(Y1062,1)="C","Cardiovascular",IF(LEFT(Y1062,1)="D","Dermatológico",IF(LEFT(Y1062,1)="G","Genitourinario",IF(LEFT(Y1062,1)="H","Hormonal",IF(LEFT(Y1062,1)="J","Antiinfecciosos",IF(LEFT(Y1062,1)="L","Oncológicos",IF(LEFT(Y1062,1)="M","Musculoesquelético",IF(LEFT(Y1062,1)="N","Sistema nervioso",IF(LEFT(Y1062,1)="R","Respiratorio",IF(LEFT(Y1062,1)="S","Oftálmico",IF(LEFT(Y1062,1)="V","Varios","OTRO")))))))))))))</f>
        <v>Genitourinario</v>
      </c>
      <c r="AM1062" t="str">
        <f>IF(AG1062="Vigente","ACTIVO",IF(ISNUMBER(SEARCH("Inactivo",J1062)),"INACTIVO","REVISAR"))</f>
        <v>ACTIVO</v>
      </c>
      <c r="AN1062">
        <f ca="1">IF(OR(AF1062="",AF1062="null"),"",ROUND((AF1062-TODAY())/365.25,2))</f>
        <v>973.58</v>
      </c>
      <c r="AO1062" t="str">
        <f ca="1">IF(AND(AG1062="Vigente",OR(AF1062="",AF1062="null",AF1062&gt;TODAY())),"SI",IF(AND(NOT(OR(AF1062="",AF1062="null")),AF1062&lt;=TODAY()),"NO",IF(AG1062="Vigente","SI","DESCONOCIDO")))</f>
        <v>SI</v>
      </c>
      <c r="AP1062" t="str">
        <f>IF(AND(ISNUMBER(SEARCH("IMPORTAR",AA1062)),ISNUMBER(SEARCH("FABRICAR",AA1062))),"MIXTO",IF(ISNUMBER(SEARCH("IMPORTAR",AA1062)),"IMPORTADO",IF(ISNUMBER(SEARCH("FABRICAR",AA1062)),"LOCAL","OTRO")))</f>
        <v>IMPORTADO</v>
      </c>
      <c r="AQ1062" t="str">
        <f>IF(AD1062="Si","SI",IF(AD1062="No","NO",""))</f>
        <v>NO</v>
      </c>
      <c r="AR1062" t="str">
        <f>IF(ISNUMBER(SEARCH("®",N1062)),"MARCA/INNOVADOR","GENERICO")</f>
        <v>MARCA/INNOVADOR</v>
      </c>
      <c r="AS1062">
        <f ca="1">IF(AE1062&gt;100,RANDBETWEEN(500,5000),IF(AND(AE1062&gt;=10,AE1062&lt;=100),RANDBETWEEN(100,1000),RANDBETWEEN(10,200)))</f>
        <v>998</v>
      </c>
      <c r="AT1062">
        <f t="shared" ca="1" si="82"/>
        <v>159</v>
      </c>
      <c r="AU1062">
        <f ca="1">INT(AS1062*RANDBETWEEN(120,200)/100)</f>
        <v>1407</v>
      </c>
      <c r="AV1062" s="2">
        <f ca="1">IF(LEFT(Y1062,1)="L",RANDBETWEEN(500000,5000000),IF(LEFT(Y1062,1)="C",RANDBETWEEN(5000,50000),IF(LEFT(Y1062,1)="N",RANDBETWEEN(10000,150000),IF(LEFT(Y1062,1)="J",RANDBETWEEN(8000,200000),RANDBETWEEN(5000,100000)))))</f>
        <v>47488</v>
      </c>
      <c r="AW1062" s="2">
        <f ca="1">INT(AV1062*RANDBETWEEN(30,60)/100)</f>
        <v>28017</v>
      </c>
      <c r="AX1062">
        <f ca="1">IF(Z1062="ORAL",RANDBETWEEN(1000,10000),IF(OR(Z1062="INTRAVENOSA",Z1062="INTRAMUSCULAR"),RANDBETWEEN(100,2000),IF(OR(Z1062="OFTÁLMICA",Z1062="TOPICA (EXTERNA)"),RANDBETWEEN(200,3000),RANDBETWEEN(100,1500))))</f>
        <v>7907</v>
      </c>
      <c r="AY1062" s="2">
        <f ca="1">INT(AV1062*RANDBETWEEN(90,130)/100)</f>
        <v>57460</v>
      </c>
      <c r="AZ1062" t="str">
        <f t="shared" ca="1" si="83"/>
        <v>13.2%</v>
      </c>
      <c r="BA1062" t="str">
        <f t="shared" ca="1" si="84"/>
        <v>BAJO</v>
      </c>
    </row>
    <row r="1063" spans="4:53" x14ac:dyDescent="0.35">
      <c r="D1063" t="s">
        <v>6433</v>
      </c>
      <c r="E1063" s="1">
        <v>34454</v>
      </c>
      <c r="F1063" t="s">
        <v>2693</v>
      </c>
      <c r="G1063" t="s">
        <v>108</v>
      </c>
      <c r="H1063" t="s">
        <v>2965</v>
      </c>
      <c r="I1063">
        <v>49658</v>
      </c>
      <c r="J1063" t="s">
        <v>28</v>
      </c>
      <c r="K1063">
        <v>55</v>
      </c>
      <c r="L1063" t="s">
        <v>6434</v>
      </c>
      <c r="M1063" t="s">
        <v>2696</v>
      </c>
      <c r="N1063" t="s">
        <v>2697</v>
      </c>
      <c r="O1063" t="s">
        <v>6435</v>
      </c>
      <c r="P1063" t="s">
        <v>2699</v>
      </c>
      <c r="Q1063" s="1">
        <v>43756</v>
      </c>
      <c r="R1063" t="s">
        <v>1818</v>
      </c>
      <c r="S1063" t="s">
        <v>27</v>
      </c>
      <c r="T1063" t="s">
        <v>2700</v>
      </c>
      <c r="U1063" t="s">
        <v>2701</v>
      </c>
      <c r="V1063" t="s">
        <v>1819</v>
      </c>
      <c r="W1063" t="s">
        <v>2702</v>
      </c>
      <c r="X1063">
        <v>49658</v>
      </c>
      <c r="Y1063" t="s">
        <v>1820</v>
      </c>
      <c r="Z1063" t="s">
        <v>1168</v>
      </c>
      <c r="AA1063" t="s">
        <v>24</v>
      </c>
      <c r="AB1063" t="s">
        <v>1983</v>
      </c>
      <c r="AC1063" t="s">
        <v>25</v>
      </c>
      <c r="AD1063" t="s">
        <v>121</v>
      </c>
      <c r="AE1063">
        <v>1</v>
      </c>
      <c r="AF1063" t="s">
        <v>27</v>
      </c>
      <c r="AG1063" t="s">
        <v>26</v>
      </c>
      <c r="AH1063" t="s">
        <v>6789</v>
      </c>
      <c r="AI1063" t="str">
        <f t="shared" si="80"/>
        <v>SI</v>
      </c>
      <c r="AJ1063" t="str">
        <f t="shared" si="81"/>
        <v>GASES INDUSTRIALES DE COLOMBIA CRYOGAS</v>
      </c>
      <c r="AK1063" t="str">
        <f>IF(ISNUMBER(SEARCH("FABRICANTE",AC1063)),"FABRICANTE",IF(ISNUMBER(SEARCH("IMPORTADOR",AC1063)),"IMPORTADOR","OTRO"))</f>
        <v>FABRICANTE</v>
      </c>
      <c r="AL1063" t="str">
        <f>IF(LEFT(Y1063,1)="A","Sistema digestivo",IF(LEFT(Y1063,1)="B","Sangre",IF(LEFT(Y1063,1)="C","Cardiovascular",IF(LEFT(Y1063,1)="D","Dermatológico",IF(LEFT(Y1063,1)="G","Genitourinario",IF(LEFT(Y1063,1)="H","Hormonal",IF(LEFT(Y1063,1)="J","Antiinfecciosos",IF(LEFT(Y1063,1)="L","Oncológicos",IF(LEFT(Y1063,1)="M","Musculoesquelético",IF(LEFT(Y1063,1)="N","Sistema nervioso",IF(LEFT(Y1063,1)="R","Respiratorio",IF(LEFT(Y1063,1)="S","Oftálmico",IF(LEFT(Y1063,1)="V","Varios","OTRO")))))))))))))</f>
        <v>Varios</v>
      </c>
      <c r="AM1063" t="str">
        <f>IF(AG1063="Vigente","ACTIVO",IF(ISNUMBER(SEARCH("Inactivo",J1063)),"INACTIVO","REVISAR"))</f>
        <v>ACTIVO</v>
      </c>
      <c r="AN1063" t="str">
        <f ca="1">IF(OR(AF1063="",AF1063="null"),"",ROUND((AF1063-TODAY())/365.25,2))</f>
        <v/>
      </c>
      <c r="AO1063" t="str">
        <f ca="1">IF(AND(AG1063="Vigente",OR(AF1063="",AF1063="null",AF1063&gt;TODAY())),"SI",IF(AND(NOT(OR(AF1063="",AF1063="null")),AF1063&lt;=TODAY()),"NO",IF(AG1063="Vigente","SI","DESCONOCIDO")))</f>
        <v>SI</v>
      </c>
      <c r="AP1063" t="str">
        <f>IF(AND(ISNUMBER(SEARCH("IMPORTAR",AA1063)),ISNUMBER(SEARCH("FABRICAR",AA1063))),"MIXTO",IF(ISNUMBER(SEARCH("IMPORTAR",AA1063)),"IMPORTADO",IF(ISNUMBER(SEARCH("FABRICAR",AA1063)),"LOCAL","OTRO")))</f>
        <v>LOCAL</v>
      </c>
      <c r="AQ1063" t="str">
        <f>IF(AD1063="Si","SI",IF(AD1063="No","NO",""))</f>
        <v>NO</v>
      </c>
      <c r="AR1063" t="str">
        <f>IF(ISNUMBER(SEARCH("®",N1063)),"MARCA/INNOVADOR","GENERICO")</f>
        <v>GENERICO</v>
      </c>
      <c r="AS1063">
        <f ca="1">IF(AE1063&gt;100,RANDBETWEEN(500,5000),IF(AND(AE1063&gt;=10,AE1063&lt;=100),RANDBETWEEN(100,1000),RANDBETWEEN(10,200)))</f>
        <v>161</v>
      </c>
      <c r="AT1063">
        <f t="shared" ca="1" si="82"/>
        <v>30</v>
      </c>
      <c r="AU1063">
        <f ca="1">INT(AS1063*RANDBETWEEN(120,200)/100)</f>
        <v>194</v>
      </c>
      <c r="AV1063" s="2">
        <f ca="1">IF(LEFT(Y1063,1)="L",RANDBETWEEN(500000,5000000),IF(LEFT(Y1063,1)="C",RANDBETWEEN(5000,50000),IF(LEFT(Y1063,1)="N",RANDBETWEEN(10000,150000),IF(LEFT(Y1063,1)="J",RANDBETWEEN(8000,200000),RANDBETWEEN(5000,100000)))))</f>
        <v>43681</v>
      </c>
      <c r="AW1063" s="2">
        <f ca="1">INT(AV1063*RANDBETWEEN(30,60)/100)</f>
        <v>23587</v>
      </c>
      <c r="AX1063">
        <f ca="1">IF(Z1063="ORAL",RANDBETWEEN(1000,10000),IF(OR(Z1063="INTRAVENOSA",Z1063="INTRAMUSCULAR"),RANDBETWEEN(100,2000),IF(OR(Z1063="OFTÁLMICA",Z1063="TOPICA (EXTERNA)"),RANDBETWEEN(200,3000),RANDBETWEEN(100,1500))))</f>
        <v>373</v>
      </c>
      <c r="AY1063" s="2">
        <f ca="1">INT(AV1063*RANDBETWEEN(90,130)/100)</f>
        <v>52854</v>
      </c>
      <c r="AZ1063" t="str">
        <f t="shared" ca="1" si="83"/>
        <v>7.2%</v>
      </c>
      <c r="BA1063" t="str">
        <f t="shared" ca="1" si="84"/>
        <v>BAJO</v>
      </c>
    </row>
    <row r="1064" spans="4:53" x14ac:dyDescent="0.35">
      <c r="D1064" t="s">
        <v>6436</v>
      </c>
      <c r="E1064" s="1">
        <v>34839</v>
      </c>
      <c r="F1064" t="s">
        <v>45</v>
      </c>
      <c r="G1064" t="s">
        <v>108</v>
      </c>
      <c r="H1064" t="s">
        <v>6437</v>
      </c>
      <c r="I1064">
        <v>59502</v>
      </c>
      <c r="J1064" t="s">
        <v>110</v>
      </c>
      <c r="K1064">
        <v>9</v>
      </c>
      <c r="L1064" t="s">
        <v>27</v>
      </c>
      <c r="M1064" t="s">
        <v>6438</v>
      </c>
      <c r="N1064" t="s">
        <v>6439</v>
      </c>
      <c r="O1064" t="s">
        <v>6440</v>
      </c>
      <c r="P1064" t="s">
        <v>6441</v>
      </c>
      <c r="Q1064" s="1">
        <v>42282</v>
      </c>
      <c r="R1064" t="s">
        <v>33</v>
      </c>
      <c r="S1064" t="s">
        <v>27</v>
      </c>
      <c r="T1064" t="s">
        <v>854</v>
      </c>
      <c r="U1064" t="s">
        <v>115</v>
      </c>
      <c r="V1064" t="s">
        <v>49</v>
      </c>
      <c r="W1064">
        <v>850</v>
      </c>
      <c r="X1064">
        <v>59502</v>
      </c>
      <c r="Y1064" t="s">
        <v>46</v>
      </c>
      <c r="Z1064" t="s">
        <v>119</v>
      </c>
      <c r="AA1064" t="s">
        <v>848</v>
      </c>
      <c r="AB1064" t="s">
        <v>120</v>
      </c>
      <c r="AC1064" t="s">
        <v>25</v>
      </c>
      <c r="AD1064" t="s">
        <v>121</v>
      </c>
      <c r="AE1064">
        <v>20</v>
      </c>
      <c r="AF1064" s="1">
        <v>401769</v>
      </c>
      <c r="AG1064" t="s">
        <v>26</v>
      </c>
      <c r="AH1064" t="s">
        <v>45</v>
      </c>
      <c r="AI1064" t="str">
        <f t="shared" si="80"/>
        <v>NO</v>
      </c>
      <c r="AJ1064" t="str">
        <f t="shared" si="81"/>
        <v>MERCK</v>
      </c>
      <c r="AK1064" t="str">
        <f>IF(ISNUMBER(SEARCH("FABRICANTE",AC1064)),"FABRICANTE",IF(ISNUMBER(SEARCH("IMPORTADOR",AC1064)),"IMPORTADOR","OTRO"))</f>
        <v>FABRICANTE</v>
      </c>
      <c r="AL1064" t="str">
        <f>IF(LEFT(Y1064,1)="A","Sistema digestivo",IF(LEFT(Y1064,1)="B","Sangre",IF(LEFT(Y1064,1)="C","Cardiovascular",IF(LEFT(Y1064,1)="D","Dermatológico",IF(LEFT(Y1064,1)="G","Genitourinario",IF(LEFT(Y1064,1)="H","Hormonal",IF(LEFT(Y1064,1)="J","Antiinfecciosos",IF(LEFT(Y1064,1)="L","Oncológicos",IF(LEFT(Y1064,1)="M","Musculoesquelético",IF(LEFT(Y1064,1)="N","Sistema nervioso",IF(LEFT(Y1064,1)="R","Respiratorio",IF(LEFT(Y1064,1)="S","Oftálmico",IF(LEFT(Y1064,1)="V","Varios","OTRO")))))))))))))</f>
        <v>Sistema digestivo</v>
      </c>
      <c r="AM1064" t="str">
        <f>IF(AG1064="Vigente","ACTIVO",IF(ISNUMBER(SEARCH("Inactivo",J1064)),"INACTIVO","REVISAR"))</f>
        <v>ACTIVO</v>
      </c>
      <c r="AN1064">
        <f ca="1">IF(OR(AF1064="",AF1064="null"),"",ROUND((AF1064-TODAY())/365.25,2))</f>
        <v>973.58</v>
      </c>
      <c r="AO1064" t="str">
        <f ca="1">IF(AND(AG1064="Vigente",OR(AF1064="",AF1064="null",AF1064&gt;TODAY())),"SI",IF(AND(NOT(OR(AF1064="",AF1064="null")),AF1064&lt;=TODAY()),"NO",IF(AG1064="Vigente","SI","DESCONOCIDO")))</f>
        <v>SI</v>
      </c>
      <c r="AP1064" t="str">
        <f>IF(AND(ISNUMBER(SEARCH("IMPORTAR",AA1064)),ISNUMBER(SEARCH("FABRICAR",AA1064))),"MIXTO",IF(ISNUMBER(SEARCH("IMPORTAR",AA1064)),"IMPORTADO",IF(ISNUMBER(SEARCH("FABRICAR",AA1064)),"LOCAL","OTRO")))</f>
        <v>IMPORTADO</v>
      </c>
      <c r="AQ1064" t="str">
        <f>IF(AD1064="Si","SI",IF(AD1064="No","NO",""))</f>
        <v>NO</v>
      </c>
      <c r="AR1064" t="str">
        <f>IF(ISNUMBER(SEARCH("®",N1064)),"MARCA/INNOVADOR","GENERICO")</f>
        <v>GENERICO</v>
      </c>
      <c r="AS1064">
        <f ca="1">IF(AE1064&gt;100,RANDBETWEEN(500,5000),IF(AND(AE1064&gt;=10,AE1064&lt;=100),RANDBETWEEN(100,1000),RANDBETWEEN(10,200)))</f>
        <v>263</v>
      </c>
      <c r="AT1064">
        <f t="shared" ca="1" si="82"/>
        <v>26</v>
      </c>
      <c r="AU1064">
        <f ca="1">INT(AS1064*RANDBETWEEN(120,200)/100)</f>
        <v>331</v>
      </c>
      <c r="AV1064" s="2">
        <f ca="1">IF(LEFT(Y1064,1)="L",RANDBETWEEN(500000,5000000),IF(LEFT(Y1064,1)="C",RANDBETWEEN(5000,50000),IF(LEFT(Y1064,1)="N",RANDBETWEEN(10000,150000),IF(LEFT(Y1064,1)="J",RANDBETWEEN(8000,200000),RANDBETWEEN(5000,100000)))))</f>
        <v>12263</v>
      </c>
      <c r="AW1064" s="2">
        <f ca="1">INT(AV1064*RANDBETWEEN(30,60)/100)</f>
        <v>7235</v>
      </c>
      <c r="AX1064">
        <f ca="1">IF(Z1064="ORAL",RANDBETWEEN(1000,10000),IF(OR(Z1064="INTRAVENOSA",Z1064="INTRAMUSCULAR"),RANDBETWEEN(100,2000),IF(OR(Z1064="OFTÁLMICA",Z1064="TOPICA (EXTERNA)"),RANDBETWEEN(200,3000),RANDBETWEEN(100,1500))))</f>
        <v>5340</v>
      </c>
      <c r="AY1064" s="2">
        <f ca="1">INT(AV1064*RANDBETWEEN(90,130)/100)</f>
        <v>12140</v>
      </c>
      <c r="AZ1064" t="str">
        <f t="shared" ca="1" si="83"/>
        <v>21.8%</v>
      </c>
      <c r="BA1064" t="str">
        <f t="shared" ca="1" si="84"/>
        <v>MEDIO</v>
      </c>
    </row>
    <row r="1065" spans="4:53" x14ac:dyDescent="0.35">
      <c r="D1065" t="s">
        <v>6442</v>
      </c>
      <c r="E1065" s="1">
        <v>36772</v>
      </c>
      <c r="F1065" t="s">
        <v>522</v>
      </c>
      <c r="G1065" t="s">
        <v>502</v>
      </c>
      <c r="H1065" t="s">
        <v>428</v>
      </c>
      <c r="I1065">
        <v>33289</v>
      </c>
      <c r="J1065" t="s">
        <v>28</v>
      </c>
      <c r="K1065">
        <v>11</v>
      </c>
      <c r="L1065" t="s">
        <v>27</v>
      </c>
      <c r="M1065" t="s">
        <v>6443</v>
      </c>
      <c r="N1065" t="s">
        <v>6444</v>
      </c>
      <c r="O1065" t="s">
        <v>6445</v>
      </c>
      <c r="P1065" t="s">
        <v>2097</v>
      </c>
      <c r="Q1065" s="1">
        <v>45371</v>
      </c>
      <c r="R1065" t="s">
        <v>459</v>
      </c>
      <c r="S1065" t="s">
        <v>27</v>
      </c>
      <c r="T1065" t="s">
        <v>428</v>
      </c>
      <c r="U1065" t="s">
        <v>247</v>
      </c>
      <c r="V1065" t="s">
        <v>528</v>
      </c>
      <c r="W1065">
        <v>3</v>
      </c>
      <c r="X1065">
        <v>33289</v>
      </c>
      <c r="Y1065" t="s">
        <v>529</v>
      </c>
      <c r="Z1065" t="s">
        <v>119</v>
      </c>
      <c r="AA1065" t="s">
        <v>24</v>
      </c>
      <c r="AB1065" t="s">
        <v>250</v>
      </c>
      <c r="AC1065" t="s">
        <v>25</v>
      </c>
      <c r="AD1065" t="s">
        <v>121</v>
      </c>
      <c r="AE1065">
        <v>90</v>
      </c>
      <c r="AF1065" t="s">
        <v>27</v>
      </c>
      <c r="AG1065" t="s">
        <v>26</v>
      </c>
      <c r="AH1065" t="s">
        <v>522</v>
      </c>
      <c r="AI1065" t="str">
        <f t="shared" si="80"/>
        <v>NO</v>
      </c>
      <c r="AJ1065" t="str">
        <f t="shared" si="81"/>
        <v>LABORATORIOS SIEGFRIED</v>
      </c>
      <c r="AK1065" t="str">
        <f>IF(ISNUMBER(SEARCH("FABRICANTE",AC1065)),"FABRICANTE",IF(ISNUMBER(SEARCH("IMPORTADOR",AC1065)),"IMPORTADOR","OTRO"))</f>
        <v>FABRICANTE</v>
      </c>
      <c r="AL1065" t="str">
        <f>IF(LEFT(Y1065,1)="A","Sistema digestivo",IF(LEFT(Y1065,1)="B","Sangre",IF(LEFT(Y1065,1)="C","Cardiovascular",IF(LEFT(Y1065,1)="D","Dermatológico",IF(LEFT(Y1065,1)="G","Genitourinario",IF(LEFT(Y1065,1)="H","Hormonal",IF(LEFT(Y1065,1)="J","Antiinfecciosos",IF(LEFT(Y1065,1)="L","Oncológicos",IF(LEFT(Y1065,1)="M","Musculoesquelético",IF(LEFT(Y1065,1)="N","Sistema nervioso",IF(LEFT(Y1065,1)="R","Respiratorio",IF(LEFT(Y1065,1)="S","Oftálmico",IF(LEFT(Y1065,1)="V","Varios","OTRO")))))))))))))</f>
        <v>Sistema nervioso</v>
      </c>
      <c r="AM1065" t="str">
        <f>IF(AG1065="Vigente","ACTIVO",IF(ISNUMBER(SEARCH("Inactivo",J1065)),"INACTIVO","REVISAR"))</f>
        <v>ACTIVO</v>
      </c>
      <c r="AN1065" t="str">
        <f ca="1">IF(OR(AF1065="",AF1065="null"),"",ROUND((AF1065-TODAY())/365.25,2))</f>
        <v/>
      </c>
      <c r="AO1065" t="str">
        <f ca="1">IF(AND(AG1065="Vigente",OR(AF1065="",AF1065="null",AF1065&gt;TODAY())),"SI",IF(AND(NOT(OR(AF1065="",AF1065="null")),AF1065&lt;=TODAY()),"NO",IF(AG1065="Vigente","SI","DESCONOCIDO")))</f>
        <v>SI</v>
      </c>
      <c r="AP1065" t="str">
        <f>IF(AND(ISNUMBER(SEARCH("IMPORTAR",AA1065)),ISNUMBER(SEARCH("FABRICAR",AA1065))),"MIXTO",IF(ISNUMBER(SEARCH("IMPORTAR",AA1065)),"IMPORTADO",IF(ISNUMBER(SEARCH("FABRICAR",AA1065)),"LOCAL","OTRO")))</f>
        <v>LOCAL</v>
      </c>
      <c r="AQ1065" t="str">
        <f>IF(AD1065="Si","SI",IF(AD1065="No","NO",""))</f>
        <v>NO</v>
      </c>
      <c r="AR1065" t="str">
        <f>IF(ISNUMBER(SEARCH("®",N1065)),"MARCA/INNOVADOR","GENERICO")</f>
        <v>MARCA/INNOVADOR</v>
      </c>
      <c r="AS1065">
        <f ca="1">IF(AE1065&gt;100,RANDBETWEEN(500,5000),IF(AND(AE1065&gt;=10,AE1065&lt;=100),RANDBETWEEN(100,1000),RANDBETWEEN(10,200)))</f>
        <v>240</v>
      </c>
      <c r="AT1065">
        <f t="shared" ca="1" si="82"/>
        <v>52</v>
      </c>
      <c r="AU1065">
        <f ca="1">INT(AS1065*RANDBETWEEN(120,200)/100)</f>
        <v>444</v>
      </c>
      <c r="AV1065" s="2">
        <f ca="1">IF(LEFT(Y1065,1)="L",RANDBETWEEN(500000,5000000),IF(LEFT(Y1065,1)="C",RANDBETWEEN(5000,50000),IF(LEFT(Y1065,1)="N",RANDBETWEEN(10000,150000),IF(LEFT(Y1065,1)="J",RANDBETWEEN(8000,200000),RANDBETWEEN(5000,100000)))))</f>
        <v>81399</v>
      </c>
      <c r="AW1065" s="2">
        <f ca="1">INT(AV1065*RANDBETWEEN(30,60)/100)</f>
        <v>37443</v>
      </c>
      <c r="AX1065">
        <f ca="1">IF(Z1065="ORAL",RANDBETWEEN(1000,10000),IF(OR(Z1065="INTRAVENOSA",Z1065="INTRAMUSCULAR"),RANDBETWEEN(100,2000),IF(OR(Z1065="OFTÁLMICA",Z1065="TOPICA (EXTERNA)"),RANDBETWEEN(200,3000),RANDBETWEEN(100,1500))))</f>
        <v>8889</v>
      </c>
      <c r="AY1065" s="2">
        <f ca="1">INT(AV1065*RANDBETWEEN(90,130)/100)</f>
        <v>86282</v>
      </c>
      <c r="AZ1065" t="str">
        <f t="shared" ca="1" si="83"/>
        <v>11.8%</v>
      </c>
      <c r="BA1065" t="str">
        <f t="shared" ca="1" si="84"/>
        <v>BAJO</v>
      </c>
    </row>
    <row r="1066" spans="4:53" x14ac:dyDescent="0.35">
      <c r="D1066" t="s">
        <v>6446</v>
      </c>
      <c r="E1066" s="1">
        <v>43941</v>
      </c>
      <c r="F1066" t="s">
        <v>6447</v>
      </c>
      <c r="G1066" t="s">
        <v>108</v>
      </c>
      <c r="H1066" t="s">
        <v>6448</v>
      </c>
      <c r="I1066">
        <v>20140229</v>
      </c>
      <c r="J1066" t="s">
        <v>28</v>
      </c>
      <c r="K1066">
        <v>3</v>
      </c>
      <c r="L1066" t="s">
        <v>6449</v>
      </c>
      <c r="M1066" t="s">
        <v>6450</v>
      </c>
      <c r="N1066" t="s">
        <v>6451</v>
      </c>
      <c r="O1066" t="s">
        <v>6452</v>
      </c>
      <c r="P1066" t="s">
        <v>6453</v>
      </c>
      <c r="Q1066" s="1">
        <v>44251</v>
      </c>
      <c r="R1066" t="s">
        <v>73</v>
      </c>
      <c r="S1066" t="s">
        <v>27</v>
      </c>
      <c r="T1066" t="s">
        <v>464</v>
      </c>
      <c r="U1066" t="s">
        <v>247</v>
      </c>
      <c r="V1066" t="s">
        <v>75</v>
      </c>
      <c r="W1066" t="s">
        <v>2729</v>
      </c>
      <c r="X1066">
        <v>20140229</v>
      </c>
      <c r="Y1066" t="s">
        <v>72</v>
      </c>
      <c r="Z1066" t="s">
        <v>119</v>
      </c>
      <c r="AA1066" t="s">
        <v>32</v>
      </c>
      <c r="AB1066" t="s">
        <v>1095</v>
      </c>
      <c r="AC1066" t="s">
        <v>25</v>
      </c>
      <c r="AD1066" t="s">
        <v>155</v>
      </c>
      <c r="AE1066">
        <v>1</v>
      </c>
      <c r="AF1066" t="s">
        <v>27</v>
      </c>
      <c r="AG1066" t="s">
        <v>26</v>
      </c>
      <c r="AH1066" t="s">
        <v>6725</v>
      </c>
      <c r="AI1066" t="str">
        <f t="shared" si="80"/>
        <v>NO</v>
      </c>
      <c r="AJ1066" t="str">
        <f t="shared" si="81"/>
        <v>MEGALABS COLOMBIA</v>
      </c>
      <c r="AK1066" t="str">
        <f>IF(ISNUMBER(SEARCH("FABRICANTE",AC1066)),"FABRICANTE",IF(ISNUMBER(SEARCH("IMPORTADOR",AC1066)),"IMPORTADOR","OTRO"))</f>
        <v>FABRICANTE</v>
      </c>
      <c r="AL1066" t="str">
        <f>IF(LEFT(Y1066,1)="A","Sistema digestivo",IF(LEFT(Y1066,1)="B","Sangre",IF(LEFT(Y1066,1)="C","Cardiovascular",IF(LEFT(Y1066,1)="D","Dermatológico",IF(LEFT(Y1066,1)="G","Genitourinario",IF(LEFT(Y1066,1)="H","Hormonal",IF(LEFT(Y1066,1)="J","Antiinfecciosos",IF(LEFT(Y1066,1)="L","Oncológicos",IF(LEFT(Y1066,1)="M","Musculoesquelético",IF(LEFT(Y1066,1)="N","Sistema nervioso",IF(LEFT(Y1066,1)="R","Respiratorio",IF(LEFT(Y1066,1)="S","Oftálmico",IF(LEFT(Y1066,1)="V","Varios","OTRO")))))))))))))</f>
        <v>Antiinfecciosos</v>
      </c>
      <c r="AM1066" t="str">
        <f>IF(AG1066="Vigente","ACTIVO",IF(ISNUMBER(SEARCH("Inactivo",J1066)),"INACTIVO","REVISAR"))</f>
        <v>ACTIVO</v>
      </c>
      <c r="AN1066" t="str">
        <f ca="1">IF(OR(AF1066="",AF1066="null"),"",ROUND((AF1066-TODAY())/365.25,2))</f>
        <v/>
      </c>
      <c r="AO1066" t="str">
        <f ca="1">IF(AND(AG1066="Vigente",OR(AF1066="",AF1066="null",AF1066&gt;TODAY())),"SI",IF(AND(NOT(OR(AF1066="",AF1066="null")),AF1066&lt;=TODAY()),"NO",IF(AG1066="Vigente","SI","DESCONOCIDO")))</f>
        <v>SI</v>
      </c>
      <c r="AP1066" t="str">
        <f>IF(AND(ISNUMBER(SEARCH("IMPORTAR",AA1066)),ISNUMBER(SEARCH("FABRICAR",AA1066))),"MIXTO",IF(ISNUMBER(SEARCH("IMPORTAR",AA1066)),"IMPORTADO",IF(ISNUMBER(SEARCH("FABRICAR",AA1066)),"LOCAL","OTRO")))</f>
        <v>IMPORTADO</v>
      </c>
      <c r="AQ1066" t="str">
        <f>IF(AD1066="Si","SI",IF(AD1066="No","NO",""))</f>
        <v>SI</v>
      </c>
      <c r="AR1066" t="str">
        <f>IF(ISNUMBER(SEARCH("®",N1066)),"MARCA/INNOVADOR","GENERICO")</f>
        <v>MARCA/INNOVADOR</v>
      </c>
      <c r="AS1066">
        <f ca="1">IF(AE1066&gt;100,RANDBETWEEN(500,5000),IF(AND(AE1066&gt;=10,AE1066&lt;=100),RANDBETWEEN(100,1000),RANDBETWEEN(10,200)))</f>
        <v>13</v>
      </c>
      <c r="AT1066">
        <f t="shared" ca="1" si="82"/>
        <v>1</v>
      </c>
      <c r="AU1066">
        <f ca="1">INT(AS1066*RANDBETWEEN(120,200)/100)</f>
        <v>21</v>
      </c>
      <c r="AV1066" s="2">
        <f ca="1">IF(LEFT(Y1066,1)="L",RANDBETWEEN(500000,5000000),IF(LEFT(Y1066,1)="C",RANDBETWEEN(5000,50000),IF(LEFT(Y1066,1)="N",RANDBETWEEN(10000,150000),IF(LEFT(Y1066,1)="J",RANDBETWEEN(8000,200000),RANDBETWEEN(5000,100000)))))</f>
        <v>92442</v>
      </c>
      <c r="AW1066" s="2">
        <f ca="1">INT(AV1066*RANDBETWEEN(30,60)/100)</f>
        <v>52691</v>
      </c>
      <c r="AX1066">
        <f ca="1">IF(Z1066="ORAL",RANDBETWEEN(1000,10000),IF(OR(Z1066="INTRAVENOSA",Z1066="INTRAMUSCULAR"),RANDBETWEEN(100,2000),IF(OR(Z1066="OFTÁLMICA",Z1066="TOPICA (EXTERNA)"),RANDBETWEEN(200,3000),RANDBETWEEN(100,1500))))</f>
        <v>4371</v>
      </c>
      <c r="AY1066" s="2">
        <f ca="1">INT(AV1066*RANDBETWEEN(90,130)/100)</f>
        <v>85046</v>
      </c>
      <c r="AZ1066" t="str">
        <f t="shared" ca="1" si="83"/>
        <v>19.6%</v>
      </c>
      <c r="BA1066" t="str">
        <f t="shared" ca="1" si="84"/>
        <v>BAJO</v>
      </c>
    </row>
    <row r="1067" spans="4:53" x14ac:dyDescent="0.35">
      <c r="D1067" t="s">
        <v>6454</v>
      </c>
      <c r="E1067" s="1">
        <v>41425</v>
      </c>
      <c r="F1067" t="s">
        <v>6455</v>
      </c>
      <c r="G1067" t="s">
        <v>108</v>
      </c>
      <c r="H1067" t="s">
        <v>6456</v>
      </c>
      <c r="I1067">
        <v>20054699</v>
      </c>
      <c r="J1067" t="s">
        <v>110</v>
      </c>
      <c r="K1067">
        <v>4</v>
      </c>
      <c r="L1067" t="s">
        <v>27</v>
      </c>
      <c r="M1067" t="s">
        <v>6457</v>
      </c>
      <c r="N1067" t="s">
        <v>1905</v>
      </c>
      <c r="O1067" t="s">
        <v>6458</v>
      </c>
      <c r="P1067" t="s">
        <v>601</v>
      </c>
      <c r="Q1067" s="1">
        <v>41415</v>
      </c>
      <c r="R1067" t="s">
        <v>1907</v>
      </c>
      <c r="S1067" t="s">
        <v>27</v>
      </c>
      <c r="T1067" t="s">
        <v>4401</v>
      </c>
      <c r="U1067" t="s">
        <v>6459</v>
      </c>
      <c r="V1067" t="s">
        <v>1908</v>
      </c>
      <c r="W1067" t="s">
        <v>3017</v>
      </c>
      <c r="X1067">
        <v>20054699</v>
      </c>
      <c r="Y1067" t="s">
        <v>1909</v>
      </c>
      <c r="Z1067" t="s">
        <v>213</v>
      </c>
      <c r="AA1067" t="s">
        <v>32</v>
      </c>
      <c r="AB1067" t="s">
        <v>120</v>
      </c>
      <c r="AC1067" t="s">
        <v>38</v>
      </c>
      <c r="AD1067" t="s">
        <v>121</v>
      </c>
      <c r="AE1067">
        <v>20</v>
      </c>
      <c r="AF1067" t="s">
        <v>27</v>
      </c>
      <c r="AG1067" t="s">
        <v>26</v>
      </c>
      <c r="AH1067" t="s">
        <v>6856</v>
      </c>
      <c r="AI1067" t="str">
        <f t="shared" si="80"/>
        <v>SI</v>
      </c>
      <c r="AJ1067" t="str">
        <f t="shared" si="81"/>
        <v>NORTH CHINA PHARMACEUTICAL CO</v>
      </c>
      <c r="AK1067" t="str">
        <f>IF(ISNUMBER(SEARCH("FABRICANTE",AC1067)),"FABRICANTE",IF(ISNUMBER(SEARCH("IMPORTADOR",AC1067)),"IMPORTADOR","OTRO"))</f>
        <v>IMPORTADOR</v>
      </c>
      <c r="AL1067" t="str">
        <f>IF(LEFT(Y1067,1)="A","Sistema digestivo",IF(LEFT(Y1067,1)="B","Sangre",IF(LEFT(Y1067,1)="C","Cardiovascular",IF(LEFT(Y1067,1)="D","Dermatológico",IF(LEFT(Y1067,1)="G","Genitourinario",IF(LEFT(Y1067,1)="H","Hormonal",IF(LEFT(Y1067,1)="J","Antiinfecciosos",IF(LEFT(Y1067,1)="L","Oncológicos",IF(LEFT(Y1067,1)="M","Musculoesquelético",IF(LEFT(Y1067,1)="N","Sistema nervioso",IF(LEFT(Y1067,1)="R","Respiratorio",IF(LEFT(Y1067,1)="S","Oftálmico",IF(LEFT(Y1067,1)="V","Varios","OTRO")))))))))))))</f>
        <v>Antiinfecciosos</v>
      </c>
      <c r="AM1067" t="str">
        <f>IF(AG1067="Vigente","ACTIVO",IF(ISNUMBER(SEARCH("Inactivo",J1067)),"INACTIVO","REVISAR"))</f>
        <v>ACTIVO</v>
      </c>
      <c r="AN1067" t="str">
        <f ca="1">IF(OR(AF1067="",AF1067="null"),"",ROUND((AF1067-TODAY())/365.25,2))</f>
        <v/>
      </c>
      <c r="AO1067" t="str">
        <f ca="1">IF(AND(AG1067="Vigente",OR(AF1067="",AF1067="null",AF1067&gt;TODAY())),"SI",IF(AND(NOT(OR(AF1067="",AF1067="null")),AF1067&lt;=TODAY()),"NO",IF(AG1067="Vigente","SI","DESCONOCIDO")))</f>
        <v>SI</v>
      </c>
      <c r="AP1067" t="str">
        <f>IF(AND(ISNUMBER(SEARCH("IMPORTAR",AA1067)),ISNUMBER(SEARCH("FABRICAR",AA1067))),"MIXTO",IF(ISNUMBER(SEARCH("IMPORTAR",AA1067)),"IMPORTADO",IF(ISNUMBER(SEARCH("FABRICAR",AA1067)),"LOCAL","OTRO")))</f>
        <v>IMPORTADO</v>
      </c>
      <c r="AQ1067" t="str">
        <f>IF(AD1067="Si","SI",IF(AD1067="No","NO",""))</f>
        <v>NO</v>
      </c>
      <c r="AR1067" t="str">
        <f>IF(ISNUMBER(SEARCH("®",N1067)),"MARCA/INNOVADOR","GENERICO")</f>
        <v>GENERICO</v>
      </c>
      <c r="AS1067">
        <f ca="1">IF(AE1067&gt;100,RANDBETWEEN(500,5000),IF(AND(AE1067&gt;=10,AE1067&lt;=100),RANDBETWEEN(100,1000),RANDBETWEEN(10,200)))</f>
        <v>929</v>
      </c>
      <c r="AT1067">
        <f t="shared" ca="1" si="82"/>
        <v>269</v>
      </c>
      <c r="AU1067">
        <f ca="1">INT(AS1067*RANDBETWEEN(120,200)/100)</f>
        <v>1709</v>
      </c>
      <c r="AV1067" s="2">
        <f ca="1">IF(LEFT(Y1067,1)="L",RANDBETWEEN(500000,5000000),IF(LEFT(Y1067,1)="C",RANDBETWEEN(5000,50000),IF(LEFT(Y1067,1)="N",RANDBETWEEN(10000,150000),IF(LEFT(Y1067,1)="J",RANDBETWEEN(8000,200000),RANDBETWEEN(5000,100000)))))</f>
        <v>71006</v>
      </c>
      <c r="AW1067" s="2">
        <f ca="1">INT(AV1067*RANDBETWEEN(30,60)/100)</f>
        <v>24142</v>
      </c>
      <c r="AX1067">
        <f ca="1">IF(Z1067="ORAL",RANDBETWEEN(1000,10000),IF(OR(Z1067="INTRAVENOSA",Z1067="INTRAMUSCULAR"),RANDBETWEEN(100,2000),IF(OR(Z1067="OFTÁLMICA",Z1067="TOPICA (EXTERNA)"),RANDBETWEEN(200,3000),RANDBETWEEN(100,1500))))</f>
        <v>390</v>
      </c>
      <c r="AY1067" s="2">
        <f ca="1">INT(AV1067*RANDBETWEEN(90,130)/100)</f>
        <v>85917</v>
      </c>
      <c r="AZ1067" t="str">
        <f t="shared" ca="1" si="83"/>
        <v>3.2%</v>
      </c>
      <c r="BA1067" t="str">
        <f t="shared" ca="1" si="84"/>
        <v>ALTO</v>
      </c>
    </row>
    <row r="1068" spans="4:53" x14ac:dyDescent="0.35">
      <c r="D1068" t="s">
        <v>6460</v>
      </c>
      <c r="E1068" s="1">
        <v>41954</v>
      </c>
      <c r="F1068" t="s">
        <v>6461</v>
      </c>
      <c r="G1068" t="s">
        <v>108</v>
      </c>
      <c r="H1068" t="s">
        <v>2986</v>
      </c>
      <c r="I1068">
        <v>20068396</v>
      </c>
      <c r="J1068" t="s">
        <v>28</v>
      </c>
      <c r="K1068">
        <v>9</v>
      </c>
      <c r="L1068" t="s">
        <v>27</v>
      </c>
      <c r="M1068" t="s">
        <v>6462</v>
      </c>
      <c r="N1068" t="s">
        <v>6463</v>
      </c>
      <c r="O1068" t="s">
        <v>6464</v>
      </c>
      <c r="P1068" t="s">
        <v>33</v>
      </c>
      <c r="Q1068" s="1">
        <v>41934</v>
      </c>
      <c r="R1068" t="s">
        <v>33</v>
      </c>
      <c r="S1068" s="1">
        <v>43816</v>
      </c>
      <c r="T1068" t="s">
        <v>1646</v>
      </c>
      <c r="U1068" t="s">
        <v>115</v>
      </c>
      <c r="V1068" t="s">
        <v>6465</v>
      </c>
      <c r="W1068">
        <v>20</v>
      </c>
      <c r="X1068">
        <v>20068396</v>
      </c>
      <c r="Y1068" t="s">
        <v>6466</v>
      </c>
      <c r="Z1068" t="s">
        <v>119</v>
      </c>
      <c r="AA1068" t="s">
        <v>24</v>
      </c>
      <c r="AB1068" t="s">
        <v>120</v>
      </c>
      <c r="AC1068" t="s">
        <v>25</v>
      </c>
      <c r="AD1068" t="s">
        <v>155</v>
      </c>
      <c r="AE1068">
        <v>2</v>
      </c>
      <c r="AF1068" t="s">
        <v>27</v>
      </c>
      <c r="AG1068" t="s">
        <v>26</v>
      </c>
      <c r="AH1068" t="s">
        <v>6461</v>
      </c>
      <c r="AI1068" t="str">
        <f t="shared" si="80"/>
        <v>NO</v>
      </c>
      <c r="AJ1068" t="str">
        <f t="shared" si="81"/>
        <v>BIOQUIFAR PHARMACEUTICA</v>
      </c>
      <c r="AK1068" t="str">
        <f>IF(ISNUMBER(SEARCH("FABRICANTE",AC1068)),"FABRICANTE",IF(ISNUMBER(SEARCH("IMPORTADOR",AC1068)),"IMPORTADOR","OTRO"))</f>
        <v>FABRICANTE</v>
      </c>
      <c r="AL1068" t="str">
        <f>IF(LEFT(Y1068,1)="A","Sistema digestivo",IF(LEFT(Y1068,1)="B","Sangre",IF(LEFT(Y1068,1)="C","Cardiovascular",IF(LEFT(Y1068,1)="D","Dermatológico",IF(LEFT(Y1068,1)="G","Genitourinario",IF(LEFT(Y1068,1)="H","Hormonal",IF(LEFT(Y1068,1)="J","Antiinfecciosos",IF(LEFT(Y1068,1)="L","Oncológicos",IF(LEFT(Y1068,1)="M","Musculoesquelético",IF(LEFT(Y1068,1)="N","Sistema nervioso",IF(LEFT(Y1068,1)="R","Respiratorio",IF(LEFT(Y1068,1)="S","Oftálmico",IF(LEFT(Y1068,1)="V","Varios","OTRO")))))))))))))</f>
        <v>Cardiovascular</v>
      </c>
      <c r="AM1068" t="str">
        <f>IF(AG1068="Vigente","ACTIVO",IF(ISNUMBER(SEARCH("Inactivo",J1068)),"INACTIVO","REVISAR"))</f>
        <v>ACTIVO</v>
      </c>
      <c r="AN1068" t="str">
        <f ca="1">IF(OR(AF1068="",AF1068="null"),"",ROUND((AF1068-TODAY())/365.25,2))</f>
        <v/>
      </c>
      <c r="AO1068" t="str">
        <f ca="1">IF(AND(AG1068="Vigente",OR(AF1068="",AF1068="null",AF1068&gt;TODAY())),"SI",IF(AND(NOT(OR(AF1068="",AF1068="null")),AF1068&lt;=TODAY()),"NO",IF(AG1068="Vigente","SI","DESCONOCIDO")))</f>
        <v>SI</v>
      </c>
      <c r="AP1068" t="str">
        <f>IF(AND(ISNUMBER(SEARCH("IMPORTAR",AA1068)),ISNUMBER(SEARCH("FABRICAR",AA1068))),"MIXTO",IF(ISNUMBER(SEARCH("IMPORTAR",AA1068)),"IMPORTADO",IF(ISNUMBER(SEARCH("FABRICAR",AA1068)),"LOCAL","OTRO")))</f>
        <v>LOCAL</v>
      </c>
      <c r="AQ1068" t="str">
        <f>IF(AD1068="Si","SI",IF(AD1068="No","NO",""))</f>
        <v>SI</v>
      </c>
      <c r="AR1068" t="str">
        <f>IF(ISNUMBER(SEARCH("®",N1068)),"MARCA/INNOVADOR","GENERICO")</f>
        <v>MARCA/INNOVADOR</v>
      </c>
      <c r="AS1068">
        <f ca="1">IF(AE1068&gt;100,RANDBETWEEN(500,5000),IF(AND(AE1068&gt;=10,AE1068&lt;=100),RANDBETWEEN(100,1000),RANDBETWEEN(10,200)))</f>
        <v>88</v>
      </c>
      <c r="AT1068">
        <f t="shared" ca="1" si="82"/>
        <v>10</v>
      </c>
      <c r="AU1068">
        <f ca="1">INT(AS1068*RANDBETWEEN(120,200)/100)</f>
        <v>123</v>
      </c>
      <c r="AV1068" s="2">
        <f ca="1">IF(LEFT(Y1068,1)="L",RANDBETWEEN(500000,5000000),IF(LEFT(Y1068,1)="C",RANDBETWEEN(5000,50000),IF(LEFT(Y1068,1)="N",RANDBETWEEN(10000,150000),IF(LEFT(Y1068,1)="J",RANDBETWEEN(8000,200000),RANDBETWEEN(5000,100000)))))</f>
        <v>22353</v>
      </c>
      <c r="AW1068" s="2">
        <f ca="1">INT(AV1068*RANDBETWEEN(30,60)/100)</f>
        <v>8270</v>
      </c>
      <c r="AX1068">
        <f ca="1">IF(Z1068="ORAL",RANDBETWEEN(1000,10000),IF(OR(Z1068="INTRAVENOSA",Z1068="INTRAMUSCULAR"),RANDBETWEEN(100,2000),IF(OR(Z1068="OFTÁLMICA",Z1068="TOPICA (EXTERNA)"),RANDBETWEEN(200,3000),RANDBETWEEN(100,1500))))</f>
        <v>5257</v>
      </c>
      <c r="AY1068" s="2">
        <f ca="1">INT(AV1068*RANDBETWEEN(90,130)/100)</f>
        <v>21905</v>
      </c>
      <c r="AZ1068" t="str">
        <f t="shared" ca="1" si="83"/>
        <v>7.7%</v>
      </c>
      <c r="BA1068" t="str">
        <f t="shared" ca="1" si="84"/>
        <v>BAJO</v>
      </c>
    </row>
    <row r="1069" spans="4:53" x14ac:dyDescent="0.35">
      <c r="D1069" t="s">
        <v>6467</v>
      </c>
      <c r="E1069" s="1">
        <v>39120</v>
      </c>
      <c r="F1069" t="s">
        <v>229</v>
      </c>
      <c r="G1069" t="s">
        <v>502</v>
      </c>
      <c r="H1069" t="s">
        <v>6468</v>
      </c>
      <c r="I1069">
        <v>19972118</v>
      </c>
      <c r="J1069" t="s">
        <v>110</v>
      </c>
      <c r="K1069">
        <v>2</v>
      </c>
      <c r="L1069" t="s">
        <v>27</v>
      </c>
      <c r="M1069" t="s">
        <v>231</v>
      </c>
      <c r="N1069" t="s">
        <v>232</v>
      </c>
      <c r="O1069" t="s">
        <v>6469</v>
      </c>
      <c r="P1069" t="s">
        <v>234</v>
      </c>
      <c r="Q1069" s="1">
        <v>39112</v>
      </c>
      <c r="R1069" t="s">
        <v>50</v>
      </c>
      <c r="S1069" s="1">
        <v>41724</v>
      </c>
      <c r="T1069" t="s">
        <v>235</v>
      </c>
      <c r="U1069" t="s">
        <v>115</v>
      </c>
      <c r="V1069" t="s">
        <v>236</v>
      </c>
      <c r="W1069" t="s">
        <v>237</v>
      </c>
      <c r="X1069">
        <v>19972118</v>
      </c>
      <c r="Y1069" t="s">
        <v>238</v>
      </c>
      <c r="Z1069" t="s">
        <v>132</v>
      </c>
      <c r="AA1069" t="s">
        <v>32</v>
      </c>
      <c r="AB1069" t="s">
        <v>239</v>
      </c>
      <c r="AC1069" t="s">
        <v>25</v>
      </c>
      <c r="AD1069" t="s">
        <v>121</v>
      </c>
      <c r="AE1069">
        <v>15</v>
      </c>
      <c r="AF1069" s="1">
        <v>401769</v>
      </c>
      <c r="AG1069" t="s">
        <v>26</v>
      </c>
      <c r="AH1069" t="s">
        <v>6612</v>
      </c>
      <c r="AI1069" t="str">
        <f t="shared" si="80"/>
        <v>SI</v>
      </c>
      <c r="AJ1069" t="str">
        <f t="shared" si="81"/>
        <v>NOVO NORDISK</v>
      </c>
      <c r="AK1069" t="str">
        <f>IF(ISNUMBER(SEARCH("FABRICANTE",AC1069)),"FABRICANTE",IF(ISNUMBER(SEARCH("IMPORTADOR",AC1069)),"IMPORTADOR","OTRO"))</f>
        <v>FABRICANTE</v>
      </c>
      <c r="AL1069" t="str">
        <f>IF(LEFT(Y1069,1)="A","Sistema digestivo",IF(LEFT(Y1069,1)="B","Sangre",IF(LEFT(Y1069,1)="C","Cardiovascular",IF(LEFT(Y1069,1)="D","Dermatológico",IF(LEFT(Y1069,1)="G","Genitourinario",IF(LEFT(Y1069,1)="H","Hormonal",IF(LEFT(Y1069,1)="J","Antiinfecciosos",IF(LEFT(Y1069,1)="L","Oncológicos",IF(LEFT(Y1069,1)="M","Musculoesquelético",IF(LEFT(Y1069,1)="N","Sistema nervioso",IF(LEFT(Y1069,1)="R","Respiratorio",IF(LEFT(Y1069,1)="S","Oftálmico",IF(LEFT(Y1069,1)="V","Varios","OTRO")))))))))))))</f>
        <v>Sistema digestivo</v>
      </c>
      <c r="AM1069" t="str">
        <f>IF(AG1069="Vigente","ACTIVO",IF(ISNUMBER(SEARCH("Inactivo",J1069)),"INACTIVO","REVISAR"))</f>
        <v>ACTIVO</v>
      </c>
      <c r="AN1069">
        <f ca="1">IF(OR(AF1069="",AF1069="null"),"",ROUND((AF1069-TODAY())/365.25,2))</f>
        <v>973.58</v>
      </c>
      <c r="AO1069" t="str">
        <f ca="1">IF(AND(AG1069="Vigente",OR(AF1069="",AF1069="null",AF1069&gt;TODAY())),"SI",IF(AND(NOT(OR(AF1069="",AF1069="null")),AF1069&lt;=TODAY()),"NO",IF(AG1069="Vigente","SI","DESCONOCIDO")))</f>
        <v>SI</v>
      </c>
      <c r="AP1069" t="str">
        <f>IF(AND(ISNUMBER(SEARCH("IMPORTAR",AA1069)),ISNUMBER(SEARCH("FABRICAR",AA1069))),"MIXTO",IF(ISNUMBER(SEARCH("IMPORTAR",AA1069)),"IMPORTADO",IF(ISNUMBER(SEARCH("FABRICAR",AA1069)),"LOCAL","OTRO")))</f>
        <v>IMPORTADO</v>
      </c>
      <c r="AQ1069" t="str">
        <f>IF(AD1069="Si","SI",IF(AD1069="No","NO",""))</f>
        <v>NO</v>
      </c>
      <c r="AR1069" t="str">
        <f>IF(ISNUMBER(SEARCH("®",N1069)),"MARCA/INNOVADOR","GENERICO")</f>
        <v>GENERICO</v>
      </c>
      <c r="AS1069">
        <f ca="1">IF(AE1069&gt;100,RANDBETWEEN(500,5000),IF(AND(AE1069&gt;=10,AE1069&lt;=100),RANDBETWEEN(100,1000),RANDBETWEEN(10,200)))</f>
        <v>132</v>
      </c>
      <c r="AT1069">
        <f t="shared" ca="1" si="82"/>
        <v>15</v>
      </c>
      <c r="AU1069">
        <f ca="1">INT(AS1069*RANDBETWEEN(120,200)/100)</f>
        <v>198</v>
      </c>
      <c r="AV1069" s="2">
        <f ca="1">IF(LEFT(Y1069,1)="L",RANDBETWEEN(500000,5000000),IF(LEFT(Y1069,1)="C",RANDBETWEEN(5000,50000),IF(LEFT(Y1069,1)="N",RANDBETWEEN(10000,150000),IF(LEFT(Y1069,1)="J",RANDBETWEEN(8000,200000),RANDBETWEEN(5000,100000)))))</f>
        <v>61642</v>
      </c>
      <c r="AW1069" s="2">
        <f ca="1">INT(AV1069*RANDBETWEEN(30,60)/100)</f>
        <v>23423</v>
      </c>
      <c r="AX1069">
        <f ca="1">IF(Z1069="ORAL",RANDBETWEEN(1000,10000),IF(OR(Z1069="INTRAVENOSA",Z1069="INTRAMUSCULAR"),RANDBETWEEN(100,2000),IF(OR(Z1069="OFTÁLMICA",Z1069="TOPICA (EXTERNA)"),RANDBETWEEN(200,3000),RANDBETWEEN(100,1500))))</f>
        <v>720</v>
      </c>
      <c r="AY1069" s="2">
        <f ca="1">INT(AV1069*RANDBETWEEN(90,130)/100)</f>
        <v>74586</v>
      </c>
      <c r="AZ1069" t="str">
        <f t="shared" ca="1" si="83"/>
        <v>4.4%</v>
      </c>
      <c r="BA1069" t="str">
        <f t="shared" ca="1" si="84"/>
        <v>MEDIO</v>
      </c>
    </row>
    <row r="1070" spans="4:53" x14ac:dyDescent="0.35">
      <c r="D1070" t="s">
        <v>6470</v>
      </c>
      <c r="E1070" s="1">
        <v>41115</v>
      </c>
      <c r="F1070" t="s">
        <v>60</v>
      </c>
      <c r="G1070" t="s">
        <v>108</v>
      </c>
      <c r="H1070" t="s">
        <v>6471</v>
      </c>
      <c r="I1070">
        <v>20044943</v>
      </c>
      <c r="J1070" t="s">
        <v>110</v>
      </c>
      <c r="K1070">
        <v>3</v>
      </c>
      <c r="L1070" t="s">
        <v>27</v>
      </c>
      <c r="M1070" t="s">
        <v>6472</v>
      </c>
      <c r="N1070" t="s">
        <v>6473</v>
      </c>
      <c r="O1070" t="s">
        <v>6474</v>
      </c>
      <c r="P1070" t="s">
        <v>6475</v>
      </c>
      <c r="Q1070" s="1">
        <v>41043</v>
      </c>
      <c r="R1070" t="s">
        <v>200</v>
      </c>
      <c r="S1070" s="1">
        <v>42851</v>
      </c>
      <c r="T1070" t="s">
        <v>1030</v>
      </c>
      <c r="U1070" t="s">
        <v>115</v>
      </c>
      <c r="V1070" t="s">
        <v>57</v>
      </c>
      <c r="W1070" t="s">
        <v>1117</v>
      </c>
      <c r="X1070">
        <v>20044943</v>
      </c>
      <c r="Y1070" t="s">
        <v>54</v>
      </c>
      <c r="Z1070" t="s">
        <v>119</v>
      </c>
      <c r="AA1070" t="s">
        <v>32</v>
      </c>
      <c r="AB1070" t="s">
        <v>120</v>
      </c>
      <c r="AC1070" t="s">
        <v>38</v>
      </c>
      <c r="AD1070" t="s">
        <v>121</v>
      </c>
      <c r="AE1070">
        <v>14</v>
      </c>
      <c r="AF1070" t="s">
        <v>27</v>
      </c>
      <c r="AG1070" t="s">
        <v>26</v>
      </c>
      <c r="AH1070" t="s">
        <v>60</v>
      </c>
      <c r="AI1070" t="str">
        <f t="shared" si="80"/>
        <v>NO</v>
      </c>
      <c r="AJ1070" t="str">
        <f t="shared" si="81"/>
        <v>BOEHRINGER INGELHEIM INTERNATIONAL</v>
      </c>
      <c r="AK1070" t="str">
        <f>IF(ISNUMBER(SEARCH("FABRICANTE",AC1070)),"FABRICANTE",IF(ISNUMBER(SEARCH("IMPORTADOR",AC1070)),"IMPORTADOR","OTRO"))</f>
        <v>IMPORTADOR</v>
      </c>
      <c r="AL1070" t="str">
        <f>IF(LEFT(Y1070,1)="A","Sistema digestivo",IF(LEFT(Y1070,1)="B","Sangre",IF(LEFT(Y1070,1)="C","Cardiovascular",IF(LEFT(Y1070,1)="D","Dermatológico",IF(LEFT(Y1070,1)="G","Genitourinario",IF(LEFT(Y1070,1)="H","Hormonal",IF(LEFT(Y1070,1)="J","Antiinfecciosos",IF(LEFT(Y1070,1)="L","Oncológicos",IF(LEFT(Y1070,1)="M","Musculoesquelético",IF(LEFT(Y1070,1)="N","Sistema nervioso",IF(LEFT(Y1070,1)="R","Respiratorio",IF(LEFT(Y1070,1)="S","Oftálmico",IF(LEFT(Y1070,1)="V","Varios","OTRO")))))))))))))</f>
        <v>Sistema digestivo</v>
      </c>
      <c r="AM1070" t="str">
        <f>IF(AG1070="Vigente","ACTIVO",IF(ISNUMBER(SEARCH("Inactivo",J1070)),"INACTIVO","REVISAR"))</f>
        <v>ACTIVO</v>
      </c>
      <c r="AN1070" t="str">
        <f ca="1">IF(OR(AF1070="",AF1070="null"),"",ROUND((AF1070-TODAY())/365.25,2))</f>
        <v/>
      </c>
      <c r="AO1070" t="str">
        <f ca="1">IF(AND(AG1070="Vigente",OR(AF1070="",AF1070="null",AF1070&gt;TODAY())),"SI",IF(AND(NOT(OR(AF1070="",AF1070="null")),AF1070&lt;=TODAY()),"NO",IF(AG1070="Vigente","SI","DESCONOCIDO")))</f>
        <v>SI</v>
      </c>
      <c r="AP1070" t="str">
        <f>IF(AND(ISNUMBER(SEARCH("IMPORTAR",AA1070)),ISNUMBER(SEARCH("FABRICAR",AA1070))),"MIXTO",IF(ISNUMBER(SEARCH("IMPORTAR",AA1070)),"IMPORTADO",IF(ISNUMBER(SEARCH("FABRICAR",AA1070)),"LOCAL","OTRO")))</f>
        <v>IMPORTADO</v>
      </c>
      <c r="AQ1070" t="str">
        <f>IF(AD1070="Si","SI",IF(AD1070="No","NO",""))</f>
        <v>NO</v>
      </c>
      <c r="AR1070" t="str">
        <f>IF(ISNUMBER(SEARCH("®",N1070)),"MARCA/INNOVADOR","GENERICO")</f>
        <v>MARCA/INNOVADOR</v>
      </c>
      <c r="AS1070">
        <f ca="1">IF(AE1070&gt;100,RANDBETWEEN(500,5000),IF(AND(AE1070&gt;=10,AE1070&lt;=100),RANDBETWEEN(100,1000),RANDBETWEEN(10,200)))</f>
        <v>677</v>
      </c>
      <c r="AT1070">
        <f t="shared" ca="1" si="82"/>
        <v>182</v>
      </c>
      <c r="AU1070">
        <f ca="1">INT(AS1070*RANDBETWEEN(120,200)/100)</f>
        <v>825</v>
      </c>
      <c r="AV1070" s="2">
        <f ca="1">IF(LEFT(Y1070,1)="L",RANDBETWEEN(500000,5000000),IF(LEFT(Y1070,1)="C",RANDBETWEEN(5000,50000),IF(LEFT(Y1070,1)="N",RANDBETWEEN(10000,150000),IF(LEFT(Y1070,1)="J",RANDBETWEEN(8000,200000),RANDBETWEEN(5000,100000)))))</f>
        <v>11664</v>
      </c>
      <c r="AW1070" s="2">
        <f ca="1">INT(AV1070*RANDBETWEEN(30,60)/100)</f>
        <v>6181</v>
      </c>
      <c r="AX1070">
        <f ca="1">IF(Z1070="ORAL",RANDBETWEEN(1000,10000),IF(OR(Z1070="INTRAVENOSA",Z1070="INTRAMUSCULAR"),RANDBETWEEN(100,2000),IF(OR(Z1070="OFTÁLMICA",Z1070="TOPICA (EXTERNA)"),RANDBETWEEN(200,3000),RANDBETWEEN(100,1500))))</f>
        <v>1586</v>
      </c>
      <c r="AY1070" s="2">
        <f ca="1">INT(AV1070*RANDBETWEEN(90,130)/100)</f>
        <v>12363</v>
      </c>
      <c r="AZ1070" t="str">
        <f t="shared" ca="1" si="83"/>
        <v>20.2%</v>
      </c>
      <c r="BA1070" t="str">
        <f t="shared" ca="1" si="84"/>
        <v>ALTO</v>
      </c>
    </row>
    <row r="1071" spans="4:53" x14ac:dyDescent="0.35">
      <c r="D1071" t="s">
        <v>6476</v>
      </c>
      <c r="E1071" s="1">
        <v>42949</v>
      </c>
      <c r="F1071" t="s">
        <v>6477</v>
      </c>
      <c r="G1071" t="s">
        <v>108</v>
      </c>
      <c r="H1071" t="s">
        <v>428</v>
      </c>
      <c r="I1071">
        <v>20106314</v>
      </c>
      <c r="J1071" t="s">
        <v>28</v>
      </c>
      <c r="K1071">
        <v>2</v>
      </c>
      <c r="L1071" t="s">
        <v>27</v>
      </c>
      <c r="M1071" t="s">
        <v>6478</v>
      </c>
      <c r="N1071" t="s">
        <v>6479</v>
      </c>
      <c r="O1071" t="s">
        <v>6480</v>
      </c>
      <c r="P1071" t="s">
        <v>97</v>
      </c>
      <c r="Q1071" s="1">
        <v>42783</v>
      </c>
      <c r="R1071" t="s">
        <v>33</v>
      </c>
      <c r="S1071" t="s">
        <v>27</v>
      </c>
      <c r="T1071" t="s">
        <v>428</v>
      </c>
      <c r="U1071" t="s">
        <v>115</v>
      </c>
      <c r="V1071" t="s">
        <v>2437</v>
      </c>
      <c r="W1071">
        <v>5</v>
      </c>
      <c r="X1071">
        <v>20106314</v>
      </c>
      <c r="Y1071" t="s">
        <v>2438</v>
      </c>
      <c r="Z1071" t="s">
        <v>119</v>
      </c>
      <c r="AA1071" t="s">
        <v>32</v>
      </c>
      <c r="AB1071" t="s">
        <v>120</v>
      </c>
      <c r="AC1071" t="s">
        <v>38</v>
      </c>
      <c r="AD1071" t="s">
        <v>155</v>
      </c>
      <c r="AE1071">
        <v>7</v>
      </c>
      <c r="AF1071" s="1">
        <v>401769</v>
      </c>
      <c r="AG1071" t="s">
        <v>26</v>
      </c>
      <c r="AH1071" t="s">
        <v>3846</v>
      </c>
      <c r="AI1071" t="str">
        <f t="shared" si="80"/>
        <v>NO</v>
      </c>
      <c r="AJ1071" t="str">
        <f t="shared" si="81"/>
        <v>LABORATORIOS SIEGFRIED</v>
      </c>
      <c r="AK1071" t="str">
        <f>IF(ISNUMBER(SEARCH("FABRICANTE",AC1071)),"FABRICANTE",IF(ISNUMBER(SEARCH("IMPORTADOR",AC1071)),"IMPORTADOR","OTRO"))</f>
        <v>IMPORTADOR</v>
      </c>
      <c r="AL1071" t="str">
        <f>IF(LEFT(Y1071,1)="A","Sistema digestivo",IF(LEFT(Y1071,1)="B","Sangre",IF(LEFT(Y1071,1)="C","Cardiovascular",IF(LEFT(Y1071,1)="D","Dermatológico",IF(LEFT(Y1071,1)="G","Genitourinario",IF(LEFT(Y1071,1)="H","Hormonal",IF(LEFT(Y1071,1)="J","Antiinfecciosos",IF(LEFT(Y1071,1)="L","Oncológicos",IF(LEFT(Y1071,1)="M","Musculoesquelético",IF(LEFT(Y1071,1)="N","Sistema nervioso",IF(LEFT(Y1071,1)="R","Respiratorio",IF(LEFT(Y1071,1)="S","Oftálmico",IF(LEFT(Y1071,1)="V","Varios","OTRO")))))))))))))</f>
        <v>Cardiovascular</v>
      </c>
      <c r="AM1071" t="str">
        <f>IF(AG1071="Vigente","ACTIVO",IF(ISNUMBER(SEARCH("Inactivo",J1071)),"INACTIVO","REVISAR"))</f>
        <v>ACTIVO</v>
      </c>
      <c r="AN1071">
        <f ca="1">IF(OR(AF1071="",AF1071="null"),"",ROUND((AF1071-TODAY())/365.25,2))</f>
        <v>973.58</v>
      </c>
      <c r="AO1071" t="str">
        <f ca="1">IF(AND(AG1071="Vigente",OR(AF1071="",AF1071="null",AF1071&gt;TODAY())),"SI",IF(AND(NOT(OR(AF1071="",AF1071="null")),AF1071&lt;=TODAY()),"NO",IF(AG1071="Vigente","SI","DESCONOCIDO")))</f>
        <v>SI</v>
      </c>
      <c r="AP1071" t="str">
        <f>IF(AND(ISNUMBER(SEARCH("IMPORTAR",AA1071)),ISNUMBER(SEARCH("FABRICAR",AA1071))),"MIXTO",IF(ISNUMBER(SEARCH("IMPORTAR",AA1071)),"IMPORTADO",IF(ISNUMBER(SEARCH("FABRICAR",AA1071)),"LOCAL","OTRO")))</f>
        <v>IMPORTADO</v>
      </c>
      <c r="AQ1071" t="str">
        <f>IF(AD1071="Si","SI",IF(AD1071="No","NO",""))</f>
        <v>SI</v>
      </c>
      <c r="AR1071" t="str">
        <f>IF(ISNUMBER(SEARCH("®",N1071)),"MARCA/INNOVADOR","GENERICO")</f>
        <v>GENERICO</v>
      </c>
      <c r="AS1071">
        <f ca="1">IF(AE1071&gt;100,RANDBETWEEN(500,5000),IF(AND(AE1071&gt;=10,AE1071&lt;=100),RANDBETWEEN(100,1000),RANDBETWEEN(10,200)))</f>
        <v>35</v>
      </c>
      <c r="AT1071">
        <f t="shared" ca="1" si="82"/>
        <v>9</v>
      </c>
      <c r="AU1071">
        <f ca="1">INT(AS1071*RANDBETWEEN(120,200)/100)</f>
        <v>57</v>
      </c>
      <c r="AV1071" s="2">
        <f ca="1">IF(LEFT(Y1071,1)="L",RANDBETWEEN(500000,5000000),IF(LEFT(Y1071,1)="C",RANDBETWEEN(5000,50000),IF(LEFT(Y1071,1)="N",RANDBETWEEN(10000,150000),IF(LEFT(Y1071,1)="J",RANDBETWEEN(8000,200000),RANDBETWEEN(5000,100000)))))</f>
        <v>8457</v>
      </c>
      <c r="AW1071" s="2">
        <f ca="1">INT(AV1071*RANDBETWEEN(30,60)/100)</f>
        <v>4651</v>
      </c>
      <c r="AX1071">
        <f ca="1">IF(Z1071="ORAL",RANDBETWEEN(1000,10000),IF(OR(Z1071="INTRAVENOSA",Z1071="INTRAMUSCULAR"),RANDBETWEEN(100,2000),IF(OR(Z1071="OFTÁLMICA",Z1071="TOPICA (EXTERNA)"),RANDBETWEEN(200,3000),RANDBETWEEN(100,1500))))</f>
        <v>6782</v>
      </c>
      <c r="AY1071" s="2">
        <f ca="1">INT(AV1071*RANDBETWEEN(90,130)/100)</f>
        <v>10063</v>
      </c>
      <c r="AZ1071" t="str">
        <f t="shared" ca="1" si="83"/>
        <v>21.5%</v>
      </c>
      <c r="BA1071" t="str">
        <f t="shared" ca="1" si="84"/>
        <v>BAJO</v>
      </c>
    </row>
    <row r="1072" spans="4:53" x14ac:dyDescent="0.35">
      <c r="D1072" t="s">
        <v>6481</v>
      </c>
      <c r="E1072" s="1">
        <v>40301</v>
      </c>
      <c r="F1072" t="s">
        <v>6482</v>
      </c>
      <c r="G1072" t="s">
        <v>502</v>
      </c>
      <c r="H1072" t="s">
        <v>4143</v>
      </c>
      <c r="I1072">
        <v>20010354</v>
      </c>
      <c r="J1072" t="s">
        <v>28</v>
      </c>
      <c r="K1072">
        <v>5</v>
      </c>
      <c r="L1072" t="s">
        <v>27</v>
      </c>
      <c r="M1072" t="s">
        <v>6483</v>
      </c>
      <c r="N1072" t="s">
        <v>6484</v>
      </c>
      <c r="O1072" t="s">
        <v>6485</v>
      </c>
      <c r="P1072" t="s">
        <v>6486</v>
      </c>
      <c r="Q1072" s="1">
        <v>40121</v>
      </c>
      <c r="R1072" t="s">
        <v>78</v>
      </c>
      <c r="S1072" t="s">
        <v>27</v>
      </c>
      <c r="T1072" t="s">
        <v>4148</v>
      </c>
      <c r="U1072" t="s">
        <v>6487</v>
      </c>
      <c r="V1072" t="s">
        <v>4149</v>
      </c>
      <c r="W1072">
        <v>5</v>
      </c>
      <c r="X1072">
        <v>20010354</v>
      </c>
      <c r="Y1072" t="s">
        <v>4150</v>
      </c>
      <c r="Z1072" t="s">
        <v>119</v>
      </c>
      <c r="AA1072" t="s">
        <v>32</v>
      </c>
      <c r="AB1072" t="s">
        <v>250</v>
      </c>
      <c r="AC1072" t="s">
        <v>25</v>
      </c>
      <c r="AD1072" t="s">
        <v>121</v>
      </c>
      <c r="AE1072">
        <v>600</v>
      </c>
      <c r="AF1072" t="s">
        <v>27</v>
      </c>
      <c r="AG1072" t="s">
        <v>26</v>
      </c>
      <c r="AH1072" t="s">
        <v>6857</v>
      </c>
      <c r="AI1072" t="str">
        <f t="shared" si="80"/>
        <v>NO</v>
      </c>
      <c r="AJ1072" t="str">
        <f t="shared" si="81"/>
        <v>RB (HEALTH) COLOMBIA</v>
      </c>
      <c r="AK1072" t="str">
        <f>IF(ISNUMBER(SEARCH("FABRICANTE",AC1072)),"FABRICANTE",IF(ISNUMBER(SEARCH("IMPORTADOR",AC1072)),"IMPORTADOR","OTRO"))</f>
        <v>FABRICANTE</v>
      </c>
      <c r="AL1072" t="str">
        <f>IF(LEFT(Y1072,1)="A","Sistema digestivo",IF(LEFT(Y1072,1)="B","Sangre",IF(LEFT(Y1072,1)="C","Cardiovascular",IF(LEFT(Y1072,1)="D","Dermatológico",IF(LEFT(Y1072,1)="G","Genitourinario",IF(LEFT(Y1072,1)="H","Hormonal",IF(LEFT(Y1072,1)="J","Antiinfecciosos",IF(LEFT(Y1072,1)="L","Oncológicos",IF(LEFT(Y1072,1)="M","Musculoesquelético",IF(LEFT(Y1072,1)="N","Sistema nervioso",IF(LEFT(Y1072,1)="R","Respiratorio",IF(LEFT(Y1072,1)="S","Oftálmico",IF(LEFT(Y1072,1)="V","Varios","OTRO")))))))))))))</f>
        <v>Sistema digestivo</v>
      </c>
      <c r="AM1072" t="str">
        <f>IF(AG1072="Vigente","ACTIVO",IF(ISNUMBER(SEARCH("Inactivo",J1072)),"INACTIVO","REVISAR"))</f>
        <v>ACTIVO</v>
      </c>
      <c r="AN1072" t="str">
        <f ca="1">IF(OR(AF1072="",AF1072="null"),"",ROUND((AF1072-TODAY())/365.25,2))</f>
        <v/>
      </c>
      <c r="AO1072" t="str">
        <f ca="1">IF(AND(AG1072="Vigente",OR(AF1072="",AF1072="null",AF1072&gt;TODAY())),"SI",IF(AND(NOT(OR(AF1072="",AF1072="null")),AF1072&lt;=TODAY()),"NO",IF(AG1072="Vigente","SI","DESCONOCIDO")))</f>
        <v>SI</v>
      </c>
      <c r="AP1072" t="str">
        <f>IF(AND(ISNUMBER(SEARCH("IMPORTAR",AA1072)),ISNUMBER(SEARCH("FABRICAR",AA1072))),"MIXTO",IF(ISNUMBER(SEARCH("IMPORTAR",AA1072)),"IMPORTADO",IF(ISNUMBER(SEARCH("FABRICAR",AA1072)),"LOCAL","OTRO")))</f>
        <v>IMPORTADO</v>
      </c>
      <c r="AQ1072" t="str">
        <f>IF(AD1072="Si","SI",IF(AD1072="No","NO",""))</f>
        <v>NO</v>
      </c>
      <c r="AR1072" t="str">
        <f>IF(ISNUMBER(SEARCH("®",N1072)),"MARCA/INNOVADOR","GENERICO")</f>
        <v>MARCA/INNOVADOR</v>
      </c>
      <c r="AS1072">
        <f ca="1">IF(AE1072&gt;100,RANDBETWEEN(500,5000),IF(AND(AE1072&gt;=10,AE1072&lt;=100),RANDBETWEEN(100,1000),RANDBETWEEN(10,200)))</f>
        <v>638</v>
      </c>
      <c r="AT1072">
        <f t="shared" ca="1" si="82"/>
        <v>159</v>
      </c>
      <c r="AU1072">
        <f ca="1">INT(AS1072*RANDBETWEEN(120,200)/100)</f>
        <v>1154</v>
      </c>
      <c r="AV1072" s="2">
        <f ca="1">IF(LEFT(Y1072,1)="L",RANDBETWEEN(500000,5000000),IF(LEFT(Y1072,1)="C",RANDBETWEEN(5000,50000),IF(LEFT(Y1072,1)="N",RANDBETWEEN(10000,150000),IF(LEFT(Y1072,1)="J",RANDBETWEEN(8000,200000),RANDBETWEEN(5000,100000)))))</f>
        <v>92719</v>
      </c>
      <c r="AW1072" s="2">
        <f ca="1">INT(AV1072*RANDBETWEEN(30,60)/100)</f>
        <v>27815</v>
      </c>
      <c r="AX1072">
        <f ca="1">IF(Z1072="ORAL",RANDBETWEEN(1000,10000),IF(OR(Z1072="INTRAVENOSA",Z1072="INTRAMUSCULAR"),RANDBETWEEN(100,2000),IF(OR(Z1072="OFTÁLMICA",Z1072="TOPICA (EXTERNA)"),RANDBETWEEN(200,3000),RANDBETWEEN(100,1500))))</f>
        <v>8236</v>
      </c>
      <c r="AY1072" s="2">
        <f ca="1">INT(AV1072*RANDBETWEEN(90,130)/100)</f>
        <v>99209</v>
      </c>
      <c r="AZ1072" t="str">
        <f t="shared" ca="1" si="83"/>
        <v>10.4%</v>
      </c>
      <c r="BA1072" t="str">
        <f t="shared" ca="1" si="84"/>
        <v>BAJO</v>
      </c>
    </row>
    <row r="1073" spans="4:53" x14ac:dyDescent="0.35">
      <c r="D1073" t="s">
        <v>6488</v>
      </c>
      <c r="E1073" s="1">
        <v>42279</v>
      </c>
      <c r="F1073" t="s">
        <v>1673</v>
      </c>
      <c r="G1073" t="s">
        <v>108</v>
      </c>
      <c r="H1073" t="s">
        <v>334</v>
      </c>
      <c r="I1073">
        <v>20092550</v>
      </c>
      <c r="J1073" t="s">
        <v>28</v>
      </c>
      <c r="K1073">
        <v>8</v>
      </c>
      <c r="L1073" t="s">
        <v>27</v>
      </c>
      <c r="M1073" t="s">
        <v>6489</v>
      </c>
      <c r="N1073" t="s">
        <v>6490</v>
      </c>
      <c r="O1073" t="s">
        <v>6491</v>
      </c>
      <c r="P1073" t="s">
        <v>33</v>
      </c>
      <c r="Q1073" s="1">
        <v>42178</v>
      </c>
      <c r="R1073" t="s">
        <v>33</v>
      </c>
      <c r="S1073" t="s">
        <v>27</v>
      </c>
      <c r="T1073" t="s">
        <v>48</v>
      </c>
      <c r="U1073" t="s">
        <v>115</v>
      </c>
      <c r="V1073" t="s">
        <v>1673</v>
      </c>
      <c r="W1073">
        <v>120</v>
      </c>
      <c r="X1073">
        <v>20092550</v>
      </c>
      <c r="Y1073" t="s">
        <v>1677</v>
      </c>
      <c r="Z1073" t="s">
        <v>119</v>
      </c>
      <c r="AA1073" t="s">
        <v>24</v>
      </c>
      <c r="AB1073" t="s">
        <v>120</v>
      </c>
      <c r="AC1073" t="s">
        <v>25</v>
      </c>
      <c r="AD1073" t="s">
        <v>121</v>
      </c>
      <c r="AE1073">
        <v>14</v>
      </c>
      <c r="AF1073" t="s">
        <v>27</v>
      </c>
      <c r="AG1073" t="s">
        <v>26</v>
      </c>
      <c r="AH1073" t="s">
        <v>1673</v>
      </c>
      <c r="AI1073" t="str">
        <f t="shared" si="80"/>
        <v>NO</v>
      </c>
      <c r="AJ1073" t="str">
        <f t="shared" si="81"/>
        <v>GENFAR</v>
      </c>
      <c r="AK1073" t="str">
        <f>IF(ISNUMBER(SEARCH("FABRICANTE",AC1073)),"FABRICANTE",IF(ISNUMBER(SEARCH("IMPORTADOR",AC1073)),"IMPORTADOR","OTRO"))</f>
        <v>FABRICANTE</v>
      </c>
      <c r="AL1073" t="str">
        <f>IF(LEFT(Y1073,1)="A","Sistema digestivo",IF(LEFT(Y1073,1)="B","Sangre",IF(LEFT(Y1073,1)="C","Cardiovascular",IF(LEFT(Y1073,1)="D","Dermatológico",IF(LEFT(Y1073,1)="G","Genitourinario",IF(LEFT(Y1073,1)="H","Hormonal",IF(LEFT(Y1073,1)="J","Antiinfecciosos",IF(LEFT(Y1073,1)="L","Oncológicos",IF(LEFT(Y1073,1)="M","Musculoesquelético",IF(LEFT(Y1073,1)="N","Sistema nervioso",IF(LEFT(Y1073,1)="R","Respiratorio",IF(LEFT(Y1073,1)="S","Oftálmico",IF(LEFT(Y1073,1)="V","Varios","OTRO")))))))))))))</f>
        <v>Musculoesquelético</v>
      </c>
      <c r="AM1073" t="str">
        <f>IF(AG1073="Vigente","ACTIVO",IF(ISNUMBER(SEARCH("Inactivo",J1073)),"INACTIVO","REVISAR"))</f>
        <v>ACTIVO</v>
      </c>
      <c r="AN1073" t="str">
        <f ca="1">IF(OR(AF1073="",AF1073="null"),"",ROUND((AF1073-TODAY())/365.25,2))</f>
        <v/>
      </c>
      <c r="AO1073" t="str">
        <f ca="1">IF(AND(AG1073="Vigente",OR(AF1073="",AF1073="null",AF1073&gt;TODAY())),"SI",IF(AND(NOT(OR(AF1073="",AF1073="null")),AF1073&lt;=TODAY()),"NO",IF(AG1073="Vigente","SI","DESCONOCIDO")))</f>
        <v>SI</v>
      </c>
      <c r="AP1073" t="str">
        <f>IF(AND(ISNUMBER(SEARCH("IMPORTAR",AA1073)),ISNUMBER(SEARCH("FABRICAR",AA1073))),"MIXTO",IF(ISNUMBER(SEARCH("IMPORTAR",AA1073)),"IMPORTADO",IF(ISNUMBER(SEARCH("FABRICAR",AA1073)),"LOCAL","OTRO")))</f>
        <v>LOCAL</v>
      </c>
      <c r="AQ1073" t="str">
        <f>IF(AD1073="Si","SI",IF(AD1073="No","NO",""))</f>
        <v>NO</v>
      </c>
      <c r="AR1073" t="str">
        <f>IF(ISNUMBER(SEARCH("®",N1073)),"MARCA/INNOVADOR","GENERICO")</f>
        <v>GENERICO</v>
      </c>
      <c r="AS1073">
        <f ca="1">IF(AE1073&gt;100,RANDBETWEEN(500,5000),IF(AND(AE1073&gt;=10,AE1073&lt;=100),RANDBETWEEN(100,1000),RANDBETWEEN(10,200)))</f>
        <v>553</v>
      </c>
      <c r="AT1073">
        <f t="shared" ca="1" si="82"/>
        <v>143</v>
      </c>
      <c r="AU1073">
        <f ca="1">INT(AS1073*RANDBETWEEN(120,200)/100)</f>
        <v>696</v>
      </c>
      <c r="AV1073" s="2">
        <f ca="1">IF(LEFT(Y1073,1)="L",RANDBETWEEN(500000,5000000),IF(LEFT(Y1073,1)="C",RANDBETWEEN(5000,50000),IF(LEFT(Y1073,1)="N",RANDBETWEEN(10000,150000),IF(LEFT(Y1073,1)="J",RANDBETWEEN(8000,200000),RANDBETWEEN(5000,100000)))))</f>
        <v>50089</v>
      </c>
      <c r="AW1073" s="2">
        <f ca="1">INT(AV1073*RANDBETWEEN(30,60)/100)</f>
        <v>28049</v>
      </c>
      <c r="AX1073">
        <f ca="1">IF(Z1073="ORAL",RANDBETWEEN(1000,10000),IF(OR(Z1073="INTRAVENOSA",Z1073="INTRAMUSCULAR"),RANDBETWEEN(100,2000),IF(OR(Z1073="OFTÁLMICA",Z1073="TOPICA (EXTERNA)"),RANDBETWEEN(200,3000),RANDBETWEEN(100,1500))))</f>
        <v>6071</v>
      </c>
      <c r="AY1073" s="2">
        <f ca="1">INT(AV1073*RANDBETWEEN(90,130)/100)</f>
        <v>46081</v>
      </c>
      <c r="AZ1073" t="str">
        <f t="shared" ca="1" si="83"/>
        <v>12.5%</v>
      </c>
      <c r="BA1073" t="str">
        <f t="shared" ca="1" si="84"/>
        <v>BAJO</v>
      </c>
    </row>
    <row r="1074" spans="4:53" x14ac:dyDescent="0.35">
      <c r="D1074" t="s">
        <v>6492</v>
      </c>
      <c r="E1074" s="1">
        <v>41227</v>
      </c>
      <c r="F1074" t="s">
        <v>531</v>
      </c>
      <c r="G1074" t="s">
        <v>108</v>
      </c>
      <c r="H1074" t="s">
        <v>532</v>
      </c>
      <c r="I1074">
        <v>20045158</v>
      </c>
      <c r="J1074" t="s">
        <v>110</v>
      </c>
      <c r="K1074">
        <v>6</v>
      </c>
      <c r="L1074" t="s">
        <v>27</v>
      </c>
      <c r="M1074" t="s">
        <v>533</v>
      </c>
      <c r="N1074" t="s">
        <v>534</v>
      </c>
      <c r="O1074" t="s">
        <v>6493</v>
      </c>
      <c r="P1074" t="s">
        <v>536</v>
      </c>
      <c r="Q1074" s="1">
        <v>42536</v>
      </c>
      <c r="R1074" t="s">
        <v>33</v>
      </c>
      <c r="S1074" t="s">
        <v>27</v>
      </c>
      <c r="T1074" t="s">
        <v>532</v>
      </c>
      <c r="U1074" t="s">
        <v>115</v>
      </c>
      <c r="V1074" t="s">
        <v>75</v>
      </c>
      <c r="W1074" t="s">
        <v>537</v>
      </c>
      <c r="X1074">
        <v>20045158</v>
      </c>
      <c r="Y1074" t="s">
        <v>72</v>
      </c>
      <c r="Z1074" t="s">
        <v>119</v>
      </c>
      <c r="AA1074" t="s">
        <v>32</v>
      </c>
      <c r="AB1074" t="s">
        <v>120</v>
      </c>
      <c r="AC1074" t="s">
        <v>38</v>
      </c>
      <c r="AD1074" t="s">
        <v>121</v>
      </c>
      <c r="AE1074">
        <v>14</v>
      </c>
      <c r="AF1074" t="s">
        <v>27</v>
      </c>
      <c r="AG1074" t="s">
        <v>26</v>
      </c>
      <c r="AH1074" t="s">
        <v>79</v>
      </c>
      <c r="AI1074" t="str">
        <f t="shared" si="80"/>
        <v>NO</v>
      </c>
      <c r="AJ1074" t="str">
        <f t="shared" si="81"/>
        <v>FAES FARMA COLOMBIA</v>
      </c>
      <c r="AK1074" t="str">
        <f>IF(ISNUMBER(SEARCH("FABRICANTE",AC1074)),"FABRICANTE",IF(ISNUMBER(SEARCH("IMPORTADOR",AC1074)),"IMPORTADOR","OTRO"))</f>
        <v>IMPORTADOR</v>
      </c>
      <c r="AL1074" t="str">
        <f>IF(LEFT(Y1074,1)="A","Sistema digestivo",IF(LEFT(Y1074,1)="B","Sangre",IF(LEFT(Y1074,1)="C","Cardiovascular",IF(LEFT(Y1074,1)="D","Dermatológico",IF(LEFT(Y1074,1)="G","Genitourinario",IF(LEFT(Y1074,1)="H","Hormonal",IF(LEFT(Y1074,1)="J","Antiinfecciosos",IF(LEFT(Y1074,1)="L","Oncológicos",IF(LEFT(Y1074,1)="M","Musculoesquelético",IF(LEFT(Y1074,1)="N","Sistema nervioso",IF(LEFT(Y1074,1)="R","Respiratorio",IF(LEFT(Y1074,1)="S","Oftálmico",IF(LEFT(Y1074,1)="V","Varios","OTRO")))))))))))))</f>
        <v>Antiinfecciosos</v>
      </c>
      <c r="AM1074" t="str">
        <f>IF(AG1074="Vigente","ACTIVO",IF(ISNUMBER(SEARCH("Inactivo",J1074)),"INACTIVO","REVISAR"))</f>
        <v>ACTIVO</v>
      </c>
      <c r="AN1074" t="str">
        <f ca="1">IF(OR(AF1074="",AF1074="null"),"",ROUND((AF1074-TODAY())/365.25,2))</f>
        <v/>
      </c>
      <c r="AO1074" t="str">
        <f ca="1">IF(AND(AG1074="Vigente",OR(AF1074="",AF1074="null",AF1074&gt;TODAY())),"SI",IF(AND(NOT(OR(AF1074="",AF1074="null")),AF1074&lt;=TODAY()),"NO",IF(AG1074="Vigente","SI","DESCONOCIDO")))</f>
        <v>SI</v>
      </c>
      <c r="AP1074" t="str">
        <f>IF(AND(ISNUMBER(SEARCH("IMPORTAR",AA1074)),ISNUMBER(SEARCH("FABRICAR",AA1074))),"MIXTO",IF(ISNUMBER(SEARCH("IMPORTAR",AA1074)),"IMPORTADO",IF(ISNUMBER(SEARCH("FABRICAR",AA1074)),"LOCAL","OTRO")))</f>
        <v>IMPORTADO</v>
      </c>
      <c r="AQ1074" t="str">
        <f>IF(AD1074="Si","SI",IF(AD1074="No","NO",""))</f>
        <v>NO</v>
      </c>
      <c r="AR1074" t="str">
        <f>IF(ISNUMBER(SEARCH("®",N1074)),"MARCA/INNOVADOR","GENERICO")</f>
        <v>GENERICO</v>
      </c>
      <c r="AS1074">
        <f ca="1">IF(AE1074&gt;100,RANDBETWEEN(500,5000),IF(AND(AE1074&gt;=10,AE1074&lt;=100),RANDBETWEEN(100,1000),RANDBETWEEN(10,200)))</f>
        <v>148</v>
      </c>
      <c r="AT1074">
        <f t="shared" ca="1" si="82"/>
        <v>23</v>
      </c>
      <c r="AU1074">
        <f ca="1">INT(AS1074*RANDBETWEEN(120,200)/100)</f>
        <v>241</v>
      </c>
      <c r="AV1074" s="2">
        <f ca="1">IF(LEFT(Y1074,1)="L",RANDBETWEEN(500000,5000000),IF(LEFT(Y1074,1)="C",RANDBETWEEN(5000,50000),IF(LEFT(Y1074,1)="N",RANDBETWEEN(10000,150000),IF(LEFT(Y1074,1)="J",RANDBETWEEN(8000,200000),RANDBETWEEN(5000,100000)))))</f>
        <v>9737</v>
      </c>
      <c r="AW1074" s="2">
        <f ca="1">INT(AV1074*RANDBETWEEN(30,60)/100)</f>
        <v>5355</v>
      </c>
      <c r="AX1074">
        <f ca="1">IF(Z1074="ORAL",RANDBETWEEN(1000,10000),IF(OR(Z1074="INTRAVENOSA",Z1074="INTRAMUSCULAR"),RANDBETWEEN(100,2000),IF(OR(Z1074="OFTÁLMICA",Z1074="TOPICA (EXTERNA)"),RANDBETWEEN(200,3000),RANDBETWEEN(100,1500))))</f>
        <v>9990</v>
      </c>
      <c r="AY1074" s="2">
        <f ca="1">INT(AV1074*RANDBETWEEN(90,130)/100)</f>
        <v>9834</v>
      </c>
      <c r="AZ1074" t="str">
        <f t="shared" ca="1" si="83"/>
        <v>8.4%</v>
      </c>
      <c r="BA1074" t="str">
        <f t="shared" ca="1" si="84"/>
        <v>ALTO</v>
      </c>
    </row>
    <row r="1075" spans="4:53" x14ac:dyDescent="0.35">
      <c r="D1075" t="s">
        <v>6494</v>
      </c>
      <c r="E1075" s="1">
        <v>43497</v>
      </c>
      <c r="F1075" t="s">
        <v>6495</v>
      </c>
      <c r="G1075" t="s">
        <v>108</v>
      </c>
      <c r="H1075" t="s">
        <v>3435</v>
      </c>
      <c r="I1075">
        <v>20118370</v>
      </c>
      <c r="J1075" t="s">
        <v>28</v>
      </c>
      <c r="K1075">
        <v>6</v>
      </c>
      <c r="L1075" t="s">
        <v>6496</v>
      </c>
      <c r="M1075" t="s">
        <v>6497</v>
      </c>
      <c r="N1075" t="s">
        <v>6498</v>
      </c>
      <c r="O1075" t="s">
        <v>6499</v>
      </c>
      <c r="P1075" t="s">
        <v>527</v>
      </c>
      <c r="Q1075" s="1">
        <v>43482</v>
      </c>
      <c r="R1075" t="s">
        <v>527</v>
      </c>
      <c r="S1075" t="s">
        <v>27</v>
      </c>
      <c r="T1075" t="s">
        <v>1069</v>
      </c>
      <c r="U1075" t="s">
        <v>115</v>
      </c>
      <c r="V1075" t="s">
        <v>2886</v>
      </c>
      <c r="W1075">
        <v>200</v>
      </c>
      <c r="X1075">
        <v>20118370</v>
      </c>
      <c r="Y1075" t="s">
        <v>2887</v>
      </c>
      <c r="Z1075" t="s">
        <v>119</v>
      </c>
      <c r="AA1075" t="s">
        <v>32</v>
      </c>
      <c r="AB1075" t="s">
        <v>120</v>
      </c>
      <c r="AC1075" t="s">
        <v>38</v>
      </c>
      <c r="AD1075" t="s">
        <v>155</v>
      </c>
      <c r="AE1075">
        <v>10</v>
      </c>
      <c r="AF1075" t="s">
        <v>27</v>
      </c>
      <c r="AG1075" t="s">
        <v>26</v>
      </c>
      <c r="AH1075" t="s">
        <v>6495</v>
      </c>
      <c r="AI1075" t="str">
        <f t="shared" si="80"/>
        <v>NO</v>
      </c>
      <c r="AJ1075" t="str">
        <f t="shared" si="81"/>
        <v>FARMACEUTICA PARAGUAYA</v>
      </c>
      <c r="AK1075" t="str">
        <f>IF(ISNUMBER(SEARCH("FABRICANTE",AC1075)),"FABRICANTE",IF(ISNUMBER(SEARCH("IMPORTADOR",AC1075)),"IMPORTADOR","OTRO"))</f>
        <v>IMPORTADOR</v>
      </c>
      <c r="AL1075" t="str">
        <f>IF(LEFT(Y1075,1)="A","Sistema digestivo",IF(LEFT(Y1075,1)="B","Sangre",IF(LEFT(Y1075,1)="C","Cardiovascular",IF(LEFT(Y1075,1)="D","Dermatológico",IF(LEFT(Y1075,1)="G","Genitourinario",IF(LEFT(Y1075,1)="H","Hormonal",IF(LEFT(Y1075,1)="J","Antiinfecciosos",IF(LEFT(Y1075,1)="L","Oncológicos",IF(LEFT(Y1075,1)="M","Musculoesquelético",IF(LEFT(Y1075,1)="N","Sistema nervioso",IF(LEFT(Y1075,1)="R","Respiratorio",IF(LEFT(Y1075,1)="S","Oftálmico",IF(LEFT(Y1075,1)="V","Varios","OTRO")))))))))))))</f>
        <v>Sistema digestivo</v>
      </c>
      <c r="AM1075" t="str">
        <f>IF(AG1075="Vigente","ACTIVO",IF(ISNUMBER(SEARCH("Inactivo",J1075)),"INACTIVO","REVISAR"))</f>
        <v>ACTIVO</v>
      </c>
      <c r="AN1075" t="str">
        <f ca="1">IF(OR(AF1075="",AF1075="null"),"",ROUND((AF1075-TODAY())/365.25,2))</f>
        <v/>
      </c>
      <c r="AO1075" t="str">
        <f ca="1">IF(AND(AG1075="Vigente",OR(AF1075="",AF1075="null",AF1075&gt;TODAY())),"SI",IF(AND(NOT(OR(AF1075="",AF1075="null")),AF1075&lt;=TODAY()),"NO",IF(AG1075="Vigente","SI","DESCONOCIDO")))</f>
        <v>SI</v>
      </c>
      <c r="AP1075" t="str">
        <f>IF(AND(ISNUMBER(SEARCH("IMPORTAR",AA1075)),ISNUMBER(SEARCH("FABRICAR",AA1075))),"MIXTO",IF(ISNUMBER(SEARCH("IMPORTAR",AA1075)),"IMPORTADO",IF(ISNUMBER(SEARCH("FABRICAR",AA1075)),"LOCAL","OTRO")))</f>
        <v>IMPORTADO</v>
      </c>
      <c r="AQ1075" t="str">
        <f>IF(AD1075="Si","SI",IF(AD1075="No","NO",""))</f>
        <v>SI</v>
      </c>
      <c r="AR1075" t="str">
        <f>IF(ISNUMBER(SEARCH("®",N1075)),"MARCA/INNOVADOR","GENERICO")</f>
        <v>GENERICO</v>
      </c>
      <c r="AS1075">
        <f ca="1">IF(AE1075&gt;100,RANDBETWEEN(500,5000),IF(AND(AE1075&gt;=10,AE1075&lt;=100),RANDBETWEEN(100,1000),RANDBETWEEN(10,200)))</f>
        <v>310</v>
      </c>
      <c r="AT1075">
        <f t="shared" ca="1" si="82"/>
        <v>93</v>
      </c>
      <c r="AU1075">
        <f ca="1">INT(AS1075*RANDBETWEEN(120,200)/100)</f>
        <v>548</v>
      </c>
      <c r="AV1075" s="2">
        <f ca="1">IF(LEFT(Y1075,1)="L",RANDBETWEEN(500000,5000000),IF(LEFT(Y1075,1)="C",RANDBETWEEN(5000,50000),IF(LEFT(Y1075,1)="N",RANDBETWEEN(10000,150000),IF(LEFT(Y1075,1)="J",RANDBETWEEN(8000,200000),RANDBETWEEN(5000,100000)))))</f>
        <v>60977</v>
      </c>
      <c r="AW1075" s="2">
        <f ca="1">INT(AV1075*RANDBETWEEN(30,60)/100)</f>
        <v>20732</v>
      </c>
      <c r="AX1075">
        <f ca="1">IF(Z1075="ORAL",RANDBETWEEN(1000,10000),IF(OR(Z1075="INTRAVENOSA",Z1075="INTRAMUSCULAR"),RANDBETWEEN(100,2000),IF(OR(Z1075="OFTÁLMICA",Z1075="TOPICA (EXTERNA)"),RANDBETWEEN(200,3000),RANDBETWEEN(100,1500))))</f>
        <v>4381</v>
      </c>
      <c r="AY1075" s="2">
        <f ca="1">INT(AV1075*RANDBETWEEN(90,130)/100)</f>
        <v>65245</v>
      </c>
      <c r="AZ1075" t="str">
        <f t="shared" ca="1" si="83"/>
        <v>16.3%</v>
      </c>
      <c r="BA1075" t="str">
        <f t="shared" ca="1" si="84"/>
        <v>BAJO</v>
      </c>
    </row>
    <row r="1076" spans="4:53" x14ac:dyDescent="0.35">
      <c r="D1076" t="s">
        <v>6500</v>
      </c>
      <c r="E1076" s="1">
        <v>42202</v>
      </c>
      <c r="F1076" t="s">
        <v>856</v>
      </c>
      <c r="G1076" t="s">
        <v>108</v>
      </c>
      <c r="H1076" t="s">
        <v>80</v>
      </c>
      <c r="I1076">
        <v>20078742</v>
      </c>
      <c r="J1076" t="s">
        <v>28</v>
      </c>
      <c r="K1076">
        <v>15</v>
      </c>
      <c r="L1076" t="s">
        <v>27</v>
      </c>
      <c r="M1076" t="s">
        <v>419</v>
      </c>
      <c r="N1076" t="s">
        <v>420</v>
      </c>
      <c r="O1076" t="s">
        <v>6501</v>
      </c>
      <c r="P1076" t="s">
        <v>422</v>
      </c>
      <c r="Q1076" s="1">
        <v>42200</v>
      </c>
      <c r="R1076" t="s">
        <v>423</v>
      </c>
      <c r="S1076" t="s">
        <v>27</v>
      </c>
      <c r="T1076" t="s">
        <v>80</v>
      </c>
      <c r="U1076" t="s">
        <v>115</v>
      </c>
      <c r="V1076" t="s">
        <v>424</v>
      </c>
      <c r="W1076">
        <v>10</v>
      </c>
      <c r="X1076">
        <v>20078742</v>
      </c>
      <c r="Y1076" t="s">
        <v>425</v>
      </c>
      <c r="Z1076" t="s">
        <v>119</v>
      </c>
      <c r="AA1076" t="s">
        <v>165</v>
      </c>
      <c r="AB1076" t="s">
        <v>120</v>
      </c>
      <c r="AC1076" t="s">
        <v>38</v>
      </c>
      <c r="AD1076" t="s">
        <v>121</v>
      </c>
      <c r="AE1076">
        <v>20</v>
      </c>
      <c r="AF1076" t="s">
        <v>27</v>
      </c>
      <c r="AG1076" t="s">
        <v>26</v>
      </c>
      <c r="AH1076" t="s">
        <v>6739</v>
      </c>
      <c r="AI1076" t="str">
        <f t="shared" si="80"/>
        <v>NO</v>
      </c>
      <c r="AJ1076" t="str">
        <f t="shared" si="81"/>
        <v>TECNOQUIMICAS</v>
      </c>
      <c r="AK1076" t="str">
        <f>IF(ISNUMBER(SEARCH("FABRICANTE",AC1076)),"FABRICANTE",IF(ISNUMBER(SEARCH("IMPORTADOR",AC1076)),"IMPORTADOR","OTRO"))</f>
        <v>IMPORTADOR</v>
      </c>
      <c r="AL1076" t="str">
        <f>IF(LEFT(Y1076,1)="A","Sistema digestivo",IF(LEFT(Y1076,1)="B","Sangre",IF(LEFT(Y1076,1)="C","Cardiovascular",IF(LEFT(Y1076,1)="D","Dermatológico",IF(LEFT(Y1076,1)="G","Genitourinario",IF(LEFT(Y1076,1)="H","Hormonal",IF(LEFT(Y1076,1)="J","Antiinfecciosos",IF(LEFT(Y1076,1)="L","Oncológicos",IF(LEFT(Y1076,1)="M","Musculoesquelético",IF(LEFT(Y1076,1)="N","Sistema nervioso",IF(LEFT(Y1076,1)="R","Respiratorio",IF(LEFT(Y1076,1)="S","Oftálmico",IF(LEFT(Y1076,1)="V","Varios","OTRO")))))))))))))</f>
        <v>Sistema nervioso</v>
      </c>
      <c r="AM1076" t="str">
        <f>IF(AG1076="Vigente","ACTIVO",IF(ISNUMBER(SEARCH("Inactivo",J1076)),"INACTIVO","REVISAR"))</f>
        <v>ACTIVO</v>
      </c>
      <c r="AN1076" t="str">
        <f ca="1">IF(OR(AF1076="",AF1076="null"),"",ROUND((AF1076-TODAY())/365.25,2))</f>
        <v/>
      </c>
      <c r="AO1076" t="str">
        <f ca="1">IF(AND(AG1076="Vigente",OR(AF1076="",AF1076="null",AF1076&gt;TODAY())),"SI",IF(AND(NOT(OR(AF1076="",AF1076="null")),AF1076&lt;=TODAY()),"NO",IF(AG1076="Vigente","SI","DESCONOCIDO")))</f>
        <v>SI</v>
      </c>
      <c r="AP1076" t="str">
        <f>IF(AND(ISNUMBER(SEARCH("IMPORTAR",AA1076)),ISNUMBER(SEARCH("FABRICAR",AA1076))),"MIXTO",IF(ISNUMBER(SEARCH("IMPORTAR",AA1076)),"IMPORTADO",IF(ISNUMBER(SEARCH("FABRICAR",AA1076)),"LOCAL","OTRO")))</f>
        <v>IMPORTADO</v>
      </c>
      <c r="AQ1076" t="str">
        <f>IF(AD1076="Si","SI",IF(AD1076="No","NO",""))</f>
        <v>NO</v>
      </c>
      <c r="AR1076" t="str">
        <f>IF(ISNUMBER(SEARCH("®",N1076)),"MARCA/INNOVADOR","GENERICO")</f>
        <v>MARCA/INNOVADOR</v>
      </c>
      <c r="AS1076">
        <f ca="1">IF(AE1076&gt;100,RANDBETWEEN(500,5000),IF(AND(AE1076&gt;=10,AE1076&lt;=100),RANDBETWEEN(100,1000),RANDBETWEEN(10,200)))</f>
        <v>923</v>
      </c>
      <c r="AT1076">
        <f t="shared" ca="1" si="82"/>
        <v>166</v>
      </c>
      <c r="AU1076">
        <f ca="1">INT(AS1076*RANDBETWEEN(120,200)/100)</f>
        <v>1135</v>
      </c>
      <c r="AV1076" s="2">
        <f ca="1">IF(LEFT(Y1076,1)="L",RANDBETWEEN(500000,5000000),IF(LEFT(Y1076,1)="C",RANDBETWEEN(5000,50000),IF(LEFT(Y1076,1)="N",RANDBETWEEN(10000,150000),IF(LEFT(Y1076,1)="J",RANDBETWEEN(8000,200000),RANDBETWEEN(5000,100000)))))</f>
        <v>145009</v>
      </c>
      <c r="AW1076" s="2">
        <f ca="1">INT(AV1076*RANDBETWEEN(30,60)/100)</f>
        <v>55103</v>
      </c>
      <c r="AX1076">
        <f ca="1">IF(Z1076="ORAL",RANDBETWEEN(1000,10000),IF(OR(Z1076="INTRAVENOSA",Z1076="INTRAMUSCULAR"),RANDBETWEEN(100,2000),IF(OR(Z1076="OFTÁLMICA",Z1076="TOPICA (EXTERNA)"),RANDBETWEEN(200,3000),RANDBETWEEN(100,1500))))</f>
        <v>8520</v>
      </c>
      <c r="AY1076" s="2">
        <f ca="1">INT(AV1076*RANDBETWEEN(90,130)/100)</f>
        <v>174010</v>
      </c>
      <c r="AZ1076" t="str">
        <f t="shared" ca="1" si="83"/>
        <v>23.4%</v>
      </c>
      <c r="BA1076" t="str">
        <f t="shared" ca="1" si="84"/>
        <v>BAJO</v>
      </c>
    </row>
    <row r="1077" spans="4:53" x14ac:dyDescent="0.35">
      <c r="D1077" t="s">
        <v>6502</v>
      </c>
      <c r="E1077" s="1">
        <v>42355</v>
      </c>
      <c r="F1077" t="s">
        <v>3284</v>
      </c>
      <c r="G1077" t="s">
        <v>108</v>
      </c>
      <c r="H1077" t="s">
        <v>1426</v>
      </c>
      <c r="I1077">
        <v>20089313</v>
      </c>
      <c r="J1077" t="s">
        <v>28</v>
      </c>
      <c r="K1077">
        <v>1</v>
      </c>
      <c r="L1077" t="s">
        <v>27</v>
      </c>
      <c r="M1077" t="s">
        <v>3285</v>
      </c>
      <c r="N1077" t="s">
        <v>3286</v>
      </c>
      <c r="O1077" t="s">
        <v>6503</v>
      </c>
      <c r="P1077" t="s">
        <v>266</v>
      </c>
      <c r="Q1077" s="1">
        <v>42173</v>
      </c>
      <c r="R1077" t="s">
        <v>29</v>
      </c>
      <c r="S1077" t="s">
        <v>27</v>
      </c>
      <c r="T1077" t="s">
        <v>464</v>
      </c>
      <c r="U1077" t="s">
        <v>115</v>
      </c>
      <c r="V1077" t="s">
        <v>3288</v>
      </c>
      <c r="W1077">
        <v>10</v>
      </c>
      <c r="X1077">
        <v>20089313</v>
      </c>
      <c r="Y1077" t="s">
        <v>3289</v>
      </c>
      <c r="Z1077" t="s">
        <v>119</v>
      </c>
      <c r="AA1077" t="s">
        <v>24</v>
      </c>
      <c r="AB1077" t="s">
        <v>120</v>
      </c>
      <c r="AC1077" t="s">
        <v>25</v>
      </c>
      <c r="AD1077" t="s">
        <v>121</v>
      </c>
      <c r="AE1077">
        <v>15</v>
      </c>
      <c r="AF1077" t="s">
        <v>27</v>
      </c>
      <c r="AG1077" t="s">
        <v>26</v>
      </c>
      <c r="AH1077" t="s">
        <v>6664</v>
      </c>
      <c r="AI1077" t="str">
        <f t="shared" si="80"/>
        <v>SI</v>
      </c>
      <c r="AJ1077" t="str">
        <f t="shared" si="81"/>
        <v>MEGALABS COLOMBIA</v>
      </c>
      <c r="AK1077" t="str">
        <f>IF(ISNUMBER(SEARCH("FABRICANTE",AC1077)),"FABRICANTE",IF(ISNUMBER(SEARCH("IMPORTADOR",AC1077)),"IMPORTADOR","OTRO"))</f>
        <v>FABRICANTE</v>
      </c>
      <c r="AL1077" t="str">
        <f>IF(LEFT(Y1077,1)="A","Sistema digestivo",IF(LEFT(Y1077,1)="B","Sangre",IF(LEFT(Y1077,1)="C","Cardiovascular",IF(LEFT(Y1077,1)="D","Dermatológico",IF(LEFT(Y1077,1)="G","Genitourinario",IF(LEFT(Y1077,1)="H","Hormonal",IF(LEFT(Y1077,1)="J","Antiinfecciosos",IF(LEFT(Y1077,1)="L","Oncológicos",IF(LEFT(Y1077,1)="M","Musculoesquelético",IF(LEFT(Y1077,1)="N","Sistema nervioso",IF(LEFT(Y1077,1)="R","Respiratorio",IF(LEFT(Y1077,1)="S","Oftálmico",IF(LEFT(Y1077,1)="V","Varios","OTRO")))))))))))))</f>
        <v>Cardiovascular</v>
      </c>
      <c r="AM1077" t="str">
        <f>IF(AG1077="Vigente","ACTIVO",IF(ISNUMBER(SEARCH("Inactivo",J1077)),"INACTIVO","REVISAR"))</f>
        <v>ACTIVO</v>
      </c>
      <c r="AN1077" t="str">
        <f ca="1">IF(OR(AF1077="",AF1077="null"),"",ROUND((AF1077-TODAY())/365.25,2))</f>
        <v/>
      </c>
      <c r="AO1077" t="str">
        <f ca="1">IF(AND(AG1077="Vigente",OR(AF1077="",AF1077="null",AF1077&gt;TODAY())),"SI",IF(AND(NOT(OR(AF1077="",AF1077="null")),AF1077&lt;=TODAY()),"NO",IF(AG1077="Vigente","SI","DESCONOCIDO")))</f>
        <v>SI</v>
      </c>
      <c r="AP1077" t="str">
        <f>IF(AND(ISNUMBER(SEARCH("IMPORTAR",AA1077)),ISNUMBER(SEARCH("FABRICAR",AA1077))),"MIXTO",IF(ISNUMBER(SEARCH("IMPORTAR",AA1077)),"IMPORTADO",IF(ISNUMBER(SEARCH("FABRICAR",AA1077)),"LOCAL","OTRO")))</f>
        <v>LOCAL</v>
      </c>
      <c r="AQ1077" t="str">
        <f>IF(AD1077="Si","SI",IF(AD1077="No","NO",""))</f>
        <v>NO</v>
      </c>
      <c r="AR1077" t="str">
        <f>IF(ISNUMBER(SEARCH("®",N1077)),"MARCA/INNOVADOR","GENERICO")</f>
        <v>MARCA/INNOVADOR</v>
      </c>
      <c r="AS1077">
        <f ca="1">IF(AE1077&gt;100,RANDBETWEEN(500,5000),IF(AND(AE1077&gt;=10,AE1077&lt;=100),RANDBETWEEN(100,1000),RANDBETWEEN(10,200)))</f>
        <v>791</v>
      </c>
      <c r="AT1077">
        <f t="shared" ca="1" si="82"/>
        <v>181</v>
      </c>
      <c r="AU1077">
        <f ca="1">INT(AS1077*RANDBETWEEN(120,200)/100)</f>
        <v>1186</v>
      </c>
      <c r="AV1077" s="2">
        <f ca="1">IF(LEFT(Y1077,1)="L",RANDBETWEEN(500000,5000000),IF(LEFT(Y1077,1)="C",RANDBETWEEN(5000,50000),IF(LEFT(Y1077,1)="N",RANDBETWEEN(10000,150000),IF(LEFT(Y1077,1)="J",RANDBETWEEN(8000,200000),RANDBETWEEN(5000,100000)))))</f>
        <v>40610</v>
      </c>
      <c r="AW1077" s="2">
        <f ca="1">INT(AV1077*RANDBETWEEN(30,60)/100)</f>
        <v>23147</v>
      </c>
      <c r="AX1077">
        <f ca="1">IF(Z1077="ORAL",RANDBETWEEN(1000,10000),IF(OR(Z1077="INTRAVENOSA",Z1077="INTRAMUSCULAR"),RANDBETWEEN(100,2000),IF(OR(Z1077="OFTÁLMICA",Z1077="TOPICA (EXTERNA)"),RANDBETWEEN(200,3000),RANDBETWEEN(100,1500))))</f>
        <v>8539</v>
      </c>
      <c r="AY1077" s="2">
        <f ca="1">INT(AV1077*RANDBETWEEN(90,130)/100)</f>
        <v>44264</v>
      </c>
      <c r="AZ1077" t="str">
        <f t="shared" ca="1" si="83"/>
        <v>18%</v>
      </c>
      <c r="BA1077" t="str">
        <f t="shared" ca="1" si="84"/>
        <v>BAJO</v>
      </c>
    </row>
    <row r="1078" spans="4:53" x14ac:dyDescent="0.35">
      <c r="D1078" t="s">
        <v>6504</v>
      </c>
      <c r="E1078" s="1">
        <v>39049</v>
      </c>
      <c r="F1078" t="s">
        <v>6505</v>
      </c>
      <c r="G1078" t="s">
        <v>108</v>
      </c>
      <c r="H1078" t="s">
        <v>6506</v>
      </c>
      <c r="I1078">
        <v>19965761</v>
      </c>
      <c r="J1078" t="s">
        <v>110</v>
      </c>
      <c r="K1078">
        <v>1</v>
      </c>
      <c r="L1078" t="s">
        <v>27</v>
      </c>
      <c r="M1078" t="s">
        <v>6507</v>
      </c>
      <c r="N1078" t="s">
        <v>6508</v>
      </c>
      <c r="O1078" t="s">
        <v>6509</v>
      </c>
      <c r="P1078" t="s">
        <v>6510</v>
      </c>
      <c r="Q1078" s="1">
        <v>39304</v>
      </c>
      <c r="R1078" t="s">
        <v>50</v>
      </c>
      <c r="S1078" t="s">
        <v>27</v>
      </c>
      <c r="T1078" t="s">
        <v>6506</v>
      </c>
      <c r="U1078" t="s">
        <v>247</v>
      </c>
      <c r="V1078" t="s">
        <v>6511</v>
      </c>
      <c r="W1078">
        <v>10</v>
      </c>
      <c r="X1078">
        <v>19965761</v>
      </c>
      <c r="Y1078" t="s">
        <v>6512</v>
      </c>
      <c r="Z1078" t="s">
        <v>260</v>
      </c>
      <c r="AA1078" t="s">
        <v>32</v>
      </c>
      <c r="AB1078" t="s">
        <v>239</v>
      </c>
      <c r="AC1078" t="s">
        <v>25</v>
      </c>
      <c r="AD1078" t="s">
        <v>121</v>
      </c>
      <c r="AE1078">
        <v>1</v>
      </c>
      <c r="AF1078" t="s">
        <v>27</v>
      </c>
      <c r="AG1078" t="s">
        <v>26</v>
      </c>
      <c r="AH1078" t="s">
        <v>6858</v>
      </c>
      <c r="AI1078" t="str">
        <f t="shared" si="80"/>
        <v>NO</v>
      </c>
      <c r="AJ1078" t="str">
        <f t="shared" si="81"/>
        <v>KEDRION</v>
      </c>
      <c r="AK1078" t="str">
        <f>IF(ISNUMBER(SEARCH("FABRICANTE",AC1078)),"FABRICANTE",IF(ISNUMBER(SEARCH("IMPORTADOR",AC1078)),"IMPORTADOR","OTRO"))</f>
        <v>FABRICANTE</v>
      </c>
      <c r="AL1078" t="str">
        <f>IF(LEFT(Y1078,1)="A","Sistema digestivo",IF(LEFT(Y1078,1)="B","Sangre",IF(LEFT(Y1078,1)="C","Cardiovascular",IF(LEFT(Y1078,1)="D","Dermatológico",IF(LEFT(Y1078,1)="G","Genitourinario",IF(LEFT(Y1078,1)="H","Hormonal",IF(LEFT(Y1078,1)="J","Antiinfecciosos",IF(LEFT(Y1078,1)="L","Oncológicos",IF(LEFT(Y1078,1)="M","Musculoesquelético",IF(LEFT(Y1078,1)="N","Sistema nervioso",IF(LEFT(Y1078,1)="R","Respiratorio",IF(LEFT(Y1078,1)="S","Oftálmico",IF(LEFT(Y1078,1)="V","Varios","OTRO")))))))))))))</f>
        <v>Sangre</v>
      </c>
      <c r="AM1078" t="str">
        <f>IF(AG1078="Vigente","ACTIVO",IF(ISNUMBER(SEARCH("Inactivo",J1078)),"INACTIVO","REVISAR"))</f>
        <v>ACTIVO</v>
      </c>
      <c r="AN1078" t="str">
        <f ca="1">IF(OR(AF1078="",AF1078="null"),"",ROUND((AF1078-TODAY())/365.25,2))</f>
        <v/>
      </c>
      <c r="AO1078" t="str">
        <f ca="1">IF(AND(AG1078="Vigente",OR(AF1078="",AF1078="null",AF1078&gt;TODAY())),"SI",IF(AND(NOT(OR(AF1078="",AF1078="null")),AF1078&lt;=TODAY()),"NO",IF(AG1078="Vigente","SI","DESCONOCIDO")))</f>
        <v>SI</v>
      </c>
      <c r="AP1078" t="str">
        <f>IF(AND(ISNUMBER(SEARCH("IMPORTAR",AA1078)),ISNUMBER(SEARCH("FABRICAR",AA1078))),"MIXTO",IF(ISNUMBER(SEARCH("IMPORTAR",AA1078)),"IMPORTADO",IF(ISNUMBER(SEARCH("FABRICAR",AA1078)),"LOCAL","OTRO")))</f>
        <v>IMPORTADO</v>
      </c>
      <c r="AQ1078" t="str">
        <f>IF(AD1078="Si","SI",IF(AD1078="No","NO",""))</f>
        <v>NO</v>
      </c>
      <c r="AR1078" t="str">
        <f>IF(ISNUMBER(SEARCH("®",N1078)),"MARCA/INNOVADOR","GENERICO")</f>
        <v>GENERICO</v>
      </c>
      <c r="AS1078">
        <f ca="1">IF(AE1078&gt;100,RANDBETWEEN(500,5000),IF(AND(AE1078&gt;=10,AE1078&lt;=100),RANDBETWEEN(100,1000),RANDBETWEEN(10,200)))</f>
        <v>148</v>
      </c>
      <c r="AT1078">
        <f t="shared" ca="1" si="82"/>
        <v>34</v>
      </c>
      <c r="AU1078">
        <f ca="1">INT(AS1078*RANDBETWEEN(120,200)/100)</f>
        <v>220</v>
      </c>
      <c r="AV1078" s="2">
        <f ca="1">IF(LEFT(Y1078,1)="L",RANDBETWEEN(500000,5000000),IF(LEFT(Y1078,1)="C",RANDBETWEEN(5000,50000),IF(LEFT(Y1078,1)="N",RANDBETWEEN(10000,150000),IF(LEFT(Y1078,1)="J",RANDBETWEEN(8000,200000),RANDBETWEEN(5000,100000)))))</f>
        <v>36933</v>
      </c>
      <c r="AW1078" s="2">
        <f ca="1">INT(AV1078*RANDBETWEEN(30,60)/100)</f>
        <v>22159</v>
      </c>
      <c r="AX1078">
        <f ca="1">IF(Z1078="ORAL",RANDBETWEEN(1000,10000),IF(OR(Z1078="INTRAVENOSA",Z1078="INTRAMUSCULAR"),RANDBETWEEN(100,2000),IF(OR(Z1078="OFTÁLMICA",Z1078="TOPICA (EXTERNA)"),RANDBETWEEN(200,3000),RANDBETWEEN(100,1500))))</f>
        <v>1637</v>
      </c>
      <c r="AY1078" s="2">
        <f ca="1">INT(AV1078*RANDBETWEEN(90,130)/100)</f>
        <v>47274</v>
      </c>
      <c r="AZ1078" t="str">
        <f t="shared" ca="1" si="83"/>
        <v>1.1%</v>
      </c>
      <c r="BA1078" t="str">
        <f t="shared" ca="1" si="84"/>
        <v>ALTO</v>
      </c>
    </row>
    <row r="1079" spans="4:53" x14ac:dyDescent="0.35">
      <c r="D1079" t="s">
        <v>6513</v>
      </c>
      <c r="E1079" s="1">
        <v>36007</v>
      </c>
      <c r="F1079" t="s">
        <v>515</v>
      </c>
      <c r="G1079" t="s">
        <v>502</v>
      </c>
      <c r="H1079" t="s">
        <v>520</v>
      </c>
      <c r="I1079">
        <v>227672</v>
      </c>
      <c r="J1079" t="s">
        <v>110</v>
      </c>
      <c r="K1079">
        <v>22</v>
      </c>
      <c r="L1079" t="s">
        <v>27</v>
      </c>
      <c r="M1079" t="s">
        <v>6514</v>
      </c>
      <c r="N1079" t="s">
        <v>6515</v>
      </c>
      <c r="O1079" t="s">
        <v>6516</v>
      </c>
      <c r="P1079" t="s">
        <v>6486</v>
      </c>
      <c r="Q1079" s="1">
        <v>42824</v>
      </c>
      <c r="R1079" t="s">
        <v>78</v>
      </c>
      <c r="S1079" t="s">
        <v>27</v>
      </c>
      <c r="T1079" t="s">
        <v>520</v>
      </c>
      <c r="U1079" t="s">
        <v>247</v>
      </c>
      <c r="V1079" t="s">
        <v>515</v>
      </c>
      <c r="W1079">
        <v>2</v>
      </c>
      <c r="X1079">
        <v>227672</v>
      </c>
      <c r="Y1079" t="s">
        <v>1567</v>
      </c>
      <c r="Z1079" t="s">
        <v>119</v>
      </c>
      <c r="AA1079" t="s">
        <v>32</v>
      </c>
      <c r="AB1079" t="s">
        <v>250</v>
      </c>
      <c r="AC1079" t="s">
        <v>38</v>
      </c>
      <c r="AD1079" t="s">
        <v>155</v>
      </c>
      <c r="AE1079">
        <v>100</v>
      </c>
      <c r="AF1079" t="s">
        <v>27</v>
      </c>
      <c r="AG1079" t="s">
        <v>26</v>
      </c>
      <c r="AH1079" t="s">
        <v>515</v>
      </c>
      <c r="AI1079" t="str">
        <f t="shared" si="80"/>
        <v>NO</v>
      </c>
      <c r="AJ1079" t="str">
        <f t="shared" si="81"/>
        <v>HALEON COLOMBIA</v>
      </c>
      <c r="AK1079" t="str">
        <f>IF(ISNUMBER(SEARCH("FABRICANTE",AC1079)),"FABRICANTE",IF(ISNUMBER(SEARCH("IMPORTADOR",AC1079)),"IMPORTADOR","OTRO"))</f>
        <v>IMPORTADOR</v>
      </c>
      <c r="AL1079" t="str">
        <f>IF(LEFT(Y1079,1)="A","Sistema digestivo",IF(LEFT(Y1079,1)="B","Sangre",IF(LEFT(Y1079,1)="C","Cardiovascular",IF(LEFT(Y1079,1)="D","Dermatológico",IF(LEFT(Y1079,1)="G","Genitourinario",IF(LEFT(Y1079,1)="H","Hormonal",IF(LEFT(Y1079,1)="J","Antiinfecciosos",IF(LEFT(Y1079,1)="L","Oncológicos",IF(LEFT(Y1079,1)="M","Musculoesquelético",IF(LEFT(Y1079,1)="N","Sistema nervioso",IF(LEFT(Y1079,1)="R","Respiratorio",IF(LEFT(Y1079,1)="S","Oftálmico",IF(LEFT(Y1079,1)="V","Varios","OTRO")))))))))))))</f>
        <v>Musculoesquelético</v>
      </c>
      <c r="AM1079" t="str">
        <f>IF(AG1079="Vigente","ACTIVO",IF(ISNUMBER(SEARCH("Inactivo",J1079)),"INACTIVO","REVISAR"))</f>
        <v>ACTIVO</v>
      </c>
      <c r="AN1079" t="str">
        <f ca="1">IF(OR(AF1079="",AF1079="null"),"",ROUND((AF1079-TODAY())/365.25,2))</f>
        <v/>
      </c>
      <c r="AO1079" t="str">
        <f ca="1">IF(AND(AG1079="Vigente",OR(AF1079="",AF1079="null",AF1079&gt;TODAY())),"SI",IF(AND(NOT(OR(AF1079="",AF1079="null")),AF1079&lt;=TODAY()),"NO",IF(AG1079="Vigente","SI","DESCONOCIDO")))</f>
        <v>SI</v>
      </c>
      <c r="AP1079" t="str">
        <f>IF(AND(ISNUMBER(SEARCH("IMPORTAR",AA1079)),ISNUMBER(SEARCH("FABRICAR",AA1079))),"MIXTO",IF(ISNUMBER(SEARCH("IMPORTAR",AA1079)),"IMPORTADO",IF(ISNUMBER(SEARCH("FABRICAR",AA1079)),"LOCAL","OTRO")))</f>
        <v>IMPORTADO</v>
      </c>
      <c r="AQ1079" t="str">
        <f>IF(AD1079="Si","SI",IF(AD1079="No","NO",""))</f>
        <v>SI</v>
      </c>
      <c r="AR1079" t="str">
        <f>IF(ISNUMBER(SEARCH("®",N1079)),"MARCA/INNOVADOR","GENERICO")</f>
        <v>MARCA/INNOVADOR</v>
      </c>
      <c r="AS1079">
        <f ca="1">IF(AE1079&gt;100,RANDBETWEEN(500,5000),IF(AND(AE1079&gt;=10,AE1079&lt;=100),RANDBETWEEN(100,1000),RANDBETWEEN(10,200)))</f>
        <v>159</v>
      </c>
      <c r="AT1079">
        <f t="shared" ca="1" si="82"/>
        <v>23</v>
      </c>
      <c r="AU1079">
        <f ca="1">INT(AS1079*RANDBETWEEN(120,200)/100)</f>
        <v>305</v>
      </c>
      <c r="AV1079" s="2">
        <f ca="1">IF(LEFT(Y1079,1)="L",RANDBETWEEN(500000,5000000),IF(LEFT(Y1079,1)="C",RANDBETWEEN(5000,50000),IF(LEFT(Y1079,1)="N",RANDBETWEEN(10000,150000),IF(LEFT(Y1079,1)="J",RANDBETWEEN(8000,200000),RANDBETWEEN(5000,100000)))))</f>
        <v>51278</v>
      </c>
      <c r="AW1079" s="2">
        <f ca="1">INT(AV1079*RANDBETWEEN(30,60)/100)</f>
        <v>27690</v>
      </c>
      <c r="AX1079">
        <f ca="1">IF(Z1079="ORAL",RANDBETWEEN(1000,10000),IF(OR(Z1079="INTRAVENOSA",Z1079="INTRAMUSCULAR"),RANDBETWEEN(100,2000),IF(OR(Z1079="OFTÁLMICA",Z1079="TOPICA (EXTERNA)"),RANDBETWEEN(200,3000),RANDBETWEEN(100,1500))))</f>
        <v>2699</v>
      </c>
      <c r="AY1079" s="2">
        <f ca="1">INT(AV1079*RANDBETWEEN(90,130)/100)</f>
        <v>62559</v>
      </c>
      <c r="AZ1079" t="str">
        <f t="shared" ca="1" si="83"/>
        <v>23.5%</v>
      </c>
      <c r="BA1079" t="str">
        <f t="shared" ca="1" si="84"/>
        <v>ALTO</v>
      </c>
    </row>
    <row r="1080" spans="4:53" x14ac:dyDescent="0.35">
      <c r="D1080" t="s">
        <v>6517</v>
      </c>
      <c r="E1080" s="1">
        <v>42563</v>
      </c>
      <c r="F1080" t="s">
        <v>3603</v>
      </c>
      <c r="G1080" t="s">
        <v>108</v>
      </c>
      <c r="H1080" t="s">
        <v>168</v>
      </c>
      <c r="I1080">
        <v>20103613</v>
      </c>
      <c r="J1080" t="s">
        <v>28</v>
      </c>
      <c r="K1080">
        <v>21</v>
      </c>
      <c r="L1080" t="s">
        <v>27</v>
      </c>
      <c r="M1080" t="s">
        <v>6518</v>
      </c>
      <c r="N1080" t="s">
        <v>6519</v>
      </c>
      <c r="O1080" t="s">
        <v>6520</v>
      </c>
      <c r="P1080" t="s">
        <v>2037</v>
      </c>
      <c r="Q1080" s="1">
        <v>42864</v>
      </c>
      <c r="R1080" t="s">
        <v>78</v>
      </c>
      <c r="S1080" t="s">
        <v>27</v>
      </c>
      <c r="T1080" t="s">
        <v>172</v>
      </c>
      <c r="U1080" t="s">
        <v>247</v>
      </c>
      <c r="V1080" t="s">
        <v>3608</v>
      </c>
      <c r="W1080" t="s">
        <v>3609</v>
      </c>
      <c r="X1080">
        <v>20103613</v>
      </c>
      <c r="Y1080" t="s">
        <v>3610</v>
      </c>
      <c r="Z1080" t="s">
        <v>119</v>
      </c>
      <c r="AA1080" t="s">
        <v>24</v>
      </c>
      <c r="AB1080" t="s">
        <v>250</v>
      </c>
      <c r="AC1080" t="s">
        <v>25</v>
      </c>
      <c r="AD1080" t="s">
        <v>121</v>
      </c>
      <c r="AE1080">
        <v>6</v>
      </c>
      <c r="AF1080" t="s">
        <v>27</v>
      </c>
      <c r="AG1080" t="s">
        <v>26</v>
      </c>
      <c r="AH1080" t="s">
        <v>6811</v>
      </c>
      <c r="AI1080" t="str">
        <f t="shared" si="80"/>
        <v>NO</v>
      </c>
      <c r="AJ1080" t="str">
        <f t="shared" si="81"/>
        <v>NOVAMED</v>
      </c>
      <c r="AK1080" t="str">
        <f>IF(ISNUMBER(SEARCH("FABRICANTE",AC1080)),"FABRICANTE",IF(ISNUMBER(SEARCH("IMPORTADOR",AC1080)),"IMPORTADOR","OTRO"))</f>
        <v>FABRICANTE</v>
      </c>
      <c r="AL1080" t="str">
        <f>IF(LEFT(Y1080,1)="A","Sistema digestivo",IF(LEFT(Y1080,1)="B","Sangre",IF(LEFT(Y1080,1)="C","Cardiovascular",IF(LEFT(Y1080,1)="D","Dermatológico",IF(LEFT(Y1080,1)="G","Genitourinario",IF(LEFT(Y1080,1)="H","Hormonal",IF(LEFT(Y1080,1)="J","Antiinfecciosos",IF(LEFT(Y1080,1)="L","Oncológicos",IF(LEFT(Y1080,1)="M","Musculoesquelético",IF(LEFT(Y1080,1)="N","Sistema nervioso",IF(LEFT(Y1080,1)="R","Respiratorio",IF(LEFT(Y1080,1)="S","Oftálmico",IF(LEFT(Y1080,1)="V","Varios","OTRO")))))))))))))</f>
        <v>Sistema digestivo</v>
      </c>
      <c r="AM1080" t="str">
        <f>IF(AG1080="Vigente","ACTIVO",IF(ISNUMBER(SEARCH("Inactivo",J1080)),"INACTIVO","REVISAR"))</f>
        <v>ACTIVO</v>
      </c>
      <c r="AN1080" t="str">
        <f ca="1">IF(OR(AF1080="",AF1080="null"),"",ROUND((AF1080-TODAY())/365.25,2))</f>
        <v/>
      </c>
      <c r="AO1080" t="str">
        <f ca="1">IF(AND(AG1080="Vigente",OR(AF1080="",AF1080="null",AF1080&gt;TODAY())),"SI",IF(AND(NOT(OR(AF1080="",AF1080="null")),AF1080&lt;=TODAY()),"NO",IF(AG1080="Vigente","SI","DESCONOCIDO")))</f>
        <v>SI</v>
      </c>
      <c r="AP1080" t="str">
        <f>IF(AND(ISNUMBER(SEARCH("IMPORTAR",AA1080)),ISNUMBER(SEARCH("FABRICAR",AA1080))),"MIXTO",IF(ISNUMBER(SEARCH("IMPORTAR",AA1080)),"IMPORTADO",IF(ISNUMBER(SEARCH("FABRICAR",AA1080)),"LOCAL","OTRO")))</f>
        <v>LOCAL</v>
      </c>
      <c r="AQ1080" t="str">
        <f>IF(AD1080="Si","SI",IF(AD1080="No","NO",""))</f>
        <v>NO</v>
      </c>
      <c r="AR1080" t="str">
        <f>IF(ISNUMBER(SEARCH("®",N1080)),"MARCA/INNOVADOR","GENERICO")</f>
        <v>MARCA/INNOVADOR</v>
      </c>
      <c r="AS1080">
        <f ca="1">IF(AE1080&gt;100,RANDBETWEEN(500,5000),IF(AND(AE1080&gt;=10,AE1080&lt;=100),RANDBETWEEN(100,1000),RANDBETWEEN(10,200)))</f>
        <v>96</v>
      </c>
      <c r="AT1080">
        <f t="shared" ca="1" si="82"/>
        <v>16</v>
      </c>
      <c r="AU1080">
        <f ca="1">INT(AS1080*RANDBETWEEN(120,200)/100)</f>
        <v>151</v>
      </c>
      <c r="AV1080" s="2">
        <f ca="1">IF(LEFT(Y1080,1)="L",RANDBETWEEN(500000,5000000),IF(LEFT(Y1080,1)="C",RANDBETWEEN(5000,50000),IF(LEFT(Y1080,1)="N",RANDBETWEEN(10000,150000),IF(LEFT(Y1080,1)="J",RANDBETWEEN(8000,200000),RANDBETWEEN(5000,100000)))))</f>
        <v>87684</v>
      </c>
      <c r="AW1080" s="2">
        <f ca="1">INT(AV1080*RANDBETWEEN(30,60)/100)</f>
        <v>27182</v>
      </c>
      <c r="AX1080">
        <f ca="1">IF(Z1080="ORAL",RANDBETWEEN(1000,10000),IF(OR(Z1080="INTRAVENOSA",Z1080="INTRAMUSCULAR"),RANDBETWEEN(100,2000),IF(OR(Z1080="OFTÁLMICA",Z1080="TOPICA (EXTERNA)"),RANDBETWEEN(200,3000),RANDBETWEEN(100,1500))))</f>
        <v>6475</v>
      </c>
      <c r="AY1080" s="2">
        <f ca="1">INT(AV1080*RANDBETWEEN(90,130)/100)</f>
        <v>78915</v>
      </c>
      <c r="AZ1080" t="str">
        <f t="shared" ca="1" si="83"/>
        <v>8.3%</v>
      </c>
      <c r="BA1080" t="str">
        <f t="shared" ca="1" si="84"/>
        <v>BAJO</v>
      </c>
    </row>
    <row r="1081" spans="4:53" x14ac:dyDescent="0.35">
      <c r="D1081" t="s">
        <v>6521</v>
      </c>
      <c r="E1081" s="1">
        <v>40465</v>
      </c>
      <c r="F1081" t="s">
        <v>107</v>
      </c>
      <c r="G1081" t="s">
        <v>108</v>
      </c>
      <c r="H1081" t="s">
        <v>6522</v>
      </c>
      <c r="I1081">
        <v>20015777</v>
      </c>
      <c r="J1081" t="s">
        <v>28</v>
      </c>
      <c r="K1081">
        <v>8</v>
      </c>
      <c r="L1081" t="s">
        <v>6523</v>
      </c>
      <c r="M1081" t="s">
        <v>3873</v>
      </c>
      <c r="N1081" t="s">
        <v>3874</v>
      </c>
      <c r="O1081" t="s">
        <v>6524</v>
      </c>
      <c r="P1081" t="s">
        <v>29</v>
      </c>
      <c r="Q1081" s="1">
        <v>40464</v>
      </c>
      <c r="R1081" t="s">
        <v>200</v>
      </c>
      <c r="S1081" t="s">
        <v>27</v>
      </c>
      <c r="T1081" t="s">
        <v>182</v>
      </c>
      <c r="U1081" t="s">
        <v>115</v>
      </c>
      <c r="V1081" t="s">
        <v>116</v>
      </c>
      <c r="W1081">
        <v>25</v>
      </c>
      <c r="X1081">
        <v>20015777</v>
      </c>
      <c r="Y1081" t="s">
        <v>118</v>
      </c>
      <c r="Z1081" t="s">
        <v>119</v>
      </c>
      <c r="AA1081" t="s">
        <v>32</v>
      </c>
      <c r="AB1081" t="s">
        <v>120</v>
      </c>
      <c r="AC1081" t="s">
        <v>25</v>
      </c>
      <c r="AD1081" t="s">
        <v>121</v>
      </c>
      <c r="AE1081">
        <v>28</v>
      </c>
      <c r="AF1081" t="s">
        <v>27</v>
      </c>
      <c r="AG1081" t="s">
        <v>26</v>
      </c>
      <c r="AH1081" t="s">
        <v>107</v>
      </c>
      <c r="AI1081" t="str">
        <f t="shared" si="80"/>
        <v>NO</v>
      </c>
      <c r="AJ1081" t="str">
        <f t="shared" si="81"/>
        <v>NOVARTIS PHARMA</v>
      </c>
      <c r="AK1081" t="str">
        <f>IF(ISNUMBER(SEARCH("FABRICANTE",AC1081)),"FABRICANTE",IF(ISNUMBER(SEARCH("IMPORTADOR",AC1081)),"IMPORTADOR","OTRO"))</f>
        <v>FABRICANTE</v>
      </c>
      <c r="AL1081" t="str">
        <f>IF(LEFT(Y1081,1)="A","Sistema digestivo",IF(LEFT(Y1081,1)="B","Sangre",IF(LEFT(Y1081,1)="C","Cardiovascular",IF(LEFT(Y1081,1)="D","Dermatológico",IF(LEFT(Y1081,1)="G","Genitourinario",IF(LEFT(Y1081,1)="H","Hormonal",IF(LEFT(Y1081,1)="J","Antiinfecciosos",IF(LEFT(Y1081,1)="L","Oncológicos",IF(LEFT(Y1081,1)="M","Musculoesquelético",IF(LEFT(Y1081,1)="N","Sistema nervioso",IF(LEFT(Y1081,1)="R","Respiratorio",IF(LEFT(Y1081,1)="S","Oftálmico",IF(LEFT(Y1081,1)="V","Varios","OTRO")))))))))))))</f>
        <v>Cardiovascular</v>
      </c>
      <c r="AM1081" t="str">
        <f>IF(AG1081="Vigente","ACTIVO",IF(ISNUMBER(SEARCH("Inactivo",J1081)),"INACTIVO","REVISAR"))</f>
        <v>ACTIVO</v>
      </c>
      <c r="AN1081" t="str">
        <f ca="1">IF(OR(AF1081="",AF1081="null"),"",ROUND((AF1081-TODAY())/365.25,2))</f>
        <v/>
      </c>
      <c r="AO1081" t="str">
        <f ca="1">IF(AND(AG1081="Vigente",OR(AF1081="",AF1081="null",AF1081&gt;TODAY())),"SI",IF(AND(NOT(OR(AF1081="",AF1081="null")),AF1081&lt;=TODAY()),"NO",IF(AG1081="Vigente","SI","DESCONOCIDO")))</f>
        <v>SI</v>
      </c>
      <c r="AP1081" t="str">
        <f>IF(AND(ISNUMBER(SEARCH("IMPORTAR",AA1081)),ISNUMBER(SEARCH("FABRICAR",AA1081))),"MIXTO",IF(ISNUMBER(SEARCH("IMPORTAR",AA1081)),"IMPORTADO",IF(ISNUMBER(SEARCH("FABRICAR",AA1081)),"LOCAL","OTRO")))</f>
        <v>IMPORTADO</v>
      </c>
      <c r="AQ1081" t="str">
        <f>IF(AD1081="Si","SI",IF(AD1081="No","NO",""))</f>
        <v>NO</v>
      </c>
      <c r="AR1081" t="str">
        <f>IF(ISNUMBER(SEARCH("®",N1081)),"MARCA/INNOVADOR","GENERICO")</f>
        <v>MARCA/INNOVADOR</v>
      </c>
      <c r="AS1081">
        <f ca="1">IF(AE1081&gt;100,RANDBETWEEN(500,5000),IF(AND(AE1081&gt;=10,AE1081&lt;=100),RANDBETWEEN(100,1000),RANDBETWEEN(10,200)))</f>
        <v>710</v>
      </c>
      <c r="AT1081">
        <f t="shared" ca="1" si="82"/>
        <v>78</v>
      </c>
      <c r="AU1081">
        <f ca="1">INT(AS1081*RANDBETWEEN(120,200)/100)</f>
        <v>1185</v>
      </c>
      <c r="AV1081" s="2">
        <f ca="1">IF(LEFT(Y1081,1)="L",RANDBETWEEN(500000,5000000),IF(LEFT(Y1081,1)="C",RANDBETWEEN(5000,50000),IF(LEFT(Y1081,1)="N",RANDBETWEEN(10000,150000),IF(LEFT(Y1081,1)="J",RANDBETWEEN(8000,200000),RANDBETWEEN(5000,100000)))))</f>
        <v>29019</v>
      </c>
      <c r="AW1081" s="2">
        <f ca="1">INT(AV1081*RANDBETWEEN(30,60)/100)</f>
        <v>12768</v>
      </c>
      <c r="AX1081">
        <f ca="1">IF(Z1081="ORAL",RANDBETWEEN(1000,10000),IF(OR(Z1081="INTRAVENOSA",Z1081="INTRAMUSCULAR"),RANDBETWEEN(100,2000),IF(OR(Z1081="OFTÁLMICA",Z1081="TOPICA (EXTERNA)"),RANDBETWEEN(200,3000),RANDBETWEEN(100,1500))))</f>
        <v>6608</v>
      </c>
      <c r="AY1081" s="2">
        <f ca="1">INT(AV1081*RANDBETWEEN(90,130)/100)</f>
        <v>37724</v>
      </c>
      <c r="AZ1081" t="str">
        <f t="shared" ca="1" si="83"/>
        <v>18.9%</v>
      </c>
      <c r="BA1081" t="str">
        <f t="shared" ca="1" si="84"/>
        <v>BAJO</v>
      </c>
    </row>
    <row r="1082" spans="4:53" x14ac:dyDescent="0.35">
      <c r="D1082" t="s">
        <v>6525</v>
      </c>
      <c r="E1082" s="1">
        <v>36161</v>
      </c>
      <c r="F1082" t="s">
        <v>1387</v>
      </c>
      <c r="G1082" t="s">
        <v>108</v>
      </c>
      <c r="H1082" t="s">
        <v>6526</v>
      </c>
      <c r="I1082">
        <v>206903</v>
      </c>
      <c r="J1082" t="s">
        <v>28</v>
      </c>
      <c r="K1082">
        <v>6</v>
      </c>
      <c r="L1082" t="s">
        <v>27</v>
      </c>
      <c r="M1082" t="s">
        <v>1389</v>
      </c>
      <c r="N1082" t="s">
        <v>1390</v>
      </c>
      <c r="O1082" t="s">
        <v>6527</v>
      </c>
      <c r="P1082" t="s">
        <v>1392</v>
      </c>
      <c r="Q1082" s="1">
        <v>45014</v>
      </c>
      <c r="R1082" t="s">
        <v>43</v>
      </c>
      <c r="S1082" t="s">
        <v>27</v>
      </c>
      <c r="T1082" t="s">
        <v>1393</v>
      </c>
      <c r="U1082" t="s">
        <v>1394</v>
      </c>
      <c r="V1082" t="s">
        <v>1395</v>
      </c>
      <c r="W1082">
        <v>100000</v>
      </c>
      <c r="X1082">
        <v>206903</v>
      </c>
      <c r="Y1082" t="s">
        <v>1396</v>
      </c>
      <c r="Z1082" t="s">
        <v>566</v>
      </c>
      <c r="AA1082" t="s">
        <v>32</v>
      </c>
      <c r="AB1082" t="s">
        <v>239</v>
      </c>
      <c r="AC1082" t="s">
        <v>25</v>
      </c>
      <c r="AD1082" t="s">
        <v>155</v>
      </c>
      <c r="AE1082">
        <v>1</v>
      </c>
      <c r="AF1082" t="s">
        <v>27</v>
      </c>
      <c r="AG1082" t="s">
        <v>26</v>
      </c>
      <c r="AH1082" t="s">
        <v>6628</v>
      </c>
      <c r="AI1082" t="str">
        <f t="shared" si="80"/>
        <v>NO</v>
      </c>
      <c r="AJ1082" t="str">
        <f t="shared" si="81"/>
        <v>A. MENARINI INDUSTRIE FARMACEUTICHE RIUNITI S R L</v>
      </c>
      <c r="AK1082" t="str">
        <f>IF(ISNUMBER(SEARCH("FABRICANTE",AC1082)),"FABRICANTE",IF(ISNUMBER(SEARCH("IMPORTADOR",AC1082)),"IMPORTADOR","OTRO"))</f>
        <v>FABRICANTE</v>
      </c>
      <c r="AL1082" t="str">
        <f>IF(LEFT(Y1082,1)="A","Sistema digestivo",IF(LEFT(Y1082,1)="B","Sangre",IF(LEFT(Y1082,1)="C","Cardiovascular",IF(LEFT(Y1082,1)="D","Dermatológico",IF(LEFT(Y1082,1)="G","Genitourinario",IF(LEFT(Y1082,1)="H","Hormonal",IF(LEFT(Y1082,1)="J","Antiinfecciosos",IF(LEFT(Y1082,1)="L","Oncológicos",IF(LEFT(Y1082,1)="M","Musculoesquelético",IF(LEFT(Y1082,1)="N","Sistema nervioso",IF(LEFT(Y1082,1)="R","Respiratorio",IF(LEFT(Y1082,1)="S","Oftálmico",IF(LEFT(Y1082,1)="V","Varios","OTRO")))))))))))))</f>
        <v>Cardiovascular</v>
      </c>
      <c r="AM1082" t="str">
        <f>IF(AG1082="Vigente","ACTIVO",IF(ISNUMBER(SEARCH("Inactivo",J1082)),"INACTIVO","REVISAR"))</f>
        <v>ACTIVO</v>
      </c>
      <c r="AN1082" t="str">
        <f ca="1">IF(OR(AF1082="",AF1082="null"),"",ROUND((AF1082-TODAY())/365.25,2))</f>
        <v/>
      </c>
      <c r="AO1082" t="str">
        <f ca="1">IF(AND(AG1082="Vigente",OR(AF1082="",AF1082="null",AF1082&gt;TODAY())),"SI",IF(AND(NOT(OR(AF1082="",AF1082="null")),AF1082&lt;=TODAY()),"NO",IF(AG1082="Vigente","SI","DESCONOCIDO")))</f>
        <v>SI</v>
      </c>
      <c r="AP1082" t="str">
        <f>IF(AND(ISNUMBER(SEARCH("IMPORTAR",AA1082)),ISNUMBER(SEARCH("FABRICAR",AA1082))),"MIXTO",IF(ISNUMBER(SEARCH("IMPORTAR",AA1082)),"IMPORTADO",IF(ISNUMBER(SEARCH("FABRICAR",AA1082)),"LOCAL","OTRO")))</f>
        <v>IMPORTADO</v>
      </c>
      <c r="AQ1082" t="str">
        <f>IF(AD1082="Si","SI",IF(AD1082="No","NO",""))</f>
        <v>SI</v>
      </c>
      <c r="AR1082" t="str">
        <f>IF(ISNUMBER(SEARCH("®",N1082)),"MARCA/INNOVADOR","GENERICO")</f>
        <v>MARCA/INNOVADOR</v>
      </c>
      <c r="AS1082">
        <f ca="1">IF(AE1082&gt;100,RANDBETWEEN(500,5000),IF(AND(AE1082&gt;=10,AE1082&lt;=100),RANDBETWEEN(100,1000),RANDBETWEEN(10,200)))</f>
        <v>112</v>
      </c>
      <c r="AT1082">
        <f t="shared" ca="1" si="82"/>
        <v>11</v>
      </c>
      <c r="AU1082">
        <f ca="1">INT(AS1082*RANDBETWEEN(120,200)/100)</f>
        <v>162</v>
      </c>
      <c r="AV1082" s="2">
        <f ca="1">IF(LEFT(Y1082,1)="L",RANDBETWEEN(500000,5000000),IF(LEFT(Y1082,1)="C",RANDBETWEEN(5000,50000),IF(LEFT(Y1082,1)="N",RANDBETWEEN(10000,150000),IF(LEFT(Y1082,1)="J",RANDBETWEEN(8000,200000),RANDBETWEEN(5000,100000)))))</f>
        <v>13044</v>
      </c>
      <c r="AW1082" s="2">
        <f ca="1">INT(AV1082*RANDBETWEEN(30,60)/100)</f>
        <v>4826</v>
      </c>
      <c r="AX1082">
        <f ca="1">IF(Z1082="ORAL",RANDBETWEEN(1000,10000),IF(OR(Z1082="INTRAVENOSA",Z1082="INTRAMUSCULAR"),RANDBETWEEN(100,2000),IF(OR(Z1082="OFTÁLMICA",Z1082="TOPICA (EXTERNA)"),RANDBETWEEN(200,3000),RANDBETWEEN(100,1500))))</f>
        <v>2690</v>
      </c>
      <c r="AY1082" s="2">
        <f ca="1">INT(AV1082*RANDBETWEEN(90,130)/100)</f>
        <v>16565</v>
      </c>
      <c r="AZ1082" t="str">
        <f t="shared" ca="1" si="83"/>
        <v>9.9%</v>
      </c>
      <c r="BA1082" t="str">
        <f t="shared" ca="1" si="84"/>
        <v>BAJO</v>
      </c>
    </row>
    <row r="1083" spans="4:53" x14ac:dyDescent="0.35">
      <c r="D1083" t="s">
        <v>6528</v>
      </c>
      <c r="E1083" s="1">
        <v>39402</v>
      </c>
      <c r="F1083" t="s">
        <v>887</v>
      </c>
      <c r="G1083" t="s">
        <v>108</v>
      </c>
      <c r="H1083" t="s">
        <v>710</v>
      </c>
      <c r="I1083">
        <v>19975921</v>
      </c>
      <c r="J1083" t="s">
        <v>28</v>
      </c>
      <c r="K1083">
        <v>18</v>
      </c>
      <c r="L1083" t="s">
        <v>27</v>
      </c>
      <c r="M1083" t="s">
        <v>889</v>
      </c>
      <c r="N1083" t="s">
        <v>890</v>
      </c>
      <c r="O1083" t="s">
        <v>6529</v>
      </c>
      <c r="P1083" t="s">
        <v>33</v>
      </c>
      <c r="Q1083" s="1">
        <v>45398</v>
      </c>
      <c r="R1083" t="s">
        <v>29</v>
      </c>
      <c r="S1083" t="s">
        <v>27</v>
      </c>
      <c r="T1083" t="s">
        <v>172</v>
      </c>
      <c r="U1083" t="s">
        <v>115</v>
      </c>
      <c r="V1083" t="s">
        <v>892</v>
      </c>
      <c r="W1083">
        <v>5</v>
      </c>
      <c r="X1083">
        <v>19975921</v>
      </c>
      <c r="Y1083" t="s">
        <v>893</v>
      </c>
      <c r="Z1083" t="s">
        <v>119</v>
      </c>
      <c r="AA1083" t="s">
        <v>24</v>
      </c>
      <c r="AB1083" t="s">
        <v>120</v>
      </c>
      <c r="AC1083" t="s">
        <v>25</v>
      </c>
      <c r="AD1083" t="s">
        <v>121</v>
      </c>
      <c r="AE1083">
        <v>30</v>
      </c>
      <c r="AF1083" t="s">
        <v>27</v>
      </c>
      <c r="AG1083" t="s">
        <v>26</v>
      </c>
      <c r="AH1083" t="s">
        <v>6740</v>
      </c>
      <c r="AI1083" t="str">
        <f t="shared" si="80"/>
        <v>NO</v>
      </c>
      <c r="AJ1083" t="str">
        <f t="shared" si="81"/>
        <v>NOVAMED</v>
      </c>
      <c r="AK1083" t="str">
        <f>IF(ISNUMBER(SEARCH("FABRICANTE",AC1083)),"FABRICANTE",IF(ISNUMBER(SEARCH("IMPORTADOR",AC1083)),"IMPORTADOR","OTRO"))</f>
        <v>FABRICANTE</v>
      </c>
      <c r="AL1083" t="str">
        <f>IF(LEFT(Y1083,1)="A","Sistema digestivo",IF(LEFT(Y1083,1)="B","Sangre",IF(LEFT(Y1083,1)="C","Cardiovascular",IF(LEFT(Y1083,1)="D","Dermatológico",IF(LEFT(Y1083,1)="G","Genitourinario",IF(LEFT(Y1083,1)="H","Hormonal",IF(LEFT(Y1083,1)="J","Antiinfecciosos",IF(LEFT(Y1083,1)="L","Oncológicos",IF(LEFT(Y1083,1)="M","Musculoesquelético",IF(LEFT(Y1083,1)="N","Sistema nervioso",IF(LEFT(Y1083,1)="R","Respiratorio",IF(LEFT(Y1083,1)="S","Oftálmico",IF(LEFT(Y1083,1)="V","Varios","OTRO")))))))))))))</f>
        <v>Sistema digestivo</v>
      </c>
      <c r="AM1083" t="str">
        <f>IF(AG1083="Vigente","ACTIVO",IF(ISNUMBER(SEARCH("Inactivo",J1083)),"INACTIVO","REVISAR"))</f>
        <v>ACTIVO</v>
      </c>
      <c r="AN1083" t="str">
        <f ca="1">IF(OR(AF1083="",AF1083="null"),"",ROUND((AF1083-TODAY())/365.25,2))</f>
        <v/>
      </c>
      <c r="AO1083" t="str">
        <f ca="1">IF(AND(AG1083="Vigente",OR(AF1083="",AF1083="null",AF1083&gt;TODAY())),"SI",IF(AND(NOT(OR(AF1083="",AF1083="null")),AF1083&lt;=TODAY()),"NO",IF(AG1083="Vigente","SI","DESCONOCIDO")))</f>
        <v>SI</v>
      </c>
      <c r="AP1083" t="str">
        <f>IF(AND(ISNUMBER(SEARCH("IMPORTAR",AA1083)),ISNUMBER(SEARCH("FABRICAR",AA1083))),"MIXTO",IF(ISNUMBER(SEARCH("IMPORTAR",AA1083)),"IMPORTADO",IF(ISNUMBER(SEARCH("FABRICAR",AA1083)),"LOCAL","OTRO")))</f>
        <v>LOCAL</v>
      </c>
      <c r="AQ1083" t="str">
        <f>IF(AD1083="Si","SI",IF(AD1083="No","NO",""))</f>
        <v>NO</v>
      </c>
      <c r="AR1083" t="str">
        <f>IF(ISNUMBER(SEARCH("®",N1083)),"MARCA/INNOVADOR","GENERICO")</f>
        <v>GENERICO</v>
      </c>
      <c r="AS1083">
        <f ca="1">IF(AE1083&gt;100,RANDBETWEEN(500,5000),IF(AND(AE1083&gt;=10,AE1083&lt;=100),RANDBETWEEN(100,1000),RANDBETWEEN(10,200)))</f>
        <v>753</v>
      </c>
      <c r="AT1083">
        <f t="shared" ca="1" si="82"/>
        <v>135</v>
      </c>
      <c r="AU1083">
        <f ca="1">INT(AS1083*RANDBETWEEN(120,200)/100)</f>
        <v>1377</v>
      </c>
      <c r="AV1083" s="2">
        <f ca="1">IF(LEFT(Y1083,1)="L",RANDBETWEEN(500000,5000000),IF(LEFT(Y1083,1)="C",RANDBETWEEN(5000,50000),IF(LEFT(Y1083,1)="N",RANDBETWEEN(10000,150000),IF(LEFT(Y1083,1)="J",RANDBETWEEN(8000,200000),RANDBETWEEN(5000,100000)))))</f>
        <v>41186</v>
      </c>
      <c r="AW1083" s="2">
        <f ca="1">INT(AV1083*RANDBETWEEN(30,60)/100)</f>
        <v>18945</v>
      </c>
      <c r="AX1083">
        <f ca="1">IF(Z1083="ORAL",RANDBETWEEN(1000,10000),IF(OR(Z1083="INTRAVENOSA",Z1083="INTRAMUSCULAR"),RANDBETWEEN(100,2000),IF(OR(Z1083="OFTÁLMICA",Z1083="TOPICA (EXTERNA)"),RANDBETWEEN(200,3000),RANDBETWEEN(100,1500))))</f>
        <v>7477</v>
      </c>
      <c r="AY1083" s="2">
        <f ca="1">INT(AV1083*RANDBETWEEN(90,130)/100)</f>
        <v>44069</v>
      </c>
      <c r="AZ1083" t="str">
        <f t="shared" ca="1" si="83"/>
        <v>19.4%</v>
      </c>
      <c r="BA1083" t="str">
        <f t="shared" ca="1" si="84"/>
        <v>BAJO</v>
      </c>
    </row>
    <row r="1084" spans="4:53" x14ac:dyDescent="0.35">
      <c r="D1084" t="s">
        <v>6530</v>
      </c>
      <c r="E1084" s="1">
        <v>41984</v>
      </c>
      <c r="F1084" t="s">
        <v>3997</v>
      </c>
      <c r="G1084" t="s">
        <v>108</v>
      </c>
      <c r="H1084" t="s">
        <v>3998</v>
      </c>
      <c r="I1084">
        <v>20068050</v>
      </c>
      <c r="J1084" t="s">
        <v>110</v>
      </c>
      <c r="K1084">
        <v>11</v>
      </c>
      <c r="L1084" t="s">
        <v>27</v>
      </c>
      <c r="M1084" t="s">
        <v>6531</v>
      </c>
      <c r="N1084" t="s">
        <v>6532</v>
      </c>
      <c r="O1084" t="s">
        <v>6533</v>
      </c>
      <c r="P1084" t="s">
        <v>4002</v>
      </c>
      <c r="Q1084" s="1">
        <v>42135</v>
      </c>
      <c r="R1084" t="s">
        <v>47</v>
      </c>
      <c r="S1084" t="s">
        <v>27</v>
      </c>
      <c r="T1084" t="s">
        <v>806</v>
      </c>
      <c r="U1084" t="s">
        <v>115</v>
      </c>
      <c r="V1084" t="s">
        <v>84</v>
      </c>
      <c r="W1084">
        <v>1000</v>
      </c>
      <c r="X1084">
        <v>20068050</v>
      </c>
      <c r="Y1084" t="s">
        <v>82</v>
      </c>
      <c r="Z1084" t="s">
        <v>119</v>
      </c>
      <c r="AA1084" t="s">
        <v>32</v>
      </c>
      <c r="AB1084" t="s">
        <v>120</v>
      </c>
      <c r="AC1084" t="s">
        <v>25</v>
      </c>
      <c r="AD1084" t="s">
        <v>121</v>
      </c>
      <c r="AE1084">
        <v>90</v>
      </c>
      <c r="AF1084" t="s">
        <v>27</v>
      </c>
      <c r="AG1084" t="s">
        <v>26</v>
      </c>
      <c r="AH1084" t="s">
        <v>6818</v>
      </c>
      <c r="AI1084" t="str">
        <f t="shared" si="80"/>
        <v>NO</v>
      </c>
      <c r="AJ1084" t="str">
        <f t="shared" si="81"/>
        <v>MERCK SHARP &amp; DOHME</v>
      </c>
      <c r="AK1084" t="str">
        <f>IF(ISNUMBER(SEARCH("FABRICANTE",AC1084)),"FABRICANTE",IF(ISNUMBER(SEARCH("IMPORTADOR",AC1084)),"IMPORTADOR","OTRO"))</f>
        <v>FABRICANTE</v>
      </c>
      <c r="AL1084" t="str">
        <f>IF(LEFT(Y1084,1)="A","Sistema digestivo",IF(LEFT(Y1084,1)="B","Sangre",IF(LEFT(Y1084,1)="C","Cardiovascular",IF(LEFT(Y1084,1)="D","Dermatológico",IF(LEFT(Y1084,1)="G","Genitourinario",IF(LEFT(Y1084,1)="H","Hormonal",IF(LEFT(Y1084,1)="J","Antiinfecciosos",IF(LEFT(Y1084,1)="L","Oncológicos",IF(LEFT(Y1084,1)="M","Musculoesquelético",IF(LEFT(Y1084,1)="N","Sistema nervioso",IF(LEFT(Y1084,1)="R","Respiratorio",IF(LEFT(Y1084,1)="S","Oftálmico",IF(LEFT(Y1084,1)="V","Varios","OTRO")))))))))))))</f>
        <v>Sistema digestivo</v>
      </c>
      <c r="AM1084" t="str">
        <f>IF(AG1084="Vigente","ACTIVO",IF(ISNUMBER(SEARCH("Inactivo",J1084)),"INACTIVO","REVISAR"))</f>
        <v>ACTIVO</v>
      </c>
      <c r="AN1084" t="str">
        <f ca="1">IF(OR(AF1084="",AF1084="null"),"",ROUND((AF1084-TODAY())/365.25,2))</f>
        <v/>
      </c>
      <c r="AO1084" t="str">
        <f ca="1">IF(AND(AG1084="Vigente",OR(AF1084="",AF1084="null",AF1084&gt;TODAY())),"SI",IF(AND(NOT(OR(AF1084="",AF1084="null")),AF1084&lt;=TODAY()),"NO",IF(AG1084="Vigente","SI","DESCONOCIDO")))</f>
        <v>SI</v>
      </c>
      <c r="AP1084" t="str">
        <f>IF(AND(ISNUMBER(SEARCH("IMPORTAR",AA1084)),ISNUMBER(SEARCH("FABRICAR",AA1084))),"MIXTO",IF(ISNUMBER(SEARCH("IMPORTAR",AA1084)),"IMPORTADO",IF(ISNUMBER(SEARCH("FABRICAR",AA1084)),"LOCAL","OTRO")))</f>
        <v>IMPORTADO</v>
      </c>
      <c r="AQ1084" t="str">
        <f>IF(AD1084="Si","SI",IF(AD1084="No","NO",""))</f>
        <v>NO</v>
      </c>
      <c r="AR1084" t="str">
        <f>IF(ISNUMBER(SEARCH("®",N1084)),"MARCA/INNOVADOR","GENERICO")</f>
        <v>GENERICO</v>
      </c>
      <c r="AS1084">
        <f ca="1">IF(AE1084&gt;100,RANDBETWEEN(500,5000),IF(AND(AE1084&gt;=10,AE1084&lt;=100),RANDBETWEEN(100,1000),RANDBETWEEN(10,200)))</f>
        <v>917</v>
      </c>
      <c r="AT1084">
        <f t="shared" ca="1" si="82"/>
        <v>146</v>
      </c>
      <c r="AU1084">
        <f ca="1">INT(AS1084*RANDBETWEEN(120,200)/100)</f>
        <v>1357</v>
      </c>
      <c r="AV1084" s="2">
        <f ca="1">IF(LEFT(Y1084,1)="L",RANDBETWEEN(500000,5000000),IF(LEFT(Y1084,1)="C",RANDBETWEEN(5000,50000),IF(LEFT(Y1084,1)="N",RANDBETWEEN(10000,150000),IF(LEFT(Y1084,1)="J",RANDBETWEEN(8000,200000),RANDBETWEEN(5000,100000)))))</f>
        <v>45816</v>
      </c>
      <c r="AW1084" s="2">
        <f ca="1">INT(AV1084*RANDBETWEEN(30,60)/100)</f>
        <v>23824</v>
      </c>
      <c r="AX1084">
        <f ca="1">IF(Z1084="ORAL",RANDBETWEEN(1000,10000),IF(OR(Z1084="INTRAVENOSA",Z1084="INTRAMUSCULAR"),RANDBETWEEN(100,2000),IF(OR(Z1084="OFTÁLMICA",Z1084="TOPICA (EXTERNA)"),RANDBETWEEN(200,3000),RANDBETWEEN(100,1500))))</f>
        <v>5312</v>
      </c>
      <c r="AY1084" s="2">
        <f ca="1">INT(AV1084*RANDBETWEEN(90,130)/100)</f>
        <v>42608</v>
      </c>
      <c r="AZ1084" t="str">
        <f t="shared" ca="1" si="83"/>
        <v>16.3%</v>
      </c>
      <c r="BA1084" t="str">
        <f t="shared" ca="1" si="84"/>
        <v>ALTO</v>
      </c>
    </row>
    <row r="1085" spans="4:53" x14ac:dyDescent="0.35">
      <c r="D1085" t="s">
        <v>6534</v>
      </c>
      <c r="E1085" s="1">
        <v>39386</v>
      </c>
      <c r="F1085" t="s">
        <v>6535</v>
      </c>
      <c r="G1085" t="s">
        <v>108</v>
      </c>
      <c r="H1085" t="s">
        <v>168</v>
      </c>
      <c r="I1085">
        <v>19978181</v>
      </c>
      <c r="J1085" t="s">
        <v>28</v>
      </c>
      <c r="K1085">
        <v>38</v>
      </c>
      <c r="L1085" t="s">
        <v>27</v>
      </c>
      <c r="M1085" t="s">
        <v>6536</v>
      </c>
      <c r="N1085" t="s">
        <v>6537</v>
      </c>
      <c r="O1085" t="s">
        <v>6538</v>
      </c>
      <c r="P1085" t="s">
        <v>29</v>
      </c>
      <c r="Q1085" s="1">
        <v>41575</v>
      </c>
      <c r="R1085" t="s">
        <v>29</v>
      </c>
      <c r="S1085" t="s">
        <v>27</v>
      </c>
      <c r="T1085" t="s">
        <v>172</v>
      </c>
      <c r="U1085" t="s">
        <v>115</v>
      </c>
      <c r="V1085" t="s">
        <v>6539</v>
      </c>
      <c r="W1085">
        <v>40</v>
      </c>
      <c r="X1085">
        <v>19978181</v>
      </c>
      <c r="Y1085" t="s">
        <v>6540</v>
      </c>
      <c r="Z1085" t="s">
        <v>119</v>
      </c>
      <c r="AA1085" t="s">
        <v>24</v>
      </c>
      <c r="AB1085" t="s">
        <v>120</v>
      </c>
      <c r="AC1085" t="s">
        <v>25</v>
      </c>
      <c r="AD1085" t="s">
        <v>121</v>
      </c>
      <c r="AE1085">
        <v>300</v>
      </c>
      <c r="AF1085" t="s">
        <v>27</v>
      </c>
      <c r="AG1085" t="s">
        <v>26</v>
      </c>
      <c r="AH1085" t="s">
        <v>6535</v>
      </c>
      <c r="AI1085" t="str">
        <f t="shared" si="80"/>
        <v>NO</v>
      </c>
      <c r="AJ1085" t="str">
        <f t="shared" si="81"/>
        <v>NOVAMED</v>
      </c>
      <c r="AK1085" t="str">
        <f>IF(ISNUMBER(SEARCH("FABRICANTE",AC1085)),"FABRICANTE",IF(ISNUMBER(SEARCH("IMPORTADOR",AC1085)),"IMPORTADOR","OTRO"))</f>
        <v>FABRICANTE</v>
      </c>
      <c r="AL1085" t="str">
        <f>IF(LEFT(Y1085,1)="A","Sistema digestivo",IF(LEFT(Y1085,1)="B","Sangre",IF(LEFT(Y1085,1)="C","Cardiovascular",IF(LEFT(Y1085,1)="D","Dermatológico",IF(LEFT(Y1085,1)="G","Genitourinario",IF(LEFT(Y1085,1)="H","Hormonal",IF(LEFT(Y1085,1)="J","Antiinfecciosos",IF(LEFT(Y1085,1)="L","Oncológicos",IF(LEFT(Y1085,1)="M","Musculoesquelético",IF(LEFT(Y1085,1)="N","Sistema nervioso",IF(LEFT(Y1085,1)="R","Respiratorio",IF(LEFT(Y1085,1)="S","Oftálmico",IF(LEFT(Y1085,1)="V","Varios","OTRO")))))))))))))</f>
        <v>Cardiovascular</v>
      </c>
      <c r="AM1085" t="str">
        <f>IF(AG1085="Vigente","ACTIVO",IF(ISNUMBER(SEARCH("Inactivo",J1085)),"INACTIVO","REVISAR"))</f>
        <v>ACTIVO</v>
      </c>
      <c r="AN1085" t="str">
        <f ca="1">IF(OR(AF1085="",AF1085="null"),"",ROUND((AF1085-TODAY())/365.25,2))</f>
        <v/>
      </c>
      <c r="AO1085" t="str">
        <f ca="1">IF(AND(AG1085="Vigente",OR(AF1085="",AF1085="null",AF1085&gt;TODAY())),"SI",IF(AND(NOT(OR(AF1085="",AF1085="null")),AF1085&lt;=TODAY()),"NO",IF(AG1085="Vigente","SI","DESCONOCIDO")))</f>
        <v>SI</v>
      </c>
      <c r="AP1085" t="str">
        <f>IF(AND(ISNUMBER(SEARCH("IMPORTAR",AA1085)),ISNUMBER(SEARCH("FABRICAR",AA1085))),"MIXTO",IF(ISNUMBER(SEARCH("IMPORTAR",AA1085)),"IMPORTADO",IF(ISNUMBER(SEARCH("FABRICAR",AA1085)),"LOCAL","OTRO")))</f>
        <v>LOCAL</v>
      </c>
      <c r="AQ1085" t="str">
        <f>IF(AD1085="Si","SI",IF(AD1085="No","NO",""))</f>
        <v>NO</v>
      </c>
      <c r="AR1085" t="str">
        <f>IF(ISNUMBER(SEARCH("®",N1085)),"MARCA/INNOVADOR","GENERICO")</f>
        <v>GENERICO</v>
      </c>
      <c r="AS1085">
        <f ca="1">IF(AE1085&gt;100,RANDBETWEEN(500,5000),IF(AND(AE1085&gt;=10,AE1085&lt;=100),RANDBETWEEN(100,1000),RANDBETWEEN(10,200)))</f>
        <v>3539</v>
      </c>
      <c r="AT1085">
        <f t="shared" ca="1" si="82"/>
        <v>389</v>
      </c>
      <c r="AU1085">
        <f ca="1">INT(AS1085*RANDBETWEEN(120,200)/100)</f>
        <v>5131</v>
      </c>
      <c r="AV1085" s="2">
        <f ca="1">IF(LEFT(Y1085,1)="L",RANDBETWEEN(500000,5000000),IF(LEFT(Y1085,1)="C",RANDBETWEEN(5000,50000),IF(LEFT(Y1085,1)="N",RANDBETWEEN(10000,150000),IF(LEFT(Y1085,1)="J",RANDBETWEEN(8000,200000),RANDBETWEEN(5000,100000)))))</f>
        <v>43731</v>
      </c>
      <c r="AW1085" s="2">
        <f ca="1">INT(AV1085*RANDBETWEEN(30,60)/100)</f>
        <v>16180</v>
      </c>
      <c r="AX1085">
        <f ca="1">IF(Z1085="ORAL",RANDBETWEEN(1000,10000),IF(OR(Z1085="INTRAVENOSA",Z1085="INTRAMUSCULAR"),RANDBETWEEN(100,2000),IF(OR(Z1085="OFTÁLMICA",Z1085="TOPICA (EXTERNA)"),RANDBETWEEN(200,3000),RANDBETWEEN(100,1500))))</f>
        <v>6843</v>
      </c>
      <c r="AY1085" s="2">
        <f ca="1">INT(AV1085*RANDBETWEEN(90,130)/100)</f>
        <v>43293</v>
      </c>
      <c r="AZ1085" t="str">
        <f t="shared" ca="1" si="83"/>
        <v>8.6%</v>
      </c>
      <c r="BA1085" t="str">
        <f t="shared" ca="1" si="84"/>
        <v>BAJO</v>
      </c>
    </row>
    <row r="1086" spans="4:53" x14ac:dyDescent="0.35">
      <c r="D1086" t="s">
        <v>6541</v>
      </c>
      <c r="E1086" s="1">
        <v>42018</v>
      </c>
      <c r="F1086" t="s">
        <v>6542</v>
      </c>
      <c r="G1086" t="s">
        <v>108</v>
      </c>
      <c r="H1086" t="s">
        <v>242</v>
      </c>
      <c r="I1086">
        <v>20063408</v>
      </c>
      <c r="J1086" t="s">
        <v>28</v>
      </c>
      <c r="K1086">
        <v>10</v>
      </c>
      <c r="L1086" t="s">
        <v>27</v>
      </c>
      <c r="M1086" t="s">
        <v>6175</v>
      </c>
      <c r="N1086" t="s">
        <v>6176</v>
      </c>
      <c r="O1086" t="s">
        <v>6543</v>
      </c>
      <c r="P1086" t="s">
        <v>6178</v>
      </c>
      <c r="Q1086" s="1">
        <v>42012</v>
      </c>
      <c r="R1086" t="s">
        <v>867</v>
      </c>
      <c r="S1086" t="s">
        <v>27</v>
      </c>
      <c r="T1086" t="s">
        <v>80</v>
      </c>
      <c r="U1086" t="s">
        <v>469</v>
      </c>
      <c r="V1086" t="s">
        <v>1362</v>
      </c>
      <c r="W1086">
        <v>400</v>
      </c>
      <c r="X1086">
        <v>20063408</v>
      </c>
      <c r="Y1086" t="s">
        <v>1363</v>
      </c>
      <c r="Z1086" t="s">
        <v>119</v>
      </c>
      <c r="AA1086" t="s">
        <v>24</v>
      </c>
      <c r="AB1086" t="s">
        <v>120</v>
      </c>
      <c r="AC1086" t="s">
        <v>25</v>
      </c>
      <c r="AD1086" t="s">
        <v>121</v>
      </c>
      <c r="AE1086">
        <v>30</v>
      </c>
      <c r="AF1086" t="s">
        <v>27</v>
      </c>
      <c r="AG1086" t="s">
        <v>26</v>
      </c>
      <c r="AH1086" t="s">
        <v>6666</v>
      </c>
      <c r="AI1086" t="str">
        <f t="shared" si="80"/>
        <v>SI</v>
      </c>
      <c r="AJ1086" t="str">
        <f t="shared" si="81"/>
        <v>TECNOQUIMICAS</v>
      </c>
      <c r="AK1086" t="str">
        <f>IF(ISNUMBER(SEARCH("FABRICANTE",AC1086)),"FABRICANTE",IF(ISNUMBER(SEARCH("IMPORTADOR",AC1086)),"IMPORTADOR","OTRO"))</f>
        <v>FABRICANTE</v>
      </c>
      <c r="AL1086" t="str">
        <f>IF(LEFT(Y1086,1)="A","Sistema digestivo",IF(LEFT(Y1086,1)="B","Sangre",IF(LEFT(Y1086,1)="C","Cardiovascular",IF(LEFT(Y1086,1)="D","Dermatológico",IF(LEFT(Y1086,1)="G","Genitourinario",IF(LEFT(Y1086,1)="H","Hormonal",IF(LEFT(Y1086,1)="J","Antiinfecciosos",IF(LEFT(Y1086,1)="L","Oncológicos",IF(LEFT(Y1086,1)="M","Musculoesquelético",IF(LEFT(Y1086,1)="N","Sistema nervioso",IF(LEFT(Y1086,1)="R","Respiratorio",IF(LEFT(Y1086,1)="S","Oftálmico",IF(LEFT(Y1086,1)="V","Varios","OTRO")))))))))))))</f>
        <v>Sistema digestivo</v>
      </c>
      <c r="AM1086" t="str">
        <f>IF(AG1086="Vigente","ACTIVO",IF(ISNUMBER(SEARCH("Inactivo",J1086)),"INACTIVO","REVISAR"))</f>
        <v>ACTIVO</v>
      </c>
      <c r="AN1086" t="str">
        <f ca="1">IF(OR(AF1086="",AF1086="null"),"",ROUND((AF1086-TODAY())/365.25,2))</f>
        <v/>
      </c>
      <c r="AO1086" t="str">
        <f ca="1">IF(AND(AG1086="Vigente",OR(AF1086="",AF1086="null",AF1086&gt;TODAY())),"SI",IF(AND(NOT(OR(AF1086="",AF1086="null")),AF1086&lt;=TODAY()),"NO",IF(AG1086="Vigente","SI","DESCONOCIDO")))</f>
        <v>SI</v>
      </c>
      <c r="AP1086" t="str">
        <f>IF(AND(ISNUMBER(SEARCH("IMPORTAR",AA1086)),ISNUMBER(SEARCH("FABRICAR",AA1086))),"MIXTO",IF(ISNUMBER(SEARCH("IMPORTAR",AA1086)),"IMPORTADO",IF(ISNUMBER(SEARCH("FABRICAR",AA1086)),"LOCAL","OTRO")))</f>
        <v>LOCAL</v>
      </c>
      <c r="AQ1086" t="str">
        <f>IF(AD1086="Si","SI",IF(AD1086="No","NO",""))</f>
        <v>NO</v>
      </c>
      <c r="AR1086" t="str">
        <f>IF(ISNUMBER(SEARCH("®",N1086)),"MARCA/INNOVADOR","GENERICO")</f>
        <v>MARCA/INNOVADOR</v>
      </c>
      <c r="AS1086">
        <f ca="1">IF(AE1086&gt;100,RANDBETWEEN(500,5000),IF(AND(AE1086&gt;=10,AE1086&lt;=100),RANDBETWEEN(100,1000),RANDBETWEEN(10,200)))</f>
        <v>879</v>
      </c>
      <c r="AT1086">
        <f t="shared" ca="1" si="82"/>
        <v>263</v>
      </c>
      <c r="AU1086">
        <f ca="1">INT(AS1086*RANDBETWEEN(120,200)/100)</f>
        <v>1054</v>
      </c>
      <c r="AV1086" s="2">
        <f ca="1">IF(LEFT(Y1086,1)="L",RANDBETWEEN(500000,5000000),IF(LEFT(Y1086,1)="C",RANDBETWEEN(5000,50000),IF(LEFT(Y1086,1)="N",RANDBETWEEN(10000,150000),IF(LEFT(Y1086,1)="J",RANDBETWEEN(8000,200000),RANDBETWEEN(5000,100000)))))</f>
        <v>51565</v>
      </c>
      <c r="AW1086" s="2">
        <f ca="1">INT(AV1086*RANDBETWEEN(30,60)/100)</f>
        <v>18047</v>
      </c>
      <c r="AX1086">
        <f ca="1">IF(Z1086="ORAL",RANDBETWEEN(1000,10000),IF(OR(Z1086="INTRAVENOSA",Z1086="INTRAMUSCULAR"),RANDBETWEEN(100,2000),IF(OR(Z1086="OFTÁLMICA",Z1086="TOPICA (EXTERNA)"),RANDBETWEEN(200,3000),RANDBETWEEN(100,1500))))</f>
        <v>5772</v>
      </c>
      <c r="AY1086" s="2">
        <f ca="1">INT(AV1086*RANDBETWEEN(90,130)/100)</f>
        <v>48986</v>
      </c>
      <c r="AZ1086" t="str">
        <f t="shared" ca="1" si="83"/>
        <v>6.3%</v>
      </c>
      <c r="BA1086" t="str">
        <f t="shared" ca="1" si="84"/>
        <v>BAJO</v>
      </c>
    </row>
    <row r="1087" spans="4:53" x14ac:dyDescent="0.35">
      <c r="D1087" t="s">
        <v>6544</v>
      </c>
      <c r="E1087" s="1">
        <v>36161</v>
      </c>
      <c r="F1087" t="s">
        <v>2635</v>
      </c>
      <c r="G1087" t="s">
        <v>247</v>
      </c>
      <c r="H1087" t="s">
        <v>1776</v>
      </c>
      <c r="I1087">
        <v>35256</v>
      </c>
      <c r="J1087" t="s">
        <v>110</v>
      </c>
      <c r="K1087">
        <v>4</v>
      </c>
      <c r="L1087" t="s">
        <v>27</v>
      </c>
      <c r="M1087" t="s">
        <v>1771</v>
      </c>
      <c r="N1087" t="s">
        <v>1772</v>
      </c>
      <c r="O1087" t="s">
        <v>6545</v>
      </c>
      <c r="P1087" t="s">
        <v>1774</v>
      </c>
      <c r="Q1087" s="1">
        <v>39031</v>
      </c>
      <c r="R1087" t="s">
        <v>1775</v>
      </c>
      <c r="S1087" s="1">
        <v>42559</v>
      </c>
      <c r="T1087" t="s">
        <v>1776</v>
      </c>
      <c r="U1087" t="s">
        <v>247</v>
      </c>
      <c r="V1087" t="s">
        <v>1777</v>
      </c>
      <c r="W1087" t="s">
        <v>2637</v>
      </c>
      <c r="X1087">
        <v>35256</v>
      </c>
      <c r="Y1087" t="s">
        <v>1779</v>
      </c>
      <c r="Z1087" t="s">
        <v>566</v>
      </c>
      <c r="AA1087" t="s">
        <v>24</v>
      </c>
      <c r="AB1087" t="s">
        <v>653</v>
      </c>
      <c r="AC1087" t="s">
        <v>25</v>
      </c>
      <c r="AD1087" t="s">
        <v>121</v>
      </c>
      <c r="AE1087">
        <v>50</v>
      </c>
      <c r="AF1087" t="s">
        <v>27</v>
      </c>
      <c r="AG1087" t="s">
        <v>26</v>
      </c>
      <c r="AH1087" t="s">
        <v>6785</v>
      </c>
      <c r="AI1087" t="str">
        <f t="shared" si="80"/>
        <v>NO</v>
      </c>
      <c r="AJ1087" t="str">
        <f t="shared" si="81"/>
        <v>LABORATORIOS REMO</v>
      </c>
      <c r="AK1087" t="str">
        <f>IF(ISNUMBER(SEARCH("FABRICANTE",AC1087)),"FABRICANTE",IF(ISNUMBER(SEARCH("IMPORTADOR",AC1087)),"IMPORTADOR","OTRO"))</f>
        <v>FABRICANTE</v>
      </c>
      <c r="AL1087" t="str">
        <f>IF(LEFT(Y1087,1)="A","Sistema digestivo",IF(LEFT(Y1087,1)="B","Sangre",IF(LEFT(Y1087,1)="C","Cardiovascular",IF(LEFT(Y1087,1)="D","Dermatológico",IF(LEFT(Y1087,1)="G","Genitourinario",IF(LEFT(Y1087,1)="H","Hormonal",IF(LEFT(Y1087,1)="J","Antiinfecciosos",IF(LEFT(Y1087,1)="L","Oncológicos",IF(LEFT(Y1087,1)="M","Musculoesquelético",IF(LEFT(Y1087,1)="N","Sistema nervioso",IF(LEFT(Y1087,1)="R","Respiratorio",IF(LEFT(Y1087,1)="S","Oftálmico",IF(LEFT(Y1087,1)="V","Varios","OTRO")))))))))))))</f>
        <v>Dermatológico</v>
      </c>
      <c r="AM1087" t="str">
        <f>IF(AG1087="Vigente","ACTIVO",IF(ISNUMBER(SEARCH("Inactivo",J1087)),"INACTIVO","REVISAR"))</f>
        <v>ACTIVO</v>
      </c>
      <c r="AN1087" t="str">
        <f ca="1">IF(OR(AF1087="",AF1087="null"),"",ROUND((AF1087-TODAY())/365.25,2))</f>
        <v/>
      </c>
      <c r="AO1087" t="str">
        <f ca="1">IF(AND(AG1087="Vigente",OR(AF1087="",AF1087="null",AF1087&gt;TODAY())),"SI",IF(AND(NOT(OR(AF1087="",AF1087="null")),AF1087&lt;=TODAY()),"NO",IF(AG1087="Vigente","SI","DESCONOCIDO")))</f>
        <v>SI</v>
      </c>
      <c r="AP1087" t="str">
        <f>IF(AND(ISNUMBER(SEARCH("IMPORTAR",AA1087)),ISNUMBER(SEARCH("FABRICAR",AA1087))),"MIXTO",IF(ISNUMBER(SEARCH("IMPORTAR",AA1087)),"IMPORTADO",IF(ISNUMBER(SEARCH("FABRICAR",AA1087)),"LOCAL","OTRO")))</f>
        <v>LOCAL</v>
      </c>
      <c r="AQ1087" t="str">
        <f>IF(AD1087="Si","SI",IF(AD1087="No","NO",""))</f>
        <v>NO</v>
      </c>
      <c r="AR1087" t="str">
        <f>IF(ISNUMBER(SEARCH("®",N1087)),"MARCA/INNOVADOR","GENERICO")</f>
        <v>MARCA/INNOVADOR</v>
      </c>
      <c r="AS1087">
        <f ca="1">IF(AE1087&gt;100,RANDBETWEEN(500,5000),IF(AND(AE1087&gt;=10,AE1087&lt;=100),RANDBETWEEN(100,1000),RANDBETWEEN(10,200)))</f>
        <v>886</v>
      </c>
      <c r="AT1087">
        <f t="shared" ca="1" si="82"/>
        <v>124</v>
      </c>
      <c r="AU1087">
        <f ca="1">INT(AS1087*RANDBETWEEN(120,200)/100)</f>
        <v>1692</v>
      </c>
      <c r="AV1087" s="2">
        <f ca="1">IF(LEFT(Y1087,1)="L",RANDBETWEEN(500000,5000000),IF(LEFT(Y1087,1)="C",RANDBETWEEN(5000,50000),IF(LEFT(Y1087,1)="N",RANDBETWEEN(10000,150000),IF(LEFT(Y1087,1)="J",RANDBETWEEN(8000,200000),RANDBETWEEN(5000,100000)))))</f>
        <v>21165</v>
      </c>
      <c r="AW1087" s="2">
        <f ca="1">INT(AV1087*RANDBETWEEN(30,60)/100)</f>
        <v>10582</v>
      </c>
      <c r="AX1087">
        <f ca="1">IF(Z1087="ORAL",RANDBETWEEN(1000,10000),IF(OR(Z1087="INTRAVENOSA",Z1087="INTRAMUSCULAR"),RANDBETWEEN(100,2000),IF(OR(Z1087="OFTÁLMICA",Z1087="TOPICA (EXTERNA)"),RANDBETWEEN(200,3000),RANDBETWEEN(100,1500))))</f>
        <v>1755</v>
      </c>
      <c r="AY1087" s="2">
        <f ca="1">INT(AV1087*RANDBETWEEN(90,130)/100)</f>
        <v>27514</v>
      </c>
      <c r="AZ1087" t="str">
        <f t="shared" ca="1" si="83"/>
        <v>5.3%</v>
      </c>
      <c r="BA1087" t="str">
        <f t="shared" ca="1" si="84"/>
        <v>ALTO</v>
      </c>
    </row>
    <row r="1088" spans="4:53" x14ac:dyDescent="0.35">
      <c r="D1088" t="s">
        <v>6546</v>
      </c>
      <c r="E1088" s="1">
        <v>41227</v>
      </c>
      <c r="F1088" t="s">
        <v>6547</v>
      </c>
      <c r="G1088" t="s">
        <v>108</v>
      </c>
      <c r="H1088" t="s">
        <v>4578</v>
      </c>
      <c r="I1088">
        <v>20011348</v>
      </c>
      <c r="J1088" t="s">
        <v>110</v>
      </c>
      <c r="K1088">
        <v>21</v>
      </c>
      <c r="L1088" t="s">
        <v>27</v>
      </c>
      <c r="M1088" t="s">
        <v>6548</v>
      </c>
      <c r="N1088" t="s">
        <v>6549</v>
      </c>
      <c r="O1088" t="s">
        <v>6550</v>
      </c>
      <c r="P1088" t="s">
        <v>33</v>
      </c>
      <c r="Q1088" s="1">
        <v>41170</v>
      </c>
      <c r="R1088" t="s">
        <v>33</v>
      </c>
      <c r="S1088" t="s">
        <v>27</v>
      </c>
      <c r="T1088" t="s">
        <v>520</v>
      </c>
      <c r="U1088" t="s">
        <v>469</v>
      </c>
      <c r="V1088" t="s">
        <v>1362</v>
      </c>
      <c r="W1088">
        <v>400</v>
      </c>
      <c r="X1088">
        <v>20011348</v>
      </c>
      <c r="Y1088" t="s">
        <v>1363</v>
      </c>
      <c r="Z1088" t="s">
        <v>119</v>
      </c>
      <c r="AA1088" t="s">
        <v>32</v>
      </c>
      <c r="AB1088" t="s">
        <v>120</v>
      </c>
      <c r="AC1088" t="s">
        <v>25</v>
      </c>
      <c r="AD1088" t="s">
        <v>121</v>
      </c>
      <c r="AE1088">
        <v>120</v>
      </c>
      <c r="AF1088" t="s">
        <v>27</v>
      </c>
      <c r="AG1088" t="s">
        <v>26</v>
      </c>
      <c r="AH1088" t="s">
        <v>6666</v>
      </c>
      <c r="AI1088" t="str">
        <f t="shared" si="80"/>
        <v>SI</v>
      </c>
      <c r="AJ1088" t="str">
        <f t="shared" si="81"/>
        <v>HALEON COLOMBIA</v>
      </c>
      <c r="AK1088" t="str">
        <f>IF(ISNUMBER(SEARCH("FABRICANTE",AC1088)),"FABRICANTE",IF(ISNUMBER(SEARCH("IMPORTADOR",AC1088)),"IMPORTADOR","OTRO"))</f>
        <v>FABRICANTE</v>
      </c>
      <c r="AL1088" t="str">
        <f>IF(LEFT(Y1088,1)="A","Sistema digestivo",IF(LEFT(Y1088,1)="B","Sangre",IF(LEFT(Y1088,1)="C","Cardiovascular",IF(LEFT(Y1088,1)="D","Dermatológico",IF(LEFT(Y1088,1)="G","Genitourinario",IF(LEFT(Y1088,1)="H","Hormonal",IF(LEFT(Y1088,1)="J","Antiinfecciosos",IF(LEFT(Y1088,1)="L","Oncológicos",IF(LEFT(Y1088,1)="M","Musculoesquelético",IF(LEFT(Y1088,1)="N","Sistema nervioso",IF(LEFT(Y1088,1)="R","Respiratorio",IF(LEFT(Y1088,1)="S","Oftálmico",IF(LEFT(Y1088,1)="V","Varios","OTRO")))))))))))))</f>
        <v>Sistema digestivo</v>
      </c>
      <c r="AM1088" t="str">
        <f>IF(AG1088="Vigente","ACTIVO",IF(ISNUMBER(SEARCH("Inactivo",J1088)),"INACTIVO","REVISAR"))</f>
        <v>ACTIVO</v>
      </c>
      <c r="AN1088" t="str">
        <f ca="1">IF(OR(AF1088="",AF1088="null"),"",ROUND((AF1088-TODAY())/365.25,2))</f>
        <v/>
      </c>
      <c r="AO1088" t="str">
        <f ca="1">IF(AND(AG1088="Vigente",OR(AF1088="",AF1088="null",AF1088&gt;TODAY())),"SI",IF(AND(NOT(OR(AF1088="",AF1088="null")),AF1088&lt;=TODAY()),"NO",IF(AG1088="Vigente","SI","DESCONOCIDO")))</f>
        <v>SI</v>
      </c>
      <c r="AP1088" t="str">
        <f>IF(AND(ISNUMBER(SEARCH("IMPORTAR",AA1088)),ISNUMBER(SEARCH("FABRICAR",AA1088))),"MIXTO",IF(ISNUMBER(SEARCH("IMPORTAR",AA1088)),"IMPORTADO",IF(ISNUMBER(SEARCH("FABRICAR",AA1088)),"LOCAL","OTRO")))</f>
        <v>IMPORTADO</v>
      </c>
      <c r="AQ1088" t="str">
        <f>IF(AD1088="Si","SI",IF(AD1088="No","NO",""))</f>
        <v>NO</v>
      </c>
      <c r="AR1088" t="str">
        <f>IF(ISNUMBER(SEARCH("®",N1088)),"MARCA/INNOVADOR","GENERICO")</f>
        <v>MARCA/INNOVADOR</v>
      </c>
      <c r="AS1088">
        <f ca="1">IF(AE1088&gt;100,RANDBETWEEN(500,5000),IF(AND(AE1088&gt;=10,AE1088&lt;=100),RANDBETWEEN(100,1000),RANDBETWEEN(10,200)))</f>
        <v>4342</v>
      </c>
      <c r="AT1088">
        <f t="shared" ca="1" si="82"/>
        <v>564</v>
      </c>
      <c r="AU1088">
        <f ca="1">INT(AS1088*RANDBETWEEN(120,200)/100)</f>
        <v>6252</v>
      </c>
      <c r="AV1088" s="2">
        <f ca="1">IF(LEFT(Y1088,1)="L",RANDBETWEEN(500000,5000000),IF(LEFT(Y1088,1)="C",RANDBETWEEN(5000,50000),IF(LEFT(Y1088,1)="N",RANDBETWEEN(10000,150000),IF(LEFT(Y1088,1)="J",RANDBETWEEN(8000,200000),RANDBETWEEN(5000,100000)))))</f>
        <v>5312</v>
      </c>
      <c r="AW1088" s="2">
        <f ca="1">INT(AV1088*RANDBETWEEN(30,60)/100)</f>
        <v>2496</v>
      </c>
      <c r="AX1088">
        <f ca="1">IF(Z1088="ORAL",RANDBETWEEN(1000,10000),IF(OR(Z1088="INTRAVENOSA",Z1088="INTRAMUSCULAR"),RANDBETWEEN(100,2000),IF(OR(Z1088="OFTÁLMICA",Z1088="TOPICA (EXTERNA)"),RANDBETWEEN(200,3000),RANDBETWEEN(100,1500))))</f>
        <v>2583</v>
      </c>
      <c r="AY1088" s="2">
        <f ca="1">INT(AV1088*RANDBETWEEN(90,130)/100)</f>
        <v>6427</v>
      </c>
      <c r="AZ1088" t="str">
        <f t="shared" ca="1" si="83"/>
        <v>9.1%</v>
      </c>
      <c r="BA1088" t="str">
        <f t="shared" ca="1" si="84"/>
        <v>ALTO</v>
      </c>
    </row>
    <row r="1089" spans="4:53" x14ac:dyDescent="0.35">
      <c r="D1089" t="s">
        <v>6551</v>
      </c>
      <c r="E1089" s="1">
        <v>41087</v>
      </c>
      <c r="F1089" t="s">
        <v>473</v>
      </c>
      <c r="G1089" t="s">
        <v>108</v>
      </c>
      <c r="H1089" t="s">
        <v>146</v>
      </c>
      <c r="I1089">
        <v>20039588</v>
      </c>
      <c r="J1089" t="s">
        <v>28</v>
      </c>
      <c r="K1089">
        <v>137</v>
      </c>
      <c r="L1089" t="s">
        <v>27</v>
      </c>
      <c r="M1089" t="s">
        <v>474</v>
      </c>
      <c r="N1089" t="s">
        <v>475</v>
      </c>
      <c r="O1089" t="s">
        <v>6552</v>
      </c>
      <c r="P1089" t="s">
        <v>477</v>
      </c>
      <c r="Q1089" s="1">
        <v>45502</v>
      </c>
      <c r="R1089" t="s">
        <v>67</v>
      </c>
      <c r="S1089" t="s">
        <v>27</v>
      </c>
      <c r="T1089" t="s">
        <v>80</v>
      </c>
      <c r="U1089" t="s">
        <v>247</v>
      </c>
      <c r="V1089" t="s">
        <v>248</v>
      </c>
      <c r="W1089" t="s">
        <v>478</v>
      </c>
      <c r="X1089">
        <v>20039588</v>
      </c>
      <c r="Y1089" t="s">
        <v>249</v>
      </c>
      <c r="Z1089" t="s">
        <v>119</v>
      </c>
      <c r="AA1089" t="s">
        <v>24</v>
      </c>
      <c r="AB1089" t="s">
        <v>120</v>
      </c>
      <c r="AC1089" t="s">
        <v>25</v>
      </c>
      <c r="AD1089" t="s">
        <v>121</v>
      </c>
      <c r="AE1089">
        <v>1</v>
      </c>
      <c r="AF1089" t="s">
        <v>27</v>
      </c>
      <c r="AG1089" t="s">
        <v>26</v>
      </c>
      <c r="AH1089" t="s">
        <v>6731</v>
      </c>
      <c r="AI1089" t="str">
        <f t="shared" si="80"/>
        <v>NO</v>
      </c>
      <c r="AJ1089" t="str">
        <f t="shared" si="81"/>
        <v>TECNOQUIMICAS</v>
      </c>
      <c r="AK1089" t="str">
        <f>IF(ISNUMBER(SEARCH("FABRICANTE",AC1089)),"FABRICANTE",IF(ISNUMBER(SEARCH("IMPORTADOR",AC1089)),"IMPORTADOR","OTRO"))</f>
        <v>FABRICANTE</v>
      </c>
      <c r="AL1089" t="str">
        <f>IF(LEFT(Y1089,1)="A","Sistema digestivo",IF(LEFT(Y1089,1)="B","Sangre",IF(LEFT(Y1089,1)="C","Cardiovascular",IF(LEFT(Y1089,1)="D","Dermatológico",IF(LEFT(Y1089,1)="G","Genitourinario",IF(LEFT(Y1089,1)="H","Hormonal",IF(LEFT(Y1089,1)="J","Antiinfecciosos",IF(LEFT(Y1089,1)="L","Oncológicos",IF(LEFT(Y1089,1)="M","Musculoesquelético",IF(LEFT(Y1089,1)="N","Sistema nervioso",IF(LEFT(Y1089,1)="R","Respiratorio",IF(LEFT(Y1089,1)="S","Oftálmico",IF(LEFT(Y1089,1)="V","Varios","OTRO")))))))))))))</f>
        <v>Sistema digestivo</v>
      </c>
      <c r="AM1089" t="str">
        <f>IF(AG1089="Vigente","ACTIVO",IF(ISNUMBER(SEARCH("Inactivo",J1089)),"INACTIVO","REVISAR"))</f>
        <v>ACTIVO</v>
      </c>
      <c r="AN1089" t="str">
        <f ca="1">IF(OR(AF1089="",AF1089="null"),"",ROUND((AF1089-TODAY())/365.25,2))</f>
        <v/>
      </c>
      <c r="AO1089" t="str">
        <f ca="1">IF(AND(AG1089="Vigente",OR(AF1089="",AF1089="null",AF1089&gt;TODAY())),"SI",IF(AND(NOT(OR(AF1089="",AF1089="null")),AF1089&lt;=TODAY()),"NO",IF(AG1089="Vigente","SI","DESCONOCIDO")))</f>
        <v>SI</v>
      </c>
      <c r="AP1089" t="str">
        <f>IF(AND(ISNUMBER(SEARCH("IMPORTAR",AA1089)),ISNUMBER(SEARCH("FABRICAR",AA1089))),"MIXTO",IF(ISNUMBER(SEARCH("IMPORTAR",AA1089)),"IMPORTADO",IF(ISNUMBER(SEARCH("FABRICAR",AA1089)),"LOCAL","OTRO")))</f>
        <v>LOCAL</v>
      </c>
      <c r="AQ1089" t="str">
        <f>IF(AD1089="Si","SI",IF(AD1089="No","NO",""))</f>
        <v>NO</v>
      </c>
      <c r="AR1089" t="str">
        <f>IF(ISNUMBER(SEARCH("®",N1089)),"MARCA/INNOVADOR","GENERICO")</f>
        <v>MARCA/INNOVADOR</v>
      </c>
      <c r="AS1089">
        <f ca="1">IF(AE1089&gt;100,RANDBETWEEN(500,5000),IF(AND(AE1089&gt;=10,AE1089&lt;=100),RANDBETWEEN(100,1000),RANDBETWEEN(10,200)))</f>
        <v>38</v>
      </c>
      <c r="AT1089">
        <f t="shared" ca="1" si="82"/>
        <v>8</v>
      </c>
      <c r="AU1089">
        <f ca="1">INT(AS1089*RANDBETWEEN(120,200)/100)</f>
        <v>66</v>
      </c>
      <c r="AV1089" s="2">
        <f ca="1">IF(LEFT(Y1089,1)="L",RANDBETWEEN(500000,5000000),IF(LEFT(Y1089,1)="C",RANDBETWEEN(5000,50000),IF(LEFT(Y1089,1)="N",RANDBETWEEN(10000,150000),IF(LEFT(Y1089,1)="J",RANDBETWEEN(8000,200000),RANDBETWEEN(5000,100000)))))</f>
        <v>56909</v>
      </c>
      <c r="AW1089" s="2">
        <f ca="1">INT(AV1089*RANDBETWEEN(30,60)/100)</f>
        <v>26747</v>
      </c>
      <c r="AX1089">
        <f ca="1">IF(Z1089="ORAL",RANDBETWEEN(1000,10000),IF(OR(Z1089="INTRAVENOSA",Z1089="INTRAMUSCULAR"),RANDBETWEEN(100,2000),IF(OR(Z1089="OFTÁLMICA",Z1089="TOPICA (EXTERNA)"),RANDBETWEEN(200,3000),RANDBETWEEN(100,1500))))</f>
        <v>7861</v>
      </c>
      <c r="AY1089" s="2">
        <f ca="1">INT(AV1089*RANDBETWEEN(90,130)/100)</f>
        <v>63738</v>
      </c>
      <c r="AZ1089" t="str">
        <f t="shared" ca="1" si="83"/>
        <v>13.8%</v>
      </c>
      <c r="BA1089" t="str">
        <f t="shared" ca="1" si="84"/>
        <v>BAJO</v>
      </c>
    </row>
    <row r="1090" spans="4:53" x14ac:dyDescent="0.35">
      <c r="D1090" t="s">
        <v>6553</v>
      </c>
      <c r="E1090" s="1">
        <v>41984</v>
      </c>
      <c r="F1090" t="s">
        <v>3997</v>
      </c>
      <c r="G1090" t="s">
        <v>108</v>
      </c>
      <c r="H1090" t="s">
        <v>6554</v>
      </c>
      <c r="I1090">
        <v>20068050</v>
      </c>
      <c r="J1090" t="s">
        <v>110</v>
      </c>
      <c r="K1090">
        <v>23</v>
      </c>
      <c r="L1090" t="s">
        <v>27</v>
      </c>
      <c r="M1090" t="s">
        <v>6531</v>
      </c>
      <c r="N1090" t="s">
        <v>6532</v>
      </c>
      <c r="O1090" t="s">
        <v>6555</v>
      </c>
      <c r="P1090" t="s">
        <v>4002</v>
      </c>
      <c r="Q1090" s="1">
        <v>42461</v>
      </c>
      <c r="R1090" t="s">
        <v>47</v>
      </c>
      <c r="S1090" t="s">
        <v>27</v>
      </c>
      <c r="T1090" t="s">
        <v>806</v>
      </c>
      <c r="U1090" t="s">
        <v>115</v>
      </c>
      <c r="V1090" t="s">
        <v>84</v>
      </c>
      <c r="W1090">
        <v>1000</v>
      </c>
      <c r="X1090">
        <v>20068050</v>
      </c>
      <c r="Y1090" t="s">
        <v>82</v>
      </c>
      <c r="Z1090" t="s">
        <v>119</v>
      </c>
      <c r="AA1090" t="s">
        <v>32</v>
      </c>
      <c r="AB1090" t="s">
        <v>120</v>
      </c>
      <c r="AC1090" t="s">
        <v>25</v>
      </c>
      <c r="AD1090" t="s">
        <v>121</v>
      </c>
      <c r="AE1090">
        <v>180</v>
      </c>
      <c r="AF1090" t="s">
        <v>27</v>
      </c>
      <c r="AG1090" t="s">
        <v>26</v>
      </c>
      <c r="AH1090" t="s">
        <v>6818</v>
      </c>
      <c r="AI1090" t="str">
        <f t="shared" si="80"/>
        <v>NO</v>
      </c>
      <c r="AJ1090" t="str">
        <f t="shared" si="81"/>
        <v>MERCK SHARP &amp; DOHME</v>
      </c>
      <c r="AK1090" t="str">
        <f>IF(ISNUMBER(SEARCH("FABRICANTE",AC1090)),"FABRICANTE",IF(ISNUMBER(SEARCH("IMPORTADOR",AC1090)),"IMPORTADOR","OTRO"))</f>
        <v>FABRICANTE</v>
      </c>
      <c r="AL1090" t="str">
        <f>IF(LEFT(Y1090,1)="A","Sistema digestivo",IF(LEFT(Y1090,1)="B","Sangre",IF(LEFT(Y1090,1)="C","Cardiovascular",IF(LEFT(Y1090,1)="D","Dermatológico",IF(LEFT(Y1090,1)="G","Genitourinario",IF(LEFT(Y1090,1)="H","Hormonal",IF(LEFT(Y1090,1)="J","Antiinfecciosos",IF(LEFT(Y1090,1)="L","Oncológicos",IF(LEFT(Y1090,1)="M","Musculoesquelético",IF(LEFT(Y1090,1)="N","Sistema nervioso",IF(LEFT(Y1090,1)="R","Respiratorio",IF(LEFT(Y1090,1)="S","Oftálmico",IF(LEFT(Y1090,1)="V","Varios","OTRO")))))))))))))</f>
        <v>Sistema digestivo</v>
      </c>
      <c r="AM1090" t="str">
        <f>IF(AG1090="Vigente","ACTIVO",IF(ISNUMBER(SEARCH("Inactivo",J1090)),"INACTIVO","REVISAR"))</f>
        <v>ACTIVO</v>
      </c>
      <c r="AN1090" t="str">
        <f ca="1">IF(OR(AF1090="",AF1090="null"),"",ROUND((AF1090-TODAY())/365.25,2))</f>
        <v/>
      </c>
      <c r="AO1090" t="str">
        <f ca="1">IF(AND(AG1090="Vigente",OR(AF1090="",AF1090="null",AF1090&gt;TODAY())),"SI",IF(AND(NOT(OR(AF1090="",AF1090="null")),AF1090&lt;=TODAY()),"NO",IF(AG1090="Vigente","SI","DESCONOCIDO")))</f>
        <v>SI</v>
      </c>
      <c r="AP1090" t="str">
        <f>IF(AND(ISNUMBER(SEARCH("IMPORTAR",AA1090)),ISNUMBER(SEARCH("FABRICAR",AA1090))),"MIXTO",IF(ISNUMBER(SEARCH("IMPORTAR",AA1090)),"IMPORTADO",IF(ISNUMBER(SEARCH("FABRICAR",AA1090)),"LOCAL","OTRO")))</f>
        <v>IMPORTADO</v>
      </c>
      <c r="AQ1090" t="str">
        <f>IF(AD1090="Si","SI",IF(AD1090="No","NO",""))</f>
        <v>NO</v>
      </c>
      <c r="AR1090" t="str">
        <f>IF(ISNUMBER(SEARCH("®",N1090)),"MARCA/INNOVADOR","GENERICO")</f>
        <v>GENERICO</v>
      </c>
      <c r="AS1090">
        <f ca="1">IF(AE1090&gt;100,RANDBETWEEN(500,5000),IF(AND(AE1090&gt;=10,AE1090&lt;=100),RANDBETWEEN(100,1000),RANDBETWEEN(10,200)))</f>
        <v>3134</v>
      </c>
      <c r="AT1090">
        <f t="shared" ca="1" si="82"/>
        <v>658</v>
      </c>
      <c r="AU1090">
        <f ca="1">INT(AS1090*RANDBETWEEN(120,200)/100)</f>
        <v>4951</v>
      </c>
      <c r="AV1090" s="2">
        <f ca="1">IF(LEFT(Y1090,1)="L",RANDBETWEEN(500000,5000000),IF(LEFT(Y1090,1)="C",RANDBETWEEN(5000,50000),IF(LEFT(Y1090,1)="N",RANDBETWEEN(10000,150000),IF(LEFT(Y1090,1)="J",RANDBETWEEN(8000,200000),RANDBETWEEN(5000,100000)))))</f>
        <v>40327</v>
      </c>
      <c r="AW1090" s="2">
        <f ca="1">INT(AV1090*RANDBETWEEN(30,60)/100)</f>
        <v>15324</v>
      </c>
      <c r="AX1090">
        <f ca="1">IF(Z1090="ORAL",RANDBETWEEN(1000,10000),IF(OR(Z1090="INTRAVENOSA",Z1090="INTRAMUSCULAR"),RANDBETWEEN(100,2000),IF(OR(Z1090="OFTÁLMICA",Z1090="TOPICA (EXTERNA)"),RANDBETWEEN(200,3000),RANDBETWEEN(100,1500))))</f>
        <v>7297</v>
      </c>
      <c r="AY1090" s="2">
        <f ca="1">INT(AV1090*RANDBETWEEN(90,130)/100)</f>
        <v>37100</v>
      </c>
      <c r="AZ1090" t="str">
        <f t="shared" ca="1" si="83"/>
        <v>13.1%</v>
      </c>
      <c r="BA1090" t="str">
        <f t="shared" ca="1" si="84"/>
        <v>ALTO</v>
      </c>
    </row>
    <row r="1091" spans="4:53" x14ac:dyDescent="0.35">
      <c r="D1091" t="s">
        <v>6556</v>
      </c>
      <c r="E1091" s="1">
        <v>36161</v>
      </c>
      <c r="F1091" t="s">
        <v>135</v>
      </c>
      <c r="G1091" t="s">
        <v>108</v>
      </c>
      <c r="H1091" t="s">
        <v>6557</v>
      </c>
      <c r="I1091">
        <v>45820</v>
      </c>
      <c r="J1091" t="s">
        <v>28</v>
      </c>
      <c r="K1091">
        <v>34</v>
      </c>
      <c r="L1091" t="s">
        <v>27</v>
      </c>
      <c r="M1091" t="s">
        <v>6558</v>
      </c>
      <c r="N1091" t="s">
        <v>6559</v>
      </c>
      <c r="O1091" t="s">
        <v>6560</v>
      </c>
      <c r="P1091" t="s">
        <v>33</v>
      </c>
      <c r="Q1091" s="1">
        <v>42334</v>
      </c>
      <c r="R1091" t="s">
        <v>140</v>
      </c>
      <c r="S1091" t="s">
        <v>27</v>
      </c>
      <c r="T1091" t="s">
        <v>736</v>
      </c>
      <c r="U1091" t="s">
        <v>115</v>
      </c>
      <c r="V1091" t="s">
        <v>142</v>
      </c>
      <c r="W1091">
        <v>150</v>
      </c>
      <c r="X1091">
        <v>45820</v>
      </c>
      <c r="Y1091" t="s">
        <v>143</v>
      </c>
      <c r="Z1091" t="s">
        <v>119</v>
      </c>
      <c r="AA1091" t="s">
        <v>32</v>
      </c>
      <c r="AB1091" t="s">
        <v>120</v>
      </c>
      <c r="AC1091" t="s">
        <v>25</v>
      </c>
      <c r="AD1091" t="s">
        <v>121</v>
      </c>
      <c r="AE1091">
        <v>60</v>
      </c>
      <c r="AF1091" t="s">
        <v>27</v>
      </c>
      <c r="AG1091" t="s">
        <v>26</v>
      </c>
      <c r="AH1091" t="s">
        <v>135</v>
      </c>
      <c r="AI1091" t="str">
        <f t="shared" ref="AI1091:AI1101" si="85">IF(OR(ISNUMBER(SEARCH("+",F1091)),ISNUMBER(SEARCH(".",F1091))),"SI","NO")</f>
        <v>NO</v>
      </c>
      <c r="AJ1091" t="str">
        <f t="shared" ref="AJ1091:AJ1101" si="86">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UPPER(T1091)," S.A.S.",""),"S.A.S.","")," S.A.S",""),"S.A.S","")," S.A.C.I.","")," S.A.C.I","")," SAS","")," S.A.","")," S.A","")," LTDA.","")," LTDA","")," LIMITED","")," LTD.","")," LTD","")," INC.","")," INC","")," GMBH &amp; CO. KG.","")," GMBH","")," LLC","")," A.G.","")," A.G","")," A/S","")," S.R.L.","")," S.R.L","")," S.P.A.","")," DE C.V.","")," AG",""),"  "," "))</f>
        <v>LABORATORIO FRANCO COLOMBIANO LAFRANCOL</v>
      </c>
      <c r="AK1091" t="str">
        <f>IF(ISNUMBER(SEARCH("FABRICANTE",AC1091)),"FABRICANTE",IF(ISNUMBER(SEARCH("IMPORTADOR",AC1091)),"IMPORTADOR","OTRO"))</f>
        <v>FABRICANTE</v>
      </c>
      <c r="AL1091" t="str">
        <f>IF(LEFT(Y1091,1)="A","Sistema digestivo",IF(LEFT(Y1091,1)="B","Sangre",IF(LEFT(Y1091,1)="C","Cardiovascular",IF(LEFT(Y1091,1)="D","Dermatológico",IF(LEFT(Y1091,1)="G","Genitourinario",IF(LEFT(Y1091,1)="H","Hormonal",IF(LEFT(Y1091,1)="J","Antiinfecciosos",IF(LEFT(Y1091,1)="L","Oncológicos",IF(LEFT(Y1091,1)="M","Musculoesquelético",IF(LEFT(Y1091,1)="N","Sistema nervioso",IF(LEFT(Y1091,1)="R","Respiratorio",IF(LEFT(Y1091,1)="S","Oftálmico",IF(LEFT(Y1091,1)="V","Varios","OTRO")))))))))))))</f>
        <v>Cardiovascular</v>
      </c>
      <c r="AM1091" t="str">
        <f>IF(AG1091="Vigente","ACTIVO",IF(ISNUMBER(SEARCH("Inactivo",J1091)),"INACTIVO","REVISAR"))</f>
        <v>ACTIVO</v>
      </c>
      <c r="AN1091" t="str">
        <f ca="1">IF(OR(AF1091="",AF1091="null"),"",ROUND((AF1091-TODAY())/365.25,2))</f>
        <v/>
      </c>
      <c r="AO1091" t="str">
        <f ca="1">IF(AND(AG1091="Vigente",OR(AF1091="",AF1091="null",AF1091&gt;TODAY())),"SI",IF(AND(NOT(OR(AF1091="",AF1091="null")),AF1091&lt;=TODAY()),"NO",IF(AG1091="Vigente","SI","DESCONOCIDO")))</f>
        <v>SI</v>
      </c>
      <c r="AP1091" t="str">
        <f>IF(AND(ISNUMBER(SEARCH("IMPORTAR",AA1091)),ISNUMBER(SEARCH("FABRICAR",AA1091))),"MIXTO",IF(ISNUMBER(SEARCH("IMPORTAR",AA1091)),"IMPORTADO",IF(ISNUMBER(SEARCH("FABRICAR",AA1091)),"LOCAL","OTRO")))</f>
        <v>IMPORTADO</v>
      </c>
      <c r="AQ1091" t="str">
        <f>IF(AD1091="Si","SI",IF(AD1091="No","NO",""))</f>
        <v>NO</v>
      </c>
      <c r="AR1091" t="str">
        <f>IF(ISNUMBER(SEARCH("®",N1091)),"MARCA/INNOVADOR","GENERICO")</f>
        <v>MARCA/INNOVADOR</v>
      </c>
      <c r="AS1091">
        <f ca="1">IF(AE1091&gt;100,RANDBETWEEN(500,5000),IF(AND(AE1091&gt;=10,AE1091&lt;=100),RANDBETWEEN(100,1000),RANDBETWEEN(10,200)))</f>
        <v>682</v>
      </c>
      <c r="AT1091">
        <f t="shared" ref="AT1091:AT1101" ca="1" si="87">INT(AS1091*RANDBETWEEN(10,30)/100)</f>
        <v>177</v>
      </c>
      <c r="AU1091">
        <f ca="1">INT(AS1091*RANDBETWEEN(120,200)/100)</f>
        <v>1282</v>
      </c>
      <c r="AV1091" s="2">
        <f ca="1">IF(LEFT(Y1091,1)="L",RANDBETWEEN(500000,5000000),IF(LEFT(Y1091,1)="C",RANDBETWEEN(5000,50000),IF(LEFT(Y1091,1)="N",RANDBETWEEN(10000,150000),IF(LEFT(Y1091,1)="J",RANDBETWEEN(8000,200000),RANDBETWEEN(5000,100000)))))</f>
        <v>31195</v>
      </c>
      <c r="AW1091" s="2">
        <f ca="1">INT(AV1091*RANDBETWEEN(30,60)/100)</f>
        <v>15285</v>
      </c>
      <c r="AX1091">
        <f ca="1">IF(Z1091="ORAL",RANDBETWEEN(1000,10000),IF(OR(Z1091="INTRAVENOSA",Z1091="INTRAMUSCULAR"),RANDBETWEEN(100,2000),IF(OR(Z1091="OFTÁLMICA",Z1091="TOPICA (EXTERNA)"),RANDBETWEEN(200,3000),RANDBETWEEN(100,1500))))</f>
        <v>2975</v>
      </c>
      <c r="AY1091" s="2">
        <f ca="1">INT(AV1091*RANDBETWEEN(90,130)/100)</f>
        <v>39617</v>
      </c>
      <c r="AZ1091" t="str">
        <f t="shared" ref="AZ1091:AZ1101" ca="1" si="88">IF(Z1091="ORAL",RANDBETWEEN(50,250)/10,IF(OR(Z1091="TOPICA (EXTERNA)",Z1091="OFTÁLMICA"),RANDBETWEEN(20,150)/10,IF(OR(Z1091="SUBCUTANEA",Z1091="INTRAMUSCULAR"),RANDBETWEEN(10,100)/10,IF(Z1091="INTRAVENOSA",RANDBETWEEN(1,50)/10,RANDBETWEEN(5,80)/10))))&amp;"%"</f>
        <v>22%</v>
      </c>
      <c r="BA1091" t="str">
        <f t="shared" ref="BA1091:BA1101" ca="1" si="89">IF(OR(AG1091&lt;&gt;"Vigente",AND(ISNUMBER(AF1091),AF1091&lt;TODAY()),AND(J1091="Inactivo",NOT(ISNUMBER(AF1091)))),"ALTO",IF(OR(AND(J1091="Inactivo",ISNUMBER(AF1091)),AND(ISNUMBER(AF1091),AF1091&gt;TODAY(),AF1091&lt;=TODAY()+1825)),"MEDIO","BAJO"))</f>
        <v>BAJO</v>
      </c>
    </row>
    <row r="1092" spans="4:53" x14ac:dyDescent="0.35">
      <c r="D1092" t="s">
        <v>6561</v>
      </c>
      <c r="E1092" s="1">
        <v>41227</v>
      </c>
      <c r="F1092" t="s">
        <v>6562</v>
      </c>
      <c r="G1092" t="s">
        <v>108</v>
      </c>
      <c r="H1092" t="s">
        <v>428</v>
      </c>
      <c r="I1092">
        <v>20048552</v>
      </c>
      <c r="J1092" t="s">
        <v>110</v>
      </c>
      <c r="K1092">
        <v>2</v>
      </c>
      <c r="L1092" t="s">
        <v>27</v>
      </c>
      <c r="M1092" t="s">
        <v>6563</v>
      </c>
      <c r="N1092" t="s">
        <v>6564</v>
      </c>
      <c r="O1092" t="s">
        <v>6565</v>
      </c>
      <c r="P1092" t="s">
        <v>33</v>
      </c>
      <c r="Q1092" s="1">
        <v>41146</v>
      </c>
      <c r="R1092" t="s">
        <v>33</v>
      </c>
      <c r="S1092" t="s">
        <v>27</v>
      </c>
      <c r="T1092" t="s">
        <v>428</v>
      </c>
      <c r="U1092" t="s">
        <v>115</v>
      </c>
      <c r="V1092" t="s">
        <v>2082</v>
      </c>
      <c r="W1092">
        <v>20</v>
      </c>
      <c r="X1092">
        <v>20048552</v>
      </c>
      <c r="Y1092" t="s">
        <v>2083</v>
      </c>
      <c r="Z1092" t="s">
        <v>119</v>
      </c>
      <c r="AA1092" t="s">
        <v>32</v>
      </c>
      <c r="AB1092" t="s">
        <v>120</v>
      </c>
      <c r="AC1092" t="s">
        <v>38</v>
      </c>
      <c r="AD1092" t="s">
        <v>121</v>
      </c>
      <c r="AE1092">
        <v>30</v>
      </c>
      <c r="AF1092" t="s">
        <v>27</v>
      </c>
      <c r="AG1092" t="s">
        <v>26</v>
      </c>
      <c r="AH1092" t="s">
        <v>2082</v>
      </c>
      <c r="AI1092" t="str">
        <f t="shared" si="85"/>
        <v>SI</v>
      </c>
      <c r="AJ1092" t="str">
        <f t="shared" si="86"/>
        <v>LABORATORIOS SIEGFRIED</v>
      </c>
      <c r="AK1092" t="str">
        <f>IF(ISNUMBER(SEARCH("FABRICANTE",AC1092)),"FABRICANTE",IF(ISNUMBER(SEARCH("IMPORTADOR",AC1092)),"IMPORTADOR","OTRO"))</f>
        <v>IMPORTADOR</v>
      </c>
      <c r="AL1092" t="str">
        <f>IF(LEFT(Y1092,1)="A","Sistema digestivo",IF(LEFT(Y1092,1)="B","Sangre",IF(LEFT(Y1092,1)="C","Cardiovascular",IF(LEFT(Y1092,1)="D","Dermatológico",IF(LEFT(Y1092,1)="G","Genitourinario",IF(LEFT(Y1092,1)="H","Hormonal",IF(LEFT(Y1092,1)="J","Antiinfecciosos",IF(LEFT(Y1092,1)="L","Oncológicos",IF(LEFT(Y1092,1)="M","Musculoesquelético",IF(LEFT(Y1092,1)="N","Sistema nervioso",IF(LEFT(Y1092,1)="R","Respiratorio",IF(LEFT(Y1092,1)="S","Oftálmico",IF(LEFT(Y1092,1)="V","Varios","OTRO")))))))))))))</f>
        <v>Sistema nervioso</v>
      </c>
      <c r="AM1092" t="str">
        <f>IF(AG1092="Vigente","ACTIVO",IF(ISNUMBER(SEARCH("Inactivo",J1092)),"INACTIVO","REVISAR"))</f>
        <v>ACTIVO</v>
      </c>
      <c r="AN1092" t="str">
        <f ca="1">IF(OR(AF1092="",AF1092="null"),"",ROUND((AF1092-TODAY())/365.25,2))</f>
        <v/>
      </c>
      <c r="AO1092" t="str">
        <f ca="1">IF(AND(AG1092="Vigente",OR(AF1092="",AF1092="null",AF1092&gt;TODAY())),"SI",IF(AND(NOT(OR(AF1092="",AF1092="null")),AF1092&lt;=TODAY()),"NO",IF(AG1092="Vigente","SI","DESCONOCIDO")))</f>
        <v>SI</v>
      </c>
      <c r="AP1092" t="str">
        <f>IF(AND(ISNUMBER(SEARCH("IMPORTAR",AA1092)),ISNUMBER(SEARCH("FABRICAR",AA1092))),"MIXTO",IF(ISNUMBER(SEARCH("IMPORTAR",AA1092)),"IMPORTADO",IF(ISNUMBER(SEARCH("FABRICAR",AA1092)),"LOCAL","OTRO")))</f>
        <v>IMPORTADO</v>
      </c>
      <c r="AQ1092" t="str">
        <f>IF(AD1092="Si","SI",IF(AD1092="No","NO",""))</f>
        <v>NO</v>
      </c>
      <c r="AR1092" t="str">
        <f>IF(ISNUMBER(SEARCH("®",N1092)),"MARCA/INNOVADOR","GENERICO")</f>
        <v>MARCA/INNOVADOR</v>
      </c>
      <c r="AS1092">
        <f ca="1">IF(AE1092&gt;100,RANDBETWEEN(500,5000),IF(AND(AE1092&gt;=10,AE1092&lt;=100),RANDBETWEEN(100,1000),RANDBETWEEN(10,200)))</f>
        <v>796</v>
      </c>
      <c r="AT1092">
        <f t="shared" ca="1" si="87"/>
        <v>151</v>
      </c>
      <c r="AU1092">
        <f ca="1">INT(AS1092*RANDBETWEEN(120,200)/100)</f>
        <v>1026</v>
      </c>
      <c r="AV1092" s="2">
        <f ca="1">IF(LEFT(Y1092,1)="L",RANDBETWEEN(500000,5000000),IF(LEFT(Y1092,1)="C",RANDBETWEEN(5000,50000),IF(LEFT(Y1092,1)="N",RANDBETWEEN(10000,150000),IF(LEFT(Y1092,1)="J",RANDBETWEEN(8000,200000),RANDBETWEEN(5000,100000)))))</f>
        <v>19307</v>
      </c>
      <c r="AW1092" s="2">
        <f ca="1">INT(AV1092*RANDBETWEEN(30,60)/100)</f>
        <v>8108</v>
      </c>
      <c r="AX1092">
        <f ca="1">IF(Z1092="ORAL",RANDBETWEEN(1000,10000),IF(OR(Z1092="INTRAVENOSA",Z1092="INTRAMUSCULAR"),RANDBETWEEN(100,2000),IF(OR(Z1092="OFTÁLMICA",Z1092="TOPICA (EXTERNA)"),RANDBETWEEN(200,3000),RANDBETWEEN(100,1500))))</f>
        <v>9524</v>
      </c>
      <c r="AY1092" s="2">
        <f ca="1">INT(AV1092*RANDBETWEEN(90,130)/100)</f>
        <v>21623</v>
      </c>
      <c r="AZ1092" t="str">
        <f t="shared" ca="1" si="88"/>
        <v>12.7%</v>
      </c>
      <c r="BA1092" t="str">
        <f t="shared" ca="1" si="89"/>
        <v>ALTO</v>
      </c>
    </row>
    <row r="1093" spans="4:53" x14ac:dyDescent="0.35">
      <c r="D1093" t="s">
        <v>6566</v>
      </c>
      <c r="E1093" s="1">
        <v>40745</v>
      </c>
      <c r="F1093" t="s">
        <v>6567</v>
      </c>
      <c r="G1093" t="s">
        <v>108</v>
      </c>
      <c r="H1093" t="s">
        <v>177</v>
      </c>
      <c r="I1093">
        <v>20024562</v>
      </c>
      <c r="J1093" t="s">
        <v>28</v>
      </c>
      <c r="K1093">
        <v>5</v>
      </c>
      <c r="L1093" t="s">
        <v>27</v>
      </c>
      <c r="M1093" t="s">
        <v>6568</v>
      </c>
      <c r="N1093" t="s">
        <v>6569</v>
      </c>
      <c r="O1093" t="s">
        <v>6570</v>
      </c>
      <c r="P1093" t="s">
        <v>432</v>
      </c>
      <c r="Q1093" s="1">
        <v>42867</v>
      </c>
      <c r="R1093" t="s">
        <v>33</v>
      </c>
      <c r="S1093" t="s">
        <v>27</v>
      </c>
      <c r="T1093" t="s">
        <v>5602</v>
      </c>
      <c r="U1093" t="s">
        <v>115</v>
      </c>
      <c r="V1093" t="s">
        <v>6571</v>
      </c>
      <c r="W1093">
        <v>200</v>
      </c>
      <c r="X1093">
        <v>20024562</v>
      </c>
      <c r="Y1093" t="s">
        <v>6572</v>
      </c>
      <c r="Z1093" t="s">
        <v>119</v>
      </c>
      <c r="AA1093" t="s">
        <v>32</v>
      </c>
      <c r="AB1093" t="s">
        <v>120</v>
      </c>
      <c r="AC1093" t="s">
        <v>38</v>
      </c>
      <c r="AD1093" t="s">
        <v>121</v>
      </c>
      <c r="AE1093">
        <v>30</v>
      </c>
      <c r="AF1093" s="1">
        <v>401769</v>
      </c>
      <c r="AG1093" t="s">
        <v>26</v>
      </c>
      <c r="AH1093" t="s">
        <v>6571</v>
      </c>
      <c r="AI1093" t="str">
        <f t="shared" si="85"/>
        <v>SI</v>
      </c>
      <c r="AJ1093" t="str">
        <f t="shared" si="86"/>
        <v>NOVARTIS PHARMA</v>
      </c>
      <c r="AK1093" t="str">
        <f>IF(ISNUMBER(SEARCH("FABRICANTE",AC1093)),"FABRICANTE",IF(ISNUMBER(SEARCH("IMPORTADOR",AC1093)),"IMPORTADOR","OTRO"))</f>
        <v>IMPORTADOR</v>
      </c>
      <c r="AL1093" t="str">
        <f>IF(LEFT(Y1093,1)="A","Sistema digestivo",IF(LEFT(Y1093,1)="B","Sangre",IF(LEFT(Y1093,1)="C","Cardiovascular",IF(LEFT(Y1093,1)="D","Dermatológico",IF(LEFT(Y1093,1)="G","Genitourinario",IF(LEFT(Y1093,1)="H","Hormonal",IF(LEFT(Y1093,1)="J","Antiinfecciosos",IF(LEFT(Y1093,1)="L","Oncológicos",IF(LEFT(Y1093,1)="M","Musculoesquelético",IF(LEFT(Y1093,1)="N","Sistema nervioso",IF(LEFT(Y1093,1)="R","Respiratorio",IF(LEFT(Y1093,1)="S","Oftálmico",IF(LEFT(Y1093,1)="V","Varios","OTRO")))))))))))))</f>
        <v>Oncológicos</v>
      </c>
      <c r="AM1093" t="str">
        <f>IF(AG1093="Vigente","ACTIVO",IF(ISNUMBER(SEARCH("Inactivo",J1093)),"INACTIVO","REVISAR"))</f>
        <v>ACTIVO</v>
      </c>
      <c r="AN1093">
        <f ca="1">IF(OR(AF1093="",AF1093="null"),"",ROUND((AF1093-TODAY())/365.25,2))</f>
        <v>973.58</v>
      </c>
      <c r="AO1093" t="str">
        <f ca="1">IF(AND(AG1093="Vigente",OR(AF1093="",AF1093="null",AF1093&gt;TODAY())),"SI",IF(AND(NOT(OR(AF1093="",AF1093="null")),AF1093&lt;=TODAY()),"NO",IF(AG1093="Vigente","SI","DESCONOCIDO")))</f>
        <v>SI</v>
      </c>
      <c r="AP1093" t="str">
        <f>IF(AND(ISNUMBER(SEARCH("IMPORTAR",AA1093)),ISNUMBER(SEARCH("FABRICAR",AA1093))),"MIXTO",IF(ISNUMBER(SEARCH("IMPORTAR",AA1093)),"IMPORTADO",IF(ISNUMBER(SEARCH("FABRICAR",AA1093)),"LOCAL","OTRO")))</f>
        <v>IMPORTADO</v>
      </c>
      <c r="AQ1093" t="str">
        <f>IF(AD1093="Si","SI",IF(AD1093="No","NO",""))</f>
        <v>NO</v>
      </c>
      <c r="AR1093" t="str">
        <f>IF(ISNUMBER(SEARCH("®",N1093)),"MARCA/INNOVADOR","GENERICO")</f>
        <v>MARCA/INNOVADOR</v>
      </c>
      <c r="AS1093">
        <f ca="1">IF(AE1093&gt;100,RANDBETWEEN(500,5000),IF(AND(AE1093&gt;=10,AE1093&lt;=100),RANDBETWEEN(100,1000),RANDBETWEEN(10,200)))</f>
        <v>810</v>
      </c>
      <c r="AT1093">
        <f t="shared" ca="1" si="87"/>
        <v>186</v>
      </c>
      <c r="AU1093">
        <f ca="1">INT(AS1093*RANDBETWEEN(120,200)/100)</f>
        <v>1514</v>
      </c>
      <c r="AV1093" s="2">
        <f ca="1">IF(LEFT(Y1093,1)="L",RANDBETWEEN(500000,5000000),IF(LEFT(Y1093,1)="C",RANDBETWEEN(5000,50000),IF(LEFT(Y1093,1)="N",RANDBETWEEN(10000,150000),IF(LEFT(Y1093,1)="J",RANDBETWEEN(8000,200000),RANDBETWEEN(5000,100000)))))</f>
        <v>3089214</v>
      </c>
      <c r="AW1093" s="2">
        <f ca="1">INT(AV1093*RANDBETWEEN(30,60)/100)</f>
        <v>926764</v>
      </c>
      <c r="AX1093">
        <f ca="1">IF(Z1093="ORAL",RANDBETWEEN(1000,10000),IF(OR(Z1093="INTRAVENOSA",Z1093="INTRAMUSCULAR"),RANDBETWEEN(100,2000),IF(OR(Z1093="OFTÁLMICA",Z1093="TOPICA (EXTERNA)"),RANDBETWEEN(200,3000),RANDBETWEEN(100,1500))))</f>
        <v>7761</v>
      </c>
      <c r="AY1093" s="2">
        <f ca="1">INT(AV1093*RANDBETWEEN(90,130)/100)</f>
        <v>2842076</v>
      </c>
      <c r="AZ1093" t="str">
        <f t="shared" ca="1" si="88"/>
        <v>19.8%</v>
      </c>
      <c r="BA1093" t="str">
        <f t="shared" ca="1" si="89"/>
        <v>BAJO</v>
      </c>
    </row>
    <row r="1094" spans="4:53" x14ac:dyDescent="0.35">
      <c r="D1094" t="s">
        <v>6573</v>
      </c>
      <c r="E1094" s="1">
        <v>41018</v>
      </c>
      <c r="F1094" t="s">
        <v>70</v>
      </c>
      <c r="G1094" t="s">
        <v>108</v>
      </c>
      <c r="H1094" t="s">
        <v>3828</v>
      </c>
      <c r="I1094">
        <v>20040672</v>
      </c>
      <c r="J1094" t="s">
        <v>110</v>
      </c>
      <c r="K1094">
        <v>14</v>
      </c>
      <c r="L1094" t="s">
        <v>27</v>
      </c>
      <c r="M1094" t="s">
        <v>5620</v>
      </c>
      <c r="N1094" t="s">
        <v>5621</v>
      </c>
      <c r="O1094" t="s">
        <v>6574</v>
      </c>
      <c r="P1094" t="s">
        <v>5623</v>
      </c>
      <c r="Q1094" s="1">
        <v>40925</v>
      </c>
      <c r="R1094" t="s">
        <v>867</v>
      </c>
      <c r="S1094" s="1">
        <v>43804</v>
      </c>
      <c r="T1094" t="s">
        <v>860</v>
      </c>
      <c r="U1094" t="s">
        <v>247</v>
      </c>
      <c r="V1094" t="s">
        <v>248</v>
      </c>
      <c r="W1094" t="s">
        <v>3136</v>
      </c>
      <c r="X1094">
        <v>20040672</v>
      </c>
      <c r="Y1094" t="s">
        <v>249</v>
      </c>
      <c r="Z1094" t="s">
        <v>119</v>
      </c>
      <c r="AA1094" t="s">
        <v>24</v>
      </c>
      <c r="AB1094" t="s">
        <v>1095</v>
      </c>
      <c r="AC1094" t="s">
        <v>25</v>
      </c>
      <c r="AD1094" t="s">
        <v>121</v>
      </c>
      <c r="AE1094">
        <v>1</v>
      </c>
      <c r="AF1094" t="s">
        <v>27</v>
      </c>
      <c r="AG1094" t="s">
        <v>26</v>
      </c>
      <c r="AH1094" t="s">
        <v>6735</v>
      </c>
      <c r="AI1094" t="str">
        <f t="shared" si="85"/>
        <v>NO</v>
      </c>
      <c r="AJ1094" t="str">
        <f t="shared" si="86"/>
        <v>ROCIPHAR</v>
      </c>
      <c r="AK1094" t="str">
        <f>IF(ISNUMBER(SEARCH("FABRICANTE",AC1094)),"FABRICANTE",IF(ISNUMBER(SEARCH("IMPORTADOR",AC1094)),"IMPORTADOR","OTRO"))</f>
        <v>FABRICANTE</v>
      </c>
      <c r="AL1094" t="str">
        <f>IF(LEFT(Y1094,1)="A","Sistema digestivo",IF(LEFT(Y1094,1)="B","Sangre",IF(LEFT(Y1094,1)="C","Cardiovascular",IF(LEFT(Y1094,1)="D","Dermatológico",IF(LEFT(Y1094,1)="G","Genitourinario",IF(LEFT(Y1094,1)="H","Hormonal",IF(LEFT(Y1094,1)="J","Antiinfecciosos",IF(LEFT(Y1094,1)="L","Oncológicos",IF(LEFT(Y1094,1)="M","Musculoesquelético",IF(LEFT(Y1094,1)="N","Sistema nervioso",IF(LEFT(Y1094,1)="R","Respiratorio",IF(LEFT(Y1094,1)="S","Oftálmico",IF(LEFT(Y1094,1)="V","Varios","OTRO")))))))))))))</f>
        <v>Sistema digestivo</v>
      </c>
      <c r="AM1094" t="str">
        <f>IF(AG1094="Vigente","ACTIVO",IF(ISNUMBER(SEARCH("Inactivo",J1094)),"INACTIVO","REVISAR"))</f>
        <v>ACTIVO</v>
      </c>
      <c r="AN1094" t="str">
        <f ca="1">IF(OR(AF1094="",AF1094="null"),"",ROUND((AF1094-TODAY())/365.25,2))</f>
        <v/>
      </c>
      <c r="AO1094" t="str">
        <f ca="1">IF(AND(AG1094="Vigente",OR(AF1094="",AF1094="null",AF1094&gt;TODAY())),"SI",IF(AND(NOT(OR(AF1094="",AF1094="null")),AF1094&lt;=TODAY()),"NO",IF(AG1094="Vigente","SI","DESCONOCIDO")))</f>
        <v>SI</v>
      </c>
      <c r="AP1094" t="str">
        <f>IF(AND(ISNUMBER(SEARCH("IMPORTAR",AA1094)),ISNUMBER(SEARCH("FABRICAR",AA1094))),"MIXTO",IF(ISNUMBER(SEARCH("IMPORTAR",AA1094)),"IMPORTADO",IF(ISNUMBER(SEARCH("FABRICAR",AA1094)),"LOCAL","OTRO")))</f>
        <v>LOCAL</v>
      </c>
      <c r="AQ1094" t="str">
        <f>IF(AD1094="Si","SI",IF(AD1094="No","NO",""))</f>
        <v>NO</v>
      </c>
      <c r="AR1094" t="str">
        <f>IF(ISNUMBER(SEARCH("®",N1094)),"MARCA/INNOVADOR","GENERICO")</f>
        <v>MARCA/INNOVADOR</v>
      </c>
      <c r="AS1094">
        <f ca="1">IF(AE1094&gt;100,RANDBETWEEN(500,5000),IF(AND(AE1094&gt;=10,AE1094&lt;=100),RANDBETWEEN(100,1000),RANDBETWEEN(10,200)))</f>
        <v>107</v>
      </c>
      <c r="AT1094">
        <f t="shared" ca="1" si="87"/>
        <v>22</v>
      </c>
      <c r="AU1094">
        <f ca="1">INT(AS1094*RANDBETWEEN(120,200)/100)</f>
        <v>147</v>
      </c>
      <c r="AV1094" s="2">
        <f ca="1">IF(LEFT(Y1094,1)="L",RANDBETWEEN(500000,5000000),IF(LEFT(Y1094,1)="C",RANDBETWEEN(5000,50000),IF(LEFT(Y1094,1)="N",RANDBETWEEN(10000,150000),IF(LEFT(Y1094,1)="J",RANDBETWEEN(8000,200000),RANDBETWEEN(5000,100000)))))</f>
        <v>15386</v>
      </c>
      <c r="AW1094" s="2">
        <f ca="1">INT(AV1094*RANDBETWEEN(30,60)/100)</f>
        <v>8770</v>
      </c>
      <c r="AX1094">
        <f ca="1">IF(Z1094="ORAL",RANDBETWEEN(1000,10000),IF(OR(Z1094="INTRAVENOSA",Z1094="INTRAMUSCULAR"),RANDBETWEEN(100,2000),IF(OR(Z1094="OFTÁLMICA",Z1094="TOPICA (EXTERNA)"),RANDBETWEEN(200,3000),RANDBETWEEN(100,1500))))</f>
        <v>2748</v>
      </c>
      <c r="AY1094" s="2">
        <f ca="1">INT(AV1094*RANDBETWEEN(90,130)/100)</f>
        <v>13847</v>
      </c>
      <c r="AZ1094" t="str">
        <f t="shared" ca="1" si="88"/>
        <v>14.2%</v>
      </c>
      <c r="BA1094" t="str">
        <f t="shared" ca="1" si="89"/>
        <v>ALTO</v>
      </c>
    </row>
    <row r="1095" spans="4:53" x14ac:dyDescent="0.35">
      <c r="D1095" t="s">
        <v>6575</v>
      </c>
      <c r="E1095" s="1">
        <v>39952</v>
      </c>
      <c r="F1095" t="s">
        <v>123</v>
      </c>
      <c r="G1095" t="s">
        <v>108</v>
      </c>
      <c r="H1095" t="s">
        <v>454</v>
      </c>
      <c r="I1095">
        <v>20001966</v>
      </c>
      <c r="J1095" t="s">
        <v>110</v>
      </c>
      <c r="K1095">
        <v>15</v>
      </c>
      <c r="L1095" t="s">
        <v>27</v>
      </c>
      <c r="M1095" t="s">
        <v>5502</v>
      </c>
      <c r="N1095" t="s">
        <v>5503</v>
      </c>
      <c r="O1095" t="s">
        <v>6576</v>
      </c>
      <c r="P1095" t="s">
        <v>128</v>
      </c>
      <c r="Q1095" s="1">
        <v>39844</v>
      </c>
      <c r="R1095" t="s">
        <v>67</v>
      </c>
      <c r="S1095" t="s">
        <v>27</v>
      </c>
      <c r="T1095" t="s">
        <v>1784</v>
      </c>
      <c r="U1095" t="s">
        <v>115</v>
      </c>
      <c r="V1095" t="s">
        <v>130</v>
      </c>
      <c r="W1095">
        <v>100</v>
      </c>
      <c r="X1095">
        <v>20001966</v>
      </c>
      <c r="Y1095" t="s">
        <v>131</v>
      </c>
      <c r="Z1095" t="s">
        <v>119</v>
      </c>
      <c r="AA1095" t="s">
        <v>24</v>
      </c>
      <c r="AB1095" t="s">
        <v>133</v>
      </c>
      <c r="AC1095" t="s">
        <v>25</v>
      </c>
      <c r="AD1095" t="s">
        <v>121</v>
      </c>
      <c r="AE1095">
        <v>1</v>
      </c>
      <c r="AF1095" t="s">
        <v>27</v>
      </c>
      <c r="AG1095" t="s">
        <v>26</v>
      </c>
      <c r="AH1095" t="s">
        <v>123</v>
      </c>
      <c r="AI1095" t="str">
        <f t="shared" si="85"/>
        <v>NO</v>
      </c>
      <c r="AJ1095" t="str">
        <f t="shared" si="86"/>
        <v>COLMED</v>
      </c>
      <c r="AK1095" t="str">
        <f>IF(ISNUMBER(SEARCH("FABRICANTE",AC1095)),"FABRICANTE",IF(ISNUMBER(SEARCH("IMPORTADOR",AC1095)),"IMPORTADOR","OTRO"))</f>
        <v>FABRICANTE</v>
      </c>
      <c r="AL1095" t="str">
        <f>IF(LEFT(Y1095,1)="A","Sistema digestivo",IF(LEFT(Y1095,1)="B","Sangre",IF(LEFT(Y1095,1)="C","Cardiovascular",IF(LEFT(Y1095,1)="D","Dermatológico",IF(LEFT(Y1095,1)="G","Genitourinario",IF(LEFT(Y1095,1)="H","Hormonal",IF(LEFT(Y1095,1)="J","Antiinfecciosos",IF(LEFT(Y1095,1)="L","Oncológicos",IF(LEFT(Y1095,1)="M","Musculoesquelético",IF(LEFT(Y1095,1)="N","Sistema nervioso",IF(LEFT(Y1095,1)="R","Respiratorio",IF(LEFT(Y1095,1)="S","Oftálmico",IF(LEFT(Y1095,1)="V","Varios","OTRO")))))))))))))</f>
        <v>Sistema nervioso</v>
      </c>
      <c r="AM1095" t="str">
        <f>IF(AG1095="Vigente","ACTIVO",IF(ISNUMBER(SEARCH("Inactivo",J1095)),"INACTIVO","REVISAR"))</f>
        <v>ACTIVO</v>
      </c>
      <c r="AN1095" t="str">
        <f ca="1">IF(OR(AF1095="",AF1095="null"),"",ROUND((AF1095-TODAY())/365.25,2))</f>
        <v/>
      </c>
      <c r="AO1095" t="str">
        <f ca="1">IF(AND(AG1095="Vigente",OR(AF1095="",AF1095="null",AF1095&gt;TODAY())),"SI",IF(AND(NOT(OR(AF1095="",AF1095="null")),AF1095&lt;=TODAY()),"NO",IF(AG1095="Vigente","SI","DESCONOCIDO")))</f>
        <v>SI</v>
      </c>
      <c r="AP1095" t="str">
        <f>IF(AND(ISNUMBER(SEARCH("IMPORTAR",AA1095)),ISNUMBER(SEARCH("FABRICAR",AA1095))),"MIXTO",IF(ISNUMBER(SEARCH("IMPORTAR",AA1095)),"IMPORTADO",IF(ISNUMBER(SEARCH("FABRICAR",AA1095)),"LOCAL","OTRO")))</f>
        <v>LOCAL</v>
      </c>
      <c r="AQ1095" t="str">
        <f>IF(AD1095="Si","SI",IF(AD1095="No","NO",""))</f>
        <v>NO</v>
      </c>
      <c r="AR1095" t="str">
        <f>IF(ISNUMBER(SEARCH("®",N1095)),"MARCA/INNOVADOR","GENERICO")</f>
        <v>GENERICO</v>
      </c>
      <c r="AS1095">
        <f ca="1">IF(AE1095&gt;100,RANDBETWEEN(500,5000),IF(AND(AE1095&gt;=10,AE1095&lt;=100),RANDBETWEEN(100,1000),RANDBETWEEN(10,200)))</f>
        <v>24</v>
      </c>
      <c r="AT1095">
        <f t="shared" ca="1" si="87"/>
        <v>3</v>
      </c>
      <c r="AU1095">
        <f ca="1">INT(AS1095*RANDBETWEEN(120,200)/100)</f>
        <v>45</v>
      </c>
      <c r="AV1095" s="2">
        <f ca="1">IF(LEFT(Y1095,1)="L",RANDBETWEEN(500000,5000000),IF(LEFT(Y1095,1)="C",RANDBETWEEN(5000,50000),IF(LEFT(Y1095,1)="N",RANDBETWEEN(10000,150000),IF(LEFT(Y1095,1)="J",RANDBETWEEN(8000,200000),RANDBETWEEN(5000,100000)))))</f>
        <v>60521</v>
      </c>
      <c r="AW1095" s="2">
        <f ca="1">INT(AV1095*RANDBETWEEN(30,60)/100)</f>
        <v>18761</v>
      </c>
      <c r="AX1095">
        <f ca="1">IF(Z1095="ORAL",RANDBETWEEN(1000,10000),IF(OR(Z1095="INTRAVENOSA",Z1095="INTRAMUSCULAR"),RANDBETWEEN(100,2000),IF(OR(Z1095="OFTÁLMICA",Z1095="TOPICA (EXTERNA)"),RANDBETWEEN(200,3000),RANDBETWEEN(100,1500))))</f>
        <v>9061</v>
      </c>
      <c r="AY1095" s="2">
        <f ca="1">INT(AV1095*RANDBETWEEN(90,130)/100)</f>
        <v>72625</v>
      </c>
      <c r="AZ1095" t="str">
        <f t="shared" ca="1" si="88"/>
        <v>13%</v>
      </c>
      <c r="BA1095" t="str">
        <f t="shared" ca="1" si="89"/>
        <v>ALTO</v>
      </c>
    </row>
    <row r="1096" spans="4:53" x14ac:dyDescent="0.35">
      <c r="D1096" t="s">
        <v>6577</v>
      </c>
      <c r="E1096" s="1">
        <v>42353</v>
      </c>
      <c r="F1096" t="s">
        <v>966</v>
      </c>
      <c r="G1096" t="s">
        <v>108</v>
      </c>
      <c r="H1096" t="s">
        <v>2741</v>
      </c>
      <c r="I1096">
        <v>20099545</v>
      </c>
      <c r="J1096" t="s">
        <v>28</v>
      </c>
      <c r="K1096">
        <v>4</v>
      </c>
      <c r="L1096" t="s">
        <v>27</v>
      </c>
      <c r="M1096" t="s">
        <v>6578</v>
      </c>
      <c r="N1096" t="s">
        <v>6579</v>
      </c>
      <c r="O1096" t="s">
        <v>6580</v>
      </c>
      <c r="P1096" t="s">
        <v>1061</v>
      </c>
      <c r="Q1096" s="1">
        <v>42350</v>
      </c>
      <c r="R1096" t="s">
        <v>527</v>
      </c>
      <c r="S1096" t="s">
        <v>27</v>
      </c>
      <c r="T1096" t="s">
        <v>2741</v>
      </c>
      <c r="U1096" t="s">
        <v>115</v>
      </c>
      <c r="V1096" t="s">
        <v>162</v>
      </c>
      <c r="W1096">
        <v>10</v>
      </c>
      <c r="X1096">
        <v>20099545</v>
      </c>
      <c r="Y1096" t="s">
        <v>164</v>
      </c>
      <c r="Z1096" t="s">
        <v>119</v>
      </c>
      <c r="AA1096" t="s">
        <v>848</v>
      </c>
      <c r="AB1096" t="s">
        <v>120</v>
      </c>
      <c r="AC1096" t="s">
        <v>38</v>
      </c>
      <c r="AD1096" t="s">
        <v>121</v>
      </c>
      <c r="AE1096">
        <v>30</v>
      </c>
      <c r="AF1096" t="s">
        <v>27</v>
      </c>
      <c r="AG1096" t="s">
        <v>26</v>
      </c>
      <c r="AH1096" t="s">
        <v>966</v>
      </c>
      <c r="AI1096" t="str">
        <f t="shared" si="85"/>
        <v>NO</v>
      </c>
      <c r="AJ1096" t="str">
        <f t="shared" si="86"/>
        <v>HIGH NUTRITION COMPANY</v>
      </c>
      <c r="AK1096" t="str">
        <f>IF(ISNUMBER(SEARCH("FABRICANTE",AC1096)),"FABRICANTE",IF(ISNUMBER(SEARCH("IMPORTADOR",AC1096)),"IMPORTADOR","OTRO"))</f>
        <v>IMPORTADOR</v>
      </c>
      <c r="AL1096" t="str">
        <f>IF(LEFT(Y1096,1)="A","Sistema digestivo",IF(LEFT(Y1096,1)="B","Sangre",IF(LEFT(Y1096,1)="C","Cardiovascular",IF(LEFT(Y1096,1)="D","Dermatológico",IF(LEFT(Y1096,1)="G","Genitourinario",IF(LEFT(Y1096,1)="H","Hormonal",IF(LEFT(Y1096,1)="J","Antiinfecciosos",IF(LEFT(Y1096,1)="L","Oncológicos",IF(LEFT(Y1096,1)="M","Musculoesquelético",IF(LEFT(Y1096,1)="N","Sistema nervioso",IF(LEFT(Y1096,1)="R","Respiratorio",IF(LEFT(Y1096,1)="S","Oftálmico",IF(LEFT(Y1096,1)="V","Varios","OTRO")))))))))))))</f>
        <v>Musculoesquelético</v>
      </c>
      <c r="AM1096" t="str">
        <f>IF(AG1096="Vigente","ACTIVO",IF(ISNUMBER(SEARCH("Inactivo",J1096)),"INACTIVO","REVISAR"))</f>
        <v>ACTIVO</v>
      </c>
      <c r="AN1096" t="str">
        <f ca="1">IF(OR(AF1096="",AF1096="null"),"",ROUND((AF1096-TODAY())/365.25,2))</f>
        <v/>
      </c>
      <c r="AO1096" t="str">
        <f ca="1">IF(AND(AG1096="Vigente",OR(AF1096="",AF1096="null",AF1096&gt;TODAY())),"SI",IF(AND(NOT(OR(AF1096="",AF1096="null")),AF1096&lt;=TODAY()),"NO",IF(AG1096="Vigente","SI","DESCONOCIDO")))</f>
        <v>SI</v>
      </c>
      <c r="AP1096" t="str">
        <f>IF(AND(ISNUMBER(SEARCH("IMPORTAR",AA1096)),ISNUMBER(SEARCH("FABRICAR",AA1096))),"MIXTO",IF(ISNUMBER(SEARCH("IMPORTAR",AA1096)),"IMPORTADO",IF(ISNUMBER(SEARCH("FABRICAR",AA1096)),"LOCAL","OTRO")))</f>
        <v>IMPORTADO</v>
      </c>
      <c r="AQ1096" t="str">
        <f>IF(AD1096="Si","SI",IF(AD1096="No","NO",""))</f>
        <v>NO</v>
      </c>
      <c r="AR1096" t="str">
        <f>IF(ISNUMBER(SEARCH("®",N1096)),"MARCA/INNOVADOR","GENERICO")</f>
        <v>MARCA/INNOVADOR</v>
      </c>
      <c r="AS1096">
        <f ca="1">IF(AE1096&gt;100,RANDBETWEEN(500,5000),IF(AND(AE1096&gt;=10,AE1096&lt;=100),RANDBETWEEN(100,1000),RANDBETWEEN(10,200)))</f>
        <v>793</v>
      </c>
      <c r="AT1096">
        <f t="shared" ca="1" si="87"/>
        <v>222</v>
      </c>
      <c r="AU1096">
        <f ca="1">INT(AS1096*RANDBETWEEN(120,200)/100)</f>
        <v>1007</v>
      </c>
      <c r="AV1096" s="2">
        <f ca="1">IF(LEFT(Y1096,1)="L",RANDBETWEEN(500000,5000000),IF(LEFT(Y1096,1)="C",RANDBETWEEN(5000,50000),IF(LEFT(Y1096,1)="N",RANDBETWEEN(10000,150000),IF(LEFT(Y1096,1)="J",RANDBETWEEN(8000,200000),RANDBETWEEN(5000,100000)))))</f>
        <v>40829</v>
      </c>
      <c r="AW1096" s="2">
        <f ca="1">INT(AV1096*RANDBETWEEN(30,60)/100)</f>
        <v>20414</v>
      </c>
      <c r="AX1096">
        <f ca="1">IF(Z1096="ORAL",RANDBETWEEN(1000,10000),IF(OR(Z1096="INTRAVENOSA",Z1096="INTRAMUSCULAR"),RANDBETWEEN(100,2000),IF(OR(Z1096="OFTÁLMICA",Z1096="TOPICA (EXTERNA)"),RANDBETWEEN(200,3000),RANDBETWEEN(100,1500))))</f>
        <v>8858</v>
      </c>
      <c r="AY1096" s="2">
        <f ca="1">INT(AV1096*RANDBETWEEN(90,130)/100)</f>
        <v>41645</v>
      </c>
      <c r="AZ1096" t="str">
        <f t="shared" ca="1" si="88"/>
        <v>7.5%</v>
      </c>
      <c r="BA1096" t="str">
        <f t="shared" ca="1" si="89"/>
        <v>BAJO</v>
      </c>
    </row>
    <row r="1097" spans="4:53" x14ac:dyDescent="0.35">
      <c r="D1097" t="s">
        <v>6581</v>
      </c>
      <c r="E1097" s="1">
        <v>39846</v>
      </c>
      <c r="F1097" t="s">
        <v>6582</v>
      </c>
      <c r="G1097" t="s">
        <v>108</v>
      </c>
      <c r="H1097" t="s">
        <v>4340</v>
      </c>
      <c r="I1097">
        <v>19993113</v>
      </c>
      <c r="J1097" t="s">
        <v>110</v>
      </c>
      <c r="K1097">
        <v>1</v>
      </c>
      <c r="L1097" t="s">
        <v>27</v>
      </c>
      <c r="M1097" t="s">
        <v>6583</v>
      </c>
      <c r="N1097" t="s">
        <v>6584</v>
      </c>
      <c r="O1097" t="s">
        <v>6585</v>
      </c>
      <c r="P1097" t="s">
        <v>1195</v>
      </c>
      <c r="Q1097" s="1">
        <v>39721</v>
      </c>
      <c r="R1097" t="s">
        <v>1312</v>
      </c>
      <c r="S1097" s="1">
        <v>43151</v>
      </c>
      <c r="T1097" t="s">
        <v>4340</v>
      </c>
      <c r="U1097" t="s">
        <v>469</v>
      </c>
      <c r="V1097" t="s">
        <v>6310</v>
      </c>
      <c r="W1097">
        <v>1000</v>
      </c>
      <c r="X1097">
        <v>19993113</v>
      </c>
      <c r="Y1097" t="s">
        <v>6311</v>
      </c>
      <c r="Z1097" t="s">
        <v>260</v>
      </c>
      <c r="AA1097" t="s">
        <v>32</v>
      </c>
      <c r="AB1097" t="s">
        <v>239</v>
      </c>
      <c r="AC1097" t="s">
        <v>38</v>
      </c>
      <c r="AD1097" t="s">
        <v>121</v>
      </c>
      <c r="AE1097">
        <v>1</v>
      </c>
      <c r="AF1097" t="s">
        <v>27</v>
      </c>
      <c r="AG1097" t="s">
        <v>26</v>
      </c>
      <c r="AH1097" t="s">
        <v>6722</v>
      </c>
      <c r="AI1097" t="str">
        <f t="shared" si="85"/>
        <v>NO</v>
      </c>
      <c r="AJ1097" t="str">
        <f t="shared" si="86"/>
        <v>TAKEDA COLOMBIA</v>
      </c>
      <c r="AK1097" t="str">
        <f>IF(ISNUMBER(SEARCH("FABRICANTE",AC1097)),"FABRICANTE",IF(ISNUMBER(SEARCH("IMPORTADOR",AC1097)),"IMPORTADOR","OTRO"))</f>
        <v>IMPORTADOR</v>
      </c>
      <c r="AL1097" t="str">
        <f>IF(LEFT(Y1097,1)="A","Sistema digestivo",IF(LEFT(Y1097,1)="B","Sangre",IF(LEFT(Y1097,1)="C","Cardiovascular",IF(LEFT(Y1097,1)="D","Dermatológico",IF(LEFT(Y1097,1)="G","Genitourinario",IF(LEFT(Y1097,1)="H","Hormonal",IF(LEFT(Y1097,1)="J","Antiinfecciosos",IF(LEFT(Y1097,1)="L","Oncológicos",IF(LEFT(Y1097,1)="M","Musculoesquelético",IF(LEFT(Y1097,1)="N","Sistema nervioso",IF(LEFT(Y1097,1)="R","Respiratorio",IF(LEFT(Y1097,1)="S","Oftálmico",IF(LEFT(Y1097,1)="V","Varios","OTRO")))))))))))))</f>
        <v>Sangre</v>
      </c>
      <c r="AM1097" t="str">
        <f>IF(AG1097="Vigente","ACTIVO",IF(ISNUMBER(SEARCH("Inactivo",J1097)),"INACTIVO","REVISAR"))</f>
        <v>ACTIVO</v>
      </c>
      <c r="AN1097" t="str">
        <f ca="1">IF(OR(AF1097="",AF1097="null"),"",ROUND((AF1097-TODAY())/365.25,2))</f>
        <v/>
      </c>
      <c r="AO1097" t="str">
        <f ca="1">IF(AND(AG1097="Vigente",OR(AF1097="",AF1097="null",AF1097&gt;TODAY())),"SI",IF(AND(NOT(OR(AF1097="",AF1097="null")),AF1097&lt;=TODAY()),"NO",IF(AG1097="Vigente","SI","DESCONOCIDO")))</f>
        <v>SI</v>
      </c>
      <c r="AP1097" t="str">
        <f>IF(AND(ISNUMBER(SEARCH("IMPORTAR",AA1097)),ISNUMBER(SEARCH("FABRICAR",AA1097))),"MIXTO",IF(ISNUMBER(SEARCH("IMPORTAR",AA1097)),"IMPORTADO",IF(ISNUMBER(SEARCH("FABRICAR",AA1097)),"LOCAL","OTRO")))</f>
        <v>IMPORTADO</v>
      </c>
      <c r="AQ1097" t="str">
        <f>IF(AD1097="Si","SI",IF(AD1097="No","NO",""))</f>
        <v>NO</v>
      </c>
      <c r="AR1097" t="str">
        <f>IF(ISNUMBER(SEARCH("®",N1097)),"MARCA/INNOVADOR","GENERICO")</f>
        <v>MARCA/INNOVADOR</v>
      </c>
      <c r="AS1097">
        <f ca="1">IF(AE1097&gt;100,RANDBETWEEN(500,5000),IF(AND(AE1097&gt;=10,AE1097&lt;=100),RANDBETWEEN(100,1000),RANDBETWEEN(10,200)))</f>
        <v>182</v>
      </c>
      <c r="AT1097">
        <f t="shared" ca="1" si="87"/>
        <v>29</v>
      </c>
      <c r="AU1097">
        <f ca="1">INT(AS1097*RANDBETWEEN(120,200)/100)</f>
        <v>227</v>
      </c>
      <c r="AV1097" s="2">
        <f ca="1">IF(LEFT(Y1097,1)="L",RANDBETWEEN(500000,5000000),IF(LEFT(Y1097,1)="C",RANDBETWEEN(5000,50000),IF(LEFT(Y1097,1)="N",RANDBETWEEN(10000,150000),IF(LEFT(Y1097,1)="J",RANDBETWEEN(8000,200000),RANDBETWEEN(5000,100000)))))</f>
        <v>66378</v>
      </c>
      <c r="AW1097" s="2">
        <f ca="1">INT(AV1097*RANDBETWEEN(30,60)/100)</f>
        <v>33852</v>
      </c>
      <c r="AX1097">
        <f ca="1">IF(Z1097="ORAL",RANDBETWEEN(1000,10000),IF(OR(Z1097="INTRAVENOSA",Z1097="INTRAMUSCULAR"),RANDBETWEEN(100,2000),IF(OR(Z1097="OFTÁLMICA",Z1097="TOPICA (EXTERNA)"),RANDBETWEEN(200,3000),RANDBETWEEN(100,1500))))</f>
        <v>1435</v>
      </c>
      <c r="AY1097" s="2">
        <f ca="1">INT(AV1097*RANDBETWEEN(90,130)/100)</f>
        <v>61731</v>
      </c>
      <c r="AZ1097" t="str">
        <f t="shared" ca="1" si="88"/>
        <v>1.1%</v>
      </c>
      <c r="BA1097" t="str">
        <f t="shared" ca="1" si="89"/>
        <v>ALTO</v>
      </c>
    </row>
    <row r="1098" spans="4:53" x14ac:dyDescent="0.35">
      <c r="D1098" t="s">
        <v>6586</v>
      </c>
      <c r="E1098" s="1">
        <v>37974</v>
      </c>
      <c r="F1098" t="s">
        <v>6587</v>
      </c>
      <c r="G1098" t="s">
        <v>108</v>
      </c>
      <c r="H1098" t="s">
        <v>6588</v>
      </c>
      <c r="I1098">
        <v>19937803</v>
      </c>
      <c r="J1098" t="s">
        <v>110</v>
      </c>
      <c r="K1098">
        <v>2</v>
      </c>
      <c r="L1098" t="s">
        <v>27</v>
      </c>
      <c r="M1098" t="s">
        <v>6589</v>
      </c>
      <c r="N1098" t="s">
        <v>6590</v>
      </c>
      <c r="O1098" t="s">
        <v>6591</v>
      </c>
      <c r="P1098" t="s">
        <v>6592</v>
      </c>
      <c r="Q1098" s="1">
        <v>42122</v>
      </c>
      <c r="R1098" t="s">
        <v>1312</v>
      </c>
      <c r="S1098" s="1">
        <v>42122</v>
      </c>
      <c r="T1098" t="s">
        <v>6593</v>
      </c>
      <c r="U1098" t="s">
        <v>247</v>
      </c>
      <c r="V1098" t="s">
        <v>6594</v>
      </c>
      <c r="W1098">
        <v>2</v>
      </c>
      <c r="X1098">
        <v>19937803</v>
      </c>
      <c r="Y1098" t="s">
        <v>6595</v>
      </c>
      <c r="Z1098" t="s">
        <v>260</v>
      </c>
      <c r="AA1098" t="s">
        <v>32</v>
      </c>
      <c r="AB1098" t="s">
        <v>120</v>
      </c>
      <c r="AC1098" t="s">
        <v>25</v>
      </c>
      <c r="AD1098" t="s">
        <v>121</v>
      </c>
      <c r="AE1098">
        <v>10</v>
      </c>
      <c r="AF1098" t="s">
        <v>27</v>
      </c>
      <c r="AG1098" t="s">
        <v>26</v>
      </c>
      <c r="AH1098" t="s">
        <v>6594</v>
      </c>
      <c r="AI1098" t="str">
        <f t="shared" si="85"/>
        <v>SI</v>
      </c>
      <c r="AJ1098" t="str">
        <f t="shared" si="86"/>
        <v>LABORATORIOS SERB</v>
      </c>
      <c r="AK1098" t="str">
        <f>IF(ISNUMBER(SEARCH("FABRICANTE",AC1098)),"FABRICANTE",IF(ISNUMBER(SEARCH("IMPORTADOR",AC1098)),"IMPORTADOR","OTRO"))</f>
        <v>FABRICANTE</v>
      </c>
      <c r="AL1098" t="str">
        <f>IF(LEFT(Y1098,1)="A","Sistema digestivo",IF(LEFT(Y1098,1)="B","Sangre",IF(LEFT(Y1098,1)="C","Cardiovascular",IF(LEFT(Y1098,1)="D","Dermatológico",IF(LEFT(Y1098,1)="G","Genitourinario",IF(LEFT(Y1098,1)="H","Hormonal",IF(LEFT(Y1098,1)="J","Antiinfecciosos",IF(LEFT(Y1098,1)="L","Oncológicos",IF(LEFT(Y1098,1)="M","Musculoesquelético",IF(LEFT(Y1098,1)="N","Sistema nervioso",IF(LEFT(Y1098,1)="R","Respiratorio",IF(LEFT(Y1098,1)="S","Oftálmico",IF(LEFT(Y1098,1)="V","Varios","OTRO")))))))))))))</f>
        <v>Varios</v>
      </c>
      <c r="AM1098" t="str">
        <f>IF(AG1098="Vigente","ACTIVO",IF(ISNUMBER(SEARCH("Inactivo",J1098)),"INACTIVO","REVISAR"))</f>
        <v>ACTIVO</v>
      </c>
      <c r="AN1098" t="str">
        <f ca="1">IF(OR(AF1098="",AF1098="null"),"",ROUND((AF1098-TODAY())/365.25,2))</f>
        <v/>
      </c>
      <c r="AO1098" t="str">
        <f ca="1">IF(AND(AG1098="Vigente",OR(AF1098="",AF1098="null",AF1098&gt;TODAY())),"SI",IF(AND(NOT(OR(AF1098="",AF1098="null")),AF1098&lt;=TODAY()),"NO",IF(AG1098="Vigente","SI","DESCONOCIDO")))</f>
        <v>SI</v>
      </c>
      <c r="AP1098" t="str">
        <f>IF(AND(ISNUMBER(SEARCH("IMPORTAR",AA1098)),ISNUMBER(SEARCH("FABRICAR",AA1098))),"MIXTO",IF(ISNUMBER(SEARCH("IMPORTAR",AA1098)),"IMPORTADO",IF(ISNUMBER(SEARCH("FABRICAR",AA1098)),"LOCAL","OTRO")))</f>
        <v>IMPORTADO</v>
      </c>
      <c r="AQ1098" t="str">
        <f>IF(AD1098="Si","SI",IF(AD1098="No","NO",""))</f>
        <v>NO</v>
      </c>
      <c r="AR1098" t="str">
        <f>IF(ISNUMBER(SEARCH("®",N1098)),"MARCA/INNOVADOR","GENERICO")</f>
        <v>MARCA/INNOVADOR</v>
      </c>
      <c r="AS1098">
        <f ca="1">IF(AE1098&gt;100,RANDBETWEEN(500,5000),IF(AND(AE1098&gt;=10,AE1098&lt;=100),RANDBETWEEN(100,1000),RANDBETWEEN(10,200)))</f>
        <v>385</v>
      </c>
      <c r="AT1098">
        <f t="shared" ca="1" si="87"/>
        <v>50</v>
      </c>
      <c r="AU1098">
        <f ca="1">INT(AS1098*RANDBETWEEN(120,200)/100)</f>
        <v>542</v>
      </c>
      <c r="AV1098" s="2">
        <f ca="1">IF(LEFT(Y1098,1)="L",RANDBETWEEN(500000,5000000),IF(LEFT(Y1098,1)="C",RANDBETWEEN(5000,50000),IF(LEFT(Y1098,1)="N",RANDBETWEEN(10000,150000),IF(LEFT(Y1098,1)="J",RANDBETWEEN(8000,200000),RANDBETWEEN(5000,100000)))))</f>
        <v>49923</v>
      </c>
      <c r="AW1098" s="2">
        <f ca="1">INT(AV1098*RANDBETWEEN(30,60)/100)</f>
        <v>18970</v>
      </c>
      <c r="AX1098">
        <f ca="1">IF(Z1098="ORAL",RANDBETWEEN(1000,10000),IF(OR(Z1098="INTRAVENOSA",Z1098="INTRAMUSCULAR"),RANDBETWEEN(100,2000),IF(OR(Z1098="OFTÁLMICA",Z1098="TOPICA (EXTERNA)"),RANDBETWEEN(200,3000),RANDBETWEEN(100,1500))))</f>
        <v>1946</v>
      </c>
      <c r="AY1098" s="2">
        <f ca="1">INT(AV1098*RANDBETWEEN(90,130)/100)</f>
        <v>46428</v>
      </c>
      <c r="AZ1098" t="str">
        <f t="shared" ca="1" si="88"/>
        <v>0.3%</v>
      </c>
      <c r="BA1098" t="str">
        <f t="shared" ca="1" si="89"/>
        <v>ALTO</v>
      </c>
    </row>
    <row r="1099" spans="4:53" x14ac:dyDescent="0.35">
      <c r="D1099" t="s">
        <v>6596</v>
      </c>
      <c r="E1099" s="1">
        <v>41557</v>
      </c>
      <c r="F1099" t="s">
        <v>936</v>
      </c>
      <c r="G1099" t="s">
        <v>108</v>
      </c>
      <c r="H1099" t="s">
        <v>1104</v>
      </c>
      <c r="I1099">
        <v>20055512</v>
      </c>
      <c r="J1099" t="s">
        <v>28</v>
      </c>
      <c r="K1099">
        <v>6</v>
      </c>
      <c r="L1099" t="s">
        <v>27</v>
      </c>
      <c r="M1099" t="s">
        <v>3178</v>
      </c>
      <c r="N1099" t="s">
        <v>3179</v>
      </c>
      <c r="O1099" t="s">
        <v>6597</v>
      </c>
      <c r="P1099" t="s">
        <v>29</v>
      </c>
      <c r="Q1099" s="1">
        <v>41375</v>
      </c>
      <c r="R1099" t="s">
        <v>29</v>
      </c>
      <c r="S1099" t="s">
        <v>27</v>
      </c>
      <c r="T1099" t="s">
        <v>958</v>
      </c>
      <c r="U1099" t="s">
        <v>115</v>
      </c>
      <c r="V1099" t="s">
        <v>3181</v>
      </c>
      <c r="W1099">
        <v>150</v>
      </c>
      <c r="X1099">
        <v>20055512</v>
      </c>
      <c r="Y1099" t="s">
        <v>3182</v>
      </c>
      <c r="Z1099" t="s">
        <v>119</v>
      </c>
      <c r="AA1099" t="s">
        <v>32</v>
      </c>
      <c r="AB1099" t="s">
        <v>120</v>
      </c>
      <c r="AC1099" t="s">
        <v>25</v>
      </c>
      <c r="AD1099" t="s">
        <v>121</v>
      </c>
      <c r="AE1099">
        <v>30</v>
      </c>
      <c r="AF1099" t="s">
        <v>27</v>
      </c>
      <c r="AG1099" t="s">
        <v>26</v>
      </c>
      <c r="AH1099" t="s">
        <v>936</v>
      </c>
      <c r="AI1099" t="str">
        <f t="shared" si="85"/>
        <v>NO</v>
      </c>
      <c r="AJ1099" t="str">
        <f t="shared" si="86"/>
        <v>EUROFARMA COLOMBIA</v>
      </c>
      <c r="AK1099" t="str">
        <f>IF(ISNUMBER(SEARCH("FABRICANTE",AC1099)),"FABRICANTE",IF(ISNUMBER(SEARCH("IMPORTADOR",AC1099)),"IMPORTADOR","OTRO"))</f>
        <v>FABRICANTE</v>
      </c>
      <c r="AL1099" t="str">
        <f>IF(LEFT(Y1099,1)="A","Sistema digestivo",IF(LEFT(Y1099,1)="B","Sangre",IF(LEFT(Y1099,1)="C","Cardiovascular",IF(LEFT(Y1099,1)="D","Dermatológico",IF(LEFT(Y1099,1)="G","Genitourinario",IF(LEFT(Y1099,1)="H","Hormonal",IF(LEFT(Y1099,1)="J","Antiinfecciosos",IF(LEFT(Y1099,1)="L","Oncológicos",IF(LEFT(Y1099,1)="M","Musculoesquelético",IF(LEFT(Y1099,1)="N","Sistema nervioso",IF(LEFT(Y1099,1)="R","Respiratorio",IF(LEFT(Y1099,1)="S","Oftálmico",IF(LEFT(Y1099,1)="V","Varios","OTRO")))))))))))))</f>
        <v>Cardiovascular</v>
      </c>
      <c r="AM1099" t="str">
        <f>IF(AG1099="Vigente","ACTIVO",IF(ISNUMBER(SEARCH("Inactivo",J1099)),"INACTIVO","REVISAR"))</f>
        <v>ACTIVO</v>
      </c>
      <c r="AN1099" t="str">
        <f ca="1">IF(OR(AF1099="",AF1099="null"),"",ROUND((AF1099-TODAY())/365.25,2))</f>
        <v/>
      </c>
      <c r="AO1099" t="str">
        <f ca="1">IF(AND(AG1099="Vigente",OR(AF1099="",AF1099="null",AF1099&gt;TODAY())),"SI",IF(AND(NOT(OR(AF1099="",AF1099="null")),AF1099&lt;=TODAY()),"NO",IF(AG1099="Vigente","SI","DESCONOCIDO")))</f>
        <v>SI</v>
      </c>
      <c r="AP1099" t="str">
        <f>IF(AND(ISNUMBER(SEARCH("IMPORTAR",AA1099)),ISNUMBER(SEARCH("FABRICAR",AA1099))),"MIXTO",IF(ISNUMBER(SEARCH("IMPORTAR",AA1099)),"IMPORTADO",IF(ISNUMBER(SEARCH("FABRICAR",AA1099)),"LOCAL","OTRO")))</f>
        <v>IMPORTADO</v>
      </c>
      <c r="AQ1099" t="str">
        <f>IF(AD1099="Si","SI",IF(AD1099="No","NO",""))</f>
        <v>NO</v>
      </c>
      <c r="AR1099" t="str">
        <f>IF(ISNUMBER(SEARCH("®",N1099)),"MARCA/INNOVADOR","GENERICO")</f>
        <v>MARCA/INNOVADOR</v>
      </c>
      <c r="AS1099">
        <f ca="1">IF(AE1099&gt;100,RANDBETWEEN(500,5000),IF(AND(AE1099&gt;=10,AE1099&lt;=100),RANDBETWEEN(100,1000),RANDBETWEEN(10,200)))</f>
        <v>932</v>
      </c>
      <c r="AT1099">
        <f t="shared" ca="1" si="87"/>
        <v>130</v>
      </c>
      <c r="AU1099">
        <f ca="1">INT(AS1099*RANDBETWEEN(120,200)/100)</f>
        <v>1491</v>
      </c>
      <c r="AV1099" s="2">
        <f ca="1">IF(LEFT(Y1099,1)="L",RANDBETWEEN(500000,5000000),IF(LEFT(Y1099,1)="C",RANDBETWEEN(5000,50000),IF(LEFT(Y1099,1)="N",RANDBETWEEN(10000,150000),IF(LEFT(Y1099,1)="J",RANDBETWEEN(8000,200000),RANDBETWEEN(5000,100000)))))</f>
        <v>24943</v>
      </c>
      <c r="AW1099" s="2">
        <f ca="1">INT(AV1099*RANDBETWEEN(30,60)/100)</f>
        <v>11723</v>
      </c>
      <c r="AX1099">
        <f ca="1">IF(Z1099="ORAL",RANDBETWEEN(1000,10000),IF(OR(Z1099="INTRAVENOSA",Z1099="INTRAMUSCULAR"),RANDBETWEEN(100,2000),IF(OR(Z1099="OFTÁLMICA",Z1099="TOPICA (EXTERNA)"),RANDBETWEEN(200,3000),RANDBETWEEN(100,1500))))</f>
        <v>4916</v>
      </c>
      <c r="AY1099" s="2">
        <f ca="1">INT(AV1099*RANDBETWEEN(90,130)/100)</f>
        <v>26190</v>
      </c>
      <c r="AZ1099" t="str">
        <f t="shared" ca="1" si="88"/>
        <v>16.7%</v>
      </c>
      <c r="BA1099" t="str">
        <f t="shared" ca="1" si="89"/>
        <v>BAJO</v>
      </c>
    </row>
    <row r="1100" spans="4:53" x14ac:dyDescent="0.35">
      <c r="D1100" t="s">
        <v>6598</v>
      </c>
      <c r="E1100" s="1">
        <v>38798</v>
      </c>
      <c r="F1100" t="s">
        <v>6599</v>
      </c>
      <c r="G1100" t="s">
        <v>108</v>
      </c>
      <c r="H1100" t="s">
        <v>454</v>
      </c>
      <c r="I1100">
        <v>19961839</v>
      </c>
      <c r="J1100" t="s">
        <v>110</v>
      </c>
      <c r="K1100">
        <v>11</v>
      </c>
      <c r="L1100" t="s">
        <v>27</v>
      </c>
      <c r="M1100" t="s">
        <v>6600</v>
      </c>
      <c r="N1100" t="s">
        <v>6601</v>
      </c>
      <c r="O1100" t="s">
        <v>6602</v>
      </c>
      <c r="P1100" t="s">
        <v>6603</v>
      </c>
      <c r="Q1100" s="1">
        <v>39031</v>
      </c>
      <c r="R1100" t="s">
        <v>527</v>
      </c>
      <c r="S1100" s="1">
        <v>42761</v>
      </c>
      <c r="T1100" t="s">
        <v>454</v>
      </c>
      <c r="U1100" t="s">
        <v>115</v>
      </c>
      <c r="V1100" t="s">
        <v>3979</v>
      </c>
      <c r="W1100" s="2">
        <v>11248</v>
      </c>
      <c r="X1100">
        <v>19961839</v>
      </c>
      <c r="Y1100" t="s">
        <v>3981</v>
      </c>
      <c r="Z1100" t="s">
        <v>119</v>
      </c>
      <c r="AA1100" t="s">
        <v>2200</v>
      </c>
      <c r="AB1100" t="s">
        <v>120</v>
      </c>
      <c r="AC1100" t="s">
        <v>25</v>
      </c>
      <c r="AD1100" t="s">
        <v>121</v>
      </c>
      <c r="AE1100">
        <v>30</v>
      </c>
      <c r="AF1100" t="s">
        <v>27</v>
      </c>
      <c r="AG1100" t="s">
        <v>26</v>
      </c>
      <c r="AH1100" t="s">
        <v>6817</v>
      </c>
      <c r="AI1100" t="str">
        <f t="shared" si="85"/>
        <v>SI</v>
      </c>
      <c r="AJ1100" t="str">
        <f t="shared" si="86"/>
        <v>PROCAPS</v>
      </c>
      <c r="AK1100" t="str">
        <f>IF(ISNUMBER(SEARCH("FABRICANTE",AC1100)),"FABRICANTE",IF(ISNUMBER(SEARCH("IMPORTADOR",AC1100)),"IMPORTADOR","OTRO"))</f>
        <v>FABRICANTE</v>
      </c>
      <c r="AL1100" t="str">
        <f>IF(LEFT(Y1100,1)="A","Sistema digestivo",IF(LEFT(Y1100,1)="B","Sangre",IF(LEFT(Y1100,1)="C","Cardiovascular",IF(LEFT(Y1100,1)="D","Dermatológico",IF(LEFT(Y1100,1)="G","Genitourinario",IF(LEFT(Y1100,1)="H","Hormonal",IF(LEFT(Y1100,1)="J","Antiinfecciosos",IF(LEFT(Y1100,1)="L","Oncológicos",IF(LEFT(Y1100,1)="M","Musculoesquelético",IF(LEFT(Y1100,1)="N","Sistema nervioso",IF(LEFT(Y1100,1)="R","Respiratorio",IF(LEFT(Y1100,1)="S","Oftálmico",IF(LEFT(Y1100,1)="V","Varios","OTRO")))))))))))))</f>
        <v>Sistema digestivo</v>
      </c>
      <c r="AM1100" t="str">
        <f>IF(AG1100="Vigente","ACTIVO",IF(ISNUMBER(SEARCH("Inactivo",J1100)),"INACTIVO","REVISAR"))</f>
        <v>ACTIVO</v>
      </c>
      <c r="AN1100" t="str">
        <f ca="1">IF(OR(AF1100="",AF1100="null"),"",ROUND((AF1100-TODAY())/365.25,2))</f>
        <v/>
      </c>
      <c r="AO1100" t="str">
        <f ca="1">IF(AND(AG1100="Vigente",OR(AF1100="",AF1100="null",AF1100&gt;TODAY())),"SI",IF(AND(NOT(OR(AF1100="",AF1100="null")),AF1100&lt;=TODAY()),"NO",IF(AG1100="Vigente","SI","DESCONOCIDO")))</f>
        <v>SI</v>
      </c>
      <c r="AP1100" t="str">
        <f>IF(AND(ISNUMBER(SEARCH("IMPORTAR",AA1100)),ISNUMBER(SEARCH("FABRICAR",AA1100))),"MIXTO",IF(ISNUMBER(SEARCH("IMPORTAR",AA1100)),"IMPORTADO",IF(ISNUMBER(SEARCH("FABRICAR",AA1100)),"LOCAL","OTRO")))</f>
        <v>LOCAL</v>
      </c>
      <c r="AQ1100" t="str">
        <f>IF(AD1100="Si","SI",IF(AD1100="No","NO",""))</f>
        <v>NO</v>
      </c>
      <c r="AR1100" t="str">
        <f>IF(ISNUMBER(SEARCH("®",N1100)),"MARCA/INNOVADOR","GENERICO")</f>
        <v>GENERICO</v>
      </c>
      <c r="AS1100">
        <f ca="1">IF(AE1100&gt;100,RANDBETWEEN(500,5000),IF(AND(AE1100&gt;=10,AE1100&lt;=100),RANDBETWEEN(100,1000),RANDBETWEEN(10,200)))</f>
        <v>126</v>
      </c>
      <c r="AT1100">
        <f t="shared" ca="1" si="87"/>
        <v>17</v>
      </c>
      <c r="AU1100">
        <f ca="1">INT(AS1100*RANDBETWEEN(120,200)/100)</f>
        <v>178</v>
      </c>
      <c r="AV1100" s="2">
        <f ca="1">IF(LEFT(Y1100,1)="L",RANDBETWEEN(500000,5000000),IF(LEFT(Y1100,1)="C",RANDBETWEEN(5000,50000),IF(LEFT(Y1100,1)="N",RANDBETWEEN(10000,150000),IF(LEFT(Y1100,1)="J",RANDBETWEEN(8000,200000),RANDBETWEEN(5000,100000)))))</f>
        <v>59940</v>
      </c>
      <c r="AW1100" s="2">
        <f ca="1">INT(AV1100*RANDBETWEEN(30,60)/100)</f>
        <v>22177</v>
      </c>
      <c r="AX1100">
        <f ca="1">IF(Z1100="ORAL",RANDBETWEEN(1000,10000),IF(OR(Z1100="INTRAVENOSA",Z1100="INTRAMUSCULAR"),RANDBETWEEN(100,2000),IF(OR(Z1100="OFTÁLMICA",Z1100="TOPICA (EXTERNA)"),RANDBETWEEN(200,3000),RANDBETWEEN(100,1500))))</f>
        <v>8069</v>
      </c>
      <c r="AY1100" s="2">
        <f ca="1">INT(AV1100*RANDBETWEEN(90,130)/100)</f>
        <v>56343</v>
      </c>
      <c r="AZ1100" t="str">
        <f t="shared" ca="1" si="88"/>
        <v>21.8%</v>
      </c>
      <c r="BA1100" t="str">
        <f t="shared" ca="1" si="89"/>
        <v>ALTO</v>
      </c>
    </row>
    <row r="1101" spans="4:53" x14ac:dyDescent="0.35">
      <c r="D1101" t="s">
        <v>6604</v>
      </c>
      <c r="E1101" s="1">
        <v>36139</v>
      </c>
      <c r="F1101" t="s">
        <v>123</v>
      </c>
      <c r="G1101" t="s">
        <v>502</v>
      </c>
      <c r="H1101" t="s">
        <v>710</v>
      </c>
      <c r="I1101">
        <v>216131</v>
      </c>
      <c r="J1101" t="s">
        <v>28</v>
      </c>
      <c r="K1101">
        <v>2</v>
      </c>
      <c r="L1101" t="s">
        <v>27</v>
      </c>
      <c r="M1101" t="s">
        <v>6605</v>
      </c>
      <c r="N1101" t="s">
        <v>6606</v>
      </c>
      <c r="O1101" t="s">
        <v>6607</v>
      </c>
      <c r="P1101" t="s">
        <v>6608</v>
      </c>
      <c r="Q1101" s="1">
        <v>39031</v>
      </c>
      <c r="R1101" t="s">
        <v>67</v>
      </c>
      <c r="S1101" t="s">
        <v>27</v>
      </c>
      <c r="T1101" t="s">
        <v>6609</v>
      </c>
      <c r="U1101" t="s">
        <v>115</v>
      </c>
      <c r="V1101" t="s">
        <v>130</v>
      </c>
      <c r="W1101">
        <v>100</v>
      </c>
      <c r="X1101">
        <v>216131</v>
      </c>
      <c r="Y1101" t="s">
        <v>131</v>
      </c>
      <c r="Z1101" t="s">
        <v>119</v>
      </c>
      <c r="AA1101" t="s">
        <v>24</v>
      </c>
      <c r="AB1101" t="s">
        <v>250</v>
      </c>
      <c r="AC1101" t="s">
        <v>25</v>
      </c>
      <c r="AD1101" t="s">
        <v>121</v>
      </c>
      <c r="AE1101">
        <v>10</v>
      </c>
      <c r="AF1101" t="s">
        <v>27</v>
      </c>
      <c r="AG1101" t="s">
        <v>26</v>
      </c>
      <c r="AH1101" t="s">
        <v>123</v>
      </c>
      <c r="AI1101" t="str">
        <f t="shared" si="85"/>
        <v>NO</v>
      </c>
      <c r="AJ1101" t="str">
        <f t="shared" si="86"/>
        <v>LABORATORIOS RICHMOND COLOMBIA</v>
      </c>
      <c r="AK1101" t="str">
        <f>IF(ISNUMBER(SEARCH("FABRICANTE",AC1101)),"FABRICANTE",IF(ISNUMBER(SEARCH("IMPORTADOR",AC1101)),"IMPORTADOR","OTRO"))</f>
        <v>FABRICANTE</v>
      </c>
      <c r="AL1101" t="str">
        <f>IF(LEFT(Y1101,1)="A","Sistema digestivo",IF(LEFT(Y1101,1)="B","Sangre",IF(LEFT(Y1101,1)="C","Cardiovascular",IF(LEFT(Y1101,1)="D","Dermatológico",IF(LEFT(Y1101,1)="G","Genitourinario",IF(LEFT(Y1101,1)="H","Hormonal",IF(LEFT(Y1101,1)="J","Antiinfecciosos",IF(LEFT(Y1101,1)="L","Oncológicos",IF(LEFT(Y1101,1)="M","Musculoesquelético",IF(LEFT(Y1101,1)="N","Sistema nervioso",IF(LEFT(Y1101,1)="R","Respiratorio",IF(LEFT(Y1101,1)="S","Oftálmico",IF(LEFT(Y1101,1)="V","Varios","OTRO")))))))))))))</f>
        <v>Sistema nervioso</v>
      </c>
      <c r="AM1101" t="str">
        <f>IF(AG1101="Vigente","ACTIVO",IF(ISNUMBER(SEARCH("Inactivo",J1101)),"INACTIVO","REVISAR"))</f>
        <v>ACTIVO</v>
      </c>
      <c r="AN1101" t="str">
        <f ca="1">IF(OR(AF1101="",AF1101="null"),"",ROUND((AF1101-TODAY())/365.25,2))</f>
        <v/>
      </c>
      <c r="AO1101" t="str">
        <f ca="1">IF(AND(AG1101="Vigente",OR(AF1101="",AF1101="null",AF1101&gt;TODAY())),"SI",IF(AND(NOT(OR(AF1101="",AF1101="null")),AF1101&lt;=TODAY()),"NO",IF(AG1101="Vigente","SI","DESCONOCIDO")))</f>
        <v>SI</v>
      </c>
      <c r="AP1101" t="str">
        <f>IF(AND(ISNUMBER(SEARCH("IMPORTAR",AA1101)),ISNUMBER(SEARCH("FABRICAR",AA1101))),"MIXTO",IF(ISNUMBER(SEARCH("IMPORTAR",AA1101)),"IMPORTADO",IF(ISNUMBER(SEARCH("FABRICAR",AA1101)),"LOCAL","OTRO")))</f>
        <v>LOCAL</v>
      </c>
      <c r="AQ1101" t="str">
        <f>IF(AD1101="Si","SI",IF(AD1101="No","NO",""))</f>
        <v>NO</v>
      </c>
      <c r="AR1101" t="str">
        <f>IF(ISNUMBER(SEARCH("®",N1101)),"MARCA/INNOVADOR","GENERICO")</f>
        <v>GENERICO</v>
      </c>
      <c r="AS1101">
        <f ca="1">IF(AE1101&gt;100,RANDBETWEEN(500,5000),IF(AND(AE1101&gt;=10,AE1101&lt;=100),RANDBETWEEN(100,1000),RANDBETWEEN(10,200)))</f>
        <v>828</v>
      </c>
      <c r="AT1101">
        <f t="shared" ca="1" si="87"/>
        <v>107</v>
      </c>
      <c r="AU1101">
        <f ca="1">INT(AS1101*RANDBETWEEN(120,200)/100)</f>
        <v>1001</v>
      </c>
      <c r="AV1101" s="2">
        <f ca="1">IF(LEFT(Y1101,1)="L",RANDBETWEEN(500000,5000000),IF(LEFT(Y1101,1)="C",RANDBETWEEN(5000,50000),IF(LEFT(Y1101,1)="N",RANDBETWEEN(10000,150000),IF(LEFT(Y1101,1)="J",RANDBETWEEN(8000,200000),RANDBETWEEN(5000,100000)))))</f>
        <v>71466</v>
      </c>
      <c r="AW1101" s="2">
        <f ca="1">INT(AV1101*RANDBETWEEN(30,60)/100)</f>
        <v>42879</v>
      </c>
      <c r="AX1101">
        <f ca="1">IF(Z1101="ORAL",RANDBETWEEN(1000,10000),IF(OR(Z1101="INTRAVENOSA",Z1101="INTRAMUSCULAR"),RANDBETWEEN(100,2000),IF(OR(Z1101="OFTÁLMICA",Z1101="TOPICA (EXTERNA)"),RANDBETWEEN(200,3000),RANDBETWEEN(100,1500))))</f>
        <v>6563</v>
      </c>
      <c r="AY1101" s="2">
        <f ca="1">INT(AV1101*RANDBETWEEN(90,130)/100)</f>
        <v>82185</v>
      </c>
      <c r="AZ1101" t="str">
        <f t="shared" ca="1" si="88"/>
        <v>15.1%</v>
      </c>
      <c r="BA1101" t="str">
        <f t="shared" ca="1" si="89"/>
        <v>BAJO</v>
      </c>
    </row>
  </sheetData>
  <pageMargins left="0.7" right="0.7" top="0.75" bottom="0.75" header="0.3" footer="0.3"/>
  <headerFooter>
    <oddFooter>&amp;R_x000D_&amp;1#&amp;"Aptos"&amp;22&amp;KFF8939 RESTRICTED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Bayer AG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Felipe Ortega</dc:creator>
  <cp:lastModifiedBy>Felipe Ortega</cp:lastModifiedBy>
  <dcterms:created xsi:type="dcterms:W3CDTF">2026-05-11T20:15:01Z</dcterms:created>
  <dcterms:modified xsi:type="dcterms:W3CDTF">2026-05-26T23:17:41Z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76c141-ac86-40e5-abf2-c6f60e474cee_Enabled">
    <vt:lpwstr>true</vt:lpwstr>
  </property>
  <property fmtid="{D5CDD505-2E9C-101B-9397-08002B2CF9AE}" pid="3" name="MSIP_Label_2c76c141-ac86-40e5-abf2-c6f60e474cee_SetDate">
    <vt:lpwstr>2026-05-11T20:15:45Z</vt:lpwstr>
  </property>
  <property fmtid="{D5CDD505-2E9C-101B-9397-08002B2CF9AE}" pid="4" name="MSIP_Label_2c76c141-ac86-40e5-abf2-c6f60e474cee_Method">
    <vt:lpwstr>Standard</vt:lpwstr>
  </property>
  <property fmtid="{D5CDD505-2E9C-101B-9397-08002B2CF9AE}" pid="5" name="MSIP_Label_2c76c141-ac86-40e5-abf2-c6f60e474cee_Name">
    <vt:lpwstr>2c76c141-ac86-40e5-abf2-c6f60e474cee</vt:lpwstr>
  </property>
  <property fmtid="{D5CDD505-2E9C-101B-9397-08002B2CF9AE}" pid="6" name="MSIP_Label_2c76c141-ac86-40e5-abf2-c6f60e474cee_SiteId">
    <vt:lpwstr>fcb2b37b-5da0-466b-9b83-0014b67a7c78</vt:lpwstr>
  </property>
  <property fmtid="{D5CDD505-2E9C-101B-9397-08002B2CF9AE}" pid="7" name="MSIP_Label_2c76c141-ac86-40e5-abf2-c6f60e474cee_ActionId">
    <vt:lpwstr>5d220770-59da-4820-9c4d-de1309343b60</vt:lpwstr>
  </property>
  <property fmtid="{D5CDD505-2E9C-101B-9397-08002B2CF9AE}" pid="8" name="MSIP_Label_2c76c141-ac86-40e5-abf2-c6f60e474cee_ContentBits">
    <vt:lpwstr>2</vt:lpwstr>
  </property>
  <property fmtid="{D5CDD505-2E9C-101B-9397-08002B2CF9AE}" pid="9" name="MSIP_Label_2c76c141-ac86-40e5-abf2-c6f60e474cee_Tag">
    <vt:lpwstr>10, 3, 0, 1</vt:lpwstr>
  </property>
</Properties>
</file>